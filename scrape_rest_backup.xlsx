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89990992945b7b1/03 Kochen/"/>
    </mc:Choice>
  </mc:AlternateContent>
  <xr:revisionPtr revIDLastSave="1" documentId="11_AD4DB114E441178AC67DF44EDE50ECE2693EDF25" xr6:coauthVersionLast="47" xr6:coauthVersionMax="47" xr10:uidLastSave="{A686718D-D7B3-4821-9DEE-DF38E28D081F}"/>
  <bookViews>
    <workbookView xWindow="-120" yWindow="-120" windowWidth="29040" windowHeight="15720" xr2:uid="{00000000-000D-0000-FFFF-FFFF00000000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473" i="1" l="1"/>
  <c r="A473" i="1"/>
  <c r="C473" i="1" s="1"/>
  <c r="BG472" i="1"/>
  <c r="C472" i="1"/>
  <c r="A472" i="1"/>
  <c r="BG471" i="1"/>
  <c r="A471" i="1"/>
  <c r="C471" i="1" s="1"/>
  <c r="BG470" i="1"/>
  <c r="C470" i="1"/>
  <c r="A470" i="1"/>
  <c r="BG469" i="1"/>
  <c r="A469" i="1"/>
  <c r="C469" i="1" s="1"/>
  <c r="BG468" i="1"/>
  <c r="A468" i="1"/>
  <c r="C468" i="1" s="1"/>
  <c r="BG467" i="1"/>
  <c r="C467" i="1"/>
  <c r="A467" i="1"/>
  <c r="BG466" i="1"/>
  <c r="C466" i="1"/>
  <c r="A466" i="1"/>
  <c r="BG465" i="1"/>
  <c r="A465" i="1"/>
  <c r="C465" i="1" s="1"/>
  <c r="BG464" i="1"/>
  <c r="C464" i="1"/>
  <c r="A464" i="1"/>
  <c r="BG463" i="1"/>
  <c r="A463" i="1"/>
  <c r="C463" i="1" s="1"/>
  <c r="BG462" i="1"/>
  <c r="A462" i="1"/>
  <c r="C462" i="1" s="1"/>
  <c r="BG461" i="1"/>
  <c r="A461" i="1"/>
  <c r="C461" i="1" s="1"/>
  <c r="BG460" i="1"/>
  <c r="A460" i="1"/>
  <c r="C460" i="1" s="1"/>
  <c r="BG459" i="1"/>
  <c r="C459" i="1"/>
  <c r="A459" i="1"/>
  <c r="BG458" i="1"/>
  <c r="C458" i="1"/>
  <c r="A458" i="1"/>
  <c r="BG457" i="1"/>
  <c r="A457" i="1"/>
  <c r="C457" i="1" s="1"/>
  <c r="BG456" i="1"/>
  <c r="C456" i="1"/>
  <c r="A456" i="1"/>
  <c r="BG455" i="1"/>
  <c r="A455" i="1"/>
  <c r="C455" i="1" s="1"/>
  <c r="BG454" i="1"/>
  <c r="A454" i="1"/>
  <c r="C454" i="1" s="1"/>
  <c r="BG453" i="1"/>
  <c r="A453" i="1"/>
  <c r="C453" i="1" s="1"/>
  <c r="BG452" i="1"/>
  <c r="A452" i="1"/>
  <c r="C452" i="1" s="1"/>
  <c r="BG451" i="1"/>
  <c r="C451" i="1"/>
  <c r="A451" i="1"/>
  <c r="BG450" i="1"/>
  <c r="C450" i="1"/>
  <c r="A450" i="1"/>
  <c r="BG449" i="1"/>
  <c r="A449" i="1"/>
  <c r="C449" i="1" s="1"/>
  <c r="BG448" i="1"/>
  <c r="C448" i="1"/>
  <c r="A448" i="1"/>
  <c r="BG447" i="1"/>
  <c r="A447" i="1"/>
  <c r="C447" i="1" s="1"/>
  <c r="BG446" i="1"/>
  <c r="A446" i="1"/>
  <c r="C446" i="1" s="1"/>
  <c r="BG445" i="1"/>
  <c r="A445" i="1"/>
  <c r="C445" i="1" s="1"/>
  <c r="BG444" i="1"/>
  <c r="A444" i="1"/>
  <c r="C444" i="1" s="1"/>
  <c r="BG443" i="1"/>
  <c r="C443" i="1"/>
  <c r="A443" i="1"/>
  <c r="A442" i="1"/>
  <c r="BG441" i="1"/>
  <c r="A441" i="1"/>
  <c r="C441" i="1" s="1"/>
  <c r="BG440" i="1"/>
  <c r="A440" i="1"/>
  <c r="C440" i="1" s="1"/>
  <c r="BG439" i="1"/>
  <c r="A439" i="1"/>
  <c r="C439" i="1" s="1"/>
  <c r="BG438" i="1"/>
  <c r="A438" i="1"/>
  <c r="C438" i="1" s="1"/>
  <c r="BG437" i="1"/>
  <c r="C437" i="1"/>
  <c r="A437" i="1"/>
  <c r="BG436" i="1"/>
  <c r="C436" i="1"/>
  <c r="A436" i="1"/>
  <c r="EK435" i="1"/>
  <c r="EJ435" i="1"/>
  <c r="EI435" i="1"/>
  <c r="EH435" i="1"/>
  <c r="EG435" i="1"/>
  <c r="EF435" i="1"/>
  <c r="EE435" i="1"/>
  <c r="ED435" i="1"/>
  <c r="EC435" i="1"/>
  <c r="EB435" i="1"/>
  <c r="EA435" i="1"/>
  <c r="DZ435" i="1"/>
  <c r="DY435" i="1"/>
  <c r="DX435" i="1"/>
  <c r="DW435" i="1"/>
  <c r="DV435" i="1"/>
  <c r="DU435" i="1"/>
  <c r="DT435" i="1"/>
  <c r="DS435" i="1"/>
  <c r="DR435" i="1"/>
  <c r="DQ435" i="1"/>
  <c r="DP435" i="1"/>
  <c r="DO435" i="1"/>
  <c r="DN435" i="1"/>
  <c r="DM435" i="1"/>
  <c r="DL435" i="1"/>
  <c r="DK435" i="1"/>
  <c r="DJ435" i="1"/>
  <c r="DI435" i="1"/>
  <c r="DH435" i="1"/>
  <c r="DG435" i="1"/>
  <c r="DF435" i="1"/>
  <c r="DE435" i="1"/>
  <c r="DD435" i="1"/>
  <c r="DC435" i="1"/>
  <c r="DB435" i="1"/>
  <c r="DA435" i="1"/>
  <c r="CZ435" i="1"/>
  <c r="CY435" i="1"/>
  <c r="CX435" i="1"/>
  <c r="CW435" i="1"/>
  <c r="CV435" i="1"/>
  <c r="CU435" i="1"/>
  <c r="CT435" i="1"/>
  <c r="CS435" i="1"/>
  <c r="CR435" i="1"/>
  <c r="CQ435" i="1"/>
  <c r="CP435" i="1"/>
  <c r="CO435" i="1"/>
  <c r="CN435" i="1"/>
  <c r="CM435" i="1"/>
  <c r="CL435" i="1"/>
  <c r="CK435" i="1"/>
  <c r="CJ435" i="1"/>
  <c r="CI435" i="1"/>
  <c r="CH435" i="1"/>
  <c r="CG435" i="1"/>
  <c r="CF435" i="1"/>
  <c r="CE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A435" i="1"/>
  <c r="EK434" i="1"/>
  <c r="EJ434" i="1"/>
  <c r="EI434" i="1"/>
  <c r="EH434" i="1"/>
  <c r="EG434" i="1"/>
  <c r="EF434" i="1"/>
  <c r="EE434" i="1"/>
  <c r="ED434" i="1"/>
  <c r="EC434" i="1"/>
  <c r="EB434" i="1"/>
  <c r="EA434" i="1"/>
  <c r="DZ434" i="1"/>
  <c r="DY434" i="1"/>
  <c r="DX434" i="1"/>
  <c r="DW434" i="1"/>
  <c r="DV434" i="1"/>
  <c r="DU434" i="1"/>
  <c r="DT434" i="1"/>
  <c r="DS434" i="1"/>
  <c r="DR434" i="1"/>
  <c r="DQ434" i="1"/>
  <c r="DP434" i="1"/>
  <c r="DO434" i="1"/>
  <c r="DN434" i="1"/>
  <c r="DM434" i="1"/>
  <c r="DL434" i="1"/>
  <c r="DK434" i="1"/>
  <c r="DJ434" i="1"/>
  <c r="DI434" i="1"/>
  <c r="DH434" i="1"/>
  <c r="DG434" i="1"/>
  <c r="DF434" i="1"/>
  <c r="DE434" i="1"/>
  <c r="DD434" i="1"/>
  <c r="DC434" i="1"/>
  <c r="DB434" i="1"/>
  <c r="DA434" i="1"/>
  <c r="CZ434" i="1"/>
  <c r="CY434" i="1"/>
  <c r="CX434" i="1"/>
  <c r="CW434" i="1"/>
  <c r="CV434" i="1"/>
  <c r="CU434" i="1"/>
  <c r="CT434" i="1"/>
  <c r="CS434" i="1"/>
  <c r="CR434" i="1"/>
  <c r="CQ434" i="1"/>
  <c r="CP434" i="1"/>
  <c r="CO434" i="1"/>
  <c r="CN434" i="1"/>
  <c r="CM434" i="1"/>
  <c r="CL434" i="1"/>
  <c r="CK434" i="1"/>
  <c r="CJ434" i="1"/>
  <c r="CI434" i="1"/>
  <c r="CH434" i="1"/>
  <c r="CG434" i="1"/>
  <c r="CF434" i="1"/>
  <c r="CE434" i="1"/>
  <c r="CD434" i="1"/>
  <c r="CC434" i="1"/>
  <c r="CB434" i="1"/>
  <c r="CA434" i="1"/>
  <c r="BZ434" i="1"/>
  <c r="BY434" i="1"/>
  <c r="BX434" i="1"/>
  <c r="BW434" i="1"/>
  <c r="BV434" i="1"/>
  <c r="BU434" i="1"/>
  <c r="BT434" i="1"/>
  <c r="BS434" i="1"/>
  <c r="BR434" i="1"/>
  <c r="BQ434" i="1"/>
  <c r="BP434" i="1"/>
  <c r="BO434" i="1"/>
  <c r="BN434" i="1"/>
  <c r="BM434" i="1"/>
  <c r="BL434" i="1"/>
  <c r="BK434" i="1"/>
  <c r="BJ434" i="1"/>
  <c r="BI434" i="1"/>
  <c r="BH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BG434" i="1" s="1"/>
  <c r="E434" i="1"/>
  <c r="D434" i="1"/>
  <c r="C434" i="1"/>
  <c r="A434" i="1"/>
  <c r="EK433" i="1"/>
  <c r="EJ433" i="1"/>
  <c r="EI433" i="1"/>
  <c r="EH433" i="1"/>
  <c r="EG433" i="1"/>
  <c r="EF433" i="1"/>
  <c r="EE433" i="1"/>
  <c r="ED433" i="1"/>
  <c r="EC433" i="1"/>
  <c r="EB433" i="1"/>
  <c r="EA433" i="1"/>
  <c r="DZ433" i="1"/>
  <c r="DY433" i="1"/>
  <c r="DX433" i="1"/>
  <c r="DW433" i="1"/>
  <c r="DV433" i="1"/>
  <c r="DU433" i="1"/>
  <c r="DT433" i="1"/>
  <c r="DS433" i="1"/>
  <c r="DR433" i="1"/>
  <c r="DQ433" i="1"/>
  <c r="DP433" i="1"/>
  <c r="DO433" i="1"/>
  <c r="DN433" i="1"/>
  <c r="DM433" i="1"/>
  <c r="DL433" i="1"/>
  <c r="DK433" i="1"/>
  <c r="DJ433" i="1"/>
  <c r="DI433" i="1"/>
  <c r="DH433" i="1"/>
  <c r="DG433" i="1"/>
  <c r="DF433" i="1"/>
  <c r="DE433" i="1"/>
  <c r="DD433" i="1"/>
  <c r="DC433" i="1"/>
  <c r="DB433" i="1"/>
  <c r="DA433" i="1"/>
  <c r="CZ433" i="1"/>
  <c r="CY433" i="1"/>
  <c r="CX433" i="1"/>
  <c r="CW433" i="1"/>
  <c r="CV433" i="1"/>
  <c r="CU433" i="1"/>
  <c r="CT433" i="1"/>
  <c r="CS433" i="1"/>
  <c r="CR433" i="1"/>
  <c r="CQ433" i="1"/>
  <c r="CP433" i="1"/>
  <c r="CO433" i="1"/>
  <c r="CN433" i="1"/>
  <c r="CM433" i="1"/>
  <c r="CL433" i="1"/>
  <c r="CK433" i="1"/>
  <c r="CJ433" i="1"/>
  <c r="CI433" i="1"/>
  <c r="CH433" i="1"/>
  <c r="CG433" i="1"/>
  <c r="CF433" i="1"/>
  <c r="CE433" i="1"/>
  <c r="CD433" i="1"/>
  <c r="CC433" i="1"/>
  <c r="CB433" i="1"/>
  <c r="CA433" i="1"/>
  <c r="BZ433" i="1"/>
  <c r="BY433" i="1"/>
  <c r="BX433" i="1"/>
  <c r="BW433" i="1"/>
  <c r="BV433" i="1"/>
  <c r="BU433" i="1"/>
  <c r="BT433" i="1"/>
  <c r="BS433" i="1"/>
  <c r="BR433" i="1"/>
  <c r="BQ433" i="1"/>
  <c r="BP433" i="1"/>
  <c r="BO433" i="1"/>
  <c r="BN433" i="1"/>
  <c r="BG433" i="1" s="1"/>
  <c r="BM433" i="1"/>
  <c r="BL433" i="1"/>
  <c r="BK433" i="1"/>
  <c r="BJ433" i="1"/>
  <c r="BI433" i="1"/>
  <c r="BH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A433" i="1"/>
  <c r="C433" i="1" s="1"/>
  <c r="BG432" i="1"/>
  <c r="A432" i="1"/>
  <c r="C432" i="1" s="1"/>
  <c r="A431" i="1"/>
  <c r="BG430" i="1"/>
  <c r="A430" i="1"/>
  <c r="C430" i="1" s="1"/>
  <c r="BG429" i="1"/>
  <c r="C429" i="1"/>
  <c r="A429" i="1"/>
  <c r="BG428" i="1"/>
  <c r="A428" i="1"/>
  <c r="C428" i="1" s="1"/>
  <c r="BG427" i="1"/>
  <c r="A427" i="1"/>
  <c r="C427" i="1" s="1"/>
  <c r="BG426" i="1"/>
  <c r="A426" i="1"/>
  <c r="C426" i="1" s="1"/>
  <c r="BG425" i="1"/>
  <c r="A425" i="1"/>
  <c r="C425" i="1" s="1"/>
  <c r="BG424" i="1"/>
  <c r="C424" i="1"/>
  <c r="A424" i="1"/>
  <c r="BG423" i="1"/>
  <c r="C423" i="1"/>
  <c r="A423" i="1"/>
  <c r="BG422" i="1"/>
  <c r="A422" i="1"/>
  <c r="C422" i="1" s="1"/>
  <c r="BG421" i="1"/>
  <c r="C421" i="1"/>
  <c r="A421" i="1"/>
  <c r="BG420" i="1"/>
  <c r="A420" i="1"/>
  <c r="C420" i="1" s="1"/>
  <c r="BG419" i="1"/>
  <c r="C419" i="1"/>
  <c r="A419" i="1"/>
  <c r="BG418" i="1"/>
  <c r="A418" i="1"/>
  <c r="C418" i="1" s="1"/>
  <c r="BG417" i="1"/>
  <c r="A417" i="1"/>
  <c r="C417" i="1" s="1"/>
  <c r="BG416" i="1"/>
  <c r="C416" i="1"/>
  <c r="A416" i="1"/>
  <c r="BG415" i="1"/>
  <c r="C415" i="1"/>
  <c r="A415" i="1"/>
  <c r="BG414" i="1"/>
  <c r="A414" i="1"/>
  <c r="C414" i="1" s="1"/>
  <c r="EK413" i="1"/>
  <c r="EJ413" i="1"/>
  <c r="EI413" i="1"/>
  <c r="EH413" i="1"/>
  <c r="EG413" i="1"/>
  <c r="EF413" i="1"/>
  <c r="EE413" i="1"/>
  <c r="ED413" i="1"/>
  <c r="EC413" i="1"/>
  <c r="EB413" i="1"/>
  <c r="EA413" i="1"/>
  <c r="DZ413" i="1"/>
  <c r="DY413" i="1"/>
  <c r="DX413" i="1"/>
  <c r="DW413" i="1"/>
  <c r="DV413" i="1"/>
  <c r="DU413" i="1"/>
  <c r="DT413" i="1"/>
  <c r="DS413" i="1"/>
  <c r="DR413" i="1"/>
  <c r="DQ413" i="1"/>
  <c r="DP413" i="1"/>
  <c r="DO413" i="1"/>
  <c r="DN413" i="1"/>
  <c r="DM413" i="1"/>
  <c r="DL413" i="1"/>
  <c r="DK413" i="1"/>
  <c r="DJ413" i="1"/>
  <c r="DI413" i="1"/>
  <c r="DH413" i="1"/>
  <c r="DG413" i="1"/>
  <c r="DF413" i="1"/>
  <c r="DE413" i="1"/>
  <c r="DD413" i="1"/>
  <c r="DC413" i="1"/>
  <c r="DB413" i="1"/>
  <c r="DA413" i="1"/>
  <c r="CZ413" i="1"/>
  <c r="CY413" i="1"/>
  <c r="CX413" i="1"/>
  <c r="CW413" i="1"/>
  <c r="CV413" i="1"/>
  <c r="CU413" i="1"/>
  <c r="CT413" i="1"/>
  <c r="CS413" i="1"/>
  <c r="CR413" i="1"/>
  <c r="CQ413" i="1"/>
  <c r="CP413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A413" i="1"/>
  <c r="C413" i="1" s="1"/>
  <c r="BG412" i="1"/>
  <c r="A412" i="1"/>
  <c r="C412" i="1" s="1"/>
  <c r="BG411" i="1"/>
  <c r="C411" i="1"/>
  <c r="A411" i="1"/>
  <c r="BG410" i="1"/>
  <c r="C410" i="1"/>
  <c r="A410" i="1"/>
  <c r="BG409" i="1"/>
  <c r="A409" i="1"/>
  <c r="C409" i="1" s="1"/>
  <c r="BG408" i="1"/>
  <c r="C408" i="1"/>
  <c r="A408" i="1"/>
  <c r="BG407" i="1"/>
  <c r="A407" i="1"/>
  <c r="C407" i="1" s="1"/>
  <c r="BG406" i="1"/>
  <c r="C406" i="1"/>
  <c r="A406" i="1"/>
  <c r="BG405" i="1"/>
  <c r="A405" i="1"/>
  <c r="C405" i="1" s="1"/>
  <c r="BG404" i="1"/>
  <c r="A404" i="1"/>
  <c r="C404" i="1" s="1"/>
  <c r="BG403" i="1"/>
  <c r="C403" i="1"/>
  <c r="A403" i="1"/>
  <c r="BG402" i="1"/>
  <c r="C402" i="1"/>
  <c r="A402" i="1"/>
  <c r="BG401" i="1"/>
  <c r="A401" i="1"/>
  <c r="C401" i="1" s="1"/>
  <c r="BG400" i="1"/>
  <c r="C400" i="1"/>
  <c r="A400" i="1"/>
  <c r="A399" i="1"/>
  <c r="A398" i="1"/>
  <c r="A397" i="1"/>
  <c r="A396" i="1"/>
  <c r="BG395" i="1"/>
  <c r="C395" i="1"/>
  <c r="A395" i="1"/>
  <c r="BG394" i="1"/>
  <c r="C394" i="1"/>
  <c r="A394" i="1"/>
  <c r="BG393" i="1"/>
  <c r="A393" i="1"/>
  <c r="C393" i="1" s="1"/>
  <c r="BG392" i="1"/>
  <c r="C392" i="1"/>
  <c r="A392" i="1"/>
  <c r="EK391" i="1"/>
  <c r="EJ391" i="1"/>
  <c r="EI391" i="1"/>
  <c r="EH391" i="1"/>
  <c r="EG391" i="1"/>
  <c r="EF391" i="1"/>
  <c r="EE391" i="1"/>
  <c r="ED391" i="1"/>
  <c r="EC391" i="1"/>
  <c r="EB391" i="1"/>
  <c r="EA391" i="1"/>
  <c r="DZ391" i="1"/>
  <c r="DY391" i="1"/>
  <c r="DX391" i="1"/>
  <c r="DW391" i="1"/>
  <c r="DV391" i="1"/>
  <c r="DU391" i="1"/>
  <c r="DT391" i="1"/>
  <c r="DS391" i="1"/>
  <c r="DR391" i="1"/>
  <c r="DQ391" i="1"/>
  <c r="DP391" i="1"/>
  <c r="DO391" i="1"/>
  <c r="DN391" i="1"/>
  <c r="DM391" i="1"/>
  <c r="DL391" i="1"/>
  <c r="DK391" i="1"/>
  <c r="DJ391" i="1"/>
  <c r="DI391" i="1"/>
  <c r="DH391" i="1"/>
  <c r="DG391" i="1"/>
  <c r="DF391" i="1"/>
  <c r="DE391" i="1"/>
  <c r="DD391" i="1"/>
  <c r="DC391" i="1"/>
  <c r="DB391" i="1"/>
  <c r="DA391" i="1"/>
  <c r="CZ391" i="1"/>
  <c r="CY391" i="1"/>
  <c r="CX391" i="1"/>
  <c r="CW391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BO391" i="1"/>
  <c r="BN391" i="1"/>
  <c r="BM391" i="1"/>
  <c r="BL391" i="1"/>
  <c r="BG391" i="1" s="1"/>
  <c r="BK391" i="1"/>
  <c r="BJ391" i="1"/>
  <c r="BI391" i="1"/>
  <c r="BH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A391" i="1"/>
  <c r="C391" i="1" s="1"/>
  <c r="BG390" i="1"/>
  <c r="C390" i="1"/>
  <c r="A390" i="1"/>
  <c r="BG389" i="1"/>
  <c r="C389" i="1"/>
  <c r="A389" i="1"/>
  <c r="BG388" i="1"/>
  <c r="A388" i="1"/>
  <c r="C388" i="1" s="1"/>
  <c r="BG387" i="1"/>
  <c r="C387" i="1"/>
  <c r="A387" i="1"/>
  <c r="BG386" i="1"/>
  <c r="A386" i="1"/>
  <c r="C386" i="1" s="1"/>
  <c r="BG385" i="1"/>
  <c r="C385" i="1"/>
  <c r="A385" i="1"/>
  <c r="BG384" i="1"/>
  <c r="A384" i="1"/>
  <c r="C384" i="1" s="1"/>
  <c r="BG383" i="1"/>
  <c r="A383" i="1"/>
  <c r="C383" i="1" s="1"/>
  <c r="BG382" i="1"/>
  <c r="C382" i="1"/>
  <c r="A382" i="1"/>
  <c r="BG381" i="1"/>
  <c r="C381" i="1"/>
  <c r="A381" i="1"/>
  <c r="BG380" i="1"/>
  <c r="A380" i="1"/>
  <c r="C380" i="1" s="1"/>
  <c r="BG379" i="1"/>
  <c r="C379" i="1"/>
  <c r="A379" i="1"/>
  <c r="BG378" i="1"/>
  <c r="A378" i="1"/>
  <c r="C378" i="1" s="1"/>
  <c r="BG377" i="1"/>
  <c r="A377" i="1"/>
  <c r="C377" i="1" s="1"/>
  <c r="BG376" i="1"/>
  <c r="A376" i="1"/>
  <c r="C376" i="1" s="1"/>
  <c r="BG375" i="1"/>
  <c r="A375" i="1"/>
  <c r="C375" i="1" s="1"/>
  <c r="BG374" i="1"/>
  <c r="C374" i="1"/>
  <c r="A374" i="1"/>
  <c r="BG373" i="1"/>
  <c r="C373" i="1"/>
  <c r="A373" i="1"/>
  <c r="BG372" i="1"/>
  <c r="A372" i="1"/>
  <c r="C372" i="1" s="1"/>
  <c r="BG371" i="1"/>
  <c r="C371" i="1"/>
  <c r="A371" i="1"/>
  <c r="BG370" i="1"/>
  <c r="A370" i="1"/>
  <c r="C370" i="1" s="1"/>
  <c r="BG369" i="1"/>
  <c r="C369" i="1"/>
  <c r="A369" i="1"/>
  <c r="BG368" i="1"/>
  <c r="A368" i="1"/>
  <c r="C368" i="1" s="1"/>
  <c r="EK367" i="1"/>
  <c r="EJ367" i="1"/>
  <c r="EI367" i="1"/>
  <c r="EH367" i="1"/>
  <c r="EG367" i="1"/>
  <c r="EF367" i="1"/>
  <c r="EE367" i="1"/>
  <c r="ED367" i="1"/>
  <c r="EC367" i="1"/>
  <c r="EB367" i="1"/>
  <c r="EA367" i="1"/>
  <c r="DZ367" i="1"/>
  <c r="DY367" i="1"/>
  <c r="DX367" i="1"/>
  <c r="DW367" i="1"/>
  <c r="DV367" i="1"/>
  <c r="DU367" i="1"/>
  <c r="DT367" i="1"/>
  <c r="DS367" i="1"/>
  <c r="DR367" i="1"/>
  <c r="DQ367" i="1"/>
  <c r="DP367" i="1"/>
  <c r="DO367" i="1"/>
  <c r="DN367" i="1"/>
  <c r="DM367" i="1"/>
  <c r="DL367" i="1"/>
  <c r="DK367" i="1"/>
  <c r="DJ367" i="1"/>
  <c r="DI367" i="1"/>
  <c r="DH367" i="1"/>
  <c r="DG367" i="1"/>
  <c r="DF367" i="1"/>
  <c r="DE367" i="1"/>
  <c r="DD367" i="1"/>
  <c r="DC367" i="1"/>
  <c r="DB367" i="1"/>
  <c r="DA367" i="1"/>
  <c r="CZ367" i="1"/>
  <c r="CY367" i="1"/>
  <c r="CX367" i="1"/>
  <c r="CW367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BO367" i="1"/>
  <c r="BN367" i="1"/>
  <c r="BM367" i="1"/>
  <c r="BG367" i="1" s="1"/>
  <c r="BL367" i="1"/>
  <c r="BK367" i="1"/>
  <c r="BJ367" i="1"/>
  <c r="BI367" i="1"/>
  <c r="BH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A367" i="1"/>
  <c r="C367" i="1" s="1"/>
  <c r="BG366" i="1"/>
  <c r="C366" i="1"/>
  <c r="A366" i="1"/>
  <c r="BG365" i="1"/>
  <c r="A365" i="1"/>
  <c r="C365" i="1" s="1"/>
  <c r="BG364" i="1"/>
  <c r="A364" i="1"/>
  <c r="C364" i="1" s="1"/>
  <c r="BG363" i="1"/>
  <c r="A363" i="1"/>
  <c r="C363" i="1" s="1"/>
  <c r="BG362" i="1"/>
  <c r="A362" i="1"/>
  <c r="C362" i="1" s="1"/>
  <c r="BG361" i="1"/>
  <c r="C361" i="1"/>
  <c r="A361" i="1"/>
  <c r="BG360" i="1"/>
  <c r="C360" i="1"/>
  <c r="A360" i="1"/>
  <c r="BG359" i="1"/>
  <c r="A359" i="1"/>
  <c r="C359" i="1" s="1"/>
  <c r="BG358" i="1"/>
  <c r="C358" i="1"/>
  <c r="A358" i="1"/>
  <c r="BG357" i="1"/>
  <c r="A357" i="1"/>
  <c r="C357" i="1" s="1"/>
  <c r="BG356" i="1"/>
  <c r="C356" i="1"/>
  <c r="A356" i="1"/>
  <c r="BG355" i="1"/>
  <c r="A355" i="1"/>
  <c r="C355" i="1" s="1"/>
  <c r="BG354" i="1"/>
  <c r="A354" i="1"/>
  <c r="C354" i="1" s="1"/>
  <c r="BG353" i="1"/>
  <c r="C353" i="1"/>
  <c r="A353" i="1"/>
  <c r="BG352" i="1"/>
  <c r="C352" i="1"/>
  <c r="A352" i="1"/>
  <c r="A351" i="1"/>
  <c r="BG350" i="1"/>
  <c r="A350" i="1"/>
  <c r="C350" i="1" s="1"/>
  <c r="BG349" i="1"/>
  <c r="A349" i="1"/>
  <c r="C349" i="1" s="1"/>
  <c r="BG348" i="1"/>
  <c r="A348" i="1"/>
  <c r="C348" i="1" s="1"/>
  <c r="BG347" i="1"/>
  <c r="C347" i="1"/>
  <c r="A347" i="1"/>
  <c r="A346" i="1"/>
  <c r="BG345" i="1"/>
  <c r="A345" i="1"/>
  <c r="C345" i="1" s="1"/>
  <c r="BG344" i="1"/>
  <c r="C344" i="1"/>
  <c r="A344" i="1"/>
  <c r="BG343" i="1"/>
  <c r="A343" i="1"/>
  <c r="C343" i="1" s="1"/>
  <c r="BG342" i="1"/>
  <c r="A342" i="1"/>
  <c r="C342" i="1" s="1"/>
  <c r="BG341" i="1"/>
  <c r="C341" i="1"/>
  <c r="A341" i="1"/>
  <c r="BG340" i="1"/>
  <c r="C340" i="1"/>
  <c r="A340" i="1"/>
  <c r="BG339" i="1"/>
  <c r="A339" i="1"/>
  <c r="C339" i="1" s="1"/>
  <c r="BG338" i="1"/>
  <c r="C338" i="1"/>
  <c r="A338" i="1"/>
  <c r="BG337" i="1"/>
  <c r="A337" i="1"/>
  <c r="C337" i="1" s="1"/>
  <c r="BG336" i="1"/>
  <c r="A336" i="1"/>
  <c r="C336" i="1" s="1"/>
  <c r="BG335" i="1"/>
  <c r="A335" i="1"/>
  <c r="C335" i="1" s="1"/>
  <c r="BG334" i="1"/>
  <c r="A334" i="1"/>
  <c r="C334" i="1" s="1"/>
  <c r="BG333" i="1"/>
  <c r="C333" i="1"/>
  <c r="A333" i="1"/>
  <c r="EK332" i="1"/>
  <c r="EJ332" i="1"/>
  <c r="EI332" i="1"/>
  <c r="EH332" i="1"/>
  <c r="EG332" i="1"/>
  <c r="EF332" i="1"/>
  <c r="EE332" i="1"/>
  <c r="ED332" i="1"/>
  <c r="EC332" i="1"/>
  <c r="EB332" i="1"/>
  <c r="EA332" i="1"/>
  <c r="DZ332" i="1"/>
  <c r="DY332" i="1"/>
  <c r="DX332" i="1"/>
  <c r="DW332" i="1"/>
  <c r="DV332" i="1"/>
  <c r="DU332" i="1"/>
  <c r="DT332" i="1"/>
  <c r="DS332" i="1"/>
  <c r="DR332" i="1"/>
  <c r="DQ332" i="1"/>
  <c r="DP332" i="1"/>
  <c r="DO332" i="1"/>
  <c r="DN332" i="1"/>
  <c r="DM332" i="1"/>
  <c r="DL332" i="1"/>
  <c r="DK332" i="1"/>
  <c r="DJ332" i="1"/>
  <c r="DI332" i="1"/>
  <c r="DH332" i="1"/>
  <c r="DG332" i="1"/>
  <c r="DF332" i="1"/>
  <c r="DE332" i="1"/>
  <c r="DD332" i="1"/>
  <c r="DC332" i="1"/>
  <c r="DB332" i="1"/>
  <c r="DA332" i="1"/>
  <c r="CZ332" i="1"/>
  <c r="CY332" i="1"/>
  <c r="CX332" i="1"/>
  <c r="CW332" i="1"/>
  <c r="CV332" i="1"/>
  <c r="CU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A332" i="1"/>
  <c r="C332" i="1" s="1"/>
  <c r="BG331" i="1"/>
  <c r="C331" i="1"/>
  <c r="A331" i="1"/>
  <c r="BG330" i="1"/>
  <c r="A330" i="1"/>
  <c r="C330" i="1" s="1"/>
  <c r="BG329" i="1"/>
  <c r="A329" i="1"/>
  <c r="C329" i="1" s="1"/>
  <c r="BG328" i="1"/>
  <c r="C328" i="1"/>
  <c r="A328" i="1"/>
  <c r="BG327" i="1"/>
  <c r="C327" i="1"/>
  <c r="A327" i="1"/>
  <c r="BG326" i="1"/>
  <c r="A326" i="1"/>
  <c r="C326" i="1" s="1"/>
  <c r="BG325" i="1"/>
  <c r="C325" i="1"/>
  <c r="A325" i="1"/>
  <c r="BG324" i="1"/>
  <c r="A324" i="1"/>
  <c r="C324" i="1" s="1"/>
  <c r="BG323" i="1"/>
  <c r="A323" i="1"/>
  <c r="C323" i="1" s="1"/>
  <c r="BG322" i="1"/>
  <c r="A322" i="1"/>
  <c r="C322" i="1" s="1"/>
  <c r="A321" i="1"/>
  <c r="BG320" i="1"/>
  <c r="A320" i="1"/>
  <c r="C320" i="1" s="1"/>
  <c r="BG319" i="1"/>
  <c r="C319" i="1"/>
  <c r="A319" i="1"/>
  <c r="BG318" i="1"/>
  <c r="A318" i="1"/>
  <c r="C318" i="1" s="1"/>
  <c r="BG317" i="1"/>
  <c r="A317" i="1"/>
  <c r="C317" i="1" s="1"/>
  <c r="BG316" i="1"/>
  <c r="A316" i="1"/>
  <c r="C316" i="1" s="1"/>
  <c r="EK315" i="1"/>
  <c r="EJ315" i="1"/>
  <c r="EI315" i="1"/>
  <c r="EH315" i="1"/>
  <c r="EG315" i="1"/>
  <c r="EF315" i="1"/>
  <c r="EE315" i="1"/>
  <c r="ED315" i="1"/>
  <c r="EC315" i="1"/>
  <c r="EB315" i="1"/>
  <c r="EA315" i="1"/>
  <c r="DZ315" i="1"/>
  <c r="DY315" i="1"/>
  <c r="DX315" i="1"/>
  <c r="DW315" i="1"/>
  <c r="DV315" i="1"/>
  <c r="DU315" i="1"/>
  <c r="DT315" i="1"/>
  <c r="DS315" i="1"/>
  <c r="DR315" i="1"/>
  <c r="DQ315" i="1"/>
  <c r="DP315" i="1"/>
  <c r="DO315" i="1"/>
  <c r="DN315" i="1"/>
  <c r="DM315" i="1"/>
  <c r="DL315" i="1"/>
  <c r="DK315" i="1"/>
  <c r="DJ315" i="1"/>
  <c r="DI315" i="1"/>
  <c r="DH315" i="1"/>
  <c r="DG315" i="1"/>
  <c r="DF315" i="1"/>
  <c r="DE315" i="1"/>
  <c r="DD315" i="1"/>
  <c r="DC315" i="1"/>
  <c r="DB315" i="1"/>
  <c r="DA315" i="1"/>
  <c r="CZ315" i="1"/>
  <c r="CY315" i="1"/>
  <c r="CX315" i="1"/>
  <c r="CW315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A315" i="1"/>
  <c r="C315" i="1" s="1"/>
  <c r="BG314" i="1"/>
  <c r="C314" i="1"/>
  <c r="A314" i="1"/>
  <c r="BG313" i="1"/>
  <c r="A313" i="1"/>
  <c r="C313" i="1" s="1"/>
  <c r="BG312" i="1"/>
  <c r="C312" i="1"/>
  <c r="A312" i="1"/>
  <c r="BG311" i="1"/>
  <c r="A311" i="1"/>
  <c r="C311" i="1" s="1"/>
  <c r="BG310" i="1"/>
  <c r="A310" i="1"/>
  <c r="C310" i="1" s="1"/>
  <c r="A309" i="1"/>
  <c r="C309" i="1" s="1"/>
  <c r="C308" i="1"/>
  <c r="A308" i="1"/>
  <c r="BG307" i="1"/>
  <c r="A307" i="1"/>
  <c r="C307" i="1" s="1"/>
  <c r="BG306" i="1"/>
  <c r="A306" i="1"/>
  <c r="C306" i="1" s="1"/>
  <c r="BG305" i="1"/>
  <c r="A305" i="1"/>
  <c r="C305" i="1" s="1"/>
  <c r="BG304" i="1"/>
  <c r="A304" i="1"/>
  <c r="C304" i="1" s="1"/>
  <c r="BG303" i="1"/>
  <c r="C303" i="1"/>
  <c r="A303" i="1"/>
  <c r="BG302" i="1"/>
  <c r="C302" i="1"/>
  <c r="A302" i="1"/>
  <c r="BG301" i="1"/>
  <c r="A301" i="1"/>
  <c r="C301" i="1" s="1"/>
  <c r="BG300" i="1"/>
  <c r="C300" i="1"/>
  <c r="A300" i="1"/>
  <c r="BG299" i="1"/>
  <c r="A299" i="1"/>
  <c r="C299" i="1" s="1"/>
  <c r="BG298" i="1"/>
  <c r="C298" i="1"/>
  <c r="A298" i="1"/>
  <c r="BG297" i="1"/>
  <c r="A297" i="1"/>
  <c r="C297" i="1" s="1"/>
  <c r="BG296" i="1"/>
  <c r="A296" i="1"/>
  <c r="C296" i="1" s="1"/>
  <c r="BG295" i="1"/>
  <c r="C295" i="1"/>
  <c r="A295" i="1"/>
  <c r="BG294" i="1"/>
  <c r="C294" i="1"/>
  <c r="A294" i="1"/>
  <c r="BG293" i="1"/>
  <c r="A293" i="1"/>
  <c r="C293" i="1" s="1"/>
  <c r="BG292" i="1"/>
  <c r="C292" i="1"/>
  <c r="A292" i="1"/>
  <c r="BG291" i="1"/>
  <c r="A291" i="1"/>
  <c r="C291" i="1" s="1"/>
  <c r="BG290" i="1"/>
  <c r="A290" i="1"/>
  <c r="C290" i="1" s="1"/>
  <c r="BG289" i="1"/>
  <c r="A289" i="1"/>
  <c r="C289" i="1" s="1"/>
  <c r="BG288" i="1"/>
  <c r="A288" i="1"/>
  <c r="C288" i="1" s="1"/>
  <c r="BG287" i="1"/>
  <c r="C287" i="1"/>
  <c r="A287" i="1"/>
  <c r="BG286" i="1"/>
  <c r="C286" i="1"/>
  <c r="A286" i="1"/>
  <c r="BG285" i="1"/>
  <c r="A285" i="1"/>
  <c r="C285" i="1" s="1"/>
  <c r="BG284" i="1"/>
  <c r="C284" i="1"/>
  <c r="A284" i="1"/>
  <c r="EK283" i="1"/>
  <c r="EJ283" i="1"/>
  <c r="EI283" i="1"/>
  <c r="EH283" i="1"/>
  <c r="EG283" i="1"/>
  <c r="EF283" i="1"/>
  <c r="EE283" i="1"/>
  <c r="ED283" i="1"/>
  <c r="EC283" i="1"/>
  <c r="EB283" i="1"/>
  <c r="EA283" i="1"/>
  <c r="DZ283" i="1"/>
  <c r="DY283" i="1"/>
  <c r="DX283" i="1"/>
  <c r="DW283" i="1"/>
  <c r="DV283" i="1"/>
  <c r="DU283" i="1"/>
  <c r="DT283" i="1"/>
  <c r="DS283" i="1"/>
  <c r="DR283" i="1"/>
  <c r="DQ283" i="1"/>
  <c r="DP283" i="1"/>
  <c r="DO283" i="1"/>
  <c r="DN283" i="1"/>
  <c r="DM283" i="1"/>
  <c r="DL283" i="1"/>
  <c r="DK283" i="1"/>
  <c r="DJ283" i="1"/>
  <c r="DI283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G283" i="1" s="1"/>
  <c r="BK283" i="1"/>
  <c r="BJ283" i="1"/>
  <c r="BI283" i="1"/>
  <c r="BH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A283" i="1"/>
  <c r="C283" i="1" s="1"/>
  <c r="BG282" i="1"/>
  <c r="C282" i="1"/>
  <c r="A282" i="1"/>
  <c r="BG281" i="1"/>
  <c r="C281" i="1"/>
  <c r="A281" i="1"/>
  <c r="BG280" i="1"/>
  <c r="A280" i="1"/>
  <c r="C280" i="1" s="1"/>
  <c r="BG279" i="1"/>
  <c r="C279" i="1"/>
  <c r="A279" i="1"/>
  <c r="BG278" i="1"/>
  <c r="A278" i="1"/>
  <c r="C278" i="1" s="1"/>
  <c r="BG277" i="1"/>
  <c r="A277" i="1"/>
  <c r="C277" i="1" s="1"/>
  <c r="BG276" i="1"/>
  <c r="A276" i="1"/>
  <c r="C276" i="1" s="1"/>
  <c r="BG275" i="1"/>
  <c r="A275" i="1"/>
  <c r="C275" i="1" s="1"/>
  <c r="BG274" i="1"/>
  <c r="C274" i="1"/>
  <c r="A274" i="1"/>
  <c r="BG273" i="1"/>
  <c r="C273" i="1"/>
  <c r="A273" i="1"/>
  <c r="BG272" i="1"/>
  <c r="A272" i="1"/>
  <c r="C272" i="1" s="1"/>
  <c r="BG271" i="1"/>
  <c r="C271" i="1"/>
  <c r="A271" i="1"/>
  <c r="BG270" i="1"/>
  <c r="A270" i="1"/>
  <c r="C270" i="1" s="1"/>
  <c r="BG269" i="1"/>
  <c r="A269" i="1"/>
  <c r="C269" i="1" s="1"/>
  <c r="BG268" i="1"/>
  <c r="A268" i="1"/>
  <c r="C268" i="1" s="1"/>
  <c r="BG267" i="1"/>
  <c r="A267" i="1"/>
  <c r="C267" i="1" s="1"/>
  <c r="BG266" i="1"/>
  <c r="C266" i="1"/>
  <c r="A266" i="1"/>
  <c r="BG265" i="1"/>
  <c r="C265" i="1"/>
  <c r="A265" i="1"/>
  <c r="BG264" i="1"/>
  <c r="A264" i="1"/>
  <c r="C264" i="1" s="1"/>
  <c r="BG263" i="1"/>
  <c r="C263" i="1"/>
  <c r="A263" i="1"/>
  <c r="BG262" i="1"/>
  <c r="A262" i="1"/>
  <c r="C262" i="1" s="1"/>
  <c r="BG261" i="1"/>
  <c r="A261" i="1"/>
  <c r="C261" i="1" s="1"/>
  <c r="BG260" i="1"/>
  <c r="A260" i="1"/>
  <c r="C260" i="1" s="1"/>
  <c r="BG259" i="1"/>
  <c r="A259" i="1"/>
  <c r="C259" i="1" s="1"/>
  <c r="BG258" i="1"/>
  <c r="C258" i="1"/>
  <c r="A258" i="1"/>
  <c r="BG257" i="1"/>
  <c r="C257" i="1"/>
  <c r="A257" i="1"/>
  <c r="BG256" i="1"/>
  <c r="C256" i="1"/>
  <c r="A256" i="1"/>
  <c r="BG255" i="1"/>
  <c r="C255" i="1"/>
  <c r="A255" i="1"/>
  <c r="BG254" i="1"/>
  <c r="A254" i="1"/>
  <c r="C254" i="1" s="1"/>
  <c r="BG253" i="1"/>
  <c r="C253" i="1"/>
  <c r="A253" i="1"/>
  <c r="BG252" i="1"/>
  <c r="A252" i="1"/>
  <c r="C252" i="1" s="1"/>
  <c r="BG251" i="1"/>
  <c r="A251" i="1"/>
  <c r="C251" i="1" s="1"/>
  <c r="BG250" i="1"/>
  <c r="C250" i="1"/>
  <c r="A250" i="1"/>
  <c r="BG249" i="1"/>
  <c r="C249" i="1"/>
  <c r="A249" i="1"/>
  <c r="BG248" i="1"/>
  <c r="C248" i="1"/>
  <c r="A248" i="1"/>
  <c r="BG247" i="1"/>
  <c r="C247" i="1"/>
  <c r="A247" i="1"/>
  <c r="BG246" i="1"/>
  <c r="A246" i="1"/>
  <c r="C246" i="1" s="1"/>
  <c r="BG245" i="1"/>
  <c r="C245" i="1"/>
  <c r="A245" i="1"/>
  <c r="EK244" i="1"/>
  <c r="EJ244" i="1"/>
  <c r="EI244" i="1"/>
  <c r="EH244" i="1"/>
  <c r="EG244" i="1"/>
  <c r="EF244" i="1"/>
  <c r="EE244" i="1"/>
  <c r="ED244" i="1"/>
  <c r="EC244" i="1"/>
  <c r="EB244" i="1"/>
  <c r="EA244" i="1"/>
  <c r="DZ244" i="1"/>
  <c r="DY244" i="1"/>
  <c r="DX244" i="1"/>
  <c r="DW244" i="1"/>
  <c r="DV244" i="1"/>
  <c r="DU244" i="1"/>
  <c r="DT244" i="1"/>
  <c r="DS244" i="1"/>
  <c r="DR244" i="1"/>
  <c r="DQ244" i="1"/>
  <c r="DP244" i="1"/>
  <c r="DO244" i="1"/>
  <c r="DN244" i="1"/>
  <c r="DM244" i="1"/>
  <c r="DL244" i="1"/>
  <c r="DK244" i="1"/>
  <c r="DJ244" i="1"/>
  <c r="DI244" i="1"/>
  <c r="DH244" i="1"/>
  <c r="DG244" i="1"/>
  <c r="DF244" i="1"/>
  <c r="DE244" i="1"/>
  <c r="DD244" i="1"/>
  <c r="DC244" i="1"/>
  <c r="DB244" i="1"/>
  <c r="DA244" i="1"/>
  <c r="CZ244" i="1"/>
  <c r="CY244" i="1"/>
  <c r="CX244" i="1"/>
  <c r="CW244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BG244" i="1" s="1"/>
  <c r="E244" i="1"/>
  <c r="D244" i="1"/>
  <c r="C244" i="1"/>
  <c r="A244" i="1"/>
  <c r="EK243" i="1"/>
  <c r="EJ243" i="1"/>
  <c r="EI243" i="1"/>
  <c r="EH243" i="1"/>
  <c r="EG243" i="1"/>
  <c r="EF243" i="1"/>
  <c r="EE243" i="1"/>
  <c r="ED243" i="1"/>
  <c r="EC243" i="1"/>
  <c r="EB243" i="1"/>
  <c r="EA243" i="1"/>
  <c r="DZ243" i="1"/>
  <c r="DY243" i="1"/>
  <c r="DX243" i="1"/>
  <c r="DW243" i="1"/>
  <c r="DV243" i="1"/>
  <c r="DU243" i="1"/>
  <c r="DT243" i="1"/>
  <c r="DS243" i="1"/>
  <c r="DR243" i="1"/>
  <c r="DQ243" i="1"/>
  <c r="DP243" i="1"/>
  <c r="DO243" i="1"/>
  <c r="DN243" i="1"/>
  <c r="DM243" i="1"/>
  <c r="DL243" i="1"/>
  <c r="DK243" i="1"/>
  <c r="DJ243" i="1"/>
  <c r="DI243" i="1"/>
  <c r="DH243" i="1"/>
  <c r="DG243" i="1"/>
  <c r="DF243" i="1"/>
  <c r="DE243" i="1"/>
  <c r="DD243" i="1"/>
  <c r="DC243" i="1"/>
  <c r="DB243" i="1"/>
  <c r="DA243" i="1"/>
  <c r="CZ243" i="1"/>
  <c r="CY243" i="1"/>
  <c r="CX243" i="1"/>
  <c r="CW243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O243" i="1"/>
  <c r="BN243" i="1"/>
  <c r="BG243" i="1" s="1"/>
  <c r="BM243" i="1"/>
  <c r="BL243" i="1"/>
  <c r="BK243" i="1"/>
  <c r="BJ243" i="1"/>
  <c r="BI243" i="1"/>
  <c r="BH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A243" i="1"/>
  <c r="C243" i="1" s="1"/>
  <c r="BG242" i="1"/>
  <c r="A242" i="1"/>
  <c r="C242" i="1" s="1"/>
  <c r="BG241" i="1"/>
  <c r="A241" i="1"/>
  <c r="C241" i="1" s="1"/>
  <c r="BG240" i="1"/>
  <c r="C240" i="1"/>
  <c r="A240" i="1"/>
  <c r="BG239" i="1"/>
  <c r="C239" i="1"/>
  <c r="A239" i="1"/>
  <c r="BG238" i="1"/>
  <c r="A238" i="1"/>
  <c r="C238" i="1" s="1"/>
  <c r="BG237" i="1"/>
  <c r="C237" i="1"/>
  <c r="A237" i="1"/>
  <c r="BG236" i="1"/>
  <c r="A236" i="1"/>
  <c r="C236" i="1" s="1"/>
  <c r="BG235" i="1"/>
  <c r="A235" i="1"/>
  <c r="C235" i="1" s="1"/>
  <c r="BG234" i="1"/>
  <c r="A234" i="1"/>
  <c r="C234" i="1" s="1"/>
  <c r="BG233" i="1"/>
  <c r="A233" i="1"/>
  <c r="C233" i="1" s="1"/>
  <c r="BG232" i="1"/>
  <c r="C232" i="1"/>
  <c r="A232" i="1"/>
  <c r="BG231" i="1"/>
  <c r="C231" i="1"/>
  <c r="A231" i="1"/>
  <c r="BG230" i="1"/>
  <c r="C230" i="1"/>
  <c r="A230" i="1"/>
  <c r="BG229" i="1"/>
  <c r="C229" i="1"/>
  <c r="A229" i="1"/>
  <c r="BG228" i="1"/>
  <c r="A228" i="1"/>
  <c r="C228" i="1" s="1"/>
  <c r="BG227" i="1"/>
  <c r="C227" i="1"/>
  <c r="A227" i="1"/>
  <c r="EK226" i="1"/>
  <c r="EJ226" i="1"/>
  <c r="EI226" i="1"/>
  <c r="EH226" i="1"/>
  <c r="EG226" i="1"/>
  <c r="EF226" i="1"/>
  <c r="EE226" i="1"/>
  <c r="ED226" i="1"/>
  <c r="EC226" i="1"/>
  <c r="EB226" i="1"/>
  <c r="EA226" i="1"/>
  <c r="DZ226" i="1"/>
  <c r="DY226" i="1"/>
  <c r="DX226" i="1"/>
  <c r="DW226" i="1"/>
  <c r="DV226" i="1"/>
  <c r="DU226" i="1"/>
  <c r="DT226" i="1"/>
  <c r="DS226" i="1"/>
  <c r="DR226" i="1"/>
  <c r="DQ226" i="1"/>
  <c r="DP226" i="1"/>
  <c r="DO226" i="1"/>
  <c r="DN226" i="1"/>
  <c r="DM226" i="1"/>
  <c r="DL226" i="1"/>
  <c r="DK226" i="1"/>
  <c r="DJ226" i="1"/>
  <c r="DI226" i="1"/>
  <c r="DH226" i="1"/>
  <c r="DG226" i="1"/>
  <c r="DF226" i="1"/>
  <c r="DE226" i="1"/>
  <c r="DD226" i="1"/>
  <c r="DC226" i="1"/>
  <c r="DB226" i="1"/>
  <c r="DA226" i="1"/>
  <c r="CZ226" i="1"/>
  <c r="CY226" i="1"/>
  <c r="CX226" i="1"/>
  <c r="CW226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J226" i="1"/>
  <c r="I226" i="1"/>
  <c r="H226" i="1"/>
  <c r="A226" i="1"/>
  <c r="C226" i="1" s="1"/>
  <c r="BG225" i="1"/>
  <c r="C225" i="1"/>
  <c r="A225" i="1"/>
  <c r="BG224" i="1"/>
  <c r="A224" i="1"/>
  <c r="C224" i="1" s="1"/>
  <c r="EK223" i="1"/>
  <c r="EJ223" i="1"/>
  <c r="EI223" i="1"/>
  <c r="EH223" i="1"/>
  <c r="EG223" i="1"/>
  <c r="EF223" i="1"/>
  <c r="EE223" i="1"/>
  <c r="ED223" i="1"/>
  <c r="EC223" i="1"/>
  <c r="EB223" i="1"/>
  <c r="EA223" i="1"/>
  <c r="DZ223" i="1"/>
  <c r="DY223" i="1"/>
  <c r="DX223" i="1"/>
  <c r="DW223" i="1"/>
  <c r="DV223" i="1"/>
  <c r="DU223" i="1"/>
  <c r="DT223" i="1"/>
  <c r="DS223" i="1"/>
  <c r="DR223" i="1"/>
  <c r="DQ223" i="1"/>
  <c r="DP223" i="1"/>
  <c r="DO223" i="1"/>
  <c r="DN223" i="1"/>
  <c r="DM223" i="1"/>
  <c r="DL223" i="1"/>
  <c r="DK223" i="1"/>
  <c r="DJ223" i="1"/>
  <c r="DI223" i="1"/>
  <c r="DH223" i="1"/>
  <c r="DG223" i="1"/>
  <c r="DF223" i="1"/>
  <c r="DE223" i="1"/>
  <c r="DD223" i="1"/>
  <c r="DC223" i="1"/>
  <c r="DB223" i="1"/>
  <c r="DA223" i="1"/>
  <c r="CZ223" i="1"/>
  <c r="CY223" i="1"/>
  <c r="CX223" i="1"/>
  <c r="CW223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A223" i="1"/>
  <c r="BG222" i="1"/>
  <c r="C222" i="1"/>
  <c r="A222" i="1"/>
  <c r="BG221" i="1"/>
  <c r="A221" i="1"/>
  <c r="C221" i="1" s="1"/>
  <c r="BG220" i="1"/>
  <c r="C220" i="1"/>
  <c r="A220" i="1"/>
  <c r="BG219" i="1"/>
  <c r="A219" i="1"/>
  <c r="C219" i="1" s="1"/>
  <c r="BG218" i="1"/>
  <c r="A218" i="1"/>
  <c r="C218" i="1" s="1"/>
  <c r="BG217" i="1"/>
  <c r="A217" i="1"/>
  <c r="C217" i="1" s="1"/>
  <c r="BG216" i="1"/>
  <c r="A216" i="1"/>
  <c r="C216" i="1" s="1"/>
  <c r="BG215" i="1"/>
  <c r="C215" i="1"/>
  <c r="A215" i="1"/>
  <c r="BG214" i="1"/>
  <c r="C214" i="1"/>
  <c r="A214" i="1"/>
  <c r="BG213" i="1"/>
  <c r="C213" i="1"/>
  <c r="A213" i="1"/>
  <c r="BG212" i="1"/>
  <c r="C212" i="1"/>
  <c r="A212" i="1"/>
  <c r="BG211" i="1"/>
  <c r="A211" i="1"/>
  <c r="C211" i="1" s="1"/>
  <c r="BG210" i="1"/>
  <c r="C210" i="1"/>
  <c r="A210" i="1"/>
  <c r="BG209" i="1"/>
  <c r="A209" i="1"/>
  <c r="C209" i="1" s="1"/>
  <c r="BG208" i="1"/>
  <c r="A208" i="1"/>
  <c r="C208" i="1" s="1"/>
  <c r="BG207" i="1"/>
  <c r="C207" i="1"/>
  <c r="A207" i="1"/>
  <c r="BG206" i="1"/>
  <c r="C206" i="1"/>
  <c r="A206" i="1"/>
  <c r="BG205" i="1"/>
  <c r="C205" i="1"/>
  <c r="A205" i="1"/>
  <c r="BG204" i="1"/>
  <c r="C204" i="1"/>
  <c r="A204" i="1"/>
  <c r="BG203" i="1"/>
  <c r="A203" i="1"/>
  <c r="C203" i="1" s="1"/>
  <c r="BG202" i="1"/>
  <c r="C202" i="1"/>
  <c r="A202" i="1"/>
  <c r="BG201" i="1"/>
  <c r="A201" i="1"/>
  <c r="C201" i="1" s="1"/>
  <c r="BG200" i="1"/>
  <c r="A200" i="1"/>
  <c r="C200" i="1" s="1"/>
  <c r="BG199" i="1"/>
  <c r="C199" i="1"/>
  <c r="A199" i="1"/>
  <c r="BG198" i="1"/>
  <c r="C198" i="1"/>
  <c r="A198" i="1"/>
  <c r="BG197" i="1"/>
  <c r="A197" i="1"/>
  <c r="C197" i="1" s="1"/>
  <c r="BG196" i="1"/>
  <c r="C196" i="1"/>
  <c r="A196" i="1"/>
  <c r="BG195" i="1"/>
  <c r="A195" i="1"/>
  <c r="C195" i="1" s="1"/>
  <c r="BG194" i="1"/>
  <c r="A194" i="1"/>
  <c r="C194" i="1" s="1"/>
  <c r="BG193" i="1"/>
  <c r="A193" i="1"/>
  <c r="C193" i="1" s="1"/>
  <c r="BG192" i="1"/>
  <c r="A192" i="1"/>
  <c r="C192" i="1" s="1"/>
  <c r="BG191" i="1"/>
  <c r="C191" i="1"/>
  <c r="A191" i="1"/>
  <c r="BG190" i="1"/>
  <c r="C190" i="1"/>
  <c r="A190" i="1"/>
  <c r="BG189" i="1"/>
  <c r="A189" i="1"/>
  <c r="C189" i="1" s="1"/>
  <c r="BG188" i="1"/>
  <c r="C188" i="1"/>
  <c r="A188" i="1"/>
  <c r="BG187" i="1"/>
  <c r="A187" i="1"/>
  <c r="C187" i="1" s="1"/>
  <c r="BG186" i="1"/>
  <c r="A186" i="1"/>
  <c r="C186" i="1" s="1"/>
  <c r="BG185" i="1"/>
  <c r="A185" i="1"/>
  <c r="C185" i="1" s="1"/>
  <c r="BG184" i="1"/>
  <c r="A184" i="1"/>
  <c r="C184" i="1" s="1"/>
  <c r="BG183" i="1"/>
  <c r="C183" i="1"/>
  <c r="A183" i="1"/>
  <c r="BG182" i="1"/>
  <c r="C182" i="1"/>
  <c r="A182" i="1"/>
  <c r="BG181" i="1"/>
  <c r="A181" i="1"/>
  <c r="C181" i="1" s="1"/>
  <c r="BG180" i="1"/>
  <c r="C180" i="1"/>
  <c r="A180" i="1"/>
  <c r="BG179" i="1"/>
  <c r="A179" i="1"/>
  <c r="C179" i="1" s="1"/>
  <c r="BG178" i="1"/>
  <c r="A178" i="1"/>
  <c r="C178" i="1" s="1"/>
  <c r="BG177" i="1"/>
  <c r="A177" i="1"/>
  <c r="C177" i="1" s="1"/>
  <c r="BG176" i="1"/>
  <c r="A176" i="1"/>
  <c r="C176" i="1" s="1"/>
  <c r="BG175" i="1"/>
  <c r="C175" i="1"/>
  <c r="A175" i="1"/>
  <c r="BG174" i="1"/>
  <c r="C174" i="1"/>
  <c r="A174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G173" i="1" s="1"/>
  <c r="BM173" i="1"/>
  <c r="BL173" i="1"/>
  <c r="BK173" i="1"/>
  <c r="BJ173" i="1"/>
  <c r="BI173" i="1"/>
  <c r="BH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A173" i="1"/>
  <c r="C173" i="1" s="1"/>
  <c r="BG172" i="1"/>
  <c r="A172" i="1"/>
  <c r="C172" i="1" s="1"/>
  <c r="BG171" i="1"/>
  <c r="A171" i="1"/>
  <c r="C171" i="1" s="1"/>
  <c r="BG170" i="1"/>
  <c r="C170" i="1"/>
  <c r="A170" i="1"/>
  <c r="BG169" i="1"/>
  <c r="C169" i="1"/>
  <c r="A169" i="1"/>
  <c r="BG168" i="1"/>
  <c r="A168" i="1"/>
  <c r="C168" i="1" s="1"/>
  <c r="BG167" i="1"/>
  <c r="C167" i="1"/>
  <c r="A167" i="1"/>
  <c r="BG166" i="1"/>
  <c r="A166" i="1"/>
  <c r="C166" i="1" s="1"/>
  <c r="BG165" i="1"/>
  <c r="A165" i="1"/>
  <c r="C165" i="1" s="1"/>
  <c r="BG164" i="1"/>
  <c r="A164" i="1"/>
  <c r="C164" i="1" s="1"/>
  <c r="BG163" i="1"/>
  <c r="A163" i="1"/>
  <c r="C163" i="1" s="1"/>
  <c r="BG162" i="1"/>
  <c r="C162" i="1"/>
  <c r="A162" i="1"/>
  <c r="BG161" i="1"/>
  <c r="C161" i="1"/>
  <c r="A161" i="1"/>
  <c r="BG160" i="1"/>
  <c r="A160" i="1"/>
  <c r="C160" i="1" s="1"/>
  <c r="BG159" i="1"/>
  <c r="C159" i="1"/>
  <c r="A159" i="1"/>
  <c r="BG158" i="1"/>
  <c r="A158" i="1"/>
  <c r="C158" i="1" s="1"/>
  <c r="BG157" i="1"/>
  <c r="A157" i="1"/>
  <c r="C157" i="1" s="1"/>
  <c r="BG156" i="1"/>
  <c r="A156" i="1"/>
  <c r="C156" i="1" s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G155" i="1" s="1"/>
  <c r="BL155" i="1"/>
  <c r="BK155" i="1"/>
  <c r="BJ155" i="1"/>
  <c r="BI155" i="1"/>
  <c r="BH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A155" i="1"/>
  <c r="C155" i="1" s="1"/>
  <c r="BG154" i="1"/>
  <c r="C154" i="1"/>
  <c r="A154" i="1"/>
  <c r="BG153" i="1"/>
  <c r="A153" i="1"/>
  <c r="C153" i="1" s="1"/>
  <c r="BG152" i="1"/>
  <c r="A152" i="1"/>
  <c r="C152" i="1" s="1"/>
  <c r="BG151" i="1"/>
  <c r="A151" i="1"/>
  <c r="C151" i="1" s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G150" i="1" s="1"/>
  <c r="BL150" i="1"/>
  <c r="BK150" i="1"/>
  <c r="BJ150" i="1"/>
  <c r="BI150" i="1"/>
  <c r="BH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A150" i="1"/>
  <c r="BG149" i="1"/>
  <c r="C149" i="1"/>
  <c r="A149" i="1"/>
  <c r="BG148" i="1"/>
  <c r="A148" i="1"/>
  <c r="C148" i="1" s="1"/>
  <c r="BG147" i="1"/>
  <c r="C147" i="1"/>
  <c r="A147" i="1"/>
  <c r="BG146" i="1"/>
  <c r="A146" i="1"/>
  <c r="C146" i="1" s="1"/>
  <c r="BG145" i="1"/>
  <c r="A145" i="1"/>
  <c r="C145" i="1" s="1"/>
  <c r="BG144" i="1"/>
  <c r="C144" i="1"/>
  <c r="A144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A143" i="1"/>
  <c r="C143" i="1" s="1"/>
  <c r="BG142" i="1"/>
  <c r="A142" i="1"/>
  <c r="C142" i="1" s="1"/>
  <c r="BG141" i="1"/>
  <c r="A141" i="1"/>
  <c r="C141" i="1" s="1"/>
  <c r="BG140" i="1"/>
  <c r="A140" i="1"/>
  <c r="C140" i="1" s="1"/>
  <c r="BG139" i="1"/>
  <c r="C139" i="1"/>
  <c r="A139" i="1"/>
  <c r="BG138" i="1"/>
  <c r="C138" i="1"/>
  <c r="A138" i="1"/>
  <c r="BG137" i="1"/>
  <c r="A137" i="1"/>
  <c r="C137" i="1" s="1"/>
  <c r="BG136" i="1"/>
  <c r="C136" i="1"/>
  <c r="A136" i="1"/>
  <c r="BG135" i="1"/>
  <c r="A135" i="1"/>
  <c r="C135" i="1" s="1"/>
  <c r="BG134" i="1"/>
  <c r="A134" i="1"/>
  <c r="C134" i="1" s="1"/>
  <c r="BG133" i="1"/>
  <c r="A133" i="1"/>
  <c r="C133" i="1" s="1"/>
  <c r="BG132" i="1"/>
  <c r="A132" i="1"/>
  <c r="C132" i="1" s="1"/>
  <c r="BG131" i="1"/>
  <c r="C131" i="1"/>
  <c r="A131" i="1"/>
  <c r="BG130" i="1"/>
  <c r="C130" i="1"/>
  <c r="A130" i="1"/>
  <c r="BG129" i="1"/>
  <c r="C129" i="1"/>
  <c r="A129" i="1"/>
  <c r="BG128" i="1"/>
  <c r="C128" i="1"/>
  <c r="A128" i="1"/>
  <c r="BG127" i="1"/>
  <c r="A127" i="1"/>
  <c r="C127" i="1" s="1"/>
  <c r="BG126" i="1"/>
  <c r="C126" i="1"/>
  <c r="A126" i="1"/>
  <c r="BG125" i="1"/>
  <c r="A125" i="1"/>
  <c r="C125" i="1" s="1"/>
  <c r="BG124" i="1"/>
  <c r="A124" i="1"/>
  <c r="C124" i="1" s="1"/>
  <c r="BG123" i="1"/>
  <c r="C123" i="1"/>
  <c r="A123" i="1"/>
  <c r="BG122" i="1"/>
  <c r="C122" i="1"/>
  <c r="A122" i="1"/>
  <c r="BG121" i="1"/>
  <c r="A121" i="1"/>
  <c r="C121" i="1" s="1"/>
  <c r="BG120" i="1"/>
  <c r="C120" i="1"/>
  <c r="A120" i="1"/>
  <c r="BG119" i="1"/>
  <c r="A119" i="1"/>
  <c r="C119" i="1" s="1"/>
  <c r="BG118" i="1"/>
  <c r="A118" i="1"/>
  <c r="C118" i="1" s="1"/>
  <c r="BG117" i="1"/>
  <c r="A117" i="1"/>
  <c r="C117" i="1" s="1"/>
  <c r="BG116" i="1"/>
  <c r="A116" i="1"/>
  <c r="C116" i="1" s="1"/>
  <c r="BG115" i="1"/>
  <c r="C115" i="1"/>
  <c r="A115" i="1"/>
  <c r="BG114" i="1"/>
  <c r="C114" i="1"/>
  <c r="A114" i="1"/>
  <c r="BG113" i="1"/>
  <c r="C113" i="1"/>
  <c r="A113" i="1"/>
  <c r="BG112" i="1"/>
  <c r="C112" i="1"/>
  <c r="A112" i="1"/>
  <c r="BG111" i="1"/>
  <c r="A111" i="1"/>
  <c r="C111" i="1" s="1"/>
  <c r="BG110" i="1"/>
  <c r="C110" i="1"/>
  <c r="A110" i="1"/>
  <c r="BG109" i="1"/>
  <c r="A109" i="1"/>
  <c r="C109" i="1" s="1"/>
  <c r="BG108" i="1"/>
  <c r="A108" i="1"/>
  <c r="C108" i="1" s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A107" i="1"/>
  <c r="BG106" i="1"/>
  <c r="A106" i="1"/>
  <c r="C106" i="1" s="1"/>
  <c r="BG105" i="1"/>
  <c r="A105" i="1"/>
  <c r="C105" i="1" s="1"/>
  <c r="BG104" i="1"/>
  <c r="A104" i="1"/>
  <c r="C104" i="1" s="1"/>
  <c r="BG103" i="1"/>
  <c r="A103" i="1"/>
  <c r="C103" i="1" s="1"/>
  <c r="BG102" i="1"/>
  <c r="C102" i="1"/>
  <c r="A102" i="1"/>
  <c r="BG101" i="1"/>
  <c r="C101" i="1"/>
  <c r="A101" i="1"/>
  <c r="BG100" i="1"/>
  <c r="A100" i="1"/>
  <c r="C100" i="1" s="1"/>
  <c r="BG99" i="1"/>
  <c r="C99" i="1"/>
  <c r="A99" i="1"/>
  <c r="BG98" i="1"/>
  <c r="A98" i="1"/>
  <c r="C98" i="1" s="1"/>
  <c r="BG97" i="1"/>
  <c r="A97" i="1"/>
  <c r="C97" i="1" s="1"/>
  <c r="BG96" i="1"/>
  <c r="A96" i="1"/>
  <c r="C96" i="1" s="1"/>
  <c r="BG95" i="1"/>
  <c r="A95" i="1"/>
  <c r="C95" i="1" s="1"/>
  <c r="BG94" i="1"/>
  <c r="C94" i="1"/>
  <c r="A94" i="1"/>
  <c r="BG93" i="1"/>
  <c r="C93" i="1"/>
  <c r="A93" i="1"/>
  <c r="BG92" i="1"/>
  <c r="C92" i="1"/>
  <c r="A92" i="1"/>
  <c r="BG91" i="1"/>
  <c r="C91" i="1"/>
  <c r="A91" i="1"/>
  <c r="BG90" i="1"/>
  <c r="A90" i="1"/>
  <c r="C90" i="1" s="1"/>
  <c r="BG89" i="1"/>
  <c r="C89" i="1"/>
  <c r="A89" i="1"/>
  <c r="BG88" i="1"/>
  <c r="A88" i="1"/>
  <c r="C88" i="1" s="1"/>
  <c r="BG87" i="1"/>
  <c r="A87" i="1"/>
  <c r="C87" i="1" s="1"/>
  <c r="BG86" i="1"/>
  <c r="C86" i="1"/>
  <c r="A86" i="1"/>
  <c r="BG85" i="1"/>
  <c r="C85" i="1"/>
  <c r="A85" i="1"/>
  <c r="BG84" i="1"/>
  <c r="A84" i="1"/>
  <c r="C84" i="1" s="1"/>
  <c r="BG83" i="1"/>
  <c r="C83" i="1"/>
  <c r="A83" i="1"/>
  <c r="BG82" i="1"/>
  <c r="A82" i="1"/>
  <c r="C82" i="1" s="1"/>
  <c r="BG81" i="1"/>
  <c r="A81" i="1"/>
  <c r="C81" i="1" s="1"/>
  <c r="BG80" i="1"/>
  <c r="A80" i="1"/>
  <c r="C80" i="1" s="1"/>
  <c r="BG79" i="1"/>
  <c r="A79" i="1"/>
  <c r="C79" i="1" s="1"/>
  <c r="BG78" i="1"/>
  <c r="C78" i="1"/>
  <c r="A78" i="1"/>
  <c r="BG77" i="1"/>
  <c r="C77" i="1"/>
  <c r="A77" i="1"/>
  <c r="BG76" i="1"/>
  <c r="C76" i="1"/>
  <c r="A76" i="1"/>
  <c r="BG75" i="1"/>
  <c r="C75" i="1"/>
  <c r="A75" i="1"/>
  <c r="BG74" i="1"/>
  <c r="A74" i="1"/>
  <c r="C74" i="1" s="1"/>
  <c r="BG73" i="1"/>
  <c r="C73" i="1"/>
  <c r="A73" i="1"/>
  <c r="BG72" i="1"/>
  <c r="A72" i="1"/>
  <c r="C72" i="1" s="1"/>
  <c r="BG71" i="1"/>
  <c r="A71" i="1"/>
  <c r="C71" i="1" s="1"/>
  <c r="BG70" i="1"/>
  <c r="C70" i="1"/>
  <c r="A70" i="1"/>
  <c r="BG69" i="1"/>
  <c r="C69" i="1"/>
  <c r="A69" i="1"/>
  <c r="BG68" i="1"/>
  <c r="C68" i="1"/>
  <c r="A68" i="1"/>
  <c r="BG67" i="1"/>
  <c r="C67" i="1"/>
  <c r="A67" i="1"/>
  <c r="BG66" i="1"/>
  <c r="A66" i="1"/>
  <c r="C66" i="1" s="1"/>
  <c r="BG65" i="1"/>
  <c r="C65" i="1"/>
  <c r="A65" i="1"/>
  <c r="BG64" i="1"/>
  <c r="A64" i="1"/>
  <c r="C64" i="1" s="1"/>
  <c r="BG63" i="1"/>
  <c r="A63" i="1"/>
  <c r="C63" i="1" s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A62" i="1"/>
  <c r="BG61" i="1"/>
  <c r="A61" i="1"/>
  <c r="C61" i="1" s="1"/>
  <c r="BG60" i="1"/>
  <c r="A60" i="1"/>
  <c r="C60" i="1" s="1"/>
  <c r="BG59" i="1"/>
  <c r="A59" i="1"/>
  <c r="C59" i="1" s="1"/>
  <c r="BG58" i="1"/>
  <c r="A58" i="1"/>
  <c r="C58" i="1" s="1"/>
  <c r="BG57" i="1"/>
  <c r="C57" i="1"/>
  <c r="A57" i="1"/>
  <c r="BG56" i="1"/>
  <c r="C56" i="1"/>
  <c r="A56" i="1"/>
  <c r="BG55" i="1"/>
  <c r="C55" i="1"/>
  <c r="A55" i="1"/>
  <c r="BG54" i="1"/>
  <c r="C54" i="1"/>
  <c r="A54" i="1"/>
  <c r="BG53" i="1"/>
  <c r="A53" i="1"/>
  <c r="C53" i="1" s="1"/>
  <c r="BG52" i="1"/>
  <c r="C52" i="1"/>
  <c r="A52" i="1"/>
  <c r="BG51" i="1"/>
  <c r="A51" i="1"/>
  <c r="C51" i="1" s="1"/>
  <c r="BG50" i="1"/>
  <c r="A50" i="1"/>
  <c r="C50" i="1" s="1"/>
  <c r="BG49" i="1"/>
  <c r="C49" i="1"/>
  <c r="A49" i="1"/>
  <c r="BG48" i="1"/>
  <c r="C48" i="1"/>
  <c r="A48" i="1"/>
  <c r="BG47" i="1"/>
  <c r="A47" i="1"/>
  <c r="C47" i="1" s="1"/>
  <c r="BG46" i="1"/>
  <c r="C46" i="1"/>
  <c r="A46" i="1"/>
  <c r="BG45" i="1"/>
  <c r="A45" i="1"/>
  <c r="C45" i="1" s="1"/>
  <c r="BG44" i="1"/>
  <c r="A44" i="1"/>
  <c r="C44" i="1" s="1"/>
  <c r="BG43" i="1"/>
  <c r="C43" i="1"/>
  <c r="BG42" i="1"/>
  <c r="A42" i="1"/>
  <c r="C42" i="1" s="1"/>
  <c r="BG41" i="1"/>
  <c r="A41" i="1"/>
  <c r="C41" i="1" s="1"/>
  <c r="A40" i="1"/>
  <c r="BG39" i="1"/>
  <c r="C39" i="1"/>
  <c r="A39" i="1"/>
  <c r="BG38" i="1"/>
  <c r="A38" i="1"/>
  <c r="C38" i="1" s="1"/>
  <c r="BG37" i="1"/>
  <c r="C37" i="1"/>
  <c r="A37" i="1"/>
  <c r="BG36" i="1"/>
  <c r="A36" i="1"/>
  <c r="C36" i="1" s="1"/>
  <c r="BG35" i="1"/>
  <c r="A35" i="1"/>
  <c r="C35" i="1" s="1"/>
  <c r="BG34" i="1"/>
  <c r="A34" i="1"/>
  <c r="C34" i="1" s="1"/>
  <c r="BG33" i="1"/>
  <c r="A33" i="1"/>
  <c r="C33" i="1" s="1"/>
  <c r="BG32" i="1"/>
  <c r="C32" i="1"/>
  <c r="A32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BG31" i="1" s="1"/>
  <c r="E31" i="1"/>
  <c r="D31" i="1"/>
  <c r="A31" i="1"/>
  <c r="C31" i="1" s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 s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30" i="1"/>
  <c r="BG29" i="1"/>
  <c r="C29" i="1"/>
  <c r="A29" i="1"/>
  <c r="BG28" i="1"/>
  <c r="A28" i="1"/>
  <c r="C28" i="1" s="1"/>
  <c r="BG27" i="1"/>
  <c r="C27" i="1"/>
  <c r="A27" i="1"/>
  <c r="BG26" i="1"/>
  <c r="A26" i="1"/>
  <c r="C26" i="1" s="1"/>
  <c r="BG25" i="1"/>
  <c r="A25" i="1"/>
  <c r="C25" i="1" s="1"/>
  <c r="BG24" i="1"/>
  <c r="A24" i="1"/>
  <c r="C24" i="1" s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G23" i="1" s="1"/>
  <c r="BL23" i="1"/>
  <c r="BK23" i="1"/>
  <c r="BJ23" i="1"/>
  <c r="BI23" i="1"/>
  <c r="BH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23" i="1"/>
  <c r="C23" i="1" s="1"/>
  <c r="BG22" i="1"/>
  <c r="C22" i="1"/>
  <c r="A22" i="1"/>
  <c r="BG21" i="1"/>
  <c r="A21" i="1"/>
  <c r="C21" i="1" s="1"/>
  <c r="BG20" i="1"/>
  <c r="A20" i="1"/>
  <c r="C20" i="1" s="1"/>
  <c r="BG19" i="1"/>
  <c r="A19" i="1"/>
  <c r="C19" i="1" s="1"/>
  <c r="BG18" i="1"/>
  <c r="A18" i="1"/>
  <c r="C18" i="1" s="1"/>
  <c r="BG17" i="1"/>
  <c r="C17" i="1"/>
  <c r="A17" i="1"/>
  <c r="BG16" i="1"/>
  <c r="C16" i="1"/>
  <c r="A16" i="1"/>
  <c r="BG15" i="1"/>
  <c r="A15" i="1"/>
  <c r="C15" i="1" s="1"/>
  <c r="BG14" i="1"/>
  <c r="C14" i="1"/>
  <c r="A14" i="1"/>
  <c r="BG13" i="1"/>
  <c r="A13" i="1"/>
  <c r="C13" i="1" s="1"/>
  <c r="BG12" i="1"/>
  <c r="A12" i="1"/>
  <c r="C12" i="1" s="1"/>
  <c r="BG11" i="1"/>
  <c r="A11" i="1"/>
  <c r="C11" i="1" s="1"/>
  <c r="BG10" i="1"/>
  <c r="A10" i="1"/>
  <c r="C10" i="1" s="1"/>
  <c r="BG9" i="1"/>
  <c r="C9" i="1"/>
  <c r="A9" i="1"/>
  <c r="BG8" i="1"/>
  <c r="C8" i="1"/>
  <c r="A8" i="1"/>
  <c r="BG7" i="1"/>
  <c r="A7" i="1"/>
  <c r="C7" i="1" s="1"/>
  <c r="BG6" i="1"/>
  <c r="C6" i="1"/>
  <c r="A6" i="1"/>
  <c r="BG5" i="1"/>
  <c r="A5" i="1"/>
  <c r="C5" i="1" s="1"/>
  <c r="BG4" i="1"/>
  <c r="A4" i="1"/>
  <c r="C4" i="1" s="1"/>
  <c r="BG332" i="1" l="1"/>
  <c r="BG62" i="1"/>
  <c r="BG315" i="1"/>
  <c r="BG413" i="1"/>
  <c r="BG226" i="1"/>
  <c r="BG143" i="1"/>
  <c r="BG1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tc={86A6DA90-4B5E-4400-B848-AE5D083133F6}</author>
    <author>tc={CC9519B8-DBBB-4F6B-9684-24D7E44A2BDE}</author>
    <author>tc={04E42D63-1346-48C1-8D5C-3E6A19476FCC}</author>
    <author>tc={AA2F0A11-7B5E-49C8-9F59-CCDE0CF36F72}</author>
    <author>tc={B70700EC-6B1D-4C67-832A-3E5D092A2ED4}</author>
    <author>tc={7EAF722B-154E-46D9-B100-52B29AA69024}</author>
    <author>tc={037849D0-8D3E-4D53-8EAF-0D0CA6B77849}</author>
    <author>tc={100C0FFA-B736-459F-81C1-FDFDF5C75279}</author>
    <author>tc={E9BB9BC7-CC05-4FB9-8169-24ACF0E44881}</author>
    <author>tc={EB0CE81A-D592-4BB1-9C06-F9D540619CA6}</author>
    <author>tc={D6E78CD1-D618-4167-80ED-AB665E302FFA}</author>
    <author>tc={C2FE99A0-F549-49E9-BC0D-42BB2D24CF3C}</author>
    <author>tc={009746BF-86FA-44B9-9815-C258B361D8A5}</author>
    <author>tc={A40811A3-A58F-4136-B9EF-FEE940FC27D9}</author>
    <author>tc={A5746A41-857C-47F9-BBD4-00E2F648065E}</author>
    <author>tc={C786E7D0-C66C-4780-900F-9FE3E1987C53}</author>
    <author>tc={8F925C79-0D10-4280-805F-3EB297055BB6}</author>
    <author>tc={55AE96A8-4A51-4BB0-8F23-C20CE263AF35}</author>
    <author>tc={CF3489D4-B8D4-40E7-B38E-B5965FB34790}</author>
  </authors>
  <commentList>
    <comment ref="B88" authorId="0" shapeId="0" xr:uid="{86A6DA90-4B5E-4400-B848-AE5D083133F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89" authorId="1" shapeId="0" xr:uid="{CC9519B8-DBBB-4F6B-9684-24D7E44A2BD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90" authorId="2" shapeId="0" xr:uid="{04E42D63-1346-48C1-8D5C-3E6A19476FC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91" authorId="3" shapeId="0" xr:uid="{AA2F0A11-7B5E-49C8-9F59-CCDE0CF36F7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92" authorId="4" shapeId="0" xr:uid="{B70700EC-6B1D-4C67-832A-3E5D092A2E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93" authorId="5" shapeId="0" xr:uid="{7EAF722B-154E-46D9-B100-52B29AA6902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96" authorId="6" shapeId="0" xr:uid="{037849D0-8D3E-4D53-8EAF-0D0CA6B7784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Eigl. mehl</t>
      </text>
    </comment>
    <comment ref="B99" authorId="7" shapeId="0" xr:uid="{100C0FFA-B736-459F-81C1-FDFDF5C7527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100" authorId="8" shapeId="0" xr:uid="{E9BB9BC7-CC05-4FB9-8169-24ACF0E4488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Check makros</t>
      </text>
    </comment>
    <comment ref="B109" authorId="9" shapeId="0" xr:uid="{EB0CE81A-D592-4BB1-9C06-F9D540619CA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 wenig kalorien?
</t>
      </text>
    </comment>
    <comment ref="B112" authorId="10" shapeId="0" xr:uid="{D6E78CD1-D618-4167-80ED-AB665E302FFA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Eigl. Mehl
</t>
      </text>
    </comment>
    <comment ref="B167" authorId="11" shapeId="0" xr:uid="{C2FE99A0-F549-49E9-BC0D-42BB2D24CF3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„Kräutermischung“</t>
      </text>
    </comment>
    <comment ref="B194" authorId="12" shapeId="0" xr:uid="{009746BF-86FA-44B9-9815-C258B361D8A5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Eigl mirabelle
</t>
      </text>
    </comment>
    <comment ref="B215" authorId="13" shapeId="0" xr:uid="{A40811A3-A58F-4136-B9EF-FEE940FC27D9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Eigl gartenkresse
</t>
      </text>
    </comment>
    <comment ref="B239" authorId="14" shapeId="0" xr:uid="{A5746A41-857C-47F9-BBD4-00E2F648065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Hier gesalzen</t>
      </text>
    </comment>
    <comment ref="B240" authorId="15" shapeId="0" xr:uid="{C786E7D0-C66C-4780-900F-9FE3E1987C5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Hier gesalzen
</t>
      </text>
    </comment>
    <comment ref="B251" authorId="16" shapeId="0" xr:uid="{8F925C79-0D10-4280-805F-3EB297055BB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Pilze frisch (allg)</t>
      </text>
    </comment>
    <comment ref="B375" authorId="17" shapeId="0" xr:uid="{55AE96A8-4A51-4BB0-8F23-C20CE263AF3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"andere Hülsenfrucht gekeimt"</t>
      </text>
    </comment>
    <comment ref="B410" authorId="18" shapeId="0" xr:uid="{CF3489D4-B8D4-40E7-B38E-B5965FB3479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Eigl mehl
</t>
      </text>
    </comment>
  </commentList>
</comments>
</file>

<file path=xl/sharedStrings.xml><?xml version="1.0" encoding="utf-8"?>
<sst xmlns="http://schemas.openxmlformats.org/spreadsheetml/2006/main" count="717" uniqueCount="495">
  <si>
    <t>nutrients</t>
  </si>
  <si>
    <t>Energie (kcal)</t>
  </si>
  <si>
    <t>Fett</t>
  </si>
  <si>
    <t>Eiweiß</t>
  </si>
  <si>
    <t>Kohlenhydrate</t>
  </si>
  <si>
    <t>Ballaststoffe</t>
  </si>
  <si>
    <t>Zucker</t>
  </si>
  <si>
    <t>Salz</t>
  </si>
  <si>
    <t>Wasser</t>
  </si>
  <si>
    <t>Vitamin A Retinoläquivalent</t>
  </si>
  <si>
    <t>Vitamin A Retinolaktivitätsäquivalent</t>
  </si>
  <si>
    <t>Retinol</t>
  </si>
  <si>
    <t>Beta-Carotin</t>
  </si>
  <si>
    <t>Vitamin B1 Thiamin</t>
  </si>
  <si>
    <t>Vitamin B2 Riboflavin</t>
  </si>
  <si>
    <t>Vitamin B3 Niacin, Nicotinsäure</t>
  </si>
  <si>
    <t>Vitamin B3 Niacinäquivalent</t>
  </si>
  <si>
    <t>Vitamin B5 Pantothensäure</t>
  </si>
  <si>
    <t>Vitamin B6 Pyridoxin</t>
  </si>
  <si>
    <t>Vitamin B7 Biotin (Vitamin H)</t>
  </si>
  <si>
    <t>Vitamin B9 gesamte Folsäure</t>
  </si>
  <si>
    <t>Vitamin B12 Cobalamin</t>
  </si>
  <si>
    <t>Vitamin C Ascorbinsäure</t>
  </si>
  <si>
    <t>Vitamin D Calciferole</t>
  </si>
  <si>
    <t>Vitamin E</t>
  </si>
  <si>
    <t>Vitamin K</t>
  </si>
  <si>
    <t>Natrium</t>
  </si>
  <si>
    <t>Kalium</t>
  </si>
  <si>
    <t>Calcium</t>
  </si>
  <si>
    <t>Magnesium</t>
  </si>
  <si>
    <t>Phosphor</t>
  </si>
  <si>
    <t>Schwefel</t>
  </si>
  <si>
    <t>Chlorid</t>
  </si>
  <si>
    <t>Eisen</t>
  </si>
  <si>
    <t>Zink</t>
  </si>
  <si>
    <t>Kupfer</t>
  </si>
  <si>
    <t>Mangan</t>
  </si>
  <si>
    <t>Fluorid</t>
  </si>
  <si>
    <t>Iodid</t>
  </si>
  <si>
    <t>Mannit</t>
  </si>
  <si>
    <t>Sorbit</t>
  </si>
  <si>
    <t>Xylit</t>
  </si>
  <si>
    <t>Summe Zuckeralkohole</t>
  </si>
  <si>
    <t>Glucose (Traubenzucker)</t>
  </si>
  <si>
    <t>Fructose (Fruchtzucker)</t>
  </si>
  <si>
    <t>Galactose (Schleimzucker)</t>
  </si>
  <si>
    <t>Monosaccharide (1 M)</t>
  </si>
  <si>
    <t>Saccharose (Rübenbenzucker)</t>
  </si>
  <si>
    <t>Maltose (Malzzucker)</t>
  </si>
  <si>
    <t>Lactose (Milchzucker)</t>
  </si>
  <si>
    <t>Disaccharide (2 M)</t>
  </si>
  <si>
    <t>Oligosaccharide, resorbierbar (3 - 9 M)</t>
  </si>
  <si>
    <t>Oligosaccharide, nicht resorbierbar</t>
  </si>
  <si>
    <t>Glykogen (tierische Stärke)</t>
  </si>
  <si>
    <t>Stärke</t>
  </si>
  <si>
    <t>Polysaccharide (&gt; 9 M)</t>
  </si>
  <si>
    <t>Chemical Score</t>
  </si>
  <si>
    <t>Isoleucin</t>
  </si>
  <si>
    <t>Leucin</t>
  </si>
  <si>
    <t>Lysin</t>
  </si>
  <si>
    <t>Methionin</t>
  </si>
  <si>
    <t>Cystein</t>
  </si>
  <si>
    <t>Phenylalanin</t>
  </si>
  <si>
    <t>Tyrosin</t>
  </si>
  <si>
    <t>Threonin</t>
  </si>
  <si>
    <t>Tryptophan</t>
  </si>
  <si>
    <t>Valin</t>
  </si>
  <si>
    <t>Arginin</t>
  </si>
  <si>
    <t>Histidin</t>
  </si>
  <si>
    <t>Essentielle Aminosäuren</t>
  </si>
  <si>
    <t>Alanin</t>
  </si>
  <si>
    <t>Asparaginsäure</t>
  </si>
  <si>
    <t>Glutaminsäure</t>
  </si>
  <si>
    <t>Glycin</t>
  </si>
  <si>
    <t>Prolin</t>
  </si>
  <si>
    <t>Serin</t>
  </si>
  <si>
    <t>Nichtessentielle Aminosäuren</t>
  </si>
  <si>
    <t>Harnsäure</t>
  </si>
  <si>
    <t>Purin</t>
  </si>
  <si>
    <t>Omega 3 Fettsäuren</t>
  </si>
  <si>
    <t>Omega 6 Fettsäuren</t>
  </si>
  <si>
    <t>Omega 6:3 Verhältnis</t>
  </si>
  <si>
    <t>Butansäure / Buttersäure</t>
  </si>
  <si>
    <t>Hexansäure / Capronsäure</t>
  </si>
  <si>
    <t>Octansäure / Caprylsäure</t>
  </si>
  <si>
    <t>Decansäure / Caprinsäure</t>
  </si>
  <si>
    <t>Dodecansäure / Laurinsäure</t>
  </si>
  <si>
    <t>Tetradecansäure / Myristinsäure</t>
  </si>
  <si>
    <t>Pentadecansäure</t>
  </si>
  <si>
    <t>Hexadecansäure / Palmitinsäure</t>
  </si>
  <si>
    <t>Heptadecansäure</t>
  </si>
  <si>
    <t>Octadecansäure / Stearinsäure</t>
  </si>
  <si>
    <t>Eicosansäure / Arachinsäure</t>
  </si>
  <si>
    <t>Decosansäure / Behensäure</t>
  </si>
  <si>
    <t>Tetracosansäure / Lignocerinsäure</t>
  </si>
  <si>
    <t>Gesättigte Fettsäuren</t>
  </si>
  <si>
    <t>Tetradecensäure</t>
  </si>
  <si>
    <t>Pentadecensäure</t>
  </si>
  <si>
    <t>Hexadecensäure / Palmitoleinsäure</t>
  </si>
  <si>
    <t>Heptadecensäure</t>
  </si>
  <si>
    <t>Octadecensäure / Ölsäure Omega 9</t>
  </si>
  <si>
    <t>Eicosensäure</t>
  </si>
  <si>
    <t>Decosensäure / Erucasäure Omega 9</t>
  </si>
  <si>
    <t>Tetracosensäure / Nervonsäure Omega 9</t>
  </si>
  <si>
    <t>Einfach ungesättigte Fettsäuren</t>
  </si>
  <si>
    <t>Hexadecadiensäure</t>
  </si>
  <si>
    <t>Hexadecatetraensäure</t>
  </si>
  <si>
    <t>Octadecadiensäure / Linolsäure Omega 6</t>
  </si>
  <si>
    <t>ALA - Linolensäure Omega 3</t>
  </si>
  <si>
    <t>Stearidonsäure Omega 3</t>
  </si>
  <si>
    <t>Nonadecatriensäure</t>
  </si>
  <si>
    <t>Eicosadiensäure Omega 6</t>
  </si>
  <si>
    <t>Eicosatriensäure Omega 6</t>
  </si>
  <si>
    <t>Eicosatetraensäure / Arachidonsäure Omega 6</t>
  </si>
  <si>
    <t>EPA - Eicosapentaensäure Omega 3</t>
  </si>
  <si>
    <t>Docosadiensäure</t>
  </si>
  <si>
    <t>Docosatriensäure</t>
  </si>
  <si>
    <t>Docosatetraensäure</t>
  </si>
  <si>
    <t>Docosapentaensäure Omega 3</t>
  </si>
  <si>
    <t>DHA - Docosahexaensäure Omega 3</t>
  </si>
  <si>
    <t>Mehrfach ungesättigte Fettsäuren</t>
  </si>
  <si>
    <t>Langkettige Fettsäuren</t>
  </si>
  <si>
    <t>Glycerin und Lipoide</t>
  </si>
  <si>
    <t>Cholesterin</t>
  </si>
  <si>
    <t>Kurzkettige Fettsäuren</t>
  </si>
  <si>
    <t>Mittelkettige Fettsäuren</t>
  </si>
  <si>
    <t>Poly-Pentosen</t>
  </si>
  <si>
    <t>Poly-Hexosen</t>
  </si>
  <si>
    <t>Poly-Uronsäure</t>
  </si>
  <si>
    <t>Cellulose</t>
  </si>
  <si>
    <t>Lignin</t>
  </si>
  <si>
    <t>Wasserlösliche Ballaststoffe</t>
  </si>
  <si>
    <t>Wasserunlösliche Ballaststoffe</t>
  </si>
  <si>
    <t>Alkohol</t>
  </si>
  <si>
    <t>Säuren (organisch)</t>
  </si>
  <si>
    <t>Rohasche</t>
  </si>
  <si>
    <t>Rohfaser</t>
  </si>
  <si>
    <t>Rohfett</t>
  </si>
  <si>
    <t>Rohprotein</t>
  </si>
  <si>
    <t>unit_code</t>
  </si>
  <si>
    <t>kcal</t>
  </si>
  <si>
    <t>g</t>
  </si>
  <si>
    <t>ug</t>
  </si>
  <si>
    <t>mg</t>
  </si>
  <si>
    <t>ingredients</t>
  </si>
  <si>
    <t>Link nährwertrechner.de</t>
  </si>
  <si>
    <t>id's</t>
  </si>
  <si>
    <t>https://www.naehrwertrechner.de/naehrwerte/G730411/Bohnen+dick+getrocknet/?menge=100</t>
  </si>
  <si>
    <t>https://www.naehrwertrechner.de/naehrwerte/H750211/Bohnen+dick+%28Saubohnen%29+tiefgefroren/?menge=100</t>
  </si>
  <si>
    <t>https://www.naehrwertrechner.de/naehrwerte/H640111/Luzernensprossen+%28Alfalfa%29+frisch/?menge=100</t>
  </si>
  <si>
    <t>https://www.naehrwertrechner.de/naehrwerte/C335000/Amaranth+roh/?menge=100</t>
  </si>
  <si>
    <t>https://www.naehrwertrechner.de/naehrwerte/F501111/Ananas+frisch/?menge=100</t>
  </si>
  <si>
    <t>https://www.naehrwertrechner.de/naehrwerte/R253011/Anis+Gew%C3%BCrz/?menge=100</t>
  </si>
  <si>
    <t>https://www.naehrwertrechner.de/naehrwerte/F110000/Apfel/?menge=100</t>
  </si>
  <si>
    <t>https://www.naehrwertrechner.de/naehrwerte/R123111/Apfelessig/?menge=100</t>
  </si>
  <si>
    <t>https://www.naehrwertrechner.de/naehrwerte/F201100/Aprikose+roh/?menge=100</t>
  </si>
  <si>
    <t>https://www.naehrwertrechner.de/naehrwerte/G410111/Artischocken+frisch/?menge=100</t>
  </si>
  <si>
    <t>https://www.naehrwertrechner.de/naehrwerte/G510111/Aubergine+frisch/?menge=100</t>
  </si>
  <si>
    <t>https://www.naehrwertrechner.de/naehrwerte/G701411/Helmbohnen+indisch+getrocknet/?menge=100</t>
  </si>
  <si>
    <t>https://www.naehrwertrechner.de/naehrwerte/K740100/Austernpilze+roh/?menge=100</t>
  </si>
  <si>
    <t>https://www.naehrwertrechner.de/naehrwerte/F502000/Avocado/?menge=100</t>
  </si>
  <si>
    <t>https://www.naehrwertrechner.de/naehrwerte/H800111/Adzukibohnen/?menge=100</t>
  </si>
  <si>
    <t>https://www.naehrwertrechner.de/naehrwerte/G230111/Mangold+frisch/?menge=100</t>
  </si>
  <si>
    <t>https://www.naehrwertrechner.de/naehrwerte/G211111/Blattspinat+frisch/?menge=100</t>
  </si>
  <si>
    <t>https://www.naehrwertrechner.de/naehrwerte/R421111/Backpulver/?menge=100</t>
  </si>
  <si>
    <t>https://www.naehrwertrechner.de/naehrwerte/R126000/Balsamicoessig/?menge=100</t>
  </si>
  <si>
    <t>https://www.naehrwertrechner.de/naehrwerte/F503000/Banane/?menge=100</t>
  </si>
  <si>
    <t>https://www.naehrwertrechner.de/naehrwerte/G492100/B%C3%A4rlauch+roh/?menge=100</t>
  </si>
  <si>
    <t>https://www.naehrwertrechner.de/naehrwerte/G061000/Basilikum+frisch/?menge=100</t>
  </si>
  <si>
    <t>https://www.naehrwertrechner.de/naehrwerte/R231011/Basilikum+Gew%C3%BCrz/?menge=100</t>
  </si>
  <si>
    <t>https://www.naehrwertrechner.de/naehrwerte/G102111/Endivien+frisch/?menge=100</t>
  </si>
  <si>
    <t>https://www.naehrwertrechner.de/naehrwerte/H725100/Linsen+reif+getrocknet/?menge=100</t>
  </si>
  <si>
    <t>https://www.naehrwertrechner.de/naehrwerte/F130000/Birne/?menge=100</t>
  </si>
  <si>
    <t>https://www.naehrwertrechner.de/naehrwerte/G320111/Blattkohl+frisch/?menge=100</t>
  </si>
  <si>
    <t>https://www.naehrwertrechner.de/naehrwerte/G108000/Schnittsalat+%28Blatt-+Pfl%C3%BCcksalat%29/?menge=100</t>
  </si>
  <si>
    <t>https://www.naehrwertrechner.de/naehrwerte/G311100/Blumenkohl+roh/?menge=100</t>
  </si>
  <si>
    <t>https://www.naehrwertrechner.de/naehrwerte/G311200/Blumenkohl+tiefgefroren/?menge=100</t>
  </si>
  <si>
    <t>https://www.naehrwertrechner.de/naehrwerte/F603000-1/Blutorangen/?menge=100</t>
  </si>
  <si>
    <t>https://www.naehrwertrechner.de/naehrwerte/R233011/Bohnenkraut+Gew%C3%BCrz/?menge=100</t>
  </si>
  <si>
    <t>Bratpaprika</t>
  </si>
  <si>
    <t>https://www.naehrwertrechner.de/naehrwerte/G541111/Gem%C3%BCsepaprika+gr%C3%BCn+frisch/?menge=100</t>
  </si>
  <si>
    <t>https://www.naehrwertrechner.de/naehrwerte/C331000/Hirse+ganzes+Korn+roh/?menge=100</t>
  </si>
  <si>
    <t>https://www.naehrwertrechner.de/naehrwerte/G710211/Bohnen+gr%C3%BCn+tiefgefroren/?menge=100</t>
  </si>
  <si>
    <t>https://www.naehrwertrechner.de/naehrwerte/G312111/Broccoli+frisch/?menge=100</t>
  </si>
  <si>
    <t>https://www.naehrwertrechner.de/naehrwerte/F303111/Brombeere+frisch/?menge=100</t>
  </si>
  <si>
    <t>https://www.naehrwertrechner.de/naehrwerte/G264100/Brunnenkresse+frisch/?menge=100</t>
  </si>
  <si>
    <t>https://www.naehrwertrechner.de/naehrwerte/C321001/Buchweizen+Vollkorn/?menge=100</t>
  </si>
  <si>
    <t>https://www.naehrwertrechner.de/naehrwerte/C327023/Buchweizen+Flocken/?menge=100</t>
  </si>
  <si>
    <t>https://www.naehrwertrechner.de/naehrwerte/C421011/Buchweizen+Vollkornmehl/?menge=100</t>
  </si>
  <si>
    <t>https://www.naehrwertrechner.de/naehrwerte/C328001/Buchweizen+Nudeln+%28Soba%29/?menge=100</t>
  </si>
  <si>
    <t>https://www.naehrwertrechner.de/naehrwerte/C321001-1/Buchweizen+gekeimt/?menge=100</t>
  </si>
  <si>
    <t>https://www.naehrwertrechner.de/naehrwerte/C119111/Bulgur/?menge=100</t>
  </si>
  <si>
    <t>https://www.naehrwertrechner.de/naehrwerte/G711111/Buschbohnen+gr%C3%BCn+frisch/?menge=100</t>
  </si>
  <si>
    <t>https://www.naehrwertrechner.de/naehrwerte/H735400/Kidney-Bohnen+getrocknet/?menge=100</t>
  </si>
  <si>
    <t>https://www.naehrwertrechner.de/naehrwerte/H170000/Cashewnuss/?menge=100</t>
  </si>
  <si>
    <t>https://www.naehrwertrechner.de/naehrwerte/J582111/Cashewmus+pur/?menge=100</t>
  </si>
  <si>
    <t>https://www.naehrwertrechner.de/naehrwerte/R252011/Chili+%28Cayennepfeffer%29/?menge=100</t>
  </si>
  <si>
    <t>https://www.naehrwertrechner.de/naehrwerte/K701111/Champignon+frisch/?menge=100</t>
  </si>
  <si>
    <t>https://www.naehrwertrechner.de/naehrwerte/F524111/Cherimoya+frisch/?menge=100</t>
  </si>
  <si>
    <t>naehrwertrechner.de/naehrwerte/H-Chia/Chiasamen/?menge=100</t>
  </si>
  <si>
    <t>https://www.naehrwertrechner.de/naehrwerte/G101111/Chicoree+frisch/?menge=100</t>
  </si>
  <si>
    <t>https://www.naehrwertrechner.de/naehrwerte/R252211/Chili+rot+%28Pulver%29/?menge=100</t>
  </si>
  <si>
    <t>https://www.naehrwertrechner.de/naehrwerte/G554111-1/Chilischote+rot+frisch/?menge=100</t>
  </si>
  <si>
    <t>https://www.naehrwertrechner.de/naehrwerte/G321111/Chinakohl+frisch/?menge=100</t>
  </si>
  <si>
    <t>https://www.naehrwertrechner.de/naehrwerte/F607000/Clementine/?menge=100</t>
  </si>
  <si>
    <t>https://www.naehrwertrechner.de/naehrwerte/C119200/Couscous+roh/?menge=100</t>
  </si>
  <si>
    <t>https://www.naehrwertrechner.de/naehrwerte/F407000/Moosbeere/?menge=100</t>
  </si>
  <si>
    <t>https://www.naehrwertrechner.de/naehrwerte/R289011/Currypulver/?menge=100</t>
  </si>
  <si>
    <t>https://www.naehrwertrechner.de/naehrwerte/F504400/Dattel+getrocknet/?menge=100</t>
  </si>
  <si>
    <t>https://www.naehrwertrechner.de/naehrwerte/G065100/Dill+frisch/?menge=100</t>
  </si>
  <si>
    <t>https://www.naehrwertrechner.de/naehrwerte/G065400/Dill+getrocknet/?menge=100</t>
  </si>
  <si>
    <t>https://www.naehrwertrechner.de/naehrwerte/C236000/Dinkel+ganzes+Korn+roh/?menge=100</t>
  </si>
  <si>
    <t>https://www.naehrwertrechner.de/naehrwerte/C237000/Dinkelflocken/?menge=100</t>
  </si>
  <si>
    <t>https://www.naehrwertrechner.de/naehrwerte/C235000/Dinkel+Vollkornmehl/?menge=100</t>
  </si>
  <si>
    <t>https://www.naehrwertrechner.de/naehrwerte/C139000/Haferdrink/?menge=100</t>
  </si>
  <si>
    <t>https://www.naehrwertrechner.de/naehrwerte/E520011/Vollkornteigwaren+eifrei/?menge=100</t>
  </si>
  <si>
    <t>https://www.naehrwertrechner.de/naehrwerte/H690211/Edamame+gegart/?menge=100</t>
  </si>
  <si>
    <t>https://www.naehrwertrechner.de/naehrwerte/C670011/Einkorn+Vollkornmehl/?menge=100</t>
  </si>
  <si>
    <t>https://www.naehrwertrechner.de/naehrwerte/G103000/Eisbergsalat/?menge=100</t>
  </si>
  <si>
    <t>https://www.naehrwertrechner.de/naehrwerte/C660001/Emmer+%28roh%29/?menge=100</t>
  </si>
  <si>
    <t>https://www.naehrwertrechner.de/naehrwerte/K700111/Pilze+frisch/?menge=100</t>
  </si>
  <si>
    <t>https://www.naehrwertrechner.de/naehrwerte/G760400/Erbsen+gr%C3%BCn+getrocknet/?menge=100</t>
  </si>
  <si>
    <t>https://www.naehrwertrechner.de/naehrwerte/G760021/Erbsen+gr%C3%BCn+tiefgefroren/?menge=100</t>
  </si>
  <si>
    <t>https://www.naehrwertrechner.de/naehrwerte/G760902/Erbsen+gr%C3%BCn+Konserve+abgetropft/?menge=100</t>
  </si>
  <si>
    <t>https://www.naehrwertrechner.de/naehrwerte/G760500/Erbsen+gr%C3%BCn+Pulver/?menge=100</t>
  </si>
  <si>
    <t>https://www.naehrwertrechner.de/naehrwerte/H663111/Erbsen+gekeimt+frisch/?menge=100</t>
  </si>
  <si>
    <t>https://www.naehrwertrechner.de/naehrwerte/F301000/Erdbeere/?menge=100</t>
  </si>
  <si>
    <t>https://www.naehrwertrechner.de/naehrwerte/F301211/Erdbeere+tiefgefroren/?menge=100</t>
  </si>
  <si>
    <t>https://www.naehrwertrechner.de/naehrwerte/C650011/Erdmandelmehl/?menge=100</t>
  </si>
  <si>
    <t>https://www.naehrwertrechner.de/naehrwerte/H110000/Erdnuss/?menge=100</t>
  </si>
  <si>
    <t>https://www.naehrwertrechner.de/naehrwerte/H110800/Erdnussmus/?menge=100</t>
  </si>
  <si>
    <t>https://www.naehrwertrechner.de/naehrwerte/G067111/Estragon+frisch/?menge=100</t>
  </si>
  <si>
    <t>https://www.naehrwertrechner.de/naehrwerte/R236011/Estragon+Gew%C3%BCrz/?menge=100</t>
  </si>
  <si>
    <t>https://www.naehrwertrechner.de/naehrwerte/F505000/Feige/?menge=100</t>
  </si>
  <si>
    <t>https://www.naehrwertrechner.de/naehrwerte/G104100/Feldsalat+roh/?menge=100</t>
  </si>
  <si>
    <t>https://www.naehrwertrechner.de/naehrwerte/G430000/Fenchel/?menge=100</t>
  </si>
  <si>
    <t>https://www.naehrwertrechner.de/naehrwerte/G068511/Fenchelsamen+Pulver/?menge=100</t>
  </si>
  <si>
    <t>https://www.naehrwertrechner.de/naehrwerte/C460001/Flohsamenschalen/?menge=100</t>
  </si>
  <si>
    <t>https://www.naehrwertrechner.de/naehrwerte/G486100/Lauchzwiebel+roh/?menge=100</t>
  </si>
  <si>
    <t>https://www.naehrwertrechner.de/naehrwerte/R976111/Garam+Masala/?menge=100</t>
  </si>
  <si>
    <t>https://www.naehrwertrechner.de/naehrwerte/G613021-3/Gelbe+Bete+frisch/?menge=100</t>
  </si>
  <si>
    <t>https://www.naehrwertrechner.de/naehrwerte/H662811/Linsennudeln/?menge=100</t>
  </si>
  <si>
    <t>https://www.naehrwertrechner.de/naehrwerte/C141001/Gerste+Vollkorn/?menge=100</t>
  </si>
  <si>
    <t>https://www.naehrwertrechner.de/naehrwerte/C143001/Gerste+Flocken/?menge=100</t>
  </si>
  <si>
    <t>https://www.naehrwertrechner.de/naehrwerte/G890702/Gew%C3%BCrzgurken+Sauerkonserve%2C+abgetropft/?menge=100</t>
  </si>
  <si>
    <t>https://www.naehrwertrechner.de/naehrwerte/F421400/Goji+Beeren+getrocknet/?menge=100</t>
  </si>
  <si>
    <t>https://www.naehrwertrechner.de/naehrwerte/F506111/Granatapfel+frisch/?menge=100</t>
  </si>
  <si>
    <t>https://www.naehrwertrechner.de/naehrwerte/F604000/Grapefruit/?menge=100</t>
  </si>
  <si>
    <t>https://www.naehrwertrechner.de/naehrwerte/C310001/Gr%C3%BCnkern/?menge=100</t>
  </si>
  <si>
    <t>https://www.naehrwertrechner.de/naehrwerte/C311022/Gr%C3%BCnkern+Vollkorn+gegart/?menge=100</t>
  </si>
  <si>
    <t>https://www.naehrwertrechner.de/naehrwerte/G322111/Gr%C3%BCnkohl+roh/?menge=100</t>
  </si>
  <si>
    <t>https://www.naehrwertrechner.de/naehrwerte/G322211/Gr%C3%BCnkohl+tiefgefroren/?menge=100</t>
  </si>
  <si>
    <t>https://www.naehrwertrechner.de/naehrwerte/G330111/Sprossenkohl+frisch/?menge=100</t>
  </si>
  <si>
    <t>https://www.naehrwertrechner.de/naehrwerte/F513111/Guave+frisch/?menge=100</t>
  </si>
  <si>
    <t>https://www.naehrwertrechner.de/naehrwerte/G520111/Gurke+frisch/?menge=100</t>
  </si>
  <si>
    <t>https://www.naehrwertrechner.de/naehrwerte/C131000/Hafer+ganzes+Korn+roh/?menge=100</t>
  </si>
  <si>
    <t>https://www.naehrwertrechner.de/naehrwerte/C133100/Hafer+Vollkornflocken/?menge=100</t>
  </si>
  <si>
    <t>https://www.naehrwertrechner.de/naehrwerte/C138000/Haferkleieflocken/?menge=100</t>
  </si>
  <si>
    <t>https://www.naehrwertrechner.de/naehrwerte/C233011/Hafer+Mehl/?menge=100</t>
  </si>
  <si>
    <t>https://www.naehrwertrechner.de/naehrwerte/H440000/Hanfsamen/?menge=100</t>
  </si>
  <si>
    <t>https://www.naehrwertrechner.de/naehrwerte/R471000/Harissa/?menge=100</t>
  </si>
  <si>
    <t>https://www.naehrwertrechner.de/naehrwerte/C116001/Weizen+Grie%C3%9F/?menge=100</t>
  </si>
  <si>
    <t>https://www.naehrwertrechner.de/naehrwerte/H130100/Haselnuss+roh/?menge=100</t>
  </si>
  <si>
    <t>https://www.naehrwertrechner.de/naehrwerte/H130800/Haselnussmus/?menge=100</t>
  </si>
  <si>
    <t>https://www.naehrwertrechner.de/naehrwerte/J731000/Hefe/?menge=100</t>
  </si>
  <si>
    <t>https://www.naehrwertrechner.de/naehrwerte/J736200/Hefe+Flocken/?menge=100</t>
  </si>
  <si>
    <t>https://www.naehrwertrechner.de/naehrwerte/F304000/Heidelbeere/?menge=100</t>
  </si>
  <si>
    <t>https://www.naehrwertrechner.de/naehrwerte/F304211/Heidelbeere+tiefgefroren/?menge=100</t>
  </si>
  <si>
    <t>https://www.naehrwertrechner.de/naehrwerte/F302000/Himbeere/?menge=100</t>
  </si>
  <si>
    <t>https://www.naehrwertrechner.de/naehrwerte/F302200/Himbeere+tiefgefroren/?menge=100</t>
  </si>
  <si>
    <t>https://www.naehrwertrechner.de/naehrwerte/F534000/Zuckermelone+-+Honigmelone/?menge=100</t>
  </si>
  <si>
    <t>https://www.naehrwertrechner.de/naehrwerte/R211211/Ingwerknolle/?menge=100</t>
  </si>
  <si>
    <t>https://www.naehrwertrechner.de/naehrwerte/R211111/Ingwerpulver/?menge=100</t>
  </si>
  <si>
    <t>https://www.naehrwertrechner.de/naehrwerte/G088011/Kr%C3%A4utermischung/?menge=100</t>
  </si>
  <si>
    <t>https://www.naehrwertrechner.de/naehrwerte/G553111-1/Chilischote+gr%C3%BCn+frisch/?menge=100</t>
  </si>
  <si>
    <t>https://www.naehrwertrechner.de/naehrwerte/F321111/Johannisbeere+rot+frisch/?menge=100</t>
  </si>
  <si>
    <t>https://www.naehrwertrechner.de/naehrwerte/F321211/Johannisbeere+rot+tiefgefroren/?menge=100</t>
  </si>
  <si>
    <t>https://www.naehrwertrechner.de/naehrwerte/F323111/Johannisbeere+schwarz+frisch/?menge=100</t>
  </si>
  <si>
    <t>https://www.naehrwertrechner.de/naehrwerte/F323211/Johannisbeere+schwarz+tiefgefroren/?menge=100</t>
  </si>
  <si>
    <t>https://www.naehrwertrechner.de/naehrwerte/S713000/Kakaopulver+stark+ent%C3%B6lt/?menge=100</t>
  </si>
  <si>
    <t>https://www.naehrwertrechner.de/naehrwerte/F507111/Kaki+frisch/?menge=100</t>
  </si>
  <si>
    <t>https://www.naehrwertrechner.de/naehrwerte/C111001/Weizen+Vollkorn/?menge=100</t>
  </si>
  <si>
    <t>https://www.naehrwertrechner.de/naehrwerte/R254011/Kardamom+Gew%C3%BCrz/?menge=100</t>
  </si>
  <si>
    <t>https://www.naehrwertrechner.de/naehrwerte/K120100/Kartoffeln+ungesch%C3%A4lt+roh/?menge=100</t>
  </si>
  <si>
    <t>https://www.naehrwertrechner.de/naehrwerte/G069111/Kerbel+frisch/?menge=100</t>
  </si>
  <si>
    <t>https://www.naehrwertrechner.de/naehrwerte/G069411/Kerbel+getrocknet/?menge=100</t>
  </si>
  <si>
    <t>https://www.naehrwertrechner.de/naehrwerte/G770400/Kichererbsen+getrocknet/?menge=100</t>
  </si>
  <si>
    <t>https://www.naehrwertrechner.de/naehrwerte/G770902/Kichererbsen+Konserve+abgetropft/?menge=100</t>
  </si>
  <si>
    <t>https://www.naehrwertrechner.de/naehrwerte/G770933/Kichererbsenmehl/?menge=100</t>
  </si>
  <si>
    <t>https://www.naehrwertrechner.de/naehrwerte/G770943/Kichererbsennudeln/?menge=100</t>
  </si>
  <si>
    <t>https://www.naehrwertrechner.de/naehrwerte/H661100/Kichererbsen+gekeimt+roh/?menge=100</t>
  </si>
  <si>
    <t>https://www.naehrwertrechner.de/naehrwerte/G770963/Kichererbsenwaffel/?menge=100</t>
  </si>
  <si>
    <t>https://www.naehrwertrechner.de/naehrwerte/H742902/Kidney-Bohnen+Konserve+abgetropft/?menge=100</t>
  </si>
  <si>
    <t>https://www.naehrwertrechner.de/naehrwerte/X473443/Kimchi/?menge=100</t>
  </si>
  <si>
    <t>https://www.naehrwertrechner.de/naehrwerte/F212100/Sauerkirsche+roh/?menge=100</t>
  </si>
  <si>
    <t>https://www.naehrwertrechner.de/naehrwerte/F212200/Sauerkirsche+tiefgefroren/?menge=100</t>
  </si>
  <si>
    <t>https://www.naehrwertrechner.de/naehrwerte/F224000/Mirabelle/?menge=100</t>
  </si>
  <si>
    <t>https://www.naehrwertrechner.de/naehrwerte/F514111/Kiwi+frisch/?menge=100</t>
  </si>
  <si>
    <t>https://www.naehrwertrechner.de/naehrwerte/G490100/Knoblauch+roh/?menge=100</t>
  </si>
  <si>
    <t>https://www.naehrwertrechner.de/naehrwerte/G490500/Knoblauch+Pulver/?menge=100</t>
  </si>
  <si>
    <t>https://www.naehrwertrechner.de/naehrwerte/G660111/Knollensellerie+frisch/?menge=100</t>
  </si>
  <si>
    <t>https://www.naehrwertrechner.de/naehrwerte/G331111/Kohlrabi+frisch/?menge=100</t>
  </si>
  <si>
    <t>https://www.naehrwertrechner.de/naehrwerte/H155000/Kokosjoghurt+natur/?menge=100</t>
  </si>
  <si>
    <t>https://www.naehrwertrechner.de/naehrwerte/H153000/Kokosmilch+mit+S%C3%BC%C3%9Fstoff/?menge=100</t>
  </si>
  <si>
    <t>https://www.naehrwertrechner.de/naehrwerte/Q550000/Kokosfett/?menge=100</t>
  </si>
  <si>
    <t>https://www.naehrwertrechner.de/naehrwerte/H150000/Kokosnuss/?menge=100</t>
  </si>
  <si>
    <t>https://www.naehrwertrechner.de/naehrwerte/H150400/Kokosnuss+Raspeln+getrocknet/?menge=100</t>
  </si>
  <si>
    <t>https://www.naehrwertrechner.de/naehrwerte/G002411/Braunalge+getrocknet/?menge=100</t>
  </si>
  <si>
    <t>https://www.naehrwertrechner.de/naehrwerte/G105111/Kopfsalat+frisch/?menge=100</t>
  </si>
  <si>
    <t>https://www.naehrwertrechner.de/naehrwerte/R255111/Koriander+frisch/?menge=100</t>
  </si>
  <si>
    <t>https://www.naehrwertrechner.de/naehrwerte/R255011/Koriander+Gew%C3%BCrz/?menge=100</t>
  </si>
  <si>
    <t>https://www.naehrwertrechner.de/naehrwerte/R255000/Koriandersamen/?menge=100</t>
  </si>
  <si>
    <t>https://www.naehrwertrechner.de/naehrwerte/G087400/Kr%C3%A4uter+der+Provence+frisch/?menge=100</t>
  </si>
  <si>
    <t>https://www.naehrwertrechner.de/naehrwerte/K741100/Kr%C3%A4uterseitlinge+roh/?menge=100</t>
  </si>
  <si>
    <t>https://www.naehrwertrechner.de/naehrwerte/G280000/Kresse+%28Gartenkresse%29/?menge=100</t>
  </si>
  <si>
    <t>https://www.naehrwertrechner.de/naehrwerte/R265011/Kreuzk%C3%BCmmel/?menge=100</t>
  </si>
  <si>
    <t>https://www.naehrwertrechner.de/naehrwerte/R262011/K%C3%BCmmel/?menge=100</t>
  </si>
  <si>
    <t>https://www.naehrwertrechner.de/naehrwerte/G597111/Butternut+K%C3%BCrbis/?menge=100</t>
  </si>
  <si>
    <t>https://www.naehrwertrechner.de/naehrwerte/G581111/K%C3%BCrbis+frisch/?menge=100</t>
  </si>
  <si>
    <t>https://www.naehrwertrechner.de/naehrwerte/G588111/Spaghettik%C3%BCrbis/?menge=100</t>
  </si>
  <si>
    <t>https://www.naehrwertrechner.de/naehrwerte/H310400/K%C3%BCrbiskern+getrocknet/?menge=100</t>
  </si>
  <si>
    <t>https://www.naehrwertrechner.de/naehrwerte/R212011/Kurkuma+Gew%C3%BCrz/?menge=100</t>
  </si>
  <si>
    <t>https://www.naehrwertrechner.de/naehrwerte/G470111/Porree+frisch/?menge=100</t>
  </si>
  <si>
    <t>https://www.naehrwertrechner.de/naehrwerte/G087511/Lavendelbl%C3%BCten+%28getrocknet%29/?menge=100</t>
  </si>
  <si>
    <t>https://www.naehrwertrechner.de/naehrwerte/Q160000/Lein%C3%B6l/?menge=100</t>
  </si>
  <si>
    <t>https://www.naehrwertrechner.de/naehrwerte/H410400/Leinsamen+geschrotet/?menge=100</t>
  </si>
  <si>
    <t>https://www.naehrwertrechner.de/naehrwerte/H680011/%C3%96lsamen+und+anderes+Gekeimtes/?menge=100</t>
  </si>
  <si>
    <t>https://www.naehrwertrechner.de/naehrwerte/G071111/Liebst%C3%B6ckel+frisch/?menge=100</t>
  </si>
  <si>
    <t>https://www.naehrwertrechner.de/naehrwerte/F602000/Limette/?menge=100</t>
  </si>
  <si>
    <t>https://www.naehrwertrechner.de/naehrwerte/H790111/Berglinsen/?menge=100</t>
  </si>
  <si>
    <t>https://www.naehrwertrechner.de/naehrwerte/H790011/Gelbe+Linsen+roh/?menge=100</t>
  </si>
  <si>
    <t>https://www.naehrwertrechner.de/naehrwerte/H731111/Linsen+gr%C3%BCn/?menge=100</t>
  </si>
  <si>
    <t>https://www.naehrwertrechner.de/naehrwerte/H770111/Rote+Linsen+roh/?menge=100</t>
  </si>
  <si>
    <t>https://www.naehrwertrechner.de/naehrwerte/H662711/Linsen+gekeimt+gesalzen/?menge=100</t>
  </si>
  <si>
    <t>https://www.naehrwertrechner.de/naehrwerte/C519011/Linsenwaffeln+mit+Meersalz/?menge=100</t>
  </si>
  <si>
    <t>https://www.naehrwertrechner.de/naehrwerte/R237011/Lorbeerblatt+Gew%C3%BCrz/?menge=100</t>
  </si>
  <si>
    <t>https://www.naehrwertrechner.de/naehrwerte/G800511/Lupinenmehl/?menge=100</t>
  </si>
  <si>
    <t>https://www.naehrwertrechner.de/naehrwerte/G800411/Lupinenschrot/?menge=100</t>
  </si>
  <si>
    <t>https://www.naehrwertrechner.de/naehrwerte/H190100/Macadamianuss+roh/?menge=100</t>
  </si>
  <si>
    <t>https://www.naehrwertrechner.de/naehrwerte/C340001/Mais/?menge=100</t>
  </si>
  <si>
    <t>https://www.naehrwertrechner.de/naehrwerte/G570021/Zuckermais+%28Gem%C3%BCsemais%29+gegart/?menge=100</t>
  </si>
  <si>
    <t>https://www.naehrwertrechner.de/naehrwerte/C346011/Mais+Grie%C3%9F/?menge=100</t>
  </si>
  <si>
    <t>https://www.naehrwertrechner.de/naehrwerte/C348011/Maiswaffel/?menge=100</t>
  </si>
  <si>
    <t>https://www.naehrwertrechner.de/naehrwerte/G074111/Majoran+frisch/?menge=100</t>
  </si>
  <si>
    <t>https://www.naehrwertrechner.de/naehrwerte/R239011/Majoran+Gew%C3%BCrz/?menge=100</t>
  </si>
  <si>
    <t>https://www.naehrwertrechner.de/naehrwerte/F606111/Mandarine+frisch/?menge=100</t>
  </si>
  <si>
    <t>https://www.naehrwertrechner.de/naehrwerte/H821100/Mandeldrink+unges%C3%BC%C3%9Ft/?menge=100</t>
  </si>
  <si>
    <t>https://www.naehrwertrechner.de/naehrwerte/J584111/Mandelmus+pur/?menge=100</t>
  </si>
  <si>
    <t>https://www.naehrwertrechner.de/naehrwerte/H210100/Mandel+s%C3%BC%C3%9F+roh/?menge=100</t>
  </si>
  <si>
    <t>https://www.naehrwertrechner.de/naehrwerte/F516111/Mango+frisch/?menge=100</t>
  </si>
  <si>
    <t>https://www.naehrwertrechner.de/naehrwerte/F516211/Mango+tiefgefroren/?menge=100</t>
  </si>
  <si>
    <t>https://www.naehrwertrechner.de/naehrwerte/F516411/Mango+getrocknet/?menge=100</t>
  </si>
  <si>
    <t>https://www.naehrwertrechner.de/naehrwerte/H230101/Edelkastanie+%28Marone%29+roh/?menge=100</t>
  </si>
  <si>
    <t>https://www.naehrwertrechner.de/naehrwerte/F330000/Maulbeere/?menge=100</t>
  </si>
  <si>
    <t>https://www.naehrwertrechner.de/naehrwerte/G036011/Pfefferminze/?menge=100</t>
  </si>
  <si>
    <t>https://www.naehrwertrechner.de/naehrwerte/F224111/Mirabelle+frisch/?menge=100</t>
  </si>
  <si>
    <t>https://www.naehrwertrechner.de/naehrwerte/G620100/Karotte+roh/?menge=100</t>
  </si>
  <si>
    <t>https://www.naehrwertrechner.de/naehrwerte/J371001/Miso/?menge=100</t>
  </si>
  <si>
    <t>https://www.naehrwertrechner.de/naehrwerte/H780011/Mungobohnen+reif/?menge=100</t>
  </si>
  <si>
    <t>https://www.naehrwertrechner.de/naehrwerte/H650111/Mungobohnensprossen+frisch/?menge=100</t>
  </si>
  <si>
    <t>https://www.naehrwertrechner.de/naehrwerte/R271000/Muskatnuss+getrocknet/?menge=100</t>
  </si>
  <si>
    <t>https://www.naehrwertrechner.de/naehrwerte/C351001/Reis+ungesch%C3%A4lt/?menge=100</t>
  </si>
  <si>
    <t>https://www.naehrwertrechner.de/naehrwerte/J350011/Tofu/?menge=100</t>
  </si>
  <si>
    <t>https://www.naehrwertrechner.de/naehrwerte/F202111/Nektarine+frisch/?menge=100</t>
  </si>
  <si>
    <t>https://www.naehrwertrechner.de/naehrwerte/R242011/Gew%C3%BCrznelken/?menge=100</t>
  </si>
  <si>
    <t>https://www.naehrwertrechner.de/naehrwerte/G995000/Noriblatt+%28Seetangbl%C3%A4tter+Norialge%29/?menge=100</t>
  </si>
  <si>
    <t>https://www.naehrwertrechner.de/naehrwerte/G003411/Rotalge+getrocknet/?menge=100</t>
  </si>
  <si>
    <t>https://www.naehrwertrechner.de/naehrwerte/G561100/Tomate+rot+roh/?menge=100</t>
  </si>
  <si>
    <t>https://www.naehrwertrechner.de/naehrwerte/G530111/Okra+frisch/?menge=100</t>
  </si>
  <si>
    <t>https://www.naehrwertrechner.de/naehrwerte/H510000/Oliven/?menge=100</t>
  </si>
  <si>
    <t>https://www.naehrwertrechner.de/naehrwerte/Q120000/Oliven%C3%B6l/?menge=100</t>
  </si>
  <si>
    <t>https://www.naehrwertrechner.de/naehrwerte/F603111/Orange+frisch/?menge=100</t>
  </si>
  <si>
    <t>https://www.naehrwertrechner.de/naehrwerte/G076111/Oregano+frisch/?menge=100</t>
  </si>
  <si>
    <t>https://www.naehrwertrechner.de/naehrwerte/R221011/Oregano+%28Wilder+Majoran%29+Gew%C3%BCrz/?menge=100</t>
  </si>
  <si>
    <t>https://www.naehrwertrechner.de/naehrwerte/R150811/Austernso%C3%9Fe/?menge=100</t>
  </si>
  <si>
    <t>https://www.naehrwertrechner.de/naehrwerte/G324111/Pak+Choi+frisch/?menge=100</t>
  </si>
  <si>
    <t>https://www.naehrwertrechner.de/naehrwerte/F517100/Papaya+roh/?menge=100</t>
  </si>
  <si>
    <t>https://www.naehrwertrechner.de/naehrwerte/R251211/Paprika+edels%C3%BC%C3%9F/?menge=100</t>
  </si>
  <si>
    <t>https://www.naehrwertrechner.de/naehrwerte/G542111/Gem%C3%BCsepaprika+gelb+frisch/?menge=100</t>
  </si>
  <si>
    <t>https://www.naehrwertrechner.de/naehrwerte/R251011/Paprika+Gew%C3%BCrz/?menge=100</t>
  </si>
  <si>
    <t>https://www.naehrwertrechner.de/naehrwerte/R251111/Rosenpaprika/?menge=100</t>
  </si>
  <si>
    <t>https://www.naehrwertrechner.de/naehrwerte/G543111/Gem%C3%BCsepaprika+rot+frisch/?menge=100</t>
  </si>
  <si>
    <t>https://www.naehrwertrechner.de/naehrwerte/H180000/Paranuss/?menge=100</t>
  </si>
  <si>
    <t>https://www.naehrwertrechner.de/naehrwerte/F508111/Passionsfrucht+-+Maracuja+frisch/?menge=100</t>
  </si>
  <si>
    <t>https://www.naehrwertrechner.de/naehrwerte/G640100/Pastinake+roh/?menge=100</t>
  </si>
  <si>
    <t>https://www.naehrwertrechner.de/naehrwerte/H160111/Pecannuss+frisch/?menge=100</t>
  </si>
  <si>
    <t>https://www.naehrwertrechner.de/naehrwerte/G250111/Petersilienblatt+frisch/?menge=100</t>
  </si>
  <si>
    <t>https://www.naehrwertrechner.de/naehrwerte/G250400/Petersilienblatt+getrocknet/?menge=100</t>
  </si>
  <si>
    <t>https://www.naehrwertrechner.de/naehrwerte/R258111/Pfeffer+schwarz/?menge=100</t>
  </si>
  <si>
    <t>https://www.naehrwertrechner.de/naehrwerte/R258211/Pfeffer+wei%C3%9F/?menge=100</t>
  </si>
  <si>
    <t>https://www.naehrwertrechner.de/naehrwerte/K713111/Pfifferling+frisch/?menge=100</t>
  </si>
  <si>
    <t>https://www.naehrwertrechner.de/naehrwerte/F203111/Pfirsich+frisch/?menge=100</t>
  </si>
  <si>
    <t>https://www.naehrwertrechner.de/naehrwerte/F220111/Pflaumen+roh/?menge=100</t>
  </si>
  <si>
    <t>https://www.naehrwertrechner.de/naehrwerte/F552111/Kapstachelbeere+frisch/?menge=100</t>
  </si>
  <si>
    <t>https://www.naehrwertrechner.de/naehrwerte/R257011/Piment/?menge=100</t>
  </si>
  <si>
    <t>https://www.naehrwertrechner.de/naehrwerte/H320011/Pinienkern/?menge=100</t>
  </si>
  <si>
    <t>https://www.naehrwertrechner.de/naehrwerte/G701511/Wachtelbohnen+%28getrocknet%29/?menge=100</t>
  </si>
  <si>
    <t>https://www.naehrwertrechner.de/naehrwerte/H250000/Pistazie/?menge=100</t>
  </si>
  <si>
    <t>https://www.naehrwertrechner.de/naehrwerte/H830311/Pistazienmark+ungezuckert/?menge=100</t>
  </si>
  <si>
    <t>https://www.naehrwertrechner.de/naehrwerte/G460111/Portulak+frisch/?menge=100</t>
  </si>
  <si>
    <t>https://www.naehrwertrechner.de/naehrwerte/C118000/Quinoa+roh/?menge=100</t>
  </si>
  <si>
    <t>https://www.naehrwertrechner.de/naehrwerte/H670111/Getreidesprossen+frisch/?menge=100</t>
  </si>
  <si>
    <t>https://www.naehrwertrechner.de/naehrwerte/G106111/Radicchio+frisch/?menge=100</t>
  </si>
  <si>
    <t>https://www.naehrwertrechner.de/naehrwerte/G691111/Radieschen+frisch/?menge=100</t>
  </si>
  <si>
    <t>https://www.naehrwertrechner.de/naehrwerte/H990511/Radieschensprossen/?menge=100</t>
  </si>
  <si>
    <t>https://www.naehrwertrechner.de/naehrwerte/Q180000/R%C3%BCb%C3%B6l+%28Raps%C3%B6l%29/?menge=100</t>
  </si>
  <si>
    <t>https://www.naehrwertrechner.de/naehrwerte/R125000/Reisessig/?menge=100</t>
  </si>
  <si>
    <t>https://www.naehrwertrechner.de/naehrwerte/C457021/Reisdrink/?menge=100</t>
  </si>
  <si>
    <t>https://www.naehrwertrechner.de/naehrwerte/C354200/Reispapier/?menge=100</t>
  </si>
  <si>
    <t>https://www.naehrwertrechner.de/naehrwerte/G681111/Rettich+wei%C3%9F+frisch/?menge=100</t>
  </si>
  <si>
    <t>https://www.naehrwertrechner.de/naehrwerte/F081111/Rhabarber+frisch/?menge=100</t>
  </si>
  <si>
    <t>https://www.naehrwertrechner.de/naehrwerte/G613111/Rote+R%C3%BCbe+frisch/?menge=100</t>
  </si>
  <si>
    <t>https://www.naehrwertrechner.de/naehrwerte/C121001/Roggen+Vollkorn/?menge=100</t>
  </si>
  <si>
    <t>https://www.naehrwertrechner.de/naehrwerte/C123001/Roggen+Flocken/?menge=100</t>
  </si>
  <si>
    <t>https://www.naehrwertrechner.de/naehrwerte/C221011/Roggen+Vollkornmehl/?menge=100</t>
  </si>
  <si>
    <t>https://www.naehrwertrechner.de/naehrwerte/G107111/Romanosalat+frisch/?menge=100</t>
  </si>
  <si>
    <t>https://www.naehrwertrechner.de/naehrwerte/G350100/Romanesco+%28Minarettkohl%29+roh/?menge=100</t>
  </si>
  <si>
    <t>https://www.naehrwertrechner.de/naehrwerte/G332111/Rosenkohl+frisch/?menge=100</t>
  </si>
  <si>
    <t>https://www.naehrwertrechner.de/naehrwerte/G332211/Rosenkohl+tiefgefroren/?menge=100</t>
  </si>
  <si>
    <t>https://www.naehrwertrechner.de/naehrwerte/G078111/Rosmarin+frisch/?menge=100</t>
  </si>
  <si>
    <t>https://www.naehrwertrechner.de/naehrwerte/R223011/Rosmarin+Gew%C3%BCrz/?menge=100</t>
  </si>
  <si>
    <t>https://www.naehrwertrechner.de/naehrwerte/G341111/Rotkohl+frisch/?menge=100</t>
  </si>
  <si>
    <t>https://www.naehrwertrechner.de/naehrwerte/G130100/Rucola+roh/?menge=100</t>
  </si>
  <si>
    <t>https://www.naehrwertrechner.de/naehrwerte/R244011/Safran+Gew%C3%BCrz/?menge=100</t>
  </si>
  <si>
    <t>https://www.naehrwertrechner.de/naehrwerte/G079111/Salbei+frisch/?menge=100</t>
  </si>
  <si>
    <t>https://www.naehrwertrechner.de/naehrwerte/R225011/Salbei+Gew%C3%BCrz/?menge=100</t>
  </si>
  <si>
    <t>https://www.naehrwertrechner.de/naehrwerte/R146111/Chiliso%C3%9Fe+%28Sambal+Oelek%29/?menge=100</t>
  </si>
  <si>
    <t>https://www.naehrwertrechner.de/naehrwerte/G345111/Sauerkraut+abgetropft+frisch/?menge=100</t>
  </si>
  <si>
    <t>https://www.naehrwertrechner.de/naehrwerte/G081111/Schnittlauch+frisch/?menge=100</t>
  </si>
  <si>
    <t>https://www.naehrwertrechner.de/naehrwerte/G7201001/Schwarze+Bohnen+roh/?menge=100</t>
  </si>
  <si>
    <t>https://www.naehrwertrechner.de/naehrwerte/G650111/Schwarzwurzel+frisch/?menge=100</t>
  </si>
  <si>
    <t>https://www.naehrwertrechner.de/naehrwerte/J351211/Seidentofu/?menge=100</t>
  </si>
  <si>
    <t>https://www.naehrwertrechner.de/naehrwerte/C551011/Kleber+%28Gluten%29/?menge=100</t>
  </si>
  <si>
    <t>https://www.datayoureat.com/r/NwxAy3YZcJU2/Selleriesamen?u=metric&amp;n=full#nutrition</t>
  </si>
  <si>
    <t>https://www.naehrwertrechner.de/naehrwerte/R133000/Senf+scharf/?menge=100</t>
  </si>
  <si>
    <t>https://www.naehrwertrechner.de/naehrwerte/R272011/Senfkorn+gelb/?menge=100</t>
  </si>
  <si>
    <t>https://www.naehrwertrechner.de/naehrwerte/H660011/Andere+H%C3%BClsenfr%C3%BCchte+gekeimt/?menge=100</t>
  </si>
  <si>
    <t>https://www.naehrwertrechner.de/naehrwerte/H420000/Sesam/?menge=100</t>
  </si>
  <si>
    <t>https://www.naehrwertrechner.de/naehrwerte/K724111/Shiitakepilz+frisch/?menge=100</t>
  </si>
  <si>
    <t>https://www.naehrwertrechner.de/naehrwerte/J721000/Sojaso%C3%9Fe/?menge=100</t>
  </si>
  <si>
    <t>https://www.naehrwertrechner.de/naehrwerte/H760111/Sojabohnen+reif+roh/?menge=100</t>
  </si>
  <si>
    <t>https://www.naehrwertrechner.de/naehrwerte/H620111/Sojasprossen+frisch/?menge=100</t>
  </si>
  <si>
    <t>https://www.naehrwertrechner.de/naehrwerte/H850000/Sojaflocken/?menge=100</t>
  </si>
  <si>
    <t>https://www.naehrwertrechner.de/naehrwerte/H844000/Biologische+pflanzliche+Soja-Joghurtalternative/?menge=100</t>
  </si>
  <si>
    <t>https://www.naehrwertrechner.de/naehrwerte/J221011/Sojamehl/?menge=100</t>
  </si>
  <si>
    <t>https://www.naehrwertrechner.de/naehrwerte/H841000/Sojadrink+Sojadrinkprodukte/?menge=100</t>
  </si>
  <si>
    <t>https://www.naehrwertrechner.de/naehrwerte/H430000/Sonnenblumenkern/?menge=100</t>
  </si>
  <si>
    <t>https://www.naehrwertrechner.de/naehrwerte/G900111/Spargel+gr%C3%BCn/?menge=100</t>
  </si>
  <si>
    <t>https://www.naehrwertrechner.de/naehrwerte/G451111/Spargel+wei%C3%9F+frisch/?menge=100</t>
  </si>
  <si>
    <t>https://www.naehrwertrechner.de/naehrwerte/G211211/Blattspinat+tiefgefroren/?menge=100</t>
  </si>
  <si>
    <t>https://www.naehrwertrechner.de/naehrwerte/G004511/Spirulina+Pulver/?menge=100</t>
  </si>
  <si>
    <t>https://www.naehrwertrechner.de/naehrwerte/G344111/Spitzkohl+frisch/?menge=100</t>
  </si>
  <si>
    <t>https://www.naehrwertrechner.de/naehrwerte/G542111-1/Spitzpaprika+gelb+frisch/?menge=100</t>
  </si>
  <si>
    <t>https://www.naehrwertrechner.de/naehrwerte/G541111-1/Spitzpaprika+gr%C3%BCn+frisch/?menge=100</t>
  </si>
  <si>
    <t>https://www.naehrwertrechner.de/naehrwerte/G543111-1/Spitzpaprika+rot+frisch/?menge=100</t>
  </si>
  <si>
    <t>https://www.naehrwertrechner.de/naehrwerte/F305111/Stachelbeere+frisch/?menge=100</t>
  </si>
  <si>
    <t>https://www.naehrwertrechner.de/naehrwerte/G220111/Bleichsellerie+frisch/?menge=100</t>
  </si>
  <si>
    <t>https://www.naehrwertrechner.de/naehrwerte/K718111/Steinpilz+frisch/?menge=100</t>
  </si>
  <si>
    <t>https://www.naehrwertrechner.de/naehrwerte/K420000/Batate+%28S%C3%BC%C3%9Fkartoffel%29/?menge=100</t>
  </si>
  <si>
    <t>https://www.naehrwertrechner.de/naehrwerte/R149311/Tabasco/?menge=100</t>
  </si>
  <si>
    <t>https://www.naehrwertrechner.de/naehrwerte/J521111/Tahini+aus+rohem+Sesam/?menge=100</t>
  </si>
  <si>
    <t>https://www.naehrwertrechner.de/naehrwerte/C263011/Teffmehl/?menge=100</t>
  </si>
  <si>
    <t>https://www.naehrwertrechner.de/naehrwerte/J372001/Tempeh/?menge=100</t>
  </si>
  <si>
    <t>https://www.naehrwertrechner.de/naehrwerte/G082111/Thymian+frisch/?menge=100</t>
  </si>
  <si>
    <t>https://www.naehrwertrechner.de/naehrwerte/R226011/Thymian+Gew%C3%BCrz/?menge=100</t>
  </si>
  <si>
    <t>https://www.naehrwertrechner.de/naehrwerte/G563200/Cocktailtomaten/?menge=100</t>
  </si>
  <si>
    <t>https://www.naehrwertrechner.de/naehrwerte/R161201/Tomatenp%C3%BCree/?menge=100</t>
  </si>
  <si>
    <t>https://www.naehrwertrechner.de/naehrwerte/G560400/Tomaten+getrocknet/?menge=100</t>
  </si>
  <si>
    <t>https://www.naehrwertrechner.de/naehrwerte/R160000/Tomatenmark/?menge=100</t>
  </si>
  <si>
    <t>https://www.naehrwertrechner.de/naehrwerte/K430111/Topinambur+frisch/?menge=100</t>
  </si>
  <si>
    <t>https://www.naehrwertrechner.de/naehrwerte/F312111/Weintraube+wei%C3%9F+frisch/?menge=100</t>
  </si>
  <si>
    <t>https://www.naehrwertrechner.de/naehrwerte/F311111/Weintraube+rot+frisch/?menge=100</t>
  </si>
  <si>
    <t>https://www.naehrwertrechner.de/naehrwerte/K702111/Tr%C3%BCffel+frisch/?menge=100</t>
  </si>
  <si>
    <t>https://www.naehrwertrechner.de/naehrwerte/R264011/Vanilleschote/?menge=100</t>
  </si>
  <si>
    <t>https://www.naehrwertrechner.de/naehrwerte/B461011/Vollkornbr%C3%B6tchen-Weizen%2C+Roggenvollkornbr%C3%B6tchen/?menge=100</t>
  </si>
  <si>
    <t>https://www.naehrwertrechner.de/naehrwerte/H120000/Waln%C3%BCsse/?menge=100</t>
  </si>
  <si>
    <t>https://www.naehrwertrechner.de/naehrwerte/G693100/Wasabi+roh/?menge=100</t>
  </si>
  <si>
    <t>https://www.naehrwertrechner.de/naehrwerte/F535100/Wassermelone+roh/?menge=100</t>
  </si>
  <si>
    <t>https://www.naehrwertrechner.de/naehrwerte/H741111/Bohne+wei%C3%9F+reif+frisch/?menge=100</t>
  </si>
  <si>
    <t>https://www.naehrwertrechner.de/naehrwerte/H740121/Bohne+wei%C3%9F+frisch+gegart/?menge=100</t>
  </si>
  <si>
    <t>https://www.naehrwertrechner.de/naehrwerte/G342111/Wei%C3%9Fkohl+frisch/?menge=100</t>
  </si>
  <si>
    <t>https://www.naehrwertrechner.de/naehrwerte/C113111/Weizen+Vollkornflocken/?menge=100</t>
  </si>
  <si>
    <t>https://www.naehrwertrechner.de/naehrwerte/C115001/Weizen+Keimflocken/?menge=100</t>
  </si>
  <si>
    <t>https://www.naehrwertrechner.de/naehrwerte/C211000/Weizen+Vollkornmehl/?menge=100</t>
  </si>
  <si>
    <t>https://www.naehrwertrechner.de/naehrwerte/G343111/Wirsingkohl+frisch/?menge=100</t>
  </si>
  <si>
    <t>https://www.naehrwertrechner.de/naehrwerte/R219011/Zimt+Ceylon+%28gemahlen%29/?menge=100</t>
  </si>
  <si>
    <t>https://www.naehrwertrechner.de/naehrwerte/F601111/Zitrone+frisch/?menge=100</t>
  </si>
  <si>
    <t>https://www.naehrwertrechner.de/naehrwerte/G997000/Zitronengras/?menge=100</t>
  </si>
  <si>
    <t>https://www.naehrwertrechner.de/naehrwerte/G085111/Zitronenmelisse+frisch/?menge=100</t>
  </si>
  <si>
    <t>https://www.naehrwertrechner.de/naehrwerte/G085411/Zitronenmelisse+getrocknet/?menge=100</t>
  </si>
  <si>
    <t>https://www.naehrwertrechner.de/naehrwerte/G582111/Zucchini+frisch/?menge=100</t>
  </si>
  <si>
    <t>https://www.naehrwertrechner.de/naehrwerte/S110000/Zucker/?menge=100</t>
  </si>
  <si>
    <t>https://www.naehrwertrechner.de/naehrwerte/F223111/Zwetschge+frisch/?menge=100</t>
  </si>
  <si>
    <t>https://www.naehrwertrechner.de/naehrwerte/G480100/Zwiebeln+roh/?menge=100</t>
  </si>
  <si>
    <t>https://www.naehrwertrechner.de/naehrwerte/G480500/Zwiebeln+Pulver/?menge=100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</si>
</sst>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1"/>
    <xf numFmtId="0" fontId="0" fillId="2" borderId="0" xfId="0" applyFill="1"/>
    <xf numFmtId="2" fontId="0" fillId="0" borderId="0" xfId="0" applyNumberFormat="1"/>
    <xf numFmtId="0" fontId="1" fillId="0" borderId="0" xfId="1" applyFill="1"/>
    <xf numFmtId="0" fontId="0" fillId="3" borderId="0" xfId="0" applyFill="1"/>
    <xf numFmtId="0" fontId="2" fillId="0" borderId="0" xfId="0" applyFont="1"/>
    <xf numFmtId="0" fontId="0" fillId="0" borderId="8" xfId="0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89990992945b7b1/03%20Kochen/App/Database_%20V0.1.xlsx" TargetMode="External"/><Relationship Id="rId1" Type="http://schemas.openxmlformats.org/officeDocument/2006/relationships/externalLinkPath" Target="App/Database_%20V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Übersicht"/>
      <sheetName val="month"/>
      <sheetName val="nutrients"/>
      <sheetName val="ingredient"/>
      <sheetName val="ingredient_nutrients_extr"/>
      <sheetName val="ingredient_nutrient_conv"/>
      <sheetName val="unit"/>
      <sheetName val="ingredient_unit_extr"/>
      <sheetName val="ingredient_unit"/>
      <sheetName val="ingredient_properties"/>
      <sheetName val="ingredient_seasonality"/>
      <sheetName val="ingredient_seasonality_conv"/>
      <sheetName val="seasonality"/>
      <sheetName val="recipe"/>
      <sheetName val="recipe_category"/>
      <sheetName val="recipe_ingredients_extr"/>
      <sheetName val="recipe_ingredients_conv"/>
      <sheetName val="steps"/>
      <sheetName val="recipe_steps"/>
      <sheetName val="tags"/>
      <sheetName val="countries"/>
      <sheetName val="tag_categorie"/>
      <sheetName val="recipe_tags_extr"/>
      <sheetName val="recipe_tags_conv"/>
      <sheetName val="recipe_properties"/>
      <sheetName val="recipe_recipe_properties_extr"/>
      <sheetName val="recipe_recipe_properties_conv"/>
    </sheetNames>
    <sheetDataSet>
      <sheetData sheetId="0"/>
      <sheetData sheetId="1"/>
      <sheetData sheetId="2"/>
      <sheetData sheetId="3">
        <row r="2">
          <cell r="A2">
            <v>1</v>
          </cell>
          <cell r="B2" t="str">
            <v>Ackerbohnen</v>
          </cell>
        </row>
        <row r="3">
          <cell r="A3">
            <v>2</v>
          </cell>
          <cell r="B3" t="str">
            <v>Ackerbohnen, gefroren</v>
          </cell>
        </row>
        <row r="4">
          <cell r="A4">
            <v>3</v>
          </cell>
          <cell r="B4" t="str">
            <v>Alfala-Sprossen</v>
          </cell>
        </row>
        <row r="5">
          <cell r="A5">
            <v>4</v>
          </cell>
          <cell r="B5" t="str">
            <v>Amaranth</v>
          </cell>
        </row>
        <row r="6">
          <cell r="A6">
            <v>5</v>
          </cell>
          <cell r="B6" t="str">
            <v>Ananas</v>
          </cell>
        </row>
        <row r="7">
          <cell r="A7">
            <v>6</v>
          </cell>
          <cell r="B7" t="str">
            <v>Anis</v>
          </cell>
        </row>
        <row r="8">
          <cell r="A8">
            <v>7</v>
          </cell>
          <cell r="B8" t="str">
            <v>Äpfel</v>
          </cell>
        </row>
        <row r="9">
          <cell r="A9">
            <v>8</v>
          </cell>
          <cell r="B9" t="str">
            <v>Apfel-Essig</v>
          </cell>
        </row>
        <row r="10">
          <cell r="A10">
            <v>9</v>
          </cell>
          <cell r="B10" t="str">
            <v>Aprikosen</v>
          </cell>
        </row>
        <row r="11">
          <cell r="A11">
            <v>10</v>
          </cell>
          <cell r="B11" t="str">
            <v>Artischoken</v>
          </cell>
        </row>
        <row r="12">
          <cell r="A12">
            <v>11</v>
          </cell>
          <cell r="B12" t="str">
            <v>Auberginen</v>
          </cell>
        </row>
        <row r="13">
          <cell r="A13">
            <v>12</v>
          </cell>
          <cell r="B13" t="str">
            <v>Auberginen weiß</v>
          </cell>
        </row>
        <row r="14">
          <cell r="A14">
            <v>13</v>
          </cell>
          <cell r="B14" t="str">
            <v>Augenbohnen</v>
          </cell>
        </row>
        <row r="15">
          <cell r="A15">
            <v>14</v>
          </cell>
          <cell r="B15" t="str">
            <v>Austernpilze</v>
          </cell>
        </row>
        <row r="16">
          <cell r="A16">
            <v>15</v>
          </cell>
          <cell r="B16" t="str">
            <v>Avocado</v>
          </cell>
        </row>
        <row r="17">
          <cell r="A17">
            <v>16</v>
          </cell>
          <cell r="B17" t="str">
            <v>Azuki-Bohnen</v>
          </cell>
        </row>
        <row r="18">
          <cell r="A18">
            <v>17</v>
          </cell>
          <cell r="B18" t="str">
            <v>Baby-Mangold</v>
          </cell>
        </row>
        <row r="19">
          <cell r="A19">
            <v>18</v>
          </cell>
          <cell r="B19" t="str">
            <v>Baby-Spinat</v>
          </cell>
        </row>
        <row r="20">
          <cell r="A20">
            <v>19</v>
          </cell>
          <cell r="B20" t="str">
            <v>Backpulver</v>
          </cell>
        </row>
        <row r="21">
          <cell r="A21">
            <v>20</v>
          </cell>
          <cell r="B21" t="str">
            <v>Baharat</v>
          </cell>
        </row>
        <row r="22">
          <cell r="A22">
            <v>21</v>
          </cell>
          <cell r="B22" t="str">
            <v>Balsamico-Essig</v>
          </cell>
        </row>
        <row r="23">
          <cell r="A23">
            <v>22</v>
          </cell>
          <cell r="B23" t="str">
            <v>Bananen</v>
          </cell>
        </row>
        <row r="24">
          <cell r="A24">
            <v>23</v>
          </cell>
          <cell r="B24" t="str">
            <v>Bärlauch</v>
          </cell>
        </row>
        <row r="25">
          <cell r="A25">
            <v>24</v>
          </cell>
          <cell r="B25" t="str">
            <v>Basilikum</v>
          </cell>
        </row>
        <row r="26">
          <cell r="A26">
            <v>25</v>
          </cell>
          <cell r="B26" t="str">
            <v>Basilikum, getrocknet</v>
          </cell>
        </row>
        <row r="27">
          <cell r="A27">
            <v>26</v>
          </cell>
          <cell r="B27" t="str">
            <v>Batavia-Salat</v>
          </cell>
        </row>
        <row r="28">
          <cell r="A28">
            <v>27</v>
          </cell>
          <cell r="B28" t="str">
            <v>Beeren</v>
          </cell>
        </row>
        <row r="29">
          <cell r="A29">
            <v>28</v>
          </cell>
          <cell r="B29" t="str">
            <v>Beeren, gefroren</v>
          </cell>
        </row>
        <row r="30">
          <cell r="A30">
            <v>29</v>
          </cell>
          <cell r="B30" t="str">
            <v>Belugalinsen</v>
          </cell>
        </row>
        <row r="31">
          <cell r="A31">
            <v>30</v>
          </cell>
          <cell r="B31" t="str">
            <v>Birnen</v>
          </cell>
        </row>
        <row r="32">
          <cell r="A32">
            <v>31</v>
          </cell>
          <cell r="B32" t="str">
            <v>Blattkohl</v>
          </cell>
        </row>
        <row r="33">
          <cell r="A33">
            <v>32</v>
          </cell>
          <cell r="B33" t="str">
            <v>Blattsalat</v>
          </cell>
        </row>
        <row r="34">
          <cell r="A34">
            <v>33</v>
          </cell>
          <cell r="B34" t="str">
            <v>Blumenkohl</v>
          </cell>
        </row>
        <row r="35">
          <cell r="A35">
            <v>34</v>
          </cell>
          <cell r="B35" t="str">
            <v>Blumenkohl gelb</v>
          </cell>
        </row>
        <row r="36">
          <cell r="A36">
            <v>35</v>
          </cell>
          <cell r="B36" t="str">
            <v>Blumenkohl grün</v>
          </cell>
        </row>
        <row r="37">
          <cell r="A37">
            <v>36</v>
          </cell>
          <cell r="B37" t="str">
            <v>Blumenkohl violett</v>
          </cell>
        </row>
        <row r="38">
          <cell r="A38">
            <v>37</v>
          </cell>
          <cell r="B38" t="str">
            <v>Blumenkohl, gefroren</v>
          </cell>
        </row>
        <row r="39">
          <cell r="A39">
            <v>38</v>
          </cell>
          <cell r="B39" t="str">
            <v>Blutorangen</v>
          </cell>
        </row>
        <row r="40">
          <cell r="A40">
            <v>39</v>
          </cell>
          <cell r="B40" t="str">
            <v>Bohnenkraut</v>
          </cell>
        </row>
        <row r="41">
          <cell r="A41">
            <v>40</v>
          </cell>
          <cell r="B41" t="str">
            <v>Bratpaprika</v>
          </cell>
        </row>
        <row r="42">
          <cell r="A42">
            <v>41</v>
          </cell>
          <cell r="B42" t="str">
            <v>Braunhirse</v>
          </cell>
        </row>
        <row r="43">
          <cell r="A43">
            <v>42</v>
          </cell>
          <cell r="B43" t="str">
            <v>Brechbohnen, gefroren</v>
          </cell>
        </row>
        <row r="44">
          <cell r="A44">
            <v>43</v>
          </cell>
          <cell r="B44" t="str">
            <v>Brokkoli</v>
          </cell>
        </row>
        <row r="45">
          <cell r="A45">
            <v>44</v>
          </cell>
          <cell r="B45" t="str">
            <v>Brokkoli, gefroren</v>
          </cell>
        </row>
        <row r="46">
          <cell r="A46">
            <v>45</v>
          </cell>
          <cell r="B46" t="str">
            <v>Brokkoli-Sprossen</v>
          </cell>
        </row>
        <row r="47">
          <cell r="A47">
            <v>46</v>
          </cell>
          <cell r="B47" t="str">
            <v>Brombeeren</v>
          </cell>
        </row>
        <row r="48">
          <cell r="A48">
            <v>47</v>
          </cell>
          <cell r="B48" t="str">
            <v>Brunnenkresse</v>
          </cell>
        </row>
        <row r="49">
          <cell r="A49">
            <v>48</v>
          </cell>
          <cell r="B49" t="str">
            <v>Buchweizen</v>
          </cell>
        </row>
        <row r="50">
          <cell r="A50">
            <v>49</v>
          </cell>
          <cell r="B50" t="str">
            <v>Buchweizenflocken</v>
          </cell>
        </row>
        <row r="51">
          <cell r="A51">
            <v>50</v>
          </cell>
          <cell r="B51" t="str">
            <v>Buchweizenmehl</v>
          </cell>
        </row>
        <row r="52">
          <cell r="A52">
            <v>51</v>
          </cell>
          <cell r="B52" t="str">
            <v>Buchweizen-Spaghetti</v>
          </cell>
        </row>
        <row r="53">
          <cell r="A53">
            <v>52</v>
          </cell>
          <cell r="B53" t="str">
            <v>Buchweizen-Sprossen</v>
          </cell>
        </row>
        <row r="54">
          <cell r="A54">
            <v>53</v>
          </cell>
          <cell r="B54" t="str">
            <v>Bulgur</v>
          </cell>
        </row>
        <row r="55">
          <cell r="A55">
            <v>54</v>
          </cell>
          <cell r="B55" t="str">
            <v>Buschbohnen</v>
          </cell>
        </row>
        <row r="56">
          <cell r="A56">
            <v>55</v>
          </cell>
          <cell r="B56" t="str">
            <v>Buschbohnen borlotto</v>
          </cell>
        </row>
        <row r="57">
          <cell r="A57">
            <v>56</v>
          </cell>
          <cell r="B57" t="str">
            <v>Buschbohnen gelb</v>
          </cell>
        </row>
        <row r="58">
          <cell r="A58">
            <v>57</v>
          </cell>
          <cell r="B58" t="str">
            <v>Buschbohnen violett</v>
          </cell>
        </row>
        <row r="59">
          <cell r="A59">
            <v>58</v>
          </cell>
          <cell r="B59" t="str">
            <v>Cannellinibohnen</v>
          </cell>
        </row>
        <row r="60">
          <cell r="A60">
            <v>59</v>
          </cell>
          <cell r="B60" t="str">
            <v>Cashewkerne</v>
          </cell>
        </row>
        <row r="61">
          <cell r="A61">
            <v>60</v>
          </cell>
          <cell r="B61" t="str">
            <v>Cashewmilch</v>
          </cell>
        </row>
        <row r="62">
          <cell r="A62">
            <v>61</v>
          </cell>
          <cell r="B62" t="str">
            <v>Cashewmus</v>
          </cell>
        </row>
        <row r="63">
          <cell r="A63">
            <v>62</v>
          </cell>
          <cell r="B63" t="str">
            <v>Cayennepfeffer</v>
          </cell>
        </row>
        <row r="64">
          <cell r="A64">
            <v>63</v>
          </cell>
          <cell r="B64" t="str">
            <v>Champignons braun</v>
          </cell>
        </row>
        <row r="65">
          <cell r="A65">
            <v>64</v>
          </cell>
          <cell r="B65" t="str">
            <v>Champignons weiß</v>
          </cell>
        </row>
        <row r="66">
          <cell r="A66">
            <v>65</v>
          </cell>
          <cell r="B66" t="str">
            <v>Chana-Dal</v>
          </cell>
        </row>
        <row r="67">
          <cell r="A67">
            <v>66</v>
          </cell>
          <cell r="B67" t="str">
            <v>Cherimoya</v>
          </cell>
        </row>
        <row r="68">
          <cell r="A68">
            <v>67</v>
          </cell>
          <cell r="B68" t="str">
            <v>Chiasamen</v>
          </cell>
        </row>
        <row r="69">
          <cell r="A69">
            <v>68</v>
          </cell>
          <cell r="B69" t="str">
            <v>Chicoree</v>
          </cell>
        </row>
        <row r="70">
          <cell r="A70">
            <v>69</v>
          </cell>
          <cell r="B70" t="str">
            <v>Chili</v>
          </cell>
        </row>
        <row r="71">
          <cell r="A71">
            <v>70</v>
          </cell>
          <cell r="B71" t="str">
            <v>Chiliflocken</v>
          </cell>
        </row>
        <row r="72">
          <cell r="A72">
            <v>71</v>
          </cell>
          <cell r="B72" t="str">
            <v>Chilischoten</v>
          </cell>
        </row>
        <row r="73">
          <cell r="A73">
            <v>72</v>
          </cell>
          <cell r="B73" t="str">
            <v>Chinakohl</v>
          </cell>
        </row>
        <row r="74">
          <cell r="A74">
            <v>73</v>
          </cell>
          <cell r="B74" t="str">
            <v>Chinakohl violett</v>
          </cell>
        </row>
        <row r="75">
          <cell r="A75">
            <v>74</v>
          </cell>
          <cell r="B75" t="str">
            <v>Clementinen</v>
          </cell>
        </row>
        <row r="76">
          <cell r="A76">
            <v>75</v>
          </cell>
          <cell r="B76" t="str">
            <v>Couscous</v>
          </cell>
        </row>
        <row r="77">
          <cell r="A77">
            <v>76</v>
          </cell>
          <cell r="B77" t="str">
            <v>Cranberries</v>
          </cell>
        </row>
        <row r="78">
          <cell r="A78">
            <v>77</v>
          </cell>
          <cell r="B78" t="str">
            <v>Curry</v>
          </cell>
        </row>
        <row r="79">
          <cell r="A79">
            <v>78</v>
          </cell>
          <cell r="B79" t="str">
            <v>Curry rot</v>
          </cell>
        </row>
        <row r="80">
          <cell r="A80">
            <v>79</v>
          </cell>
          <cell r="B80" t="str">
            <v>Datteln, getrocknet</v>
          </cell>
        </row>
        <row r="81">
          <cell r="A81">
            <v>80</v>
          </cell>
          <cell r="B81" t="str">
            <v>Dill</v>
          </cell>
        </row>
        <row r="82">
          <cell r="A82">
            <v>81</v>
          </cell>
          <cell r="B82" t="str">
            <v>Dill, getrocknet</v>
          </cell>
        </row>
        <row r="83">
          <cell r="A83">
            <v>82</v>
          </cell>
          <cell r="B83" t="str">
            <v>Dinkel</v>
          </cell>
        </row>
        <row r="84">
          <cell r="A84">
            <v>83</v>
          </cell>
          <cell r="B84" t="str">
            <v>Dinkelflocken</v>
          </cell>
        </row>
        <row r="85">
          <cell r="A85">
            <v>84</v>
          </cell>
          <cell r="B85" t="str">
            <v>Dinkelmehl</v>
          </cell>
        </row>
        <row r="86">
          <cell r="A86">
            <v>85</v>
          </cell>
          <cell r="B86" t="str">
            <v>Dinkelmilch</v>
          </cell>
        </row>
        <row r="87">
          <cell r="A87">
            <v>86</v>
          </cell>
          <cell r="B87" t="str">
            <v>Dinkel-Vollkorn Bandnudeln</v>
          </cell>
        </row>
        <row r="88">
          <cell r="A88">
            <v>87</v>
          </cell>
          <cell r="B88" t="str">
            <v>Dinkel-Vollkorn Farfalle</v>
          </cell>
        </row>
        <row r="89">
          <cell r="A89">
            <v>88</v>
          </cell>
          <cell r="B89" t="str">
            <v>Dinkel-Vollkorn Fusilli</v>
          </cell>
        </row>
        <row r="90">
          <cell r="A90">
            <v>89</v>
          </cell>
          <cell r="B90" t="str">
            <v>Dinkel-Vollkorn Linguine</v>
          </cell>
        </row>
        <row r="91">
          <cell r="A91">
            <v>90</v>
          </cell>
          <cell r="B91" t="str">
            <v>Dinkel-Vollkorn Penne</v>
          </cell>
        </row>
        <row r="92">
          <cell r="A92">
            <v>91</v>
          </cell>
          <cell r="B92" t="str">
            <v>Dinkel-Vollkorn Pipette Rigate</v>
          </cell>
        </row>
        <row r="93">
          <cell r="A93">
            <v>92</v>
          </cell>
          <cell r="B93" t="str">
            <v>Drachenfrucht</v>
          </cell>
        </row>
        <row r="94">
          <cell r="A94">
            <v>93</v>
          </cell>
          <cell r="B94" t="str">
            <v>Edamame</v>
          </cell>
        </row>
        <row r="95">
          <cell r="A95">
            <v>94</v>
          </cell>
          <cell r="B95" t="str">
            <v>Einkorn</v>
          </cell>
        </row>
        <row r="96">
          <cell r="A96">
            <v>95</v>
          </cell>
          <cell r="B96" t="str">
            <v>Eisbergsalat</v>
          </cell>
        </row>
        <row r="97">
          <cell r="A97">
            <v>96</v>
          </cell>
          <cell r="B97" t="str">
            <v>Emmer</v>
          </cell>
        </row>
        <row r="98">
          <cell r="A98">
            <v>97</v>
          </cell>
          <cell r="B98" t="str">
            <v>Emmer-Vollkorn Fusilli</v>
          </cell>
        </row>
        <row r="99">
          <cell r="A99">
            <v>98</v>
          </cell>
          <cell r="B99" t="str">
            <v>Emmer-Vollkorn Penne</v>
          </cell>
        </row>
        <row r="100">
          <cell r="A100">
            <v>99</v>
          </cell>
          <cell r="B100" t="str">
            <v>Endivien-Salat</v>
          </cell>
        </row>
        <row r="101">
          <cell r="A101">
            <v>100</v>
          </cell>
          <cell r="B101" t="str">
            <v>Enoki</v>
          </cell>
        </row>
        <row r="102">
          <cell r="A102">
            <v>101</v>
          </cell>
          <cell r="B102" t="str">
            <v>Erbsen gelb</v>
          </cell>
        </row>
        <row r="103">
          <cell r="A103">
            <v>102</v>
          </cell>
          <cell r="B103" t="str">
            <v>Erbsen grün</v>
          </cell>
        </row>
        <row r="104">
          <cell r="A104">
            <v>103</v>
          </cell>
          <cell r="B104" t="str">
            <v>Erbsen grün, gefroren</v>
          </cell>
        </row>
        <row r="105">
          <cell r="A105">
            <v>104</v>
          </cell>
          <cell r="B105" t="str">
            <v>Erbsen grün, gekocht</v>
          </cell>
        </row>
        <row r="106">
          <cell r="A106">
            <v>105</v>
          </cell>
          <cell r="B106" t="str">
            <v>Erbsenmilch</v>
          </cell>
        </row>
        <row r="107">
          <cell r="A107">
            <v>106</v>
          </cell>
          <cell r="B107" t="str">
            <v>Erbsennudeln</v>
          </cell>
        </row>
        <row r="108">
          <cell r="A108">
            <v>107</v>
          </cell>
          <cell r="B108" t="str">
            <v>Erbsen-Sprossen</v>
          </cell>
        </row>
        <row r="109">
          <cell r="A109">
            <v>108</v>
          </cell>
          <cell r="B109" t="str">
            <v>Erdbeeren</v>
          </cell>
        </row>
        <row r="110">
          <cell r="A110">
            <v>109</v>
          </cell>
          <cell r="B110" t="str">
            <v>Erdbeeren, gefroren</v>
          </cell>
        </row>
        <row r="111">
          <cell r="A111">
            <v>110</v>
          </cell>
          <cell r="B111" t="str">
            <v>Erdmandeln</v>
          </cell>
        </row>
        <row r="112">
          <cell r="A112">
            <v>111</v>
          </cell>
          <cell r="B112" t="str">
            <v>Erdnüsse</v>
          </cell>
        </row>
        <row r="113">
          <cell r="A113">
            <v>112</v>
          </cell>
          <cell r="B113" t="str">
            <v>Erdnussmus</v>
          </cell>
        </row>
        <row r="114">
          <cell r="A114">
            <v>113</v>
          </cell>
          <cell r="B114" t="str">
            <v>Estragon</v>
          </cell>
        </row>
        <row r="115">
          <cell r="A115">
            <v>114</v>
          </cell>
          <cell r="B115" t="str">
            <v>Estragon, getrocknet</v>
          </cell>
        </row>
        <row r="116">
          <cell r="A116">
            <v>115</v>
          </cell>
          <cell r="B116" t="str">
            <v>Feigen</v>
          </cell>
        </row>
        <row r="117">
          <cell r="A117">
            <v>116</v>
          </cell>
          <cell r="B117" t="str">
            <v>Feldsalat</v>
          </cell>
        </row>
        <row r="118">
          <cell r="A118">
            <v>117</v>
          </cell>
          <cell r="B118" t="str">
            <v>Felsenbirnen</v>
          </cell>
        </row>
        <row r="119">
          <cell r="A119">
            <v>118</v>
          </cell>
          <cell r="B119" t="str">
            <v>Fenchel</v>
          </cell>
        </row>
        <row r="120">
          <cell r="A120">
            <v>119</v>
          </cell>
          <cell r="B120" t="str">
            <v>Fenchelsamen</v>
          </cell>
        </row>
        <row r="121">
          <cell r="A121">
            <v>120</v>
          </cell>
          <cell r="B121" t="str">
            <v>Flohsamenschalen</v>
          </cell>
        </row>
        <row r="122">
          <cell r="A122">
            <v>121</v>
          </cell>
          <cell r="B122" t="str">
            <v>Frisee-Salat</v>
          </cell>
        </row>
        <row r="123">
          <cell r="A123">
            <v>122</v>
          </cell>
          <cell r="B123" t="str">
            <v>Frühlingszwiebeln</v>
          </cell>
        </row>
        <row r="124">
          <cell r="A124">
            <v>123</v>
          </cell>
          <cell r="B124" t="str">
            <v>Garam Massala</v>
          </cell>
        </row>
        <row r="125">
          <cell r="A125">
            <v>124</v>
          </cell>
          <cell r="B125" t="str">
            <v>Gelbe Beete</v>
          </cell>
        </row>
        <row r="126">
          <cell r="A126">
            <v>125</v>
          </cell>
          <cell r="B126" t="str">
            <v>Gelbe Linsennudeln</v>
          </cell>
        </row>
        <row r="127">
          <cell r="A127">
            <v>126</v>
          </cell>
          <cell r="B127" t="str">
            <v>Gerste</v>
          </cell>
        </row>
        <row r="128">
          <cell r="A128">
            <v>127</v>
          </cell>
          <cell r="B128" t="str">
            <v>Gerstenflocken</v>
          </cell>
        </row>
        <row r="129">
          <cell r="A129">
            <v>128</v>
          </cell>
          <cell r="B129" t="str">
            <v>Gewürzgurken</v>
          </cell>
        </row>
        <row r="130">
          <cell r="A130">
            <v>129</v>
          </cell>
          <cell r="B130" t="str">
            <v>Goji-Beeren, getrocknet</v>
          </cell>
        </row>
        <row r="131">
          <cell r="A131">
            <v>130</v>
          </cell>
          <cell r="B131" t="str">
            <v>Granatapfel</v>
          </cell>
        </row>
        <row r="132">
          <cell r="A132">
            <v>131</v>
          </cell>
          <cell r="B132" t="str">
            <v>Grapefruit rot</v>
          </cell>
        </row>
        <row r="133">
          <cell r="A133">
            <v>132</v>
          </cell>
          <cell r="B133" t="str">
            <v>Grapefruit weiß</v>
          </cell>
        </row>
        <row r="134">
          <cell r="A134">
            <v>133</v>
          </cell>
          <cell r="B134" t="str">
            <v>Grünkern</v>
          </cell>
        </row>
        <row r="135">
          <cell r="A135">
            <v>134</v>
          </cell>
          <cell r="B135" t="str">
            <v>Grünkernflocken</v>
          </cell>
        </row>
        <row r="136">
          <cell r="A136">
            <v>135</v>
          </cell>
          <cell r="B136" t="str">
            <v>Grünkohl</v>
          </cell>
        </row>
        <row r="137">
          <cell r="A137">
            <v>136</v>
          </cell>
          <cell r="B137" t="str">
            <v>Grünkohl rot</v>
          </cell>
        </row>
        <row r="138">
          <cell r="A138">
            <v>137</v>
          </cell>
          <cell r="B138" t="str">
            <v>Grünkohl, gefroren</v>
          </cell>
        </row>
        <row r="139">
          <cell r="A139">
            <v>138</v>
          </cell>
          <cell r="B139" t="str">
            <v>Grünkohl-Sprossen</v>
          </cell>
        </row>
        <row r="140">
          <cell r="A140">
            <v>139</v>
          </cell>
          <cell r="B140" t="str">
            <v>Guaven</v>
          </cell>
        </row>
        <row r="141">
          <cell r="A141">
            <v>140</v>
          </cell>
          <cell r="B141" t="str">
            <v>Gurken</v>
          </cell>
        </row>
        <row r="142">
          <cell r="A142">
            <v>141</v>
          </cell>
          <cell r="B142" t="str">
            <v>Gyrosgewürz</v>
          </cell>
        </row>
        <row r="143">
          <cell r="A143">
            <v>142</v>
          </cell>
          <cell r="B143" t="str">
            <v>Hafer</v>
          </cell>
        </row>
        <row r="144">
          <cell r="A144">
            <v>143</v>
          </cell>
          <cell r="B144" t="str">
            <v>Haferflocken</v>
          </cell>
        </row>
        <row r="145">
          <cell r="A145">
            <v>144</v>
          </cell>
          <cell r="B145" t="str">
            <v>Haferjoghurt</v>
          </cell>
        </row>
        <row r="146">
          <cell r="A146">
            <v>145</v>
          </cell>
          <cell r="B146" t="str">
            <v>Haferkleie</v>
          </cell>
        </row>
        <row r="147">
          <cell r="A147">
            <v>146</v>
          </cell>
          <cell r="B147" t="str">
            <v>Hafermehl</v>
          </cell>
        </row>
        <row r="148">
          <cell r="A148">
            <v>147</v>
          </cell>
          <cell r="B148" t="str">
            <v>Hafermilch</v>
          </cell>
        </row>
        <row r="149">
          <cell r="A149">
            <v>148</v>
          </cell>
          <cell r="B149" t="str">
            <v>Hanfmilch</v>
          </cell>
        </row>
        <row r="150">
          <cell r="A150">
            <v>149</v>
          </cell>
          <cell r="B150" t="str">
            <v>Hanfsamen</v>
          </cell>
        </row>
        <row r="151">
          <cell r="A151">
            <v>150</v>
          </cell>
          <cell r="B151" t="str">
            <v>Harissa</v>
          </cell>
        </row>
        <row r="152">
          <cell r="A152">
            <v>151</v>
          </cell>
          <cell r="B152" t="str">
            <v>Hartweizengrieß</v>
          </cell>
        </row>
        <row r="153">
          <cell r="A153">
            <v>152</v>
          </cell>
          <cell r="B153" t="str">
            <v>Haselnusskerne</v>
          </cell>
        </row>
        <row r="154">
          <cell r="A154">
            <v>153</v>
          </cell>
          <cell r="B154" t="str">
            <v>Haselnussmilch</v>
          </cell>
        </row>
        <row r="155">
          <cell r="A155">
            <v>154</v>
          </cell>
          <cell r="B155" t="str">
            <v>Haselnussmus</v>
          </cell>
        </row>
        <row r="156">
          <cell r="A156">
            <v>155</v>
          </cell>
          <cell r="B156" t="str">
            <v>Hefe</v>
          </cell>
        </row>
        <row r="157">
          <cell r="A157">
            <v>156</v>
          </cell>
          <cell r="B157" t="str">
            <v>Hefeflocken</v>
          </cell>
        </row>
        <row r="158">
          <cell r="A158">
            <v>157</v>
          </cell>
          <cell r="B158" t="str">
            <v>Heidelbeeren</v>
          </cell>
        </row>
        <row r="159">
          <cell r="A159">
            <v>158</v>
          </cell>
          <cell r="B159" t="str">
            <v>Heidelbeeren, gefroren</v>
          </cell>
        </row>
        <row r="160">
          <cell r="A160">
            <v>159</v>
          </cell>
          <cell r="B160" t="str">
            <v>Himbeeren</v>
          </cell>
        </row>
        <row r="161">
          <cell r="A161">
            <v>160</v>
          </cell>
          <cell r="B161" t="str">
            <v>Himbeeren, gefroren</v>
          </cell>
        </row>
        <row r="162">
          <cell r="A162">
            <v>161</v>
          </cell>
          <cell r="B162" t="str">
            <v>Hirse</v>
          </cell>
        </row>
        <row r="163">
          <cell r="A163">
            <v>162</v>
          </cell>
          <cell r="B163" t="str">
            <v>Honigmelone</v>
          </cell>
        </row>
        <row r="164">
          <cell r="A164">
            <v>163</v>
          </cell>
          <cell r="B164" t="str">
            <v>Ingwer</v>
          </cell>
        </row>
        <row r="165">
          <cell r="A165">
            <v>164</v>
          </cell>
          <cell r="B165" t="str">
            <v>Ingwer, gemahlen</v>
          </cell>
        </row>
        <row r="166">
          <cell r="A166">
            <v>165</v>
          </cell>
          <cell r="B166" t="str">
            <v>Italienische Kräuter</v>
          </cell>
        </row>
        <row r="167">
          <cell r="A167">
            <v>166</v>
          </cell>
          <cell r="B167" t="str">
            <v>Jalapenos</v>
          </cell>
        </row>
        <row r="168">
          <cell r="A168">
            <v>167</v>
          </cell>
          <cell r="B168" t="str">
            <v>Johannisbeeren rot</v>
          </cell>
        </row>
        <row r="169">
          <cell r="A169">
            <v>168</v>
          </cell>
          <cell r="B169" t="str">
            <v>Johannisbeeren rot, gefroren</v>
          </cell>
        </row>
        <row r="170">
          <cell r="A170">
            <v>169</v>
          </cell>
          <cell r="B170" t="str">
            <v>Johannisbeeren schwarz</v>
          </cell>
        </row>
        <row r="171">
          <cell r="A171">
            <v>170</v>
          </cell>
          <cell r="B171" t="str">
            <v>Johannisbeeren schwarz, gefroren</v>
          </cell>
        </row>
        <row r="172">
          <cell r="A172">
            <v>171</v>
          </cell>
          <cell r="B172" t="str">
            <v>Jostabeeren</v>
          </cell>
        </row>
        <row r="173">
          <cell r="A173">
            <v>172</v>
          </cell>
          <cell r="B173" t="str">
            <v>Kakaopulver, stark entölt</v>
          </cell>
        </row>
        <row r="174">
          <cell r="A174">
            <v>173</v>
          </cell>
          <cell r="B174" t="str">
            <v>Kaki</v>
          </cell>
        </row>
        <row r="175">
          <cell r="A175">
            <v>174</v>
          </cell>
          <cell r="B175" t="str">
            <v>Kamut</v>
          </cell>
        </row>
        <row r="176">
          <cell r="A176">
            <v>175</v>
          </cell>
          <cell r="B176" t="str">
            <v>Kardamon</v>
          </cell>
        </row>
        <row r="177">
          <cell r="A177">
            <v>176</v>
          </cell>
          <cell r="B177" t="str">
            <v>Kartoffeln</v>
          </cell>
        </row>
        <row r="178">
          <cell r="A178">
            <v>177</v>
          </cell>
          <cell r="B178" t="str">
            <v>Kartoffeln rot</v>
          </cell>
        </row>
        <row r="179">
          <cell r="A179">
            <v>178</v>
          </cell>
          <cell r="B179" t="str">
            <v>Kartoffeln violett</v>
          </cell>
        </row>
        <row r="180">
          <cell r="A180">
            <v>179</v>
          </cell>
          <cell r="B180" t="str">
            <v>Kerbel</v>
          </cell>
        </row>
        <row r="181">
          <cell r="A181">
            <v>180</v>
          </cell>
          <cell r="B181" t="str">
            <v>Kerbel, getrocknet</v>
          </cell>
        </row>
        <row r="182">
          <cell r="A182">
            <v>181</v>
          </cell>
          <cell r="B182" t="str">
            <v>Kichererbsen</v>
          </cell>
        </row>
        <row r="183">
          <cell r="A183">
            <v>182</v>
          </cell>
          <cell r="B183" t="str">
            <v>Kichererbsen, gekocht</v>
          </cell>
        </row>
        <row r="184">
          <cell r="A184">
            <v>183</v>
          </cell>
          <cell r="B184" t="str">
            <v>Kichererbsenmehl</v>
          </cell>
        </row>
        <row r="185">
          <cell r="A185">
            <v>184</v>
          </cell>
          <cell r="B185" t="str">
            <v>Kichererbsennudeln</v>
          </cell>
        </row>
        <row r="186">
          <cell r="A186">
            <v>185</v>
          </cell>
          <cell r="B186" t="str">
            <v>Kichererbsen-Sprossen</v>
          </cell>
        </row>
        <row r="187">
          <cell r="A187">
            <v>186</v>
          </cell>
          <cell r="B187" t="str">
            <v>Kichererbsenwaffeln</v>
          </cell>
        </row>
        <row r="188">
          <cell r="A188">
            <v>187</v>
          </cell>
          <cell r="B188" t="str">
            <v>Kidneybohnen</v>
          </cell>
        </row>
        <row r="189">
          <cell r="A189">
            <v>188</v>
          </cell>
          <cell r="B189" t="str">
            <v>Kidneybohnen, gekocht</v>
          </cell>
        </row>
        <row r="190">
          <cell r="A190">
            <v>189</v>
          </cell>
          <cell r="B190" t="str">
            <v>Kimchi</v>
          </cell>
        </row>
        <row r="191">
          <cell r="A191">
            <v>190</v>
          </cell>
          <cell r="B191" t="str">
            <v>Kirschen</v>
          </cell>
        </row>
        <row r="192">
          <cell r="A192">
            <v>191</v>
          </cell>
          <cell r="B192" t="str">
            <v>Kirschen, gefroren</v>
          </cell>
        </row>
        <row r="193">
          <cell r="A193">
            <v>192</v>
          </cell>
          <cell r="B193" t="str">
            <v>Kirschpflaumen</v>
          </cell>
        </row>
        <row r="194">
          <cell r="A194">
            <v>193</v>
          </cell>
          <cell r="B194" t="str">
            <v>Kiwi gold</v>
          </cell>
        </row>
        <row r="195">
          <cell r="A195">
            <v>194</v>
          </cell>
          <cell r="B195" t="str">
            <v>Kiwi grün</v>
          </cell>
        </row>
        <row r="196">
          <cell r="A196">
            <v>195</v>
          </cell>
          <cell r="B196" t="str">
            <v>Knoblauch</v>
          </cell>
        </row>
        <row r="197">
          <cell r="A197">
            <v>196</v>
          </cell>
          <cell r="B197" t="str">
            <v>Knoblauchpulver</v>
          </cell>
        </row>
        <row r="198">
          <cell r="A198">
            <v>197</v>
          </cell>
          <cell r="B198" t="str">
            <v>Knollensellerie</v>
          </cell>
        </row>
        <row r="199">
          <cell r="A199">
            <v>198</v>
          </cell>
          <cell r="B199" t="str">
            <v>Kohlrabi</v>
          </cell>
        </row>
        <row r="200">
          <cell r="A200">
            <v>199</v>
          </cell>
          <cell r="B200" t="str">
            <v>Kohlrabi violett</v>
          </cell>
        </row>
        <row r="201">
          <cell r="A201">
            <v>200</v>
          </cell>
          <cell r="B201" t="str">
            <v>Kokosjoghurt</v>
          </cell>
        </row>
        <row r="202">
          <cell r="A202">
            <v>201</v>
          </cell>
          <cell r="B202" t="str">
            <v>Kokosmilch</v>
          </cell>
        </row>
        <row r="203">
          <cell r="A203">
            <v>202</v>
          </cell>
          <cell r="B203" t="str">
            <v>Kokosmus</v>
          </cell>
        </row>
        <row r="204">
          <cell r="A204">
            <v>203</v>
          </cell>
          <cell r="B204" t="str">
            <v>Kokosnüsse</v>
          </cell>
        </row>
        <row r="205">
          <cell r="A205">
            <v>204</v>
          </cell>
          <cell r="B205" t="str">
            <v>Kokosraspeln</v>
          </cell>
        </row>
        <row r="206">
          <cell r="A206">
            <v>205</v>
          </cell>
          <cell r="B206" t="str">
            <v>Kombuflocken</v>
          </cell>
        </row>
        <row r="207">
          <cell r="A207">
            <v>206</v>
          </cell>
          <cell r="B207" t="str">
            <v>Kopfsalat</v>
          </cell>
        </row>
        <row r="208">
          <cell r="A208">
            <v>207</v>
          </cell>
          <cell r="B208" t="str">
            <v>Koriander</v>
          </cell>
        </row>
        <row r="209">
          <cell r="A209">
            <v>208</v>
          </cell>
          <cell r="B209" t="str">
            <v>Koriander, gemahlen</v>
          </cell>
        </row>
        <row r="210">
          <cell r="A210">
            <v>209</v>
          </cell>
          <cell r="B210" t="str">
            <v>Koriandersamen</v>
          </cell>
        </row>
        <row r="211">
          <cell r="A211">
            <v>210</v>
          </cell>
          <cell r="B211" t="str">
            <v>Korianderkraut, getrocknet</v>
          </cell>
        </row>
        <row r="212">
          <cell r="A212">
            <v>211</v>
          </cell>
          <cell r="B212" t="str">
            <v>Kräuter der Provence</v>
          </cell>
        </row>
        <row r="213">
          <cell r="A213">
            <v>212</v>
          </cell>
          <cell r="B213" t="str">
            <v>Kräuterseitlinge</v>
          </cell>
        </row>
        <row r="214">
          <cell r="A214">
            <v>213</v>
          </cell>
          <cell r="B214" t="str">
            <v>Kresse-Sprossen</v>
          </cell>
        </row>
        <row r="215">
          <cell r="A215">
            <v>214</v>
          </cell>
          <cell r="B215" t="str">
            <v>Kreuzkümmel</v>
          </cell>
        </row>
        <row r="216">
          <cell r="A216">
            <v>215</v>
          </cell>
          <cell r="B216" t="str">
            <v>Kreuzkümmel, gemahlen</v>
          </cell>
        </row>
        <row r="217">
          <cell r="A217">
            <v>216</v>
          </cell>
          <cell r="B217" t="str">
            <v>Kümmel</v>
          </cell>
        </row>
        <row r="218">
          <cell r="A218">
            <v>217</v>
          </cell>
          <cell r="B218" t="str">
            <v>Kürbis, Butternut</v>
          </cell>
        </row>
        <row r="219">
          <cell r="A219">
            <v>218</v>
          </cell>
          <cell r="B219" t="str">
            <v>Kürbis, Hokkaido</v>
          </cell>
        </row>
        <row r="220">
          <cell r="A220">
            <v>219</v>
          </cell>
          <cell r="B220" t="str">
            <v>Kürbis, Muskat</v>
          </cell>
        </row>
        <row r="221">
          <cell r="A221">
            <v>220</v>
          </cell>
          <cell r="B221" t="str">
            <v>Kürbis, Spaghetti</v>
          </cell>
        </row>
        <row r="222">
          <cell r="A222">
            <v>221</v>
          </cell>
          <cell r="B222" t="str">
            <v>Kürbisgewürz</v>
          </cell>
        </row>
        <row r="223">
          <cell r="A223">
            <v>222</v>
          </cell>
          <cell r="B223" t="str">
            <v>Kürbiskerne</v>
          </cell>
        </row>
        <row r="224">
          <cell r="A224">
            <v>223</v>
          </cell>
          <cell r="B224" t="str">
            <v>Kurkuma</v>
          </cell>
        </row>
        <row r="225">
          <cell r="A225">
            <v>224</v>
          </cell>
          <cell r="B225" t="str">
            <v>Kurkuma, ganz</v>
          </cell>
        </row>
        <row r="226">
          <cell r="A226">
            <v>225</v>
          </cell>
          <cell r="B226" t="str">
            <v>Lauch</v>
          </cell>
        </row>
        <row r="227">
          <cell r="A227">
            <v>226</v>
          </cell>
          <cell r="B227" t="str">
            <v>Lavendel</v>
          </cell>
        </row>
        <row r="228">
          <cell r="A228">
            <v>227</v>
          </cell>
          <cell r="B228" t="str">
            <v>Leinöl</v>
          </cell>
        </row>
        <row r="229">
          <cell r="A229">
            <v>228</v>
          </cell>
          <cell r="B229" t="str">
            <v>Leinsamen</v>
          </cell>
        </row>
        <row r="230">
          <cell r="A230">
            <v>229</v>
          </cell>
          <cell r="B230" t="str">
            <v>Leinsamen-Sprossen</v>
          </cell>
        </row>
        <row r="231">
          <cell r="A231">
            <v>230</v>
          </cell>
          <cell r="B231" t="str">
            <v>Liebstöckel</v>
          </cell>
        </row>
        <row r="232">
          <cell r="A232">
            <v>231</v>
          </cell>
          <cell r="B232" t="str">
            <v>Liebstöckel, getrocknet</v>
          </cell>
        </row>
        <row r="233">
          <cell r="A233">
            <v>232</v>
          </cell>
          <cell r="B233" t="str">
            <v>Limetten</v>
          </cell>
        </row>
        <row r="234">
          <cell r="A234">
            <v>233</v>
          </cell>
          <cell r="B234" t="str">
            <v>Linsen braun</v>
          </cell>
        </row>
        <row r="235">
          <cell r="A235">
            <v>234</v>
          </cell>
          <cell r="B235" t="str">
            <v>Linsen gelb</v>
          </cell>
        </row>
        <row r="236">
          <cell r="A236">
            <v>235</v>
          </cell>
          <cell r="B236" t="str">
            <v>Linsen grün</v>
          </cell>
        </row>
        <row r="237">
          <cell r="A237">
            <v>236</v>
          </cell>
          <cell r="B237" t="str">
            <v>Linsen rot</v>
          </cell>
        </row>
        <row r="238">
          <cell r="A238">
            <v>237</v>
          </cell>
          <cell r="B238" t="str">
            <v>Linsen-Sprossen</v>
          </cell>
        </row>
        <row r="239">
          <cell r="A239">
            <v>238</v>
          </cell>
          <cell r="B239" t="str">
            <v>Linsenwaffeln</v>
          </cell>
        </row>
        <row r="240">
          <cell r="A240">
            <v>239</v>
          </cell>
          <cell r="B240" t="str">
            <v>Lorbeerblätter</v>
          </cell>
        </row>
        <row r="241">
          <cell r="A241">
            <v>240</v>
          </cell>
          <cell r="B241" t="str">
            <v>Löwenzahn</v>
          </cell>
        </row>
        <row r="242">
          <cell r="A242">
            <v>241</v>
          </cell>
          <cell r="B242" t="str">
            <v>Lupinenkerne</v>
          </cell>
        </row>
        <row r="243">
          <cell r="A243">
            <v>242</v>
          </cell>
          <cell r="B243" t="str">
            <v>Lupinenkerne, gekocht</v>
          </cell>
        </row>
        <row r="244">
          <cell r="A244">
            <v>243</v>
          </cell>
          <cell r="B244" t="str">
            <v>Lupinenmilch</v>
          </cell>
        </row>
        <row r="245">
          <cell r="A245">
            <v>244</v>
          </cell>
          <cell r="B245" t="str">
            <v>Lupinenschrot</v>
          </cell>
        </row>
        <row r="246">
          <cell r="A246">
            <v>245</v>
          </cell>
          <cell r="B246" t="str">
            <v>Macadamiennüsse</v>
          </cell>
        </row>
        <row r="247">
          <cell r="A247">
            <v>246</v>
          </cell>
          <cell r="B247" t="str">
            <v>Mais</v>
          </cell>
        </row>
        <row r="248">
          <cell r="A248">
            <v>247</v>
          </cell>
          <cell r="B248" t="str">
            <v>Mais, gekocht</v>
          </cell>
        </row>
        <row r="249">
          <cell r="A249">
            <v>248</v>
          </cell>
          <cell r="B249" t="str">
            <v>Maisgrieß</v>
          </cell>
        </row>
        <row r="250">
          <cell r="A250">
            <v>249</v>
          </cell>
          <cell r="B250" t="str">
            <v>Maiswaffeln</v>
          </cell>
        </row>
        <row r="251">
          <cell r="A251">
            <v>250</v>
          </cell>
          <cell r="B251" t="str">
            <v>Maitake</v>
          </cell>
        </row>
        <row r="252">
          <cell r="A252">
            <v>251</v>
          </cell>
          <cell r="B252" t="str">
            <v>Majoran</v>
          </cell>
        </row>
        <row r="253">
          <cell r="A253">
            <v>252</v>
          </cell>
          <cell r="B253" t="str">
            <v>Majoran, getrocknet</v>
          </cell>
        </row>
        <row r="254">
          <cell r="A254">
            <v>253</v>
          </cell>
          <cell r="B254" t="str">
            <v>Mandarinen</v>
          </cell>
        </row>
        <row r="255">
          <cell r="A255">
            <v>254</v>
          </cell>
          <cell r="B255" t="str">
            <v>Mandeljoghurt</v>
          </cell>
        </row>
        <row r="256">
          <cell r="A256">
            <v>255</v>
          </cell>
          <cell r="B256" t="str">
            <v>Mandelmilch</v>
          </cell>
        </row>
        <row r="257">
          <cell r="A257">
            <v>256</v>
          </cell>
          <cell r="B257" t="str">
            <v>Mandelmus braun</v>
          </cell>
        </row>
        <row r="258">
          <cell r="A258">
            <v>257</v>
          </cell>
          <cell r="B258" t="str">
            <v>Mandelmus weiß</v>
          </cell>
        </row>
        <row r="259">
          <cell r="A259">
            <v>258</v>
          </cell>
          <cell r="B259" t="str">
            <v>Mandeln</v>
          </cell>
        </row>
        <row r="260">
          <cell r="A260">
            <v>259</v>
          </cell>
          <cell r="B260" t="str">
            <v>Mango</v>
          </cell>
        </row>
        <row r="261">
          <cell r="A261">
            <v>260</v>
          </cell>
          <cell r="B261" t="str">
            <v>Mango, gefroren</v>
          </cell>
        </row>
        <row r="262">
          <cell r="A262">
            <v>261</v>
          </cell>
          <cell r="B262" t="str">
            <v>Mango, getrocknet</v>
          </cell>
        </row>
        <row r="263">
          <cell r="A263">
            <v>262</v>
          </cell>
          <cell r="B263" t="str">
            <v>Mangold</v>
          </cell>
        </row>
        <row r="264">
          <cell r="A264">
            <v>263</v>
          </cell>
          <cell r="B264" t="str">
            <v>Maronen</v>
          </cell>
        </row>
        <row r="265">
          <cell r="A265">
            <v>264</v>
          </cell>
          <cell r="B265" t="str">
            <v>Maulbeeren</v>
          </cell>
        </row>
        <row r="266">
          <cell r="A266">
            <v>265</v>
          </cell>
          <cell r="B266" t="str">
            <v>Minze</v>
          </cell>
        </row>
        <row r="267">
          <cell r="A267">
            <v>266</v>
          </cell>
          <cell r="B267" t="str">
            <v>Mirabellen</v>
          </cell>
        </row>
        <row r="268">
          <cell r="A268">
            <v>267</v>
          </cell>
          <cell r="B268" t="str">
            <v>Möhren gelb</v>
          </cell>
        </row>
        <row r="269">
          <cell r="A269">
            <v>268</v>
          </cell>
          <cell r="B269" t="str">
            <v>Möhren orange</v>
          </cell>
        </row>
        <row r="270">
          <cell r="A270">
            <v>269</v>
          </cell>
          <cell r="B270" t="str">
            <v>Möhren rot</v>
          </cell>
        </row>
        <row r="271">
          <cell r="A271">
            <v>270</v>
          </cell>
          <cell r="B271" t="str">
            <v>Möhren violett</v>
          </cell>
        </row>
        <row r="272">
          <cell r="A272">
            <v>271</v>
          </cell>
          <cell r="B272" t="str">
            <v>Mugi Miso</v>
          </cell>
        </row>
        <row r="273">
          <cell r="A273">
            <v>272</v>
          </cell>
          <cell r="B273" t="str">
            <v>Mungbohnen</v>
          </cell>
        </row>
        <row r="274">
          <cell r="A274">
            <v>273</v>
          </cell>
          <cell r="B274" t="str">
            <v>Mungbohnen-Sprossen</v>
          </cell>
        </row>
        <row r="275">
          <cell r="A275">
            <v>274</v>
          </cell>
          <cell r="B275" t="str">
            <v>Mung-Dal</v>
          </cell>
        </row>
        <row r="276">
          <cell r="A276">
            <v>275</v>
          </cell>
          <cell r="B276" t="str">
            <v>Muskatnuss</v>
          </cell>
        </row>
        <row r="277">
          <cell r="A277">
            <v>276</v>
          </cell>
          <cell r="B277" t="str">
            <v>Naturreis</v>
          </cell>
        </row>
        <row r="278">
          <cell r="A278">
            <v>277</v>
          </cell>
          <cell r="B278" t="str">
            <v>Natur-Tofu</v>
          </cell>
        </row>
        <row r="279">
          <cell r="A279">
            <v>278</v>
          </cell>
          <cell r="B279" t="str">
            <v>Nektarinen</v>
          </cell>
        </row>
        <row r="280">
          <cell r="A280">
            <v>279</v>
          </cell>
          <cell r="B280" t="str">
            <v>Nelken</v>
          </cell>
        </row>
        <row r="281">
          <cell r="A281">
            <v>280</v>
          </cell>
          <cell r="B281" t="str">
            <v>Norialgen-Blätter</v>
          </cell>
        </row>
        <row r="282">
          <cell r="A282">
            <v>281</v>
          </cell>
          <cell r="B282" t="str">
            <v>Noriflocken</v>
          </cell>
        </row>
        <row r="283">
          <cell r="A283">
            <v>282</v>
          </cell>
          <cell r="B283" t="str">
            <v>Nussmus</v>
          </cell>
        </row>
        <row r="284">
          <cell r="A284">
            <v>283</v>
          </cell>
          <cell r="B284" t="str">
            <v>Ochsenherztomaten</v>
          </cell>
        </row>
        <row r="285">
          <cell r="A285">
            <v>284</v>
          </cell>
          <cell r="B285" t="str">
            <v>Okra</v>
          </cell>
        </row>
        <row r="286">
          <cell r="A286">
            <v>285</v>
          </cell>
          <cell r="B286" t="str">
            <v>Oliven</v>
          </cell>
        </row>
        <row r="287">
          <cell r="A287">
            <v>286</v>
          </cell>
          <cell r="B287" t="str">
            <v>Olivenöl</v>
          </cell>
        </row>
        <row r="288">
          <cell r="A288">
            <v>287</v>
          </cell>
          <cell r="B288" t="str">
            <v>Orangen</v>
          </cell>
        </row>
        <row r="289">
          <cell r="A289">
            <v>288</v>
          </cell>
          <cell r="B289" t="str">
            <v>Oregano</v>
          </cell>
        </row>
        <row r="290">
          <cell r="A290">
            <v>289</v>
          </cell>
          <cell r="B290" t="str">
            <v>Oregano, getrocknet</v>
          </cell>
        </row>
        <row r="291">
          <cell r="A291">
            <v>290</v>
          </cell>
          <cell r="B291" t="str">
            <v>Oyster Sauce</v>
          </cell>
        </row>
        <row r="292">
          <cell r="A292">
            <v>291</v>
          </cell>
          <cell r="B292" t="str">
            <v>Pak-Choi</v>
          </cell>
        </row>
        <row r="293">
          <cell r="A293">
            <v>292</v>
          </cell>
          <cell r="B293" t="str">
            <v>Papaya</v>
          </cell>
        </row>
        <row r="294">
          <cell r="A294">
            <v>293</v>
          </cell>
          <cell r="B294" t="str">
            <v>Paprika edelsüß</v>
          </cell>
        </row>
        <row r="295">
          <cell r="A295">
            <v>294</v>
          </cell>
          <cell r="B295" t="str">
            <v>Paprika gelb</v>
          </cell>
        </row>
        <row r="296">
          <cell r="A296">
            <v>295</v>
          </cell>
          <cell r="B296" t="str">
            <v>Paprika geräuchert</v>
          </cell>
        </row>
        <row r="297">
          <cell r="A297">
            <v>296</v>
          </cell>
          <cell r="B297" t="str">
            <v>Paprika grün</v>
          </cell>
        </row>
        <row r="298">
          <cell r="A298">
            <v>297</v>
          </cell>
          <cell r="B298" t="str">
            <v>Paprika orange</v>
          </cell>
        </row>
        <row r="299">
          <cell r="A299">
            <v>298</v>
          </cell>
          <cell r="B299" t="str">
            <v>Paprika rosenscharf</v>
          </cell>
        </row>
        <row r="300">
          <cell r="A300">
            <v>299</v>
          </cell>
          <cell r="B300" t="str">
            <v>Paprika rot</v>
          </cell>
        </row>
        <row r="301">
          <cell r="A301">
            <v>300</v>
          </cell>
          <cell r="B301" t="str">
            <v>Paranüsse</v>
          </cell>
        </row>
        <row r="302">
          <cell r="A302">
            <v>301</v>
          </cell>
          <cell r="B302" t="str">
            <v>Passionsfrüchte</v>
          </cell>
        </row>
        <row r="303">
          <cell r="A303">
            <v>302</v>
          </cell>
          <cell r="B303" t="str">
            <v>Pastinaken</v>
          </cell>
        </row>
        <row r="304">
          <cell r="A304">
            <v>303</v>
          </cell>
          <cell r="B304" t="str">
            <v>Pekannüsse</v>
          </cell>
        </row>
        <row r="305">
          <cell r="A305">
            <v>304</v>
          </cell>
          <cell r="B305" t="str">
            <v>Petersilie</v>
          </cell>
        </row>
        <row r="306">
          <cell r="A306">
            <v>305</v>
          </cell>
          <cell r="B306" t="str">
            <v>Petersilie, getrocknet</v>
          </cell>
        </row>
        <row r="307">
          <cell r="A307">
            <v>306</v>
          </cell>
          <cell r="B307" t="str">
            <v>Pfeffer</v>
          </cell>
        </row>
        <row r="308">
          <cell r="A308">
            <v>307</v>
          </cell>
          <cell r="B308" t="str">
            <v>Pfeffer rot</v>
          </cell>
        </row>
        <row r="309">
          <cell r="A309">
            <v>308</v>
          </cell>
          <cell r="B309" t="str">
            <v>Pfeffer weiß</v>
          </cell>
        </row>
        <row r="310">
          <cell r="A310">
            <v>309</v>
          </cell>
          <cell r="B310" t="str">
            <v>Pfefferminze</v>
          </cell>
        </row>
        <row r="311">
          <cell r="A311">
            <v>310</v>
          </cell>
          <cell r="B311" t="str">
            <v>Pfifferlinge</v>
          </cell>
        </row>
        <row r="312">
          <cell r="A312">
            <v>311</v>
          </cell>
          <cell r="B312" t="str">
            <v>Pfirsich</v>
          </cell>
        </row>
        <row r="313">
          <cell r="A313">
            <v>312</v>
          </cell>
          <cell r="B313" t="str">
            <v>Pflaumen</v>
          </cell>
        </row>
        <row r="314">
          <cell r="A314">
            <v>313</v>
          </cell>
          <cell r="B314" t="str">
            <v>Physalis</v>
          </cell>
        </row>
        <row r="315">
          <cell r="A315">
            <v>314</v>
          </cell>
          <cell r="B315" t="str">
            <v>Pilze</v>
          </cell>
        </row>
        <row r="316">
          <cell r="A316">
            <v>315</v>
          </cell>
          <cell r="B316" t="str">
            <v>Piment</v>
          </cell>
        </row>
        <row r="317">
          <cell r="A317">
            <v>316</v>
          </cell>
          <cell r="B317" t="str">
            <v>Pinienkerne</v>
          </cell>
        </row>
        <row r="318">
          <cell r="A318">
            <v>317</v>
          </cell>
          <cell r="B318" t="str">
            <v>Pintobohnen</v>
          </cell>
        </row>
        <row r="319">
          <cell r="A319">
            <v>318</v>
          </cell>
          <cell r="B319" t="str">
            <v>Pistazien</v>
          </cell>
        </row>
        <row r="320">
          <cell r="A320">
            <v>319</v>
          </cell>
          <cell r="B320" t="str">
            <v>Pistazienmus</v>
          </cell>
        </row>
        <row r="321">
          <cell r="A321">
            <v>320</v>
          </cell>
          <cell r="B321" t="str">
            <v>Portulak</v>
          </cell>
        </row>
        <row r="322">
          <cell r="A322">
            <v>321</v>
          </cell>
          <cell r="B322" t="str">
            <v>Puy-Linsen</v>
          </cell>
        </row>
        <row r="323">
          <cell r="A323">
            <v>322</v>
          </cell>
          <cell r="B323" t="str">
            <v>Quinoa</v>
          </cell>
        </row>
        <row r="324">
          <cell r="A324">
            <v>323</v>
          </cell>
          <cell r="B324" t="str">
            <v>Quinoa rot</v>
          </cell>
        </row>
        <row r="325">
          <cell r="A325">
            <v>324</v>
          </cell>
          <cell r="B325" t="str">
            <v>Quinoa schwarz</v>
          </cell>
        </row>
        <row r="326">
          <cell r="A326">
            <v>325</v>
          </cell>
          <cell r="B326" t="str">
            <v>Quinoa weiß</v>
          </cell>
        </row>
        <row r="327">
          <cell r="A327">
            <v>326</v>
          </cell>
          <cell r="B327" t="str">
            <v>Quinoa-Sprossen</v>
          </cell>
        </row>
        <row r="328">
          <cell r="A328">
            <v>327</v>
          </cell>
          <cell r="B328" t="str">
            <v>Radicchio</v>
          </cell>
        </row>
        <row r="329">
          <cell r="A329">
            <v>328</v>
          </cell>
          <cell r="B329" t="str">
            <v>Radieschen</v>
          </cell>
        </row>
        <row r="330">
          <cell r="A330">
            <v>329</v>
          </cell>
          <cell r="B330" t="str">
            <v>Radieschen-Sprossen</v>
          </cell>
        </row>
        <row r="331">
          <cell r="A331">
            <v>330</v>
          </cell>
          <cell r="B331" t="str">
            <v>Rapsöl</v>
          </cell>
        </row>
        <row r="332">
          <cell r="A332">
            <v>331</v>
          </cell>
          <cell r="B332" t="str">
            <v>Ras el Hanout</v>
          </cell>
        </row>
        <row r="333">
          <cell r="A333">
            <v>332</v>
          </cell>
          <cell r="B333" t="str">
            <v>Räucher-Tofu</v>
          </cell>
        </row>
        <row r="334">
          <cell r="A334">
            <v>333</v>
          </cell>
          <cell r="B334" t="str">
            <v>Reis schwarz</v>
          </cell>
        </row>
        <row r="335">
          <cell r="A335">
            <v>334</v>
          </cell>
          <cell r="B335" t="str">
            <v>Reis-Essig</v>
          </cell>
        </row>
        <row r="336">
          <cell r="A336">
            <v>335</v>
          </cell>
          <cell r="B336" t="str">
            <v>Reismilch</v>
          </cell>
        </row>
        <row r="337">
          <cell r="A337">
            <v>336</v>
          </cell>
          <cell r="B337" t="str">
            <v>Reispapier</v>
          </cell>
        </row>
        <row r="338">
          <cell r="A338">
            <v>337</v>
          </cell>
          <cell r="B338" t="str">
            <v>Rettich</v>
          </cell>
        </row>
        <row r="339">
          <cell r="A339">
            <v>338</v>
          </cell>
          <cell r="B339" t="str">
            <v>Rhabarber</v>
          </cell>
        </row>
        <row r="340">
          <cell r="A340">
            <v>339</v>
          </cell>
          <cell r="B340" t="str">
            <v>Riesenchampignons</v>
          </cell>
        </row>
        <row r="341">
          <cell r="A341">
            <v>340</v>
          </cell>
          <cell r="B341" t="str">
            <v>Ringelbeete</v>
          </cell>
        </row>
        <row r="342">
          <cell r="A342">
            <v>341</v>
          </cell>
          <cell r="B342" t="str">
            <v>Roggen</v>
          </cell>
        </row>
        <row r="343">
          <cell r="A343">
            <v>342</v>
          </cell>
          <cell r="B343" t="str">
            <v>Roggenflocken</v>
          </cell>
        </row>
        <row r="344">
          <cell r="A344">
            <v>343</v>
          </cell>
          <cell r="B344" t="str">
            <v>Roggenmehl</v>
          </cell>
        </row>
        <row r="345">
          <cell r="A345">
            <v>344</v>
          </cell>
          <cell r="B345" t="str">
            <v>Roggenmilch</v>
          </cell>
        </row>
        <row r="346">
          <cell r="A346">
            <v>345</v>
          </cell>
          <cell r="B346" t="str">
            <v>Romanasalat</v>
          </cell>
        </row>
        <row r="347">
          <cell r="A347">
            <v>346</v>
          </cell>
          <cell r="B347" t="str">
            <v>Roma-Tomaten</v>
          </cell>
        </row>
        <row r="348">
          <cell r="A348">
            <v>347</v>
          </cell>
          <cell r="B348" t="str">
            <v>Romanesco</v>
          </cell>
        </row>
        <row r="349">
          <cell r="A349">
            <v>348</v>
          </cell>
          <cell r="B349" t="str">
            <v>Rosenkohl</v>
          </cell>
        </row>
        <row r="350">
          <cell r="A350">
            <v>349</v>
          </cell>
          <cell r="B350" t="str">
            <v>Rosenkohl rot</v>
          </cell>
        </row>
        <row r="351">
          <cell r="A351">
            <v>350</v>
          </cell>
          <cell r="B351" t="str">
            <v>Rosenkohl, gefroren</v>
          </cell>
        </row>
        <row r="352">
          <cell r="A352">
            <v>351</v>
          </cell>
          <cell r="B352" t="str">
            <v>Rosmarin</v>
          </cell>
        </row>
        <row r="353">
          <cell r="A353">
            <v>352</v>
          </cell>
          <cell r="B353" t="str">
            <v>Rosmarin, getrocknet</v>
          </cell>
        </row>
        <row r="354">
          <cell r="A354">
            <v>353</v>
          </cell>
          <cell r="B354" t="str">
            <v>Rote Beete</v>
          </cell>
        </row>
        <row r="355">
          <cell r="A355">
            <v>354</v>
          </cell>
          <cell r="B355" t="str">
            <v>Rote Linsennudeln</v>
          </cell>
        </row>
        <row r="356">
          <cell r="A356">
            <v>355</v>
          </cell>
          <cell r="B356" t="str">
            <v>Rotkohl</v>
          </cell>
        </row>
        <row r="357">
          <cell r="A357">
            <v>356</v>
          </cell>
          <cell r="B357" t="str">
            <v>Rucola</v>
          </cell>
        </row>
        <row r="358">
          <cell r="A358">
            <v>357</v>
          </cell>
          <cell r="B358" t="str">
            <v>Rucola-Sprossen</v>
          </cell>
        </row>
        <row r="359">
          <cell r="A359">
            <v>358</v>
          </cell>
          <cell r="B359" t="str">
            <v>Safran</v>
          </cell>
        </row>
        <row r="360">
          <cell r="A360">
            <v>359</v>
          </cell>
          <cell r="B360" t="str">
            <v>Salbei</v>
          </cell>
        </row>
        <row r="361">
          <cell r="A361">
            <v>360</v>
          </cell>
          <cell r="B361" t="str">
            <v>Salbei, getrocknet</v>
          </cell>
        </row>
        <row r="362">
          <cell r="A362">
            <v>361</v>
          </cell>
          <cell r="B362" t="str">
            <v>Salz, jodiert</v>
          </cell>
        </row>
        <row r="363">
          <cell r="A363">
            <v>362</v>
          </cell>
          <cell r="B363" t="str">
            <v>Sambal Oelek</v>
          </cell>
        </row>
        <row r="364">
          <cell r="A364">
            <v>363</v>
          </cell>
          <cell r="B364" t="str">
            <v>Sauerkraut</v>
          </cell>
        </row>
        <row r="365">
          <cell r="A365">
            <v>364</v>
          </cell>
          <cell r="B365" t="str">
            <v>Schnittlauch</v>
          </cell>
        </row>
        <row r="366">
          <cell r="A366">
            <v>365</v>
          </cell>
          <cell r="B366" t="str">
            <v>Schwarze Bohnen</v>
          </cell>
        </row>
        <row r="367">
          <cell r="A367">
            <v>366</v>
          </cell>
          <cell r="B367" t="str">
            <v>Schwarze Bohnen, gekocht</v>
          </cell>
        </row>
        <row r="368">
          <cell r="A368">
            <v>367</v>
          </cell>
          <cell r="B368" t="str">
            <v>Schwarzkohl</v>
          </cell>
        </row>
        <row r="369">
          <cell r="A369">
            <v>368</v>
          </cell>
          <cell r="B369" t="str">
            <v>Schwarzwurzel</v>
          </cell>
        </row>
        <row r="370">
          <cell r="A370">
            <v>369</v>
          </cell>
          <cell r="B370" t="str">
            <v>Seiden-Tofu</v>
          </cell>
        </row>
        <row r="371">
          <cell r="A371">
            <v>370</v>
          </cell>
          <cell r="B371" t="str">
            <v>Seitan</v>
          </cell>
        </row>
        <row r="372">
          <cell r="A372">
            <v>371</v>
          </cell>
          <cell r="B372" t="str">
            <v>Selleriesamen</v>
          </cell>
        </row>
        <row r="373">
          <cell r="A373">
            <v>372</v>
          </cell>
          <cell r="B373" t="str">
            <v>Senf</v>
          </cell>
        </row>
        <row r="374">
          <cell r="A374">
            <v>373</v>
          </cell>
          <cell r="B374" t="str">
            <v>Senfkörner</v>
          </cell>
        </row>
        <row r="375">
          <cell r="A375">
            <v>374</v>
          </cell>
          <cell r="B375" t="str">
            <v>Senf-Sprossen</v>
          </cell>
        </row>
        <row r="376">
          <cell r="A376">
            <v>375</v>
          </cell>
          <cell r="B376" t="str">
            <v>Sesamkerne</v>
          </cell>
        </row>
        <row r="377">
          <cell r="A377">
            <v>376</v>
          </cell>
          <cell r="B377" t="str">
            <v>Shiitake</v>
          </cell>
        </row>
        <row r="378">
          <cell r="A378">
            <v>377</v>
          </cell>
          <cell r="B378" t="str">
            <v>Shiro Miso</v>
          </cell>
        </row>
        <row r="379">
          <cell r="A379">
            <v>378</v>
          </cell>
          <cell r="B379" t="str">
            <v>Shoyu</v>
          </cell>
        </row>
        <row r="380">
          <cell r="A380">
            <v>379</v>
          </cell>
          <cell r="B380" t="str">
            <v>Sojabohnen</v>
          </cell>
        </row>
        <row r="381">
          <cell r="A381">
            <v>380</v>
          </cell>
          <cell r="B381" t="str">
            <v>Sojabohnen-Sprossen</v>
          </cell>
        </row>
        <row r="382">
          <cell r="A382">
            <v>381</v>
          </cell>
          <cell r="B382" t="str">
            <v>Sojaflocken</v>
          </cell>
        </row>
        <row r="383">
          <cell r="A383">
            <v>382</v>
          </cell>
          <cell r="B383" t="str">
            <v>Sojajoghurt</v>
          </cell>
        </row>
        <row r="384">
          <cell r="A384">
            <v>383</v>
          </cell>
          <cell r="B384" t="str">
            <v>Sojamehl</v>
          </cell>
        </row>
        <row r="385">
          <cell r="A385">
            <v>384</v>
          </cell>
          <cell r="B385" t="str">
            <v>Sojamilch</v>
          </cell>
        </row>
        <row r="386">
          <cell r="A386">
            <v>385</v>
          </cell>
          <cell r="B386" t="str">
            <v>Sojasoße</v>
          </cell>
        </row>
        <row r="387">
          <cell r="A387">
            <v>386</v>
          </cell>
          <cell r="B387" t="str">
            <v>Sonnenblumenkerne</v>
          </cell>
        </row>
        <row r="388">
          <cell r="A388">
            <v>387</v>
          </cell>
          <cell r="B388" t="str">
            <v>Sonnenblumenkerne-Sprossen</v>
          </cell>
        </row>
        <row r="389">
          <cell r="A389">
            <v>388</v>
          </cell>
          <cell r="B389" t="str">
            <v>Spargel grün</v>
          </cell>
        </row>
        <row r="390">
          <cell r="A390">
            <v>389</v>
          </cell>
          <cell r="B390" t="str">
            <v>Spargel weiß</v>
          </cell>
        </row>
        <row r="391">
          <cell r="A391">
            <v>390</v>
          </cell>
          <cell r="B391" t="str">
            <v>Spekulatius</v>
          </cell>
        </row>
        <row r="392">
          <cell r="A392">
            <v>391</v>
          </cell>
          <cell r="B392" t="str">
            <v>Spinat</v>
          </cell>
        </row>
        <row r="393">
          <cell r="A393">
            <v>392</v>
          </cell>
          <cell r="B393" t="str">
            <v>Spinat, gefroren</v>
          </cell>
        </row>
        <row r="394">
          <cell r="A394">
            <v>393</v>
          </cell>
          <cell r="B394" t="str">
            <v>Spirulina-Pulver</v>
          </cell>
        </row>
        <row r="395">
          <cell r="A395">
            <v>394</v>
          </cell>
          <cell r="B395" t="str">
            <v>Spitzkohl</v>
          </cell>
        </row>
        <row r="396">
          <cell r="A396">
            <v>395</v>
          </cell>
          <cell r="B396" t="str">
            <v>Spitzpaprika gelb</v>
          </cell>
        </row>
        <row r="397">
          <cell r="A397">
            <v>396</v>
          </cell>
          <cell r="B397" t="str">
            <v>Spitzpaprika grün</v>
          </cell>
        </row>
        <row r="398">
          <cell r="A398">
            <v>397</v>
          </cell>
          <cell r="B398" t="str">
            <v>Spitzpaprika orange</v>
          </cell>
        </row>
        <row r="399">
          <cell r="A399">
            <v>398</v>
          </cell>
          <cell r="B399" t="str">
            <v>Spitzpaprika rot</v>
          </cell>
        </row>
        <row r="400">
          <cell r="A400">
            <v>399</v>
          </cell>
          <cell r="B400" t="str">
            <v>Stachelbeeren</v>
          </cell>
        </row>
        <row r="401">
          <cell r="A401">
            <v>400</v>
          </cell>
          <cell r="B401" t="str">
            <v>Stangensellerie</v>
          </cell>
        </row>
        <row r="402">
          <cell r="A402">
            <v>401</v>
          </cell>
          <cell r="B402" t="str">
            <v>Steinpilz</v>
          </cell>
        </row>
        <row r="403">
          <cell r="A403">
            <v>402</v>
          </cell>
          <cell r="B403" t="str">
            <v>Sternanis</v>
          </cell>
        </row>
        <row r="404">
          <cell r="A404">
            <v>403</v>
          </cell>
          <cell r="B404" t="str">
            <v>Süßkartoffeln orange</v>
          </cell>
        </row>
        <row r="405">
          <cell r="A405">
            <v>404</v>
          </cell>
          <cell r="B405" t="str">
            <v>Süßkartoffeln violett</v>
          </cell>
        </row>
        <row r="406">
          <cell r="A406">
            <v>405</v>
          </cell>
          <cell r="B406" t="str">
            <v>Szechuanpfeffer</v>
          </cell>
        </row>
        <row r="407">
          <cell r="A407">
            <v>406</v>
          </cell>
          <cell r="B407" t="str">
            <v>Tabasco</v>
          </cell>
        </row>
        <row r="408">
          <cell r="A408">
            <v>407</v>
          </cell>
          <cell r="B408" t="str">
            <v>Tahini</v>
          </cell>
        </row>
        <row r="409">
          <cell r="A409">
            <v>408</v>
          </cell>
          <cell r="B409" t="str">
            <v>Tamari</v>
          </cell>
        </row>
        <row r="410">
          <cell r="A410">
            <v>409</v>
          </cell>
          <cell r="B410" t="str">
            <v>Teff</v>
          </cell>
        </row>
        <row r="411">
          <cell r="A411">
            <v>410</v>
          </cell>
          <cell r="B411" t="str">
            <v>Teller-Pfirsich</v>
          </cell>
        </row>
        <row r="412">
          <cell r="A412">
            <v>411</v>
          </cell>
          <cell r="B412" t="str">
            <v>Tempeh</v>
          </cell>
        </row>
        <row r="413">
          <cell r="A413">
            <v>412</v>
          </cell>
          <cell r="B413" t="str">
            <v>Teriyaki Sauce</v>
          </cell>
        </row>
        <row r="414">
          <cell r="A414">
            <v>413</v>
          </cell>
          <cell r="B414" t="str">
            <v>Thymian</v>
          </cell>
        </row>
        <row r="415">
          <cell r="A415">
            <v>414</v>
          </cell>
          <cell r="B415" t="str">
            <v>Thymian, getrocknet</v>
          </cell>
        </row>
        <row r="416">
          <cell r="A416">
            <v>415</v>
          </cell>
          <cell r="B416" t="str">
            <v>Tomaten</v>
          </cell>
        </row>
        <row r="417">
          <cell r="A417">
            <v>416</v>
          </cell>
          <cell r="B417" t="str">
            <v>Cherry-Tomaten</v>
          </cell>
        </row>
        <row r="418">
          <cell r="A418">
            <v>417</v>
          </cell>
          <cell r="B418" t="str">
            <v>Tomaten gelb</v>
          </cell>
        </row>
        <row r="419">
          <cell r="A419">
            <v>418</v>
          </cell>
          <cell r="B419" t="str">
            <v>Tomaten Passata</v>
          </cell>
        </row>
        <row r="420">
          <cell r="A420">
            <v>419</v>
          </cell>
          <cell r="B420" t="str">
            <v>Tomaten schwarz</v>
          </cell>
        </row>
        <row r="421">
          <cell r="A421">
            <v>420</v>
          </cell>
          <cell r="B421" t="str">
            <v>Tomaten, getrocknet</v>
          </cell>
        </row>
        <row r="422">
          <cell r="A422">
            <v>421</v>
          </cell>
          <cell r="B422" t="str">
            <v>Tomatenmark</v>
          </cell>
        </row>
        <row r="423">
          <cell r="A423">
            <v>422</v>
          </cell>
          <cell r="B423" t="str">
            <v>Tomatenstücke</v>
          </cell>
        </row>
        <row r="424">
          <cell r="A424">
            <v>423</v>
          </cell>
          <cell r="B424" t="str">
            <v>Tonkabohne</v>
          </cell>
        </row>
        <row r="425">
          <cell r="A425">
            <v>424</v>
          </cell>
          <cell r="B425" t="str">
            <v>Topinambur</v>
          </cell>
        </row>
        <row r="426">
          <cell r="A426">
            <v>425</v>
          </cell>
          <cell r="B426" t="str">
            <v>Trauben grün</v>
          </cell>
        </row>
        <row r="427">
          <cell r="A427">
            <v>426</v>
          </cell>
          <cell r="B427" t="str">
            <v>Trauben rot</v>
          </cell>
        </row>
        <row r="428">
          <cell r="A428">
            <v>427</v>
          </cell>
          <cell r="B428" t="str">
            <v>Trüffel</v>
          </cell>
        </row>
        <row r="429">
          <cell r="A429">
            <v>428</v>
          </cell>
          <cell r="B429" t="str">
            <v>Vanille</v>
          </cell>
        </row>
        <row r="430">
          <cell r="A430">
            <v>429</v>
          </cell>
          <cell r="B430" t="str">
            <v>Vollkorn-Bandnudeln</v>
          </cell>
        </row>
        <row r="431">
          <cell r="A431">
            <v>430</v>
          </cell>
          <cell r="B431" t="str">
            <v>Vollkorn-Brötchen</v>
          </cell>
        </row>
        <row r="432">
          <cell r="A432">
            <v>431</v>
          </cell>
          <cell r="B432" t="str">
            <v>Vollkorn-Fadennudeln</v>
          </cell>
        </row>
        <row r="433">
          <cell r="A433">
            <v>432</v>
          </cell>
          <cell r="B433" t="str">
            <v>Vollkornflocken</v>
          </cell>
        </row>
        <row r="434">
          <cell r="A434">
            <v>433</v>
          </cell>
          <cell r="B434" t="str">
            <v>Vollkorngetreide</v>
          </cell>
        </row>
        <row r="435">
          <cell r="A435">
            <v>434</v>
          </cell>
          <cell r="B435" t="str">
            <v>Vollkornmehl</v>
          </cell>
        </row>
        <row r="436">
          <cell r="A436">
            <v>435</v>
          </cell>
          <cell r="B436" t="str">
            <v>Vollkornnudeln</v>
          </cell>
        </row>
        <row r="437">
          <cell r="A437">
            <v>436</v>
          </cell>
          <cell r="B437" t="str">
            <v>Vollkorn-Spaghetti</v>
          </cell>
        </row>
        <row r="438">
          <cell r="A438">
            <v>437</v>
          </cell>
          <cell r="B438" t="str">
            <v>Vollkorn-Wraps</v>
          </cell>
        </row>
        <row r="439">
          <cell r="A439">
            <v>438</v>
          </cell>
          <cell r="B439" t="str">
            <v>Wacholderbeeren</v>
          </cell>
        </row>
        <row r="440">
          <cell r="A440">
            <v>439</v>
          </cell>
          <cell r="B440" t="str">
            <v>Wakame</v>
          </cell>
        </row>
        <row r="441">
          <cell r="A441">
            <v>440</v>
          </cell>
          <cell r="B441" t="str">
            <v>Walnusskerne</v>
          </cell>
        </row>
        <row r="442">
          <cell r="A442">
            <v>441</v>
          </cell>
          <cell r="B442" t="str">
            <v>Wasabi</v>
          </cell>
        </row>
        <row r="443">
          <cell r="A443">
            <v>442</v>
          </cell>
          <cell r="B443" t="str">
            <v>Wasser</v>
          </cell>
        </row>
        <row r="444">
          <cell r="A444">
            <v>443</v>
          </cell>
          <cell r="B444" t="str">
            <v>Wassermelone</v>
          </cell>
        </row>
        <row r="445">
          <cell r="A445">
            <v>444</v>
          </cell>
          <cell r="B445" t="str">
            <v>Weiße Beete</v>
          </cell>
        </row>
        <row r="446">
          <cell r="A446">
            <v>445</v>
          </cell>
          <cell r="B446" t="str">
            <v>Weiße Bohnen</v>
          </cell>
        </row>
        <row r="447">
          <cell r="A447">
            <v>446</v>
          </cell>
          <cell r="B447" t="str">
            <v>Weiße Bohnen, gekocht</v>
          </cell>
        </row>
        <row r="448">
          <cell r="A448">
            <v>447</v>
          </cell>
          <cell r="B448" t="str">
            <v>Weißkohl</v>
          </cell>
        </row>
        <row r="449">
          <cell r="A449">
            <v>448</v>
          </cell>
          <cell r="B449" t="str">
            <v>Weizen</v>
          </cell>
        </row>
        <row r="450">
          <cell r="A450">
            <v>449</v>
          </cell>
          <cell r="B450" t="str">
            <v>Weizenflocken</v>
          </cell>
        </row>
        <row r="451">
          <cell r="A451">
            <v>450</v>
          </cell>
          <cell r="B451" t="str">
            <v>Weizenkeime</v>
          </cell>
        </row>
        <row r="452">
          <cell r="A452">
            <v>451</v>
          </cell>
          <cell r="B452" t="str">
            <v>Weizenmehl</v>
          </cell>
        </row>
        <row r="453">
          <cell r="A453">
            <v>452</v>
          </cell>
          <cell r="B453" t="str">
            <v>Weizen-Sprossen</v>
          </cell>
        </row>
        <row r="454">
          <cell r="A454">
            <v>453</v>
          </cell>
          <cell r="B454" t="str">
            <v>Weizen-Vollkorn Farfalle</v>
          </cell>
        </row>
        <row r="455">
          <cell r="A455">
            <v>454</v>
          </cell>
          <cell r="B455" t="str">
            <v>Weizen-Vollkorn Fusilli</v>
          </cell>
        </row>
        <row r="456">
          <cell r="A456">
            <v>455</v>
          </cell>
          <cell r="B456" t="str">
            <v>Weizen-Vollkorn Lasagne</v>
          </cell>
        </row>
        <row r="457">
          <cell r="A457">
            <v>456</v>
          </cell>
          <cell r="B457" t="str">
            <v>Weizen-Vollkorn Linguine</v>
          </cell>
        </row>
        <row r="458">
          <cell r="A458">
            <v>457</v>
          </cell>
          <cell r="B458" t="str">
            <v>Weizen-Vollkorn Penne</v>
          </cell>
        </row>
        <row r="459">
          <cell r="A459">
            <v>458</v>
          </cell>
          <cell r="B459" t="str">
            <v>Weizen-Vollkorn Pipette Rigate</v>
          </cell>
        </row>
        <row r="460">
          <cell r="A460">
            <v>459</v>
          </cell>
          <cell r="B460" t="str">
            <v>Wirsing</v>
          </cell>
        </row>
        <row r="461">
          <cell r="A461">
            <v>460</v>
          </cell>
          <cell r="B461" t="str">
            <v>Zimtstangen</v>
          </cell>
        </row>
        <row r="462">
          <cell r="A462">
            <v>461</v>
          </cell>
          <cell r="B462" t="str">
            <v>Zimt, gemahlen</v>
          </cell>
        </row>
        <row r="463">
          <cell r="A463">
            <v>462</v>
          </cell>
          <cell r="B463" t="str">
            <v>Zitrone</v>
          </cell>
        </row>
        <row r="464">
          <cell r="A464">
            <v>463</v>
          </cell>
          <cell r="B464" t="str">
            <v>Zitronengras</v>
          </cell>
        </row>
        <row r="465">
          <cell r="A465">
            <v>464</v>
          </cell>
          <cell r="B465" t="str">
            <v>Zitronenmelisse</v>
          </cell>
        </row>
        <row r="466">
          <cell r="A466">
            <v>465</v>
          </cell>
          <cell r="B466" t="str">
            <v>Zitronenmelisse, getrocknet</v>
          </cell>
        </row>
        <row r="467">
          <cell r="A467">
            <v>466</v>
          </cell>
          <cell r="B467" t="str">
            <v>Zucchini gelb</v>
          </cell>
        </row>
        <row r="468">
          <cell r="A468">
            <v>467</v>
          </cell>
          <cell r="B468" t="str">
            <v>Zucchini grün</v>
          </cell>
        </row>
        <row r="469">
          <cell r="A469">
            <v>468</v>
          </cell>
          <cell r="B469" t="str">
            <v>Zucchini rund</v>
          </cell>
        </row>
        <row r="470">
          <cell r="A470">
            <v>469</v>
          </cell>
          <cell r="B470" t="str">
            <v>Zucker</v>
          </cell>
        </row>
        <row r="471">
          <cell r="A471">
            <v>470</v>
          </cell>
          <cell r="B471" t="str">
            <v>Zwetschgen</v>
          </cell>
        </row>
        <row r="472">
          <cell r="A472">
            <v>471</v>
          </cell>
          <cell r="B472" t="str">
            <v>Zwiebeln gelb</v>
          </cell>
        </row>
        <row r="473">
          <cell r="A473">
            <v>472</v>
          </cell>
          <cell r="B473" t="str">
            <v>Zwiebeln rot</v>
          </cell>
        </row>
        <row r="474">
          <cell r="A474">
            <v>473</v>
          </cell>
          <cell r="B474" t="str">
            <v>Zwiebelpulver</v>
          </cell>
        </row>
        <row r="477">
          <cell r="B477">
            <v>473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nedikt Strecker" id="{446015A9-175A-433C-95B7-35C038678A8C}" userId="789990992945b7b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8" dT="2025-09-20T16:59:15.49" personId="{446015A9-175A-433C-95B7-35C038678A8C}" id="{86A6DA90-4B5E-4400-B848-AE5D083133F6}" done="1">
    <text>Check makros</text>
  </threadedComment>
  <threadedComment ref="B89" dT="2025-09-20T16:59:15.49" personId="{446015A9-175A-433C-95B7-35C038678A8C}" id="{CC9519B8-DBBB-4F6B-9684-24D7E44A2BDE}" done="1">
    <text>Check makros</text>
  </threadedComment>
  <threadedComment ref="B90" dT="2025-09-20T16:59:15.49" personId="{446015A9-175A-433C-95B7-35C038678A8C}" id="{04E42D63-1346-48C1-8D5C-3E6A19476FCC}" done="1">
    <text>Check makros</text>
  </threadedComment>
  <threadedComment ref="B91" dT="2025-09-20T16:59:15.49" personId="{446015A9-175A-433C-95B7-35C038678A8C}" id="{AA2F0A11-7B5E-49C8-9F59-CCDE0CF36F72}" done="1">
    <text>Check makros</text>
  </threadedComment>
  <threadedComment ref="B92" dT="2025-09-20T16:59:15.49" personId="{446015A9-175A-433C-95B7-35C038678A8C}" id="{B70700EC-6B1D-4C67-832A-3E5D092A2ED4}" done="1">
    <text>Check makros</text>
  </threadedComment>
  <threadedComment ref="B93" dT="2025-09-20T16:59:15.49" personId="{446015A9-175A-433C-95B7-35C038678A8C}" id="{7EAF722B-154E-46D9-B100-52B29AA69024}" done="1">
    <text>Check makros</text>
  </threadedComment>
  <threadedComment ref="B96" dT="2025-09-20T17:02:45.91" personId="{446015A9-175A-433C-95B7-35C038678A8C}" id="{037849D0-8D3E-4D53-8EAF-0D0CA6B77849}" done="1">
    <text>Eigl. mehl</text>
  </threadedComment>
  <threadedComment ref="B99" dT="2025-09-20T16:59:15.49" personId="{446015A9-175A-433C-95B7-35C038678A8C}" id="{100C0FFA-B736-459F-81C1-FDFDF5C75279}" done="1">
    <text>Check makros</text>
  </threadedComment>
  <threadedComment ref="B100" dT="2025-09-20T16:59:15.49" personId="{446015A9-175A-433C-95B7-35C038678A8C}" id="{E9BB9BC7-CC05-4FB9-8169-24ACF0E44881}" done="1">
    <text>Check makros</text>
  </threadedComment>
  <threadedComment ref="B109" dT="2025-09-20T17:03:45.28" personId="{446015A9-175A-433C-95B7-35C038678A8C}" id="{EB0CE81A-D592-4BB1-9C06-F9D540619CA6}" done="1">
    <text xml:space="preserve">So wenig kalorien?
</text>
  </threadedComment>
  <threadedComment ref="B112" dT="2025-09-20T17:02:24.88" personId="{446015A9-175A-433C-95B7-35C038678A8C}" id="{D6E78CD1-D618-4167-80ED-AB665E302FFA}" done="1">
    <text xml:space="preserve">Eigl. Mehl
</text>
  </threadedComment>
  <threadedComment ref="B167" dT="2025-09-20T17:02:00.21" personId="{446015A9-175A-433C-95B7-35C038678A8C}" id="{C2FE99A0-F549-49E9-BC0D-42BB2D24CF3C}">
    <text>„Kräutermischung“</text>
  </threadedComment>
  <threadedComment ref="B194" dT="2025-09-20T17:01:44.97" personId="{446015A9-175A-433C-95B7-35C038678A8C}" id="{009746BF-86FA-44B9-9815-C258B361D8A5}">
    <text xml:space="preserve">Eigl mirabelle
</text>
  </threadedComment>
  <threadedComment ref="B215" dT="2025-09-20T17:01:33.45" personId="{446015A9-175A-433C-95B7-35C038678A8C}" id="{A40811A3-A58F-4136-B9EF-FEE940FC27D9}" done="1">
    <text xml:space="preserve">Eigl gartenkresse
</text>
  </threadedComment>
  <threadedComment ref="B239" dT="2025-09-20T17:01:12.53" personId="{446015A9-175A-433C-95B7-35C038678A8C}" id="{A5746A41-857C-47F9-BBD4-00E2F648065E}" done="1">
    <text>Hier gesalzen</text>
  </threadedComment>
  <threadedComment ref="B240" dT="2025-09-20T17:01:18.09" personId="{446015A9-175A-433C-95B7-35C038678A8C}" id="{C786E7D0-C66C-4780-900F-9FE3E1987C53}" done="1">
    <text xml:space="preserve">Hier gesalzen
</text>
  </threadedComment>
  <threadedComment ref="B251" dT="2025-09-20T17:00:56.69" personId="{446015A9-175A-433C-95B7-35C038678A8C}" id="{8F925C79-0D10-4280-805F-3EB297055BB6}">
    <text>Pilze frisch (allg)</text>
  </threadedComment>
  <threadedComment ref="B375" dT="2025-09-20T17:00:26.64" personId="{446015A9-175A-433C-95B7-35C038678A8C}" id="{55AE96A8-4A51-4BB0-8F23-C20CE263AF35}">
    <text>"andere Hülsenfrucht gekeimt"</text>
  </threadedComment>
  <threadedComment ref="B410" dT="2025-09-20T17:00:07.72" personId="{446015A9-175A-433C-95B7-35C038678A8C}" id="{CF3489D4-B8D4-40E7-B38E-B5965FB34790}">
    <text xml:space="preserve">Eigl mehl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ehrwertrechner.de/naehrwerte/G543111-1/Spitzpaprika+rot+frisch/?menge=100" TargetMode="External"/><Relationship Id="rId13" Type="http://schemas.openxmlformats.org/officeDocument/2006/relationships/hyperlink" Target="https://www.naehrwertrechner.de/naehrwerte/R258211/Pfeffer+wei%C3%9F/?menge=100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https://www.naehrwertrechner.de/naehrwerte/G760500/Erbsen+gr%C3%BCn+Pulver/?menge=100" TargetMode="External"/><Relationship Id="rId7" Type="http://schemas.openxmlformats.org/officeDocument/2006/relationships/hyperlink" Target="https://www.naehrwertrechner.de/naehrwerte/G311200/Blumenkohl+tiefgefroren/?menge=100" TargetMode="External"/><Relationship Id="rId12" Type="http://schemas.openxmlformats.org/officeDocument/2006/relationships/hyperlink" Target="https://www.naehrwertrechner.de/naehrwerte/R257011/Piment/?menge=100" TargetMode="External"/><Relationship Id="rId17" Type="http://schemas.openxmlformats.org/officeDocument/2006/relationships/hyperlink" Target="https://www.naehrwertrechner.de/naehrwerte/G079111/Salbei+frisch/?menge=100" TargetMode="External"/><Relationship Id="rId2" Type="http://schemas.openxmlformats.org/officeDocument/2006/relationships/hyperlink" Target="https://www.naehrwertrechner.de/naehrwerte/F524111/Cherimoya+frisch/?menge=100" TargetMode="External"/><Relationship Id="rId16" Type="http://schemas.openxmlformats.org/officeDocument/2006/relationships/hyperlink" Target="https://www.naehrwertrechner.de/naehrwerte/G332211/Rosenkohl+tiefgefroren/?menge=100" TargetMode="External"/><Relationship Id="rId20" Type="http://schemas.microsoft.com/office/2017/10/relationships/threadedComment" Target="../threadedComments/threadedComment1.xml"/><Relationship Id="rId1" Type="http://schemas.openxmlformats.org/officeDocument/2006/relationships/hyperlink" Target="https://www.naehrwertrechner.de/info/post/uber-poly-pentosen" TargetMode="External"/><Relationship Id="rId6" Type="http://schemas.openxmlformats.org/officeDocument/2006/relationships/hyperlink" Target="https://www.naehrwertrechner.de/naehrwerte/G311200/Blumenkohl+tiefgefroren/?menge=100" TargetMode="External"/><Relationship Id="rId11" Type="http://schemas.openxmlformats.org/officeDocument/2006/relationships/hyperlink" Target="https://www.naehrwertrechner.de/naehrwerte/G542111-1/Spitzpaprika+gelb+frisch/?menge=100" TargetMode="External"/><Relationship Id="rId5" Type="http://schemas.openxmlformats.org/officeDocument/2006/relationships/hyperlink" Target="https://www.naehrwertrechner.de/naehrwerte/G492100/B%C3%A4rlauch+roh/?menge=100" TargetMode="External"/><Relationship Id="rId15" Type="http://schemas.openxmlformats.org/officeDocument/2006/relationships/hyperlink" Target="https://www.naehrwertrechner.de/naehrwerte/G460111/Portulak+frisch/?menge=100" TargetMode="External"/><Relationship Id="rId10" Type="http://schemas.openxmlformats.org/officeDocument/2006/relationships/hyperlink" Target="https://www.naehrwertrechner.de/naehrwerte/G542111-1/Spitzpaprika+gelb+frisch/?menge=100" TargetMode="External"/><Relationship Id="rId19" Type="http://schemas.openxmlformats.org/officeDocument/2006/relationships/comments" Target="../comments1.xml"/><Relationship Id="rId4" Type="http://schemas.openxmlformats.org/officeDocument/2006/relationships/hyperlink" Target="https://www.naehrwertrechner.de/naehrwerte/G410111/Artischocken+frisch/?menge=100" TargetMode="External"/><Relationship Id="rId9" Type="http://schemas.openxmlformats.org/officeDocument/2006/relationships/hyperlink" Target="https://www.naehrwertrechner.de/naehrwerte/G541111-1/Spitzpaprika+gr%C3%BCn+frisch/?menge=100" TargetMode="External"/><Relationship Id="rId14" Type="http://schemas.openxmlformats.org/officeDocument/2006/relationships/hyperlink" Target="https://www.naehrwertrechner.de/naehrwerte/R258211/Pfeffer+wei%C3%9F/?menge=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474"/>
  <sheetViews>
    <sheetView tabSelected="1" workbookViewId="0">
      <selection activeCell="G18" sqref="G18"/>
    </sheetView>
  </sheetViews>
  <sheetFormatPr baseColWidth="10" defaultColWidth="10.7109375" defaultRowHeight="15" outlineLevelRow="1" outlineLevelCol="1" x14ac:dyDescent="0.25"/>
  <cols>
    <col min="1" max="1" width="30.85546875" customWidth="1" outlineLevel="1"/>
    <col min="2" max="2" width="28.7109375" customWidth="1" outlineLevel="1"/>
    <col min="3" max="3" width="20.7109375" style="14" bestFit="1" customWidth="1"/>
    <col min="4" max="4" width="12.5703125" style="14" bestFit="1" customWidth="1"/>
    <col min="5" max="10" width="11.5703125" bestFit="1" customWidth="1"/>
    <col min="11" max="12" width="12.5703125" bestFit="1" customWidth="1"/>
    <col min="13" max="14" width="11.5703125" bestFit="1" customWidth="1"/>
    <col min="15" max="15" width="13.5703125" bestFit="1" customWidth="1"/>
    <col min="16" max="17" width="12.5703125" bestFit="1" customWidth="1"/>
    <col min="18" max="20" width="13.5703125" bestFit="1" customWidth="1"/>
    <col min="21" max="21" width="12.5703125" bestFit="1" customWidth="1"/>
    <col min="22" max="22" width="11.5703125" bestFit="1" customWidth="1"/>
    <col min="23" max="23" width="12.5703125" bestFit="1" customWidth="1"/>
    <col min="24" max="24" width="11.5703125" bestFit="1" customWidth="1"/>
    <col min="25" max="25" width="15.5703125" bestFit="1" customWidth="1"/>
    <col min="26" max="26" width="11.5703125" bestFit="1" customWidth="1"/>
    <col min="27" max="27" width="13.5703125" bestFit="1" customWidth="1"/>
    <col min="28" max="29" width="11.5703125" bestFit="1" customWidth="1"/>
    <col min="30" max="30" width="13.5703125" bestFit="1" customWidth="1"/>
    <col min="31" max="35" width="12.5703125" bestFit="1" customWidth="1"/>
    <col min="36" max="39" width="13.5703125" bestFit="1" customWidth="1"/>
    <col min="40" max="40" width="12.5703125" bestFit="1" customWidth="1"/>
    <col min="41" max="42" width="11.5703125" bestFit="1" customWidth="1"/>
    <col min="43" max="43" width="13.5703125" bestFit="1" customWidth="1"/>
    <col min="44" max="44" width="11.5703125" bestFit="1" customWidth="1"/>
    <col min="45" max="45" width="13.5703125" bestFit="1" customWidth="1"/>
    <col min="46" max="47" width="14.5703125" bestFit="1" customWidth="1"/>
    <col min="48" max="48" width="11.5703125" bestFit="1" customWidth="1"/>
    <col min="49" max="49" width="14.5703125" bestFit="1" customWidth="1"/>
    <col min="50" max="50" width="24.7109375" bestFit="1" customWidth="1"/>
    <col min="51" max="52" width="11.5703125" bestFit="1" customWidth="1"/>
    <col min="53" max="53" width="13.5703125" bestFit="1" customWidth="1"/>
    <col min="54" max="56" width="11.5703125" bestFit="1" customWidth="1"/>
    <col min="57" max="58" width="12.42578125" bestFit="1" customWidth="1"/>
    <col min="59" max="59" width="11.5703125" bestFit="1" customWidth="1"/>
    <col min="60" max="63" width="12.5703125" bestFit="1" customWidth="1"/>
    <col min="64" max="64" width="11.5703125" bestFit="1" customWidth="1"/>
    <col min="65" max="71" width="12.5703125" bestFit="1" customWidth="1"/>
    <col min="72" max="72" width="29.7109375" bestFit="1" customWidth="1"/>
    <col min="73" max="73" width="12.5703125" bestFit="1" customWidth="1"/>
    <col min="74" max="75" width="13.5703125" bestFit="1" customWidth="1"/>
    <col min="76" max="78" width="12.5703125" bestFit="1" customWidth="1"/>
    <col min="79" max="79" width="13.5703125" bestFit="1" customWidth="1"/>
    <col min="80" max="80" width="12.5703125" bestFit="1" customWidth="1"/>
    <col min="81" max="81" width="11.5703125" bestFit="1" customWidth="1"/>
    <col min="82" max="83" width="13.5703125" bestFit="1" customWidth="1"/>
    <col min="84" max="91" width="11.5703125" bestFit="1" customWidth="1"/>
    <col min="92" max="92" width="12.5703125" bestFit="1" customWidth="1"/>
    <col min="93" max="97" width="11.5703125" bestFit="1" customWidth="1"/>
    <col min="98" max="98" width="12.5703125" bestFit="1" customWidth="1"/>
    <col min="99" max="102" width="11.5703125" bestFit="1" customWidth="1"/>
    <col min="103" max="103" width="12.5703125" bestFit="1" customWidth="1"/>
    <col min="104" max="106" width="11.5703125" bestFit="1" customWidth="1"/>
    <col min="107" max="107" width="12.5703125" bestFit="1" customWidth="1"/>
    <col min="108" max="109" width="11.5703125" bestFit="1" customWidth="1"/>
    <col min="110" max="111" width="13.5703125" bestFit="1" customWidth="1"/>
    <col min="112" max="122" width="11.5703125" bestFit="1" customWidth="1"/>
    <col min="123" max="124" width="13.5703125" bestFit="1" customWidth="1"/>
    <col min="125" max="125" width="12.5703125" bestFit="1" customWidth="1"/>
    <col min="126" max="128" width="11.5703125" bestFit="1" customWidth="1"/>
    <col min="129" max="131" width="13.5703125" bestFit="1" customWidth="1"/>
    <col min="132" max="135" width="14.5703125" bestFit="1" customWidth="1"/>
    <col min="136" max="141" width="11.5703125" bestFit="1" customWidth="1"/>
  </cols>
  <sheetData>
    <row r="1" spans="1:141" outlineLevel="1" x14ac:dyDescent="0.25">
      <c r="A1" s="1"/>
      <c r="B1" s="2"/>
      <c r="C1" s="3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</row>
    <row r="2" spans="1:141" s="5" customFormat="1" outlineLevel="1" x14ac:dyDescent="0.25">
      <c r="A2" s="4"/>
      <c r="C2" s="6" t="s">
        <v>139</v>
      </c>
      <c r="D2" s="5" t="s">
        <v>140</v>
      </c>
      <c r="E2" s="5" t="s">
        <v>141</v>
      </c>
      <c r="F2" s="5" t="s">
        <v>141</v>
      </c>
      <c r="G2" s="5" t="s">
        <v>141</v>
      </c>
      <c r="H2" s="5" t="s">
        <v>141</v>
      </c>
      <c r="I2" s="5" t="s">
        <v>141</v>
      </c>
      <c r="J2" s="5" t="s">
        <v>141</v>
      </c>
      <c r="K2" s="5" t="s">
        <v>141</v>
      </c>
      <c r="L2" s="5" t="s">
        <v>142</v>
      </c>
      <c r="M2" s="5" t="s">
        <v>142</v>
      </c>
      <c r="N2" s="5" t="s">
        <v>142</v>
      </c>
      <c r="O2" s="5" t="s">
        <v>142</v>
      </c>
      <c r="P2" s="5" t="s">
        <v>142</v>
      </c>
      <c r="Q2" s="5" t="s">
        <v>142</v>
      </c>
      <c r="R2" s="5" t="s">
        <v>142</v>
      </c>
      <c r="S2" s="5" t="s">
        <v>142</v>
      </c>
      <c r="T2" s="5" t="s">
        <v>142</v>
      </c>
      <c r="U2" s="5" t="s">
        <v>142</v>
      </c>
      <c r="V2" s="5" t="s">
        <v>142</v>
      </c>
      <c r="W2" s="5" t="s">
        <v>142</v>
      </c>
      <c r="X2" s="5" t="s">
        <v>142</v>
      </c>
      <c r="Y2" s="5" t="s">
        <v>142</v>
      </c>
      <c r="Z2" s="5" t="s">
        <v>142</v>
      </c>
      <c r="AA2" s="5" t="s">
        <v>142</v>
      </c>
      <c r="AB2" s="5" t="s">
        <v>142</v>
      </c>
      <c r="AC2" s="5" t="s">
        <v>143</v>
      </c>
      <c r="AD2" s="5" t="s">
        <v>143</v>
      </c>
      <c r="AE2" s="5" t="s">
        <v>143</v>
      </c>
      <c r="AF2" s="5" t="s">
        <v>143</v>
      </c>
      <c r="AG2" s="5" t="s">
        <v>143</v>
      </c>
      <c r="AH2" s="5" t="s">
        <v>143</v>
      </c>
      <c r="AI2" s="5" t="s">
        <v>143</v>
      </c>
      <c r="AJ2" s="5" t="s">
        <v>142</v>
      </c>
      <c r="AK2" s="5" t="s">
        <v>142</v>
      </c>
      <c r="AL2" s="5" t="s">
        <v>142</v>
      </c>
      <c r="AM2" s="5" t="s">
        <v>142</v>
      </c>
      <c r="AN2" s="5" t="s">
        <v>142</v>
      </c>
      <c r="AO2" s="5" t="s">
        <v>142</v>
      </c>
      <c r="AP2" s="5" t="s">
        <v>143</v>
      </c>
      <c r="AQ2" s="5" t="s">
        <v>143</v>
      </c>
      <c r="AR2" s="5" t="s">
        <v>143</v>
      </c>
      <c r="AS2" s="5" t="s">
        <v>143</v>
      </c>
      <c r="AT2" s="5" t="s">
        <v>143</v>
      </c>
      <c r="AU2" s="5" t="s">
        <v>143</v>
      </c>
      <c r="AV2" s="5" t="s">
        <v>143</v>
      </c>
      <c r="AW2" s="5" t="s">
        <v>143</v>
      </c>
      <c r="AX2" s="5" t="s">
        <v>143</v>
      </c>
      <c r="AY2" s="5" t="s">
        <v>143</v>
      </c>
      <c r="AZ2" s="5" t="s">
        <v>143</v>
      </c>
      <c r="BA2" s="5" t="s">
        <v>143</v>
      </c>
      <c r="BB2" s="5" t="s">
        <v>143</v>
      </c>
      <c r="BC2" s="5" t="s">
        <v>143</v>
      </c>
      <c r="BD2" s="5" t="s">
        <v>143</v>
      </c>
      <c r="BE2" s="5" t="s">
        <v>143</v>
      </c>
      <c r="BF2" s="5" t="s">
        <v>143</v>
      </c>
      <c r="BH2" s="5" t="s">
        <v>143</v>
      </c>
      <c r="BI2" s="5" t="s">
        <v>143</v>
      </c>
      <c r="BJ2" s="5" t="s">
        <v>143</v>
      </c>
      <c r="BK2" s="5" t="s">
        <v>143</v>
      </c>
      <c r="BL2" s="5" t="s">
        <v>143</v>
      </c>
      <c r="BM2" s="5" t="s">
        <v>143</v>
      </c>
      <c r="BN2" s="5" t="s">
        <v>143</v>
      </c>
      <c r="BO2" s="5" t="s">
        <v>143</v>
      </c>
      <c r="BP2" s="5" t="s">
        <v>143</v>
      </c>
      <c r="BQ2" s="5" t="s">
        <v>143</v>
      </c>
      <c r="BR2" s="5" t="s">
        <v>143</v>
      </c>
      <c r="BS2" s="5" t="s">
        <v>143</v>
      </c>
      <c r="BT2" s="5" t="s">
        <v>143</v>
      </c>
      <c r="BU2" s="5" t="s">
        <v>143</v>
      </c>
      <c r="BV2" s="5" t="s">
        <v>143</v>
      </c>
      <c r="BW2" s="5" t="s">
        <v>143</v>
      </c>
      <c r="BX2" s="5" t="s">
        <v>143</v>
      </c>
      <c r="BY2" s="5" t="s">
        <v>143</v>
      </c>
      <c r="BZ2" s="5" t="s">
        <v>143</v>
      </c>
      <c r="CA2" s="5" t="s">
        <v>143</v>
      </c>
      <c r="CB2" s="5" t="s">
        <v>143</v>
      </c>
      <c r="CC2" s="5" t="s">
        <v>143</v>
      </c>
      <c r="CD2" s="5" t="s">
        <v>143</v>
      </c>
      <c r="CE2" s="5" t="s">
        <v>143</v>
      </c>
      <c r="CF2" s="5" t="s">
        <v>143</v>
      </c>
      <c r="CG2" s="5" t="s">
        <v>143</v>
      </c>
      <c r="CH2" s="5" t="s">
        <v>143</v>
      </c>
      <c r="CI2" s="5" t="s">
        <v>143</v>
      </c>
      <c r="CJ2" s="5" t="s">
        <v>143</v>
      </c>
      <c r="CK2" s="5" t="s">
        <v>143</v>
      </c>
      <c r="CL2" s="5" t="s">
        <v>143</v>
      </c>
      <c r="CM2" s="5" t="s">
        <v>143</v>
      </c>
      <c r="CN2" s="5" t="s">
        <v>143</v>
      </c>
      <c r="CO2" s="5" t="s">
        <v>143</v>
      </c>
      <c r="CP2" s="5" t="s">
        <v>143</v>
      </c>
      <c r="CQ2" s="5" t="s">
        <v>143</v>
      </c>
      <c r="CR2" s="5" t="s">
        <v>143</v>
      </c>
      <c r="CS2" s="5" t="s">
        <v>143</v>
      </c>
      <c r="CT2" s="5" t="s">
        <v>143</v>
      </c>
      <c r="CU2" s="5" t="s">
        <v>143</v>
      </c>
      <c r="CV2" s="5" t="s">
        <v>143</v>
      </c>
      <c r="CW2" s="5" t="s">
        <v>143</v>
      </c>
      <c r="CX2" s="5" t="s">
        <v>143</v>
      </c>
      <c r="CY2" s="5" t="s">
        <v>143</v>
      </c>
      <c r="CZ2" s="5" t="s">
        <v>143</v>
      </c>
      <c r="DA2" s="5" t="s">
        <v>143</v>
      </c>
      <c r="DB2" s="5" t="s">
        <v>143</v>
      </c>
      <c r="DC2" s="5" t="s">
        <v>143</v>
      </c>
      <c r="DD2" s="5" t="s">
        <v>143</v>
      </c>
      <c r="DE2" s="5" t="s">
        <v>143</v>
      </c>
      <c r="DF2" s="5" t="s">
        <v>143</v>
      </c>
      <c r="DG2" s="5" t="s">
        <v>143</v>
      </c>
      <c r="DH2" s="5" t="s">
        <v>143</v>
      </c>
      <c r="DI2" s="5" t="s">
        <v>143</v>
      </c>
      <c r="DJ2" s="5" t="s">
        <v>143</v>
      </c>
      <c r="DK2" s="5" t="s">
        <v>143</v>
      </c>
      <c r="DL2" s="5" t="s">
        <v>143</v>
      </c>
      <c r="DM2" s="5" t="s">
        <v>143</v>
      </c>
      <c r="DN2" s="5" t="s">
        <v>143</v>
      </c>
      <c r="DO2" s="5" t="s">
        <v>143</v>
      </c>
      <c r="DP2" s="5" t="s">
        <v>143</v>
      </c>
      <c r="DQ2" s="5" t="s">
        <v>143</v>
      </c>
      <c r="DR2" s="5" t="s">
        <v>143</v>
      </c>
      <c r="DS2" s="5" t="s">
        <v>143</v>
      </c>
      <c r="DT2" s="5" t="s">
        <v>143</v>
      </c>
      <c r="DU2" s="5" t="s">
        <v>143</v>
      </c>
      <c r="DV2" s="5" t="s">
        <v>143</v>
      </c>
      <c r="DW2" s="5" t="s">
        <v>143</v>
      </c>
      <c r="DX2" s="5" t="s">
        <v>143</v>
      </c>
      <c r="DY2" s="5" t="s">
        <v>143</v>
      </c>
      <c r="DZ2" s="5" t="s">
        <v>143</v>
      </c>
      <c r="EA2" s="5" t="s">
        <v>143</v>
      </c>
      <c r="EB2" s="5" t="s">
        <v>143</v>
      </c>
      <c r="EC2" s="5" t="s">
        <v>143</v>
      </c>
      <c r="ED2" s="5" t="s">
        <v>143</v>
      </c>
      <c r="EE2" s="5" t="s">
        <v>143</v>
      </c>
      <c r="EF2" s="5" t="s">
        <v>141</v>
      </c>
      <c r="EG2" s="5" t="s">
        <v>141</v>
      </c>
      <c r="EH2" s="5" t="s">
        <v>141</v>
      </c>
      <c r="EI2" s="5" t="s">
        <v>141</v>
      </c>
      <c r="EJ2" s="5" t="s">
        <v>141</v>
      </c>
      <c r="EK2" s="5" t="s">
        <v>141</v>
      </c>
    </row>
    <row r="3" spans="1:141" s="5" customFormat="1" x14ac:dyDescent="0.25">
      <c r="A3" s="4" t="s">
        <v>144</v>
      </c>
      <c r="B3" s="5" t="s">
        <v>145</v>
      </c>
      <c r="C3" s="6" t="s">
        <v>146</v>
      </c>
      <c r="D3" s="5">
        <v>1</v>
      </c>
      <c r="E3" s="5">
        <v>2</v>
      </c>
      <c r="F3" s="5">
        <v>3</v>
      </c>
      <c r="G3" s="4">
        <v>4</v>
      </c>
      <c r="H3" s="5">
        <v>5</v>
      </c>
      <c r="I3" s="5">
        <v>6</v>
      </c>
      <c r="J3" s="4">
        <v>7</v>
      </c>
      <c r="K3" s="5">
        <v>8</v>
      </c>
      <c r="L3" s="5">
        <v>9</v>
      </c>
      <c r="M3" s="4">
        <v>10</v>
      </c>
      <c r="N3" s="5">
        <v>11</v>
      </c>
      <c r="O3" s="5">
        <v>12</v>
      </c>
      <c r="P3" s="4">
        <v>13</v>
      </c>
      <c r="Q3" s="5">
        <v>14</v>
      </c>
      <c r="R3" s="5">
        <v>15</v>
      </c>
      <c r="S3" s="4">
        <v>16</v>
      </c>
      <c r="T3" s="5">
        <v>17</v>
      </c>
      <c r="U3" s="5">
        <v>18</v>
      </c>
      <c r="V3" s="4">
        <v>19</v>
      </c>
      <c r="W3" s="5">
        <v>20</v>
      </c>
      <c r="X3" s="5">
        <v>21</v>
      </c>
      <c r="Y3" s="4">
        <v>22</v>
      </c>
      <c r="Z3" s="5">
        <v>23</v>
      </c>
      <c r="AA3" s="5">
        <v>24</v>
      </c>
      <c r="AB3" s="4">
        <v>25</v>
      </c>
      <c r="AC3" s="5">
        <v>26</v>
      </c>
      <c r="AD3" s="5">
        <v>27</v>
      </c>
      <c r="AE3" s="4">
        <v>28</v>
      </c>
      <c r="AF3" s="5">
        <v>29</v>
      </c>
      <c r="AG3" s="5">
        <v>30</v>
      </c>
      <c r="AH3" s="4">
        <v>31</v>
      </c>
      <c r="AI3" s="5">
        <v>32</v>
      </c>
      <c r="AJ3" s="5">
        <v>33</v>
      </c>
      <c r="AK3" s="4">
        <v>34</v>
      </c>
      <c r="AL3" s="5">
        <v>35</v>
      </c>
      <c r="AM3" s="5">
        <v>36</v>
      </c>
      <c r="AN3" s="4">
        <v>37</v>
      </c>
      <c r="AO3" s="5">
        <v>38</v>
      </c>
      <c r="AP3" s="5">
        <v>39</v>
      </c>
      <c r="AQ3" s="4">
        <v>40</v>
      </c>
      <c r="AR3" s="5">
        <v>41</v>
      </c>
      <c r="AS3" s="5">
        <v>42</v>
      </c>
      <c r="AT3" s="4">
        <v>43</v>
      </c>
      <c r="AU3" s="5">
        <v>44</v>
      </c>
      <c r="AV3" s="5">
        <v>45</v>
      </c>
      <c r="AW3" s="4">
        <v>46</v>
      </c>
      <c r="AX3" s="5">
        <v>47</v>
      </c>
      <c r="AY3" s="5">
        <v>48</v>
      </c>
      <c r="AZ3" s="4">
        <v>49</v>
      </c>
      <c r="BA3" s="5">
        <v>50</v>
      </c>
      <c r="BB3" s="5">
        <v>51</v>
      </c>
      <c r="BC3" s="4">
        <v>52</v>
      </c>
      <c r="BD3" s="5">
        <v>53</v>
      </c>
      <c r="BE3" s="5">
        <v>54</v>
      </c>
      <c r="BF3" s="4">
        <v>55</v>
      </c>
      <c r="BG3" s="5">
        <v>56</v>
      </c>
      <c r="BH3" s="5">
        <v>57</v>
      </c>
      <c r="BI3" s="4">
        <v>58</v>
      </c>
      <c r="BJ3" s="5">
        <v>59</v>
      </c>
      <c r="BK3" s="5">
        <v>60</v>
      </c>
      <c r="BL3" s="4">
        <v>61</v>
      </c>
      <c r="BM3" s="5">
        <v>62</v>
      </c>
      <c r="BN3" s="5">
        <v>63</v>
      </c>
      <c r="BO3" s="4">
        <v>64</v>
      </c>
      <c r="BP3" s="5">
        <v>65</v>
      </c>
      <c r="BQ3" s="5">
        <v>66</v>
      </c>
      <c r="BR3" s="4">
        <v>67</v>
      </c>
      <c r="BS3" s="5">
        <v>68</v>
      </c>
      <c r="BT3" s="5">
        <v>69</v>
      </c>
      <c r="BU3" s="4">
        <v>70</v>
      </c>
      <c r="BV3" s="5">
        <v>71</v>
      </c>
      <c r="BW3" s="5">
        <v>72</v>
      </c>
      <c r="BX3" s="4">
        <v>73</v>
      </c>
      <c r="BY3" s="5">
        <v>74</v>
      </c>
      <c r="BZ3" s="5">
        <v>75</v>
      </c>
      <c r="CA3" s="4">
        <v>76</v>
      </c>
      <c r="CB3" s="5">
        <v>77</v>
      </c>
      <c r="CC3" s="5">
        <v>78</v>
      </c>
      <c r="CD3" s="4">
        <v>79</v>
      </c>
      <c r="CE3" s="5">
        <v>80</v>
      </c>
      <c r="CF3" s="5">
        <v>81</v>
      </c>
      <c r="CG3" s="4">
        <v>82</v>
      </c>
      <c r="CH3" s="5">
        <v>83</v>
      </c>
      <c r="CI3" s="5">
        <v>84</v>
      </c>
      <c r="CJ3" s="4">
        <v>85</v>
      </c>
      <c r="CK3" s="5">
        <v>86</v>
      </c>
      <c r="CL3" s="5">
        <v>87</v>
      </c>
      <c r="CM3" s="4">
        <v>88</v>
      </c>
      <c r="CN3" s="5">
        <v>89</v>
      </c>
      <c r="CO3" s="5">
        <v>90</v>
      </c>
      <c r="CP3" s="4">
        <v>91</v>
      </c>
      <c r="CQ3" s="5">
        <v>92</v>
      </c>
      <c r="CR3" s="5">
        <v>93</v>
      </c>
      <c r="CS3" s="4">
        <v>94</v>
      </c>
      <c r="CT3" s="5">
        <v>95</v>
      </c>
      <c r="CU3" s="5">
        <v>96</v>
      </c>
      <c r="CV3" s="4">
        <v>97</v>
      </c>
      <c r="CW3" s="5">
        <v>98</v>
      </c>
      <c r="CX3" s="5">
        <v>99</v>
      </c>
      <c r="CY3" s="4">
        <v>100</v>
      </c>
      <c r="CZ3" s="5">
        <v>101</v>
      </c>
      <c r="DA3" s="5">
        <v>102</v>
      </c>
      <c r="DB3" s="4">
        <v>103</v>
      </c>
      <c r="DC3" s="5">
        <v>104</v>
      </c>
      <c r="DD3" s="5">
        <v>105</v>
      </c>
      <c r="DE3" s="4">
        <v>106</v>
      </c>
      <c r="DF3" s="5">
        <v>107</v>
      </c>
      <c r="DG3" s="5">
        <v>108</v>
      </c>
      <c r="DH3" s="4">
        <v>109</v>
      </c>
      <c r="DI3" s="5">
        <v>110</v>
      </c>
      <c r="DJ3" s="5">
        <v>111</v>
      </c>
      <c r="DK3" s="4">
        <v>112</v>
      </c>
      <c r="DL3" s="5">
        <v>113</v>
      </c>
      <c r="DM3" s="5">
        <v>114</v>
      </c>
      <c r="DN3" s="4">
        <v>115</v>
      </c>
      <c r="DO3" s="5">
        <v>116</v>
      </c>
      <c r="DP3" s="5">
        <v>117</v>
      </c>
      <c r="DQ3" s="4">
        <v>118</v>
      </c>
      <c r="DR3" s="5">
        <v>119</v>
      </c>
      <c r="DS3" s="5">
        <v>120</v>
      </c>
      <c r="DT3" s="4">
        <v>121</v>
      </c>
      <c r="DU3" s="5">
        <v>122</v>
      </c>
      <c r="DV3" s="5">
        <v>123</v>
      </c>
      <c r="DW3" s="4">
        <v>124</v>
      </c>
      <c r="DX3" s="5">
        <v>125</v>
      </c>
      <c r="DY3" s="5">
        <v>126</v>
      </c>
      <c r="DZ3" s="4">
        <v>127</v>
      </c>
      <c r="EA3" s="5">
        <v>128</v>
      </c>
      <c r="EB3" s="5">
        <v>129</v>
      </c>
      <c r="EC3" s="4">
        <v>130</v>
      </c>
      <c r="ED3" s="5">
        <v>131</v>
      </c>
      <c r="EE3" s="5">
        <v>132</v>
      </c>
      <c r="EF3" s="4">
        <v>133</v>
      </c>
      <c r="EG3" s="5">
        <v>134</v>
      </c>
      <c r="EH3" s="5">
        <v>135</v>
      </c>
      <c r="EI3" s="4">
        <v>136</v>
      </c>
      <c r="EJ3" s="5">
        <v>137</v>
      </c>
      <c r="EK3" s="5">
        <v>138</v>
      </c>
    </row>
    <row r="4" spans="1:141" x14ac:dyDescent="0.25">
      <c r="A4" t="str">
        <f>[1]ingredient!B2</f>
        <v>Ackerbohnen</v>
      </c>
      <c r="B4" t="s">
        <v>147</v>
      </c>
      <c r="C4" s="7">
        <f>_xlfn.XLOOKUP(A4,[1]ingredient!$B$2:$B$521,[1]ingredient!$A$2:$A$521)</f>
        <v>1</v>
      </c>
      <c r="D4">
        <v>326</v>
      </c>
      <c r="E4">
        <v>2</v>
      </c>
      <c r="F4">
        <v>28</v>
      </c>
      <c r="G4">
        <v>48</v>
      </c>
      <c r="H4">
        <v>12</v>
      </c>
      <c r="I4">
        <v>18</v>
      </c>
      <c r="J4">
        <v>0.16</v>
      </c>
      <c r="K4">
        <v>6</v>
      </c>
      <c r="L4">
        <v>44</v>
      </c>
      <c r="M4">
        <v>22</v>
      </c>
      <c r="N4">
        <v>0</v>
      </c>
      <c r="O4">
        <v>259</v>
      </c>
      <c r="P4">
        <v>677</v>
      </c>
      <c r="Q4">
        <v>394</v>
      </c>
      <c r="R4">
        <v>5456</v>
      </c>
      <c r="S4">
        <v>9639</v>
      </c>
      <c r="T4">
        <v>964</v>
      </c>
      <c r="U4">
        <v>641</v>
      </c>
      <c r="V4">
        <v>16</v>
      </c>
      <c r="W4">
        <v>88</v>
      </c>
      <c r="X4">
        <v>0</v>
      </c>
      <c r="Y4">
        <v>52943</v>
      </c>
      <c r="Z4">
        <v>0</v>
      </c>
      <c r="AA4">
        <v>1083</v>
      </c>
      <c r="AB4">
        <v>100</v>
      </c>
      <c r="AC4">
        <v>92</v>
      </c>
      <c r="AD4">
        <v>1227</v>
      </c>
      <c r="AE4">
        <v>92</v>
      </c>
      <c r="AF4">
        <v>135</v>
      </c>
      <c r="AG4">
        <v>346</v>
      </c>
      <c r="AH4">
        <v>108</v>
      </c>
      <c r="AI4">
        <v>72</v>
      </c>
      <c r="AJ4">
        <v>6818</v>
      </c>
      <c r="AK4">
        <v>1011</v>
      </c>
      <c r="AL4">
        <v>362</v>
      </c>
      <c r="AM4">
        <v>1262</v>
      </c>
      <c r="AN4">
        <v>44</v>
      </c>
      <c r="AO4">
        <v>12</v>
      </c>
      <c r="AP4">
        <v>0</v>
      </c>
      <c r="AQ4">
        <v>0</v>
      </c>
      <c r="AR4">
        <v>0</v>
      </c>
      <c r="AS4">
        <v>0</v>
      </c>
      <c r="AT4">
        <v>6431</v>
      </c>
      <c r="AU4">
        <v>8339</v>
      </c>
      <c r="AV4">
        <v>0</v>
      </c>
      <c r="AW4">
        <v>14770</v>
      </c>
      <c r="AX4">
        <v>2859</v>
      </c>
      <c r="AY4">
        <v>0</v>
      </c>
      <c r="AZ4">
        <v>0</v>
      </c>
      <c r="BA4">
        <v>2859</v>
      </c>
      <c r="BB4">
        <v>9525</v>
      </c>
      <c r="BC4">
        <v>0</v>
      </c>
      <c r="BD4">
        <v>0</v>
      </c>
      <c r="BE4">
        <v>19047</v>
      </c>
      <c r="BF4">
        <v>19047</v>
      </c>
      <c r="BG4">
        <f>IF($F4=0,"0",MIN(
BH4/(30*$F4),
BI4/(61*$F4),
BJ4/(48*$F4),
(BK4+BL4)/(23*$F4),
(BM4+BN4)/(41*$F4),
BO4/(25*$F4),
BP4/(6.6*$F4),
BQ4/(40*$F4),
BS4/(16*$F4)
)*100)</f>
        <v>74.223602484472053</v>
      </c>
      <c r="BH4">
        <v>1179</v>
      </c>
      <c r="BI4">
        <v>2023</v>
      </c>
      <c r="BJ4">
        <v>1824</v>
      </c>
      <c r="BK4">
        <v>195</v>
      </c>
      <c r="BL4">
        <v>283</v>
      </c>
      <c r="BM4">
        <v>1179</v>
      </c>
      <c r="BN4">
        <v>928</v>
      </c>
      <c r="BO4">
        <v>956</v>
      </c>
      <c r="BP4">
        <v>251</v>
      </c>
      <c r="BQ4">
        <v>1290</v>
      </c>
      <c r="BR4">
        <v>2385</v>
      </c>
      <c r="BS4">
        <v>673</v>
      </c>
      <c r="BT4">
        <v>13166</v>
      </c>
      <c r="BU4">
        <v>1151</v>
      </c>
      <c r="BV4">
        <v>3146</v>
      </c>
      <c r="BW4">
        <v>4241</v>
      </c>
      <c r="BX4">
        <v>1151</v>
      </c>
      <c r="BY4">
        <v>1179</v>
      </c>
      <c r="BZ4">
        <v>1234</v>
      </c>
      <c r="CA4">
        <v>12102</v>
      </c>
      <c r="CB4">
        <v>167</v>
      </c>
      <c r="CC4">
        <v>70</v>
      </c>
      <c r="CD4">
        <v>653</v>
      </c>
      <c r="CE4">
        <v>462</v>
      </c>
      <c r="CF4">
        <v>0.71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358</v>
      </c>
      <c r="CO4">
        <v>0</v>
      </c>
      <c r="CP4">
        <v>64</v>
      </c>
      <c r="CQ4">
        <v>0</v>
      </c>
      <c r="CR4">
        <v>0</v>
      </c>
      <c r="CS4">
        <v>0</v>
      </c>
      <c r="CT4">
        <v>422</v>
      </c>
      <c r="CU4">
        <v>0</v>
      </c>
      <c r="CV4">
        <v>0</v>
      </c>
      <c r="CW4">
        <v>8</v>
      </c>
      <c r="CX4">
        <v>0</v>
      </c>
      <c r="CY4">
        <v>60</v>
      </c>
      <c r="CZ4">
        <v>0</v>
      </c>
      <c r="DA4">
        <v>0</v>
      </c>
      <c r="DB4">
        <v>0</v>
      </c>
      <c r="DC4">
        <v>68</v>
      </c>
      <c r="DD4">
        <v>0</v>
      </c>
      <c r="DE4">
        <v>0</v>
      </c>
      <c r="DF4">
        <v>462</v>
      </c>
      <c r="DG4">
        <v>653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1115</v>
      </c>
      <c r="DT4">
        <v>1605</v>
      </c>
      <c r="DU4">
        <v>402</v>
      </c>
      <c r="DV4">
        <v>0</v>
      </c>
      <c r="DW4">
        <v>0</v>
      </c>
      <c r="DX4">
        <v>0</v>
      </c>
      <c r="DY4">
        <v>1565</v>
      </c>
      <c r="DZ4">
        <v>4213</v>
      </c>
      <c r="EA4">
        <v>1565</v>
      </c>
      <c r="EB4">
        <v>4452</v>
      </c>
      <c r="EC4">
        <v>239</v>
      </c>
      <c r="ED4">
        <v>6017</v>
      </c>
      <c r="EE4">
        <v>6017</v>
      </c>
      <c r="EF4">
        <v>0</v>
      </c>
      <c r="EG4">
        <v>1</v>
      </c>
      <c r="EH4">
        <v>3.2</v>
      </c>
      <c r="EI4">
        <v>6</v>
      </c>
      <c r="EJ4">
        <v>2</v>
      </c>
      <c r="EK4">
        <v>25.8</v>
      </c>
    </row>
    <row r="5" spans="1:141" x14ac:dyDescent="0.25">
      <c r="A5" t="str">
        <f>[1]ingredient!B3</f>
        <v>Ackerbohnen, gefroren</v>
      </c>
      <c r="B5" t="s">
        <v>148</v>
      </c>
      <c r="C5" s="7">
        <f>_xlfn.XLOOKUP(A5,[1]ingredient!$B$2:$B$521,[1]ingredient!$A$2:$A$521)</f>
        <v>2</v>
      </c>
      <c r="D5">
        <v>232</v>
      </c>
      <c r="E5">
        <v>2</v>
      </c>
      <c r="F5">
        <v>26</v>
      </c>
      <c r="G5">
        <v>27</v>
      </c>
      <c r="H5">
        <v>28</v>
      </c>
      <c r="I5">
        <v>1</v>
      </c>
      <c r="J5">
        <v>0.08</v>
      </c>
      <c r="K5">
        <v>11</v>
      </c>
      <c r="L5">
        <v>6</v>
      </c>
      <c r="M5">
        <v>3</v>
      </c>
      <c r="N5">
        <v>0</v>
      </c>
      <c r="O5">
        <v>38</v>
      </c>
      <c r="P5">
        <v>334</v>
      </c>
      <c r="Q5">
        <v>214</v>
      </c>
      <c r="R5">
        <v>2140</v>
      </c>
      <c r="S5">
        <v>5657</v>
      </c>
      <c r="T5">
        <v>699</v>
      </c>
      <c r="U5">
        <v>324</v>
      </c>
      <c r="V5">
        <v>7</v>
      </c>
      <c r="W5">
        <v>73</v>
      </c>
      <c r="X5">
        <v>0</v>
      </c>
      <c r="Y5">
        <v>720</v>
      </c>
      <c r="Z5">
        <v>0</v>
      </c>
      <c r="AA5">
        <v>181</v>
      </c>
      <c r="AB5">
        <v>108</v>
      </c>
      <c r="AC5">
        <v>9</v>
      </c>
      <c r="AD5">
        <v>954</v>
      </c>
      <c r="AE5">
        <v>98</v>
      </c>
      <c r="AF5">
        <v>180</v>
      </c>
      <c r="AG5">
        <v>412</v>
      </c>
      <c r="AH5">
        <v>137</v>
      </c>
      <c r="AI5">
        <v>68</v>
      </c>
      <c r="AJ5">
        <v>5206</v>
      </c>
      <c r="AK5">
        <v>3030</v>
      </c>
      <c r="AL5">
        <v>691</v>
      </c>
      <c r="AM5">
        <v>1564</v>
      </c>
      <c r="AN5">
        <v>39</v>
      </c>
      <c r="AO5">
        <v>14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800</v>
      </c>
      <c r="AY5">
        <v>0</v>
      </c>
      <c r="AZ5">
        <v>0</v>
      </c>
      <c r="BA5">
        <v>800</v>
      </c>
      <c r="BB5">
        <v>2135</v>
      </c>
      <c r="BC5">
        <v>3066</v>
      </c>
      <c r="BD5">
        <v>0</v>
      </c>
      <c r="BE5">
        <v>23748</v>
      </c>
      <c r="BF5">
        <v>23748</v>
      </c>
      <c r="BG5">
        <f t="shared" ref="BG5:BG71" si="0">IF($F5=0,"0",MIN(
BH5/(30*$F5),
BI5/(61*$F5),
BJ5/(48*$F5),
(BK5+BL5)/(23*$F5),
(BM5+BN5)/(41*$F5),
BO5/(25*$F5),
BP5/(6.6*$F5),
BQ5/(40*$F5),
BS5/(16*$F5)
)*100)</f>
        <v>66.220735785953181</v>
      </c>
      <c r="BH5">
        <v>1053</v>
      </c>
      <c r="BI5">
        <v>1842</v>
      </c>
      <c r="BJ5">
        <v>1684</v>
      </c>
      <c r="BK5">
        <v>185</v>
      </c>
      <c r="BL5">
        <v>211</v>
      </c>
      <c r="BM5">
        <v>1131</v>
      </c>
      <c r="BN5">
        <v>842</v>
      </c>
      <c r="BO5">
        <v>894</v>
      </c>
      <c r="BP5">
        <v>211</v>
      </c>
      <c r="BQ5">
        <v>1157</v>
      </c>
      <c r="BR5">
        <v>2316</v>
      </c>
      <c r="BS5">
        <v>605</v>
      </c>
      <c r="BT5">
        <v>12131</v>
      </c>
      <c r="BU5">
        <v>1079</v>
      </c>
      <c r="BV5">
        <v>2947</v>
      </c>
      <c r="BW5">
        <v>3947</v>
      </c>
      <c r="BX5">
        <v>1079</v>
      </c>
      <c r="BY5">
        <v>1053</v>
      </c>
      <c r="BZ5">
        <v>1185</v>
      </c>
      <c r="CA5">
        <v>11290</v>
      </c>
      <c r="CB5">
        <v>131</v>
      </c>
      <c r="CC5">
        <v>55</v>
      </c>
      <c r="CD5">
        <v>56</v>
      </c>
      <c r="CE5">
        <v>740</v>
      </c>
      <c r="CF5">
        <v>13.21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204</v>
      </c>
      <c r="CO5">
        <v>0</v>
      </c>
      <c r="CP5">
        <v>33</v>
      </c>
      <c r="CQ5">
        <v>11</v>
      </c>
      <c r="CR5">
        <v>0</v>
      </c>
      <c r="CS5">
        <v>0</v>
      </c>
      <c r="CT5">
        <v>248</v>
      </c>
      <c r="CU5">
        <v>0</v>
      </c>
      <c r="CV5">
        <v>0</v>
      </c>
      <c r="CW5">
        <v>0</v>
      </c>
      <c r="CX5">
        <v>0</v>
      </c>
      <c r="CY5">
        <v>363</v>
      </c>
      <c r="CZ5">
        <v>0</v>
      </c>
      <c r="DA5">
        <v>0</v>
      </c>
      <c r="DB5">
        <v>0</v>
      </c>
      <c r="DC5">
        <v>363</v>
      </c>
      <c r="DD5">
        <v>0</v>
      </c>
      <c r="DE5">
        <v>0</v>
      </c>
      <c r="DF5">
        <v>740</v>
      </c>
      <c r="DG5">
        <v>56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796</v>
      </c>
      <c r="DT5">
        <v>1407</v>
      </c>
      <c r="DU5">
        <v>408</v>
      </c>
      <c r="DV5">
        <v>0</v>
      </c>
      <c r="DW5">
        <v>0</v>
      </c>
      <c r="DX5">
        <v>0</v>
      </c>
      <c r="DY5">
        <v>3692</v>
      </c>
      <c r="DZ5">
        <v>9939</v>
      </c>
      <c r="EA5">
        <v>3692</v>
      </c>
      <c r="EB5">
        <v>10505</v>
      </c>
      <c r="EC5">
        <v>568</v>
      </c>
      <c r="ED5">
        <v>14198</v>
      </c>
      <c r="EE5">
        <v>14198</v>
      </c>
      <c r="EF5">
        <v>0</v>
      </c>
      <c r="EG5">
        <v>0.3</v>
      </c>
      <c r="EH5">
        <v>2.8</v>
      </c>
      <c r="EI5">
        <v>14.2</v>
      </c>
      <c r="EJ5">
        <v>1.8</v>
      </c>
      <c r="EK5">
        <v>23.9</v>
      </c>
    </row>
    <row r="6" spans="1:141" x14ac:dyDescent="0.25">
      <c r="A6" t="str">
        <f>[1]ingredient!B4</f>
        <v>Alfala-Sprossen</v>
      </c>
      <c r="B6" t="s">
        <v>149</v>
      </c>
      <c r="C6" s="7">
        <f>_xlfn.XLOOKUP(A6,[1]ingredient!$B$2:$B$521,[1]ingredient!$A$2:$A$521)</f>
        <v>3</v>
      </c>
      <c r="D6">
        <v>32</v>
      </c>
      <c r="E6">
        <v>1</v>
      </c>
      <c r="F6">
        <v>4</v>
      </c>
      <c r="G6">
        <v>2</v>
      </c>
      <c r="H6">
        <v>2</v>
      </c>
      <c r="I6">
        <v>1</v>
      </c>
      <c r="J6">
        <v>0.02</v>
      </c>
      <c r="K6">
        <v>91</v>
      </c>
      <c r="L6">
        <v>16</v>
      </c>
      <c r="M6">
        <v>8</v>
      </c>
      <c r="N6">
        <v>0</v>
      </c>
      <c r="O6">
        <v>96</v>
      </c>
      <c r="P6">
        <v>76</v>
      </c>
      <c r="Q6">
        <v>126</v>
      </c>
      <c r="R6">
        <v>500</v>
      </c>
      <c r="S6">
        <v>1167</v>
      </c>
      <c r="T6">
        <v>560</v>
      </c>
      <c r="U6">
        <v>34</v>
      </c>
      <c r="V6">
        <v>10</v>
      </c>
      <c r="W6">
        <v>36</v>
      </c>
      <c r="X6">
        <v>0</v>
      </c>
      <c r="Y6">
        <v>8200</v>
      </c>
      <c r="Z6">
        <v>0</v>
      </c>
      <c r="AA6">
        <v>90</v>
      </c>
      <c r="AB6">
        <v>5</v>
      </c>
      <c r="AC6">
        <v>6</v>
      </c>
      <c r="AD6">
        <v>79</v>
      </c>
      <c r="AE6">
        <v>32</v>
      </c>
      <c r="AF6">
        <v>27</v>
      </c>
      <c r="AG6">
        <v>70</v>
      </c>
      <c r="AH6">
        <v>50</v>
      </c>
      <c r="AI6">
        <v>10</v>
      </c>
      <c r="AJ6">
        <v>1000</v>
      </c>
      <c r="AK6">
        <v>920</v>
      </c>
      <c r="AL6">
        <v>160</v>
      </c>
      <c r="AM6">
        <v>188</v>
      </c>
      <c r="AN6">
        <v>4</v>
      </c>
      <c r="AO6">
        <v>1</v>
      </c>
      <c r="AP6">
        <v>0</v>
      </c>
      <c r="AQ6">
        <v>0</v>
      </c>
      <c r="AR6">
        <v>0</v>
      </c>
      <c r="AS6">
        <v>0</v>
      </c>
      <c r="AT6">
        <v>432</v>
      </c>
      <c r="AU6">
        <v>432</v>
      </c>
      <c r="AV6">
        <v>0</v>
      </c>
      <c r="AW6">
        <v>864</v>
      </c>
      <c r="AX6">
        <v>108</v>
      </c>
      <c r="AY6">
        <v>0</v>
      </c>
      <c r="AZ6">
        <v>0</v>
      </c>
      <c r="BA6">
        <v>108</v>
      </c>
      <c r="BB6">
        <v>0</v>
      </c>
      <c r="BC6">
        <v>0</v>
      </c>
      <c r="BD6">
        <v>0</v>
      </c>
      <c r="BE6">
        <v>1188</v>
      </c>
      <c r="BF6">
        <v>1188</v>
      </c>
      <c r="BG6">
        <f t="shared" si="0"/>
        <v>87.5</v>
      </c>
      <c r="BH6">
        <v>128</v>
      </c>
      <c r="BI6">
        <v>224</v>
      </c>
      <c r="BJ6">
        <v>168</v>
      </c>
      <c r="BK6">
        <v>60</v>
      </c>
      <c r="BL6">
        <v>80</v>
      </c>
      <c r="BM6">
        <v>160</v>
      </c>
      <c r="BN6">
        <v>116</v>
      </c>
      <c r="BO6">
        <v>148</v>
      </c>
      <c r="BP6">
        <v>40</v>
      </c>
      <c r="BQ6">
        <v>172</v>
      </c>
      <c r="BR6">
        <v>132</v>
      </c>
      <c r="BS6">
        <v>56</v>
      </c>
      <c r="BT6">
        <v>1484</v>
      </c>
      <c r="BU6">
        <v>188</v>
      </c>
      <c r="BV6">
        <v>436</v>
      </c>
      <c r="BW6">
        <v>320</v>
      </c>
      <c r="BX6">
        <v>164</v>
      </c>
      <c r="BY6">
        <v>252</v>
      </c>
      <c r="BZ6">
        <v>156</v>
      </c>
      <c r="CA6">
        <v>1516</v>
      </c>
      <c r="CB6">
        <v>15</v>
      </c>
      <c r="CC6">
        <v>6</v>
      </c>
      <c r="CD6">
        <v>177</v>
      </c>
      <c r="CE6">
        <v>237</v>
      </c>
      <c r="CF6">
        <v>1.34</v>
      </c>
      <c r="CG6">
        <v>0</v>
      </c>
      <c r="CH6">
        <v>0</v>
      </c>
      <c r="CI6">
        <v>0</v>
      </c>
      <c r="CJ6">
        <v>0</v>
      </c>
      <c r="CK6">
        <v>0</v>
      </c>
      <c r="CL6">
        <v>2</v>
      </c>
      <c r="CM6">
        <v>0</v>
      </c>
      <c r="CN6">
        <v>61</v>
      </c>
      <c r="CO6">
        <v>0</v>
      </c>
      <c r="CP6">
        <v>8</v>
      </c>
      <c r="CQ6">
        <v>0</v>
      </c>
      <c r="CR6">
        <v>0</v>
      </c>
      <c r="CS6">
        <v>0</v>
      </c>
      <c r="CT6">
        <v>71</v>
      </c>
      <c r="CU6">
        <v>0</v>
      </c>
      <c r="CV6">
        <v>0</v>
      </c>
      <c r="CW6">
        <v>0</v>
      </c>
      <c r="CX6">
        <v>0</v>
      </c>
      <c r="CY6">
        <v>57</v>
      </c>
      <c r="CZ6">
        <v>0</v>
      </c>
      <c r="DA6">
        <v>0</v>
      </c>
      <c r="DB6">
        <v>0</v>
      </c>
      <c r="DC6">
        <v>57</v>
      </c>
      <c r="DD6">
        <v>0</v>
      </c>
      <c r="DE6">
        <v>0</v>
      </c>
      <c r="DF6">
        <v>237</v>
      </c>
      <c r="DG6">
        <v>177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414</v>
      </c>
      <c r="DT6">
        <v>542</v>
      </c>
      <c r="DU6">
        <v>158</v>
      </c>
      <c r="DV6">
        <v>0</v>
      </c>
      <c r="DW6">
        <v>0</v>
      </c>
      <c r="DX6">
        <v>0</v>
      </c>
      <c r="DY6">
        <v>213</v>
      </c>
      <c r="DZ6">
        <v>574</v>
      </c>
      <c r="EA6">
        <v>213</v>
      </c>
      <c r="EB6">
        <v>607</v>
      </c>
      <c r="EC6">
        <v>33</v>
      </c>
      <c r="ED6">
        <v>820</v>
      </c>
      <c r="EE6">
        <v>820</v>
      </c>
      <c r="EF6">
        <v>0</v>
      </c>
      <c r="EG6">
        <v>0.25</v>
      </c>
      <c r="EH6">
        <v>0.4</v>
      </c>
      <c r="EI6">
        <v>0.8</v>
      </c>
      <c r="EJ6">
        <v>0.7</v>
      </c>
      <c r="EK6">
        <v>3</v>
      </c>
    </row>
    <row r="7" spans="1:141" x14ac:dyDescent="0.25">
      <c r="A7" t="str">
        <f>[1]ingredient!B5</f>
        <v>Amaranth</v>
      </c>
      <c r="B7" t="s">
        <v>150</v>
      </c>
      <c r="C7" s="7">
        <f>_xlfn.XLOOKUP(A7,[1]ingredient!$B$2:$B$521,[1]ingredient!$A$2:$A$521)</f>
        <v>4</v>
      </c>
      <c r="D7">
        <v>385</v>
      </c>
      <c r="E7">
        <v>7</v>
      </c>
      <c r="F7">
        <v>14</v>
      </c>
      <c r="G7">
        <v>66</v>
      </c>
      <c r="H7">
        <v>9</v>
      </c>
      <c r="I7">
        <v>2</v>
      </c>
      <c r="J7">
        <v>0.13</v>
      </c>
      <c r="K7">
        <v>0.2</v>
      </c>
      <c r="L7">
        <v>0</v>
      </c>
      <c r="M7">
        <v>0</v>
      </c>
      <c r="N7">
        <v>0</v>
      </c>
      <c r="O7">
        <v>0</v>
      </c>
      <c r="P7">
        <v>80</v>
      </c>
      <c r="Q7">
        <v>208</v>
      </c>
      <c r="R7">
        <v>1286</v>
      </c>
      <c r="S7">
        <v>4303</v>
      </c>
      <c r="T7">
        <v>1047</v>
      </c>
      <c r="U7">
        <v>223</v>
      </c>
      <c r="V7">
        <v>1</v>
      </c>
      <c r="W7">
        <v>49</v>
      </c>
      <c r="X7">
        <v>0</v>
      </c>
      <c r="Y7">
        <v>4200</v>
      </c>
      <c r="Z7">
        <v>0</v>
      </c>
      <c r="AA7">
        <v>100</v>
      </c>
      <c r="AB7">
        <v>1</v>
      </c>
      <c r="AC7">
        <v>21</v>
      </c>
      <c r="AD7">
        <v>366</v>
      </c>
      <c r="AE7">
        <v>214</v>
      </c>
      <c r="AF7">
        <v>266</v>
      </c>
      <c r="AG7">
        <v>455</v>
      </c>
      <c r="AH7">
        <v>140</v>
      </c>
      <c r="AI7">
        <v>105</v>
      </c>
      <c r="AJ7">
        <v>7590</v>
      </c>
      <c r="AK7">
        <v>3180</v>
      </c>
      <c r="AL7">
        <v>777</v>
      </c>
      <c r="AM7">
        <v>2260</v>
      </c>
      <c r="AN7">
        <v>50</v>
      </c>
      <c r="AO7">
        <v>3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1470</v>
      </c>
      <c r="AY7">
        <v>200</v>
      </c>
      <c r="AZ7">
        <v>0</v>
      </c>
      <c r="BA7">
        <v>1670</v>
      </c>
      <c r="BB7">
        <v>662</v>
      </c>
      <c r="BC7">
        <v>330</v>
      </c>
      <c r="BD7">
        <v>0</v>
      </c>
      <c r="BE7">
        <v>55100</v>
      </c>
      <c r="BF7">
        <v>55100</v>
      </c>
      <c r="BG7">
        <f t="shared" si="0"/>
        <v>102.92740046838406</v>
      </c>
      <c r="BH7">
        <v>582</v>
      </c>
      <c r="BI7">
        <v>879</v>
      </c>
      <c r="BJ7">
        <v>747</v>
      </c>
      <c r="BK7">
        <v>226</v>
      </c>
      <c r="BL7">
        <v>310</v>
      </c>
      <c r="BM7">
        <v>542</v>
      </c>
      <c r="BN7">
        <v>329</v>
      </c>
      <c r="BO7">
        <v>558</v>
      </c>
      <c r="BP7">
        <v>181</v>
      </c>
      <c r="BQ7">
        <v>679</v>
      </c>
      <c r="BR7">
        <v>1060</v>
      </c>
      <c r="BS7">
        <v>389</v>
      </c>
      <c r="BT7">
        <v>6482</v>
      </c>
      <c r="BU7">
        <v>799</v>
      </c>
      <c r="BV7">
        <v>1261</v>
      </c>
      <c r="BW7">
        <v>2259</v>
      </c>
      <c r="BX7">
        <v>1636</v>
      </c>
      <c r="BY7">
        <v>698</v>
      </c>
      <c r="BZ7">
        <v>1148</v>
      </c>
      <c r="CA7">
        <v>7801</v>
      </c>
      <c r="CB7">
        <v>66</v>
      </c>
      <c r="CC7">
        <v>28</v>
      </c>
      <c r="CD7">
        <v>57</v>
      </c>
      <c r="CE7">
        <v>2834</v>
      </c>
      <c r="CF7">
        <v>49.72</v>
      </c>
      <c r="CG7">
        <v>0</v>
      </c>
      <c r="CH7">
        <v>0</v>
      </c>
      <c r="CI7">
        <v>0</v>
      </c>
      <c r="CJ7">
        <v>0</v>
      </c>
      <c r="CK7">
        <v>0</v>
      </c>
      <c r="CL7">
        <v>11</v>
      </c>
      <c r="CM7">
        <v>0</v>
      </c>
      <c r="CN7">
        <v>1284</v>
      </c>
      <c r="CO7">
        <v>70</v>
      </c>
      <c r="CP7">
        <v>220</v>
      </c>
      <c r="CQ7">
        <v>90</v>
      </c>
      <c r="CR7">
        <v>0</v>
      </c>
      <c r="CS7">
        <v>0</v>
      </c>
      <c r="CT7">
        <v>1675</v>
      </c>
      <c r="CU7">
        <v>0</v>
      </c>
      <c r="CV7">
        <v>0</v>
      </c>
      <c r="CW7">
        <v>28</v>
      </c>
      <c r="CX7">
        <v>0</v>
      </c>
      <c r="CY7">
        <v>1433</v>
      </c>
      <c r="CZ7">
        <v>0</v>
      </c>
      <c r="DA7">
        <v>0</v>
      </c>
      <c r="DB7">
        <v>0</v>
      </c>
      <c r="DC7">
        <v>1461</v>
      </c>
      <c r="DD7">
        <v>0</v>
      </c>
      <c r="DE7">
        <v>0</v>
      </c>
      <c r="DF7">
        <v>2834</v>
      </c>
      <c r="DG7">
        <v>57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2891</v>
      </c>
      <c r="DT7">
        <v>6027</v>
      </c>
      <c r="DU7">
        <v>911</v>
      </c>
      <c r="DV7">
        <v>0</v>
      </c>
      <c r="DW7">
        <v>0</v>
      </c>
      <c r="DX7">
        <v>0</v>
      </c>
      <c r="DY7">
        <v>1023</v>
      </c>
      <c r="DZ7">
        <v>4836</v>
      </c>
      <c r="EA7">
        <v>1488</v>
      </c>
      <c r="EB7">
        <v>1209</v>
      </c>
      <c r="EC7">
        <v>744</v>
      </c>
      <c r="ED7">
        <v>3441</v>
      </c>
      <c r="EE7">
        <v>5859</v>
      </c>
      <c r="EF7">
        <v>0</v>
      </c>
      <c r="EG7">
        <v>0</v>
      </c>
      <c r="EH7">
        <v>3</v>
      </c>
      <c r="EI7">
        <v>5.9</v>
      </c>
      <c r="EJ7">
        <v>6.5</v>
      </c>
      <c r="EK7">
        <v>14.5</v>
      </c>
    </row>
    <row r="8" spans="1:141" x14ac:dyDescent="0.25">
      <c r="A8" t="str">
        <f>[1]ingredient!B6</f>
        <v>Ananas</v>
      </c>
      <c r="B8" t="s">
        <v>151</v>
      </c>
      <c r="C8" s="7">
        <f>_xlfn.XLOOKUP(A8,[1]ingredient!$B$2:$B$521,[1]ingredient!$A$2:$A$521)</f>
        <v>5</v>
      </c>
      <c r="D8">
        <v>59</v>
      </c>
      <c r="E8">
        <v>0.15</v>
      </c>
      <c r="F8">
        <v>0.46</v>
      </c>
      <c r="G8">
        <v>13</v>
      </c>
      <c r="H8">
        <v>1</v>
      </c>
      <c r="I8">
        <v>13</v>
      </c>
      <c r="J8">
        <v>0.04</v>
      </c>
      <c r="K8">
        <v>84</v>
      </c>
      <c r="L8">
        <v>10</v>
      </c>
      <c r="M8">
        <v>5</v>
      </c>
      <c r="N8">
        <v>0</v>
      </c>
      <c r="O8">
        <v>60</v>
      </c>
      <c r="P8">
        <v>80</v>
      </c>
      <c r="Q8">
        <v>30</v>
      </c>
      <c r="R8">
        <v>220</v>
      </c>
      <c r="S8">
        <v>320</v>
      </c>
      <c r="T8">
        <v>180</v>
      </c>
      <c r="U8">
        <v>75</v>
      </c>
      <c r="V8">
        <v>1</v>
      </c>
      <c r="W8">
        <v>4</v>
      </c>
      <c r="X8">
        <v>0</v>
      </c>
      <c r="Y8">
        <v>19000</v>
      </c>
      <c r="Z8">
        <v>0</v>
      </c>
      <c r="AA8">
        <v>100</v>
      </c>
      <c r="AB8">
        <v>10</v>
      </c>
      <c r="AC8">
        <v>2</v>
      </c>
      <c r="AD8">
        <v>173</v>
      </c>
      <c r="AE8">
        <v>16</v>
      </c>
      <c r="AF8">
        <v>17</v>
      </c>
      <c r="AG8">
        <v>9</v>
      </c>
      <c r="AH8">
        <v>3</v>
      </c>
      <c r="AI8">
        <v>39</v>
      </c>
      <c r="AJ8">
        <v>400</v>
      </c>
      <c r="AK8">
        <v>260</v>
      </c>
      <c r="AL8">
        <v>80</v>
      </c>
      <c r="AM8">
        <v>110</v>
      </c>
      <c r="AN8">
        <v>14</v>
      </c>
      <c r="AO8">
        <v>1</v>
      </c>
      <c r="AP8">
        <v>0</v>
      </c>
      <c r="AQ8">
        <v>0</v>
      </c>
      <c r="AR8">
        <v>0</v>
      </c>
      <c r="AS8">
        <v>0</v>
      </c>
      <c r="AT8">
        <v>2257</v>
      </c>
      <c r="AU8">
        <v>2585</v>
      </c>
      <c r="AV8">
        <v>0</v>
      </c>
      <c r="AW8">
        <v>4842</v>
      </c>
      <c r="AX8">
        <v>8278</v>
      </c>
      <c r="AY8">
        <v>0</v>
      </c>
      <c r="AZ8">
        <v>0</v>
      </c>
      <c r="BA8">
        <v>8278</v>
      </c>
      <c r="BB8">
        <v>0</v>
      </c>
      <c r="BC8">
        <v>0</v>
      </c>
      <c r="BD8">
        <v>0</v>
      </c>
      <c r="BE8">
        <v>0</v>
      </c>
      <c r="BF8">
        <v>0</v>
      </c>
      <c r="BG8">
        <f t="shared" si="0"/>
        <v>78.403421240199563</v>
      </c>
      <c r="BH8">
        <v>15</v>
      </c>
      <c r="BI8">
        <v>22</v>
      </c>
      <c r="BJ8">
        <v>29</v>
      </c>
      <c r="BK8">
        <v>13</v>
      </c>
      <c r="BL8">
        <v>2</v>
      </c>
      <c r="BM8">
        <v>14</v>
      </c>
      <c r="BN8">
        <v>14</v>
      </c>
      <c r="BO8">
        <v>14</v>
      </c>
      <c r="BP8">
        <v>6</v>
      </c>
      <c r="BQ8">
        <v>19</v>
      </c>
      <c r="BR8">
        <v>21</v>
      </c>
      <c r="BS8">
        <v>11</v>
      </c>
      <c r="BT8">
        <v>180</v>
      </c>
      <c r="BU8">
        <v>20</v>
      </c>
      <c r="BV8">
        <v>67</v>
      </c>
      <c r="BW8">
        <v>53</v>
      </c>
      <c r="BX8">
        <v>20</v>
      </c>
      <c r="BY8">
        <v>15</v>
      </c>
      <c r="BZ8">
        <v>29</v>
      </c>
      <c r="CA8">
        <v>204</v>
      </c>
      <c r="CB8">
        <v>20</v>
      </c>
      <c r="CC8">
        <v>8</v>
      </c>
      <c r="CD8">
        <v>34</v>
      </c>
      <c r="CE8">
        <v>44</v>
      </c>
      <c r="CF8">
        <v>1.29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9</v>
      </c>
      <c r="CO8">
        <v>0</v>
      </c>
      <c r="CP8">
        <v>6</v>
      </c>
      <c r="CQ8">
        <v>0</v>
      </c>
      <c r="CR8">
        <v>0</v>
      </c>
      <c r="CS8">
        <v>0</v>
      </c>
      <c r="CT8">
        <v>15</v>
      </c>
      <c r="CU8">
        <v>0</v>
      </c>
      <c r="CV8">
        <v>0</v>
      </c>
      <c r="CW8">
        <v>2</v>
      </c>
      <c r="CX8">
        <v>0</v>
      </c>
      <c r="CY8">
        <v>25</v>
      </c>
      <c r="CZ8">
        <v>0</v>
      </c>
      <c r="DA8">
        <v>0</v>
      </c>
      <c r="DB8">
        <v>0</v>
      </c>
      <c r="DC8">
        <v>27</v>
      </c>
      <c r="DD8">
        <v>0</v>
      </c>
      <c r="DE8">
        <v>0</v>
      </c>
      <c r="DF8">
        <v>44</v>
      </c>
      <c r="DG8">
        <v>34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78</v>
      </c>
      <c r="DT8">
        <v>120</v>
      </c>
      <c r="DU8">
        <v>30</v>
      </c>
      <c r="DV8">
        <v>0</v>
      </c>
      <c r="DW8">
        <v>0</v>
      </c>
      <c r="DX8">
        <v>0</v>
      </c>
      <c r="DY8">
        <v>419</v>
      </c>
      <c r="DZ8">
        <v>167</v>
      </c>
      <c r="EA8">
        <v>167</v>
      </c>
      <c r="EB8">
        <v>538</v>
      </c>
      <c r="EC8">
        <v>109</v>
      </c>
      <c r="ED8">
        <v>213</v>
      </c>
      <c r="EE8">
        <v>1187</v>
      </c>
      <c r="EF8">
        <v>0</v>
      </c>
      <c r="EG8">
        <v>1</v>
      </c>
      <c r="EH8">
        <v>0.4</v>
      </c>
      <c r="EI8">
        <v>1.2</v>
      </c>
      <c r="EJ8">
        <v>0.2</v>
      </c>
      <c r="EK8">
        <v>0.4</v>
      </c>
    </row>
    <row r="9" spans="1:141" x14ac:dyDescent="0.25">
      <c r="A9" t="str">
        <f>[1]ingredient!B7</f>
        <v>Anis</v>
      </c>
      <c r="B9" t="s">
        <v>152</v>
      </c>
      <c r="C9" s="7">
        <f>_xlfn.XLOOKUP(A9,[1]ingredient!$B$2:$B$521,[1]ingredient!$A$2:$A$521)</f>
        <v>6</v>
      </c>
      <c r="D9">
        <v>357</v>
      </c>
      <c r="E9">
        <v>16</v>
      </c>
      <c r="F9">
        <v>18</v>
      </c>
      <c r="G9">
        <v>35</v>
      </c>
      <c r="H9">
        <v>15</v>
      </c>
      <c r="I9">
        <v>34</v>
      </c>
      <c r="J9">
        <v>0.08</v>
      </c>
      <c r="K9">
        <v>9</v>
      </c>
      <c r="L9">
        <v>0</v>
      </c>
      <c r="M9">
        <v>0</v>
      </c>
      <c r="N9">
        <v>0</v>
      </c>
      <c r="O9">
        <v>0</v>
      </c>
      <c r="P9">
        <v>300</v>
      </c>
      <c r="Q9">
        <v>200</v>
      </c>
      <c r="R9">
        <v>1000</v>
      </c>
      <c r="S9">
        <v>3933</v>
      </c>
      <c r="T9">
        <v>500</v>
      </c>
      <c r="U9">
        <v>200</v>
      </c>
      <c r="V9">
        <v>10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16</v>
      </c>
      <c r="AD9">
        <v>1440</v>
      </c>
      <c r="AE9">
        <v>650</v>
      </c>
      <c r="AF9">
        <v>170</v>
      </c>
      <c r="AG9">
        <v>440</v>
      </c>
      <c r="AH9">
        <v>100</v>
      </c>
      <c r="AI9">
        <v>60</v>
      </c>
      <c r="AJ9">
        <v>37000</v>
      </c>
      <c r="AK9">
        <v>5300</v>
      </c>
      <c r="AL9">
        <v>910</v>
      </c>
      <c r="AM9">
        <v>2300</v>
      </c>
      <c r="AN9">
        <v>50</v>
      </c>
      <c r="AO9">
        <v>5</v>
      </c>
      <c r="AP9">
        <v>0</v>
      </c>
      <c r="AQ9">
        <v>0</v>
      </c>
      <c r="AR9">
        <v>0</v>
      </c>
      <c r="AS9">
        <v>0</v>
      </c>
      <c r="AT9">
        <v>17700</v>
      </c>
      <c r="AU9">
        <v>14514</v>
      </c>
      <c r="AV9">
        <v>0</v>
      </c>
      <c r="AW9">
        <v>32214</v>
      </c>
      <c r="AX9">
        <v>1416</v>
      </c>
      <c r="AY9">
        <v>0</v>
      </c>
      <c r="AZ9">
        <v>0</v>
      </c>
      <c r="BA9">
        <v>1416</v>
      </c>
      <c r="BB9">
        <v>0</v>
      </c>
      <c r="BC9">
        <v>0</v>
      </c>
      <c r="BD9">
        <v>0</v>
      </c>
      <c r="BE9">
        <v>1770</v>
      </c>
      <c r="BF9">
        <v>1770</v>
      </c>
      <c r="BG9">
        <f t="shared" si="0"/>
        <v>80.145719489981786</v>
      </c>
      <c r="BH9">
        <v>528</v>
      </c>
      <c r="BI9">
        <v>880</v>
      </c>
      <c r="BJ9">
        <v>880</v>
      </c>
      <c r="BK9">
        <v>264</v>
      </c>
      <c r="BL9">
        <v>176</v>
      </c>
      <c r="BM9">
        <v>616</v>
      </c>
      <c r="BN9">
        <v>352</v>
      </c>
      <c r="BO9">
        <v>440</v>
      </c>
      <c r="BP9">
        <v>176</v>
      </c>
      <c r="BQ9">
        <v>704</v>
      </c>
      <c r="BR9">
        <v>792</v>
      </c>
      <c r="BS9">
        <v>264</v>
      </c>
      <c r="BT9">
        <v>6072</v>
      </c>
      <c r="BU9">
        <v>1056</v>
      </c>
      <c r="BV9">
        <v>2640</v>
      </c>
      <c r="BW9">
        <v>2464</v>
      </c>
      <c r="BX9">
        <v>704</v>
      </c>
      <c r="BY9">
        <v>616</v>
      </c>
      <c r="BZ9">
        <v>704</v>
      </c>
      <c r="CA9">
        <v>8184</v>
      </c>
      <c r="CB9">
        <v>91</v>
      </c>
      <c r="CC9">
        <v>38</v>
      </c>
      <c r="CD9">
        <v>0</v>
      </c>
      <c r="CE9">
        <v>1562</v>
      </c>
      <c r="CG9">
        <v>0</v>
      </c>
      <c r="CH9">
        <v>0</v>
      </c>
      <c r="CI9">
        <v>0</v>
      </c>
      <c r="CJ9">
        <v>0</v>
      </c>
      <c r="CK9">
        <v>0</v>
      </c>
      <c r="CL9">
        <v>15</v>
      </c>
      <c r="CM9">
        <v>0</v>
      </c>
      <c r="CN9">
        <v>759</v>
      </c>
      <c r="CO9">
        <v>0</v>
      </c>
      <c r="CP9">
        <v>102</v>
      </c>
      <c r="CQ9">
        <v>0</v>
      </c>
      <c r="CR9">
        <v>0</v>
      </c>
      <c r="CS9">
        <v>0</v>
      </c>
      <c r="CT9">
        <v>876</v>
      </c>
      <c r="CU9">
        <v>0</v>
      </c>
      <c r="CV9">
        <v>0</v>
      </c>
      <c r="CW9">
        <v>88</v>
      </c>
      <c r="CX9">
        <v>0</v>
      </c>
      <c r="CY9">
        <v>12070</v>
      </c>
      <c r="CZ9">
        <v>0</v>
      </c>
      <c r="DA9">
        <v>0</v>
      </c>
      <c r="DB9">
        <v>0</v>
      </c>
      <c r="DC9">
        <v>12158</v>
      </c>
      <c r="DD9">
        <v>0</v>
      </c>
      <c r="DE9">
        <v>0</v>
      </c>
      <c r="DF9">
        <v>1562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1562</v>
      </c>
      <c r="DT9">
        <v>14596</v>
      </c>
      <c r="DU9">
        <v>1304</v>
      </c>
      <c r="DV9">
        <v>0</v>
      </c>
      <c r="DW9">
        <v>0</v>
      </c>
      <c r="DX9">
        <v>0</v>
      </c>
      <c r="DY9">
        <v>3212</v>
      </c>
      <c r="DZ9">
        <v>2628</v>
      </c>
      <c r="EA9">
        <v>2920</v>
      </c>
      <c r="EB9">
        <v>2920</v>
      </c>
      <c r="EC9">
        <v>2920</v>
      </c>
      <c r="ED9">
        <v>4380</v>
      </c>
      <c r="EE9">
        <v>10220</v>
      </c>
      <c r="EF9">
        <v>0</v>
      </c>
      <c r="EG9">
        <v>1</v>
      </c>
      <c r="EH9">
        <v>7</v>
      </c>
      <c r="EI9">
        <v>10.199999999999999</v>
      </c>
      <c r="EJ9">
        <v>15.9</v>
      </c>
      <c r="EK9">
        <v>14.6</v>
      </c>
    </row>
    <row r="10" spans="1:141" x14ac:dyDescent="0.25">
      <c r="A10" t="str">
        <f>[1]ingredient!B8</f>
        <v>Äpfel</v>
      </c>
      <c r="B10" t="s">
        <v>153</v>
      </c>
      <c r="C10" s="7">
        <f>_xlfn.XLOOKUP(A10,[1]ingredient!$B$2:$B$521,[1]ingredient!$A$2:$A$521)</f>
        <v>7</v>
      </c>
      <c r="D10">
        <v>61</v>
      </c>
      <c r="E10">
        <v>0.05</v>
      </c>
      <c r="F10">
        <v>0.34</v>
      </c>
      <c r="G10">
        <v>14</v>
      </c>
      <c r="H10">
        <v>2</v>
      </c>
      <c r="I10">
        <v>13</v>
      </c>
      <c r="J10">
        <v>0</v>
      </c>
      <c r="K10">
        <v>82</v>
      </c>
      <c r="L10">
        <v>5</v>
      </c>
      <c r="M10">
        <v>2</v>
      </c>
      <c r="N10">
        <v>0</v>
      </c>
      <c r="O10">
        <v>29</v>
      </c>
      <c r="P10">
        <v>11</v>
      </c>
      <c r="Q10">
        <v>9</v>
      </c>
      <c r="R10">
        <v>300</v>
      </c>
      <c r="S10">
        <v>350</v>
      </c>
      <c r="T10">
        <v>100</v>
      </c>
      <c r="U10">
        <v>43</v>
      </c>
      <c r="V10">
        <v>5</v>
      </c>
      <c r="W10">
        <v>5</v>
      </c>
      <c r="X10">
        <v>0</v>
      </c>
      <c r="Y10">
        <v>12000</v>
      </c>
      <c r="Z10">
        <v>0</v>
      </c>
      <c r="AA10">
        <v>490</v>
      </c>
      <c r="AB10">
        <v>6</v>
      </c>
      <c r="AC10">
        <v>1</v>
      </c>
      <c r="AD10">
        <v>119</v>
      </c>
      <c r="AE10">
        <v>5</v>
      </c>
      <c r="AF10">
        <v>5</v>
      </c>
      <c r="AG10">
        <v>11</v>
      </c>
      <c r="AH10">
        <v>6</v>
      </c>
      <c r="AI10">
        <v>2</v>
      </c>
      <c r="AJ10">
        <v>248</v>
      </c>
      <c r="AK10">
        <v>38</v>
      </c>
      <c r="AL10">
        <v>52</v>
      </c>
      <c r="AM10">
        <v>43</v>
      </c>
      <c r="AN10">
        <v>9</v>
      </c>
      <c r="AO10">
        <v>1</v>
      </c>
      <c r="AP10">
        <v>0</v>
      </c>
      <c r="AQ10">
        <v>421</v>
      </c>
      <c r="AR10">
        <v>0</v>
      </c>
      <c r="AS10">
        <v>421</v>
      </c>
      <c r="AT10">
        <v>2590</v>
      </c>
      <c r="AU10">
        <v>7323</v>
      </c>
      <c r="AV10">
        <v>0</v>
      </c>
      <c r="AW10">
        <v>9913</v>
      </c>
      <c r="AX10">
        <v>3250</v>
      </c>
      <c r="AY10">
        <v>0</v>
      </c>
      <c r="AZ10">
        <v>0</v>
      </c>
      <c r="BA10">
        <v>3250</v>
      </c>
      <c r="BB10">
        <v>0</v>
      </c>
      <c r="BC10">
        <v>0</v>
      </c>
      <c r="BD10">
        <v>0</v>
      </c>
      <c r="BE10">
        <v>766</v>
      </c>
      <c r="BF10">
        <v>766</v>
      </c>
      <c r="BG10">
        <f t="shared" si="0"/>
        <v>63.9386189258312</v>
      </c>
      <c r="BH10">
        <v>13</v>
      </c>
      <c r="BI10">
        <v>20</v>
      </c>
      <c r="BJ10">
        <v>19</v>
      </c>
      <c r="BK10">
        <v>4</v>
      </c>
      <c r="BL10">
        <v>1</v>
      </c>
      <c r="BM10">
        <v>11</v>
      </c>
      <c r="BN10">
        <v>6</v>
      </c>
      <c r="BO10">
        <v>10</v>
      </c>
      <c r="BP10">
        <v>3</v>
      </c>
      <c r="BQ10">
        <v>15</v>
      </c>
      <c r="BR10">
        <v>10</v>
      </c>
      <c r="BS10">
        <v>8</v>
      </c>
      <c r="BT10">
        <v>120</v>
      </c>
      <c r="BU10">
        <v>19</v>
      </c>
      <c r="BV10">
        <v>129</v>
      </c>
      <c r="BW10">
        <v>32</v>
      </c>
      <c r="BX10">
        <v>11</v>
      </c>
      <c r="BY10">
        <v>13</v>
      </c>
      <c r="BZ10">
        <v>15</v>
      </c>
      <c r="CA10">
        <v>219</v>
      </c>
      <c r="CB10">
        <v>14</v>
      </c>
      <c r="CC10">
        <v>6</v>
      </c>
      <c r="CD10">
        <v>6</v>
      </c>
      <c r="CE10">
        <v>20</v>
      </c>
      <c r="CF10">
        <v>3.33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2</v>
      </c>
      <c r="CM10">
        <v>0</v>
      </c>
      <c r="CN10">
        <v>12</v>
      </c>
      <c r="CO10">
        <v>0</v>
      </c>
      <c r="CP10">
        <v>4</v>
      </c>
      <c r="CQ10">
        <v>1</v>
      </c>
      <c r="CR10">
        <v>0</v>
      </c>
      <c r="CS10">
        <v>0</v>
      </c>
      <c r="CT10">
        <v>20</v>
      </c>
      <c r="CU10">
        <v>0</v>
      </c>
      <c r="CV10">
        <v>0</v>
      </c>
      <c r="CW10">
        <v>0</v>
      </c>
      <c r="CX10">
        <v>0</v>
      </c>
      <c r="CY10">
        <v>2</v>
      </c>
      <c r="CZ10">
        <v>0</v>
      </c>
      <c r="DA10">
        <v>0</v>
      </c>
      <c r="DB10">
        <v>0</v>
      </c>
      <c r="DC10">
        <v>2</v>
      </c>
      <c r="DD10">
        <v>0</v>
      </c>
      <c r="DE10">
        <v>0</v>
      </c>
      <c r="DF10">
        <v>20</v>
      </c>
      <c r="DG10">
        <v>4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2</v>
      </c>
      <c r="DS10">
        <v>26</v>
      </c>
      <c r="DT10">
        <v>48</v>
      </c>
      <c r="DU10">
        <v>1</v>
      </c>
      <c r="DV10">
        <v>0</v>
      </c>
      <c r="DW10">
        <v>0</v>
      </c>
      <c r="DX10">
        <v>0</v>
      </c>
      <c r="DY10">
        <v>361</v>
      </c>
      <c r="DZ10">
        <v>178</v>
      </c>
      <c r="EA10">
        <v>859</v>
      </c>
      <c r="EB10">
        <v>602</v>
      </c>
      <c r="EC10">
        <v>10</v>
      </c>
      <c r="ED10">
        <v>480</v>
      </c>
      <c r="EE10">
        <v>1540</v>
      </c>
      <c r="EF10">
        <v>0</v>
      </c>
      <c r="EG10">
        <v>0.46</v>
      </c>
      <c r="EH10">
        <v>0.3</v>
      </c>
      <c r="EI10">
        <v>1.5</v>
      </c>
      <c r="EJ10">
        <v>0</v>
      </c>
      <c r="EK10">
        <v>0.4</v>
      </c>
    </row>
    <row r="11" spans="1:141" x14ac:dyDescent="0.25">
      <c r="A11" t="str">
        <f>[1]ingredient!B9</f>
        <v>Apfel-Essig</v>
      </c>
      <c r="B11" t="s">
        <v>154</v>
      </c>
      <c r="C11" s="7">
        <f>_xlfn.XLOOKUP(A11,[1]ingredient!$B$2:$B$521,[1]ingredient!$A$2:$A$521)</f>
        <v>8</v>
      </c>
      <c r="D11">
        <v>20</v>
      </c>
      <c r="E11">
        <v>0</v>
      </c>
      <c r="F11">
        <v>0.4</v>
      </c>
      <c r="G11">
        <v>1</v>
      </c>
      <c r="H11">
        <v>0</v>
      </c>
      <c r="I11">
        <v>1</v>
      </c>
      <c r="J11">
        <v>0.05</v>
      </c>
      <c r="K11">
        <v>94</v>
      </c>
      <c r="L11">
        <v>2</v>
      </c>
      <c r="M11">
        <v>1</v>
      </c>
      <c r="N11">
        <v>0</v>
      </c>
      <c r="O11">
        <v>9</v>
      </c>
      <c r="P11">
        <v>0</v>
      </c>
      <c r="Q11">
        <v>0</v>
      </c>
      <c r="R11">
        <v>0</v>
      </c>
      <c r="S11">
        <v>17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100</v>
      </c>
      <c r="AE11">
        <v>6</v>
      </c>
      <c r="AF11">
        <v>20</v>
      </c>
      <c r="AG11">
        <v>9</v>
      </c>
      <c r="AH11">
        <v>20</v>
      </c>
      <c r="AI11">
        <v>45</v>
      </c>
      <c r="AJ11">
        <v>600</v>
      </c>
      <c r="AK11">
        <v>200</v>
      </c>
      <c r="AL11">
        <v>40</v>
      </c>
      <c r="AM11">
        <v>250</v>
      </c>
      <c r="AN11">
        <v>20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300</v>
      </c>
      <c r="AU11">
        <v>300</v>
      </c>
      <c r="AV11">
        <v>0</v>
      </c>
      <c r="AW11">
        <v>600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f t="shared" si="0"/>
        <v>16.393442622950818</v>
      </c>
      <c r="BH11">
        <v>6</v>
      </c>
      <c r="BI11">
        <v>4</v>
      </c>
      <c r="BJ11">
        <v>9</v>
      </c>
      <c r="BK11">
        <v>1</v>
      </c>
      <c r="BL11">
        <v>4</v>
      </c>
      <c r="BM11">
        <v>4</v>
      </c>
      <c r="BN11">
        <v>2</v>
      </c>
      <c r="BO11">
        <v>29</v>
      </c>
      <c r="BP11">
        <v>1</v>
      </c>
      <c r="BQ11">
        <v>8</v>
      </c>
      <c r="BR11">
        <v>18</v>
      </c>
      <c r="BS11">
        <v>3</v>
      </c>
      <c r="BT11">
        <v>89</v>
      </c>
      <c r="BU11">
        <v>8</v>
      </c>
      <c r="BV11">
        <v>7</v>
      </c>
      <c r="BW11">
        <v>41</v>
      </c>
      <c r="BX11">
        <v>6</v>
      </c>
      <c r="BY11">
        <v>28</v>
      </c>
      <c r="BZ11">
        <v>10</v>
      </c>
      <c r="CA11">
        <v>100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5</v>
      </c>
      <c r="EH11">
        <v>0.2</v>
      </c>
      <c r="EI11">
        <v>0</v>
      </c>
      <c r="EJ11">
        <v>0</v>
      </c>
      <c r="EK11">
        <v>0.2</v>
      </c>
    </row>
    <row r="12" spans="1:141" x14ac:dyDescent="0.25">
      <c r="A12" t="str">
        <f>[1]ingredient!B10</f>
        <v>Aprikosen</v>
      </c>
      <c r="B12" t="s">
        <v>155</v>
      </c>
      <c r="C12" s="7">
        <f>_xlfn.XLOOKUP(A12,[1]ingredient!$B$2:$B$521,[1]ingredient!$A$2:$A$521)</f>
        <v>9</v>
      </c>
      <c r="D12">
        <v>43</v>
      </c>
      <c r="E12">
        <v>0.13</v>
      </c>
      <c r="F12">
        <v>1</v>
      </c>
      <c r="G12">
        <v>9</v>
      </c>
      <c r="H12">
        <v>2</v>
      </c>
      <c r="I12">
        <v>8</v>
      </c>
      <c r="J12">
        <v>0</v>
      </c>
      <c r="K12">
        <v>87</v>
      </c>
      <c r="L12">
        <v>267</v>
      </c>
      <c r="M12">
        <v>134</v>
      </c>
      <c r="N12">
        <v>0</v>
      </c>
      <c r="O12">
        <v>1604</v>
      </c>
      <c r="P12">
        <v>40</v>
      </c>
      <c r="Q12">
        <v>53</v>
      </c>
      <c r="R12">
        <v>770</v>
      </c>
      <c r="S12">
        <v>953</v>
      </c>
      <c r="T12">
        <v>290</v>
      </c>
      <c r="U12">
        <v>70</v>
      </c>
      <c r="V12">
        <v>1</v>
      </c>
      <c r="W12">
        <v>4</v>
      </c>
      <c r="X12">
        <v>0</v>
      </c>
      <c r="Y12">
        <v>9400</v>
      </c>
      <c r="Z12">
        <v>0</v>
      </c>
      <c r="AA12">
        <v>500</v>
      </c>
      <c r="AB12">
        <v>3</v>
      </c>
      <c r="AC12">
        <v>2</v>
      </c>
      <c r="AD12">
        <v>280</v>
      </c>
      <c r="AE12">
        <v>16</v>
      </c>
      <c r="AF12">
        <v>9</v>
      </c>
      <c r="AG12">
        <v>21</v>
      </c>
      <c r="AH12">
        <v>6</v>
      </c>
      <c r="AI12">
        <v>1</v>
      </c>
      <c r="AJ12">
        <v>650</v>
      </c>
      <c r="AK12">
        <v>102</v>
      </c>
      <c r="AL12">
        <v>134</v>
      </c>
      <c r="AM12">
        <v>167</v>
      </c>
      <c r="AN12">
        <v>10</v>
      </c>
      <c r="AO12">
        <v>1</v>
      </c>
      <c r="AP12">
        <v>0</v>
      </c>
      <c r="AQ12">
        <v>800</v>
      </c>
      <c r="AR12">
        <v>0</v>
      </c>
      <c r="AS12">
        <v>800</v>
      </c>
      <c r="AT12">
        <v>1730</v>
      </c>
      <c r="AU12">
        <v>870</v>
      </c>
      <c r="AV12">
        <v>0</v>
      </c>
      <c r="AW12">
        <v>2600</v>
      </c>
      <c r="AX12">
        <v>5120</v>
      </c>
      <c r="AY12">
        <v>0</v>
      </c>
      <c r="AZ12">
        <v>0</v>
      </c>
      <c r="BA12">
        <v>5120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f t="shared" si="0"/>
        <v>26.086956521739129</v>
      </c>
      <c r="BH12">
        <v>29</v>
      </c>
      <c r="BI12">
        <v>56</v>
      </c>
      <c r="BJ12">
        <v>69</v>
      </c>
      <c r="BK12">
        <v>4</v>
      </c>
      <c r="BL12">
        <v>2</v>
      </c>
      <c r="BM12">
        <v>37</v>
      </c>
      <c r="BN12">
        <v>21</v>
      </c>
      <c r="BO12">
        <v>35</v>
      </c>
      <c r="BP12">
        <v>11</v>
      </c>
      <c r="BQ12">
        <v>35</v>
      </c>
      <c r="BR12">
        <v>32</v>
      </c>
      <c r="BS12">
        <v>19</v>
      </c>
      <c r="BT12">
        <v>350</v>
      </c>
      <c r="BU12">
        <v>49</v>
      </c>
      <c r="BV12">
        <v>226</v>
      </c>
      <c r="BW12">
        <v>113</v>
      </c>
      <c r="BX12">
        <v>29</v>
      </c>
      <c r="BY12">
        <v>73</v>
      </c>
      <c r="BZ12">
        <v>59</v>
      </c>
      <c r="CA12">
        <v>549</v>
      </c>
      <c r="CB12">
        <v>20</v>
      </c>
      <c r="CC12">
        <v>8</v>
      </c>
      <c r="CD12">
        <v>0</v>
      </c>
      <c r="CE12">
        <v>29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9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10</v>
      </c>
      <c r="CU12">
        <v>0</v>
      </c>
      <c r="CV12">
        <v>0</v>
      </c>
      <c r="CW12">
        <v>64</v>
      </c>
      <c r="CX12">
        <v>0</v>
      </c>
      <c r="CY12">
        <v>65</v>
      </c>
      <c r="CZ12">
        <v>0</v>
      </c>
      <c r="DA12">
        <v>0</v>
      </c>
      <c r="DB12">
        <v>0</v>
      </c>
      <c r="DC12">
        <v>129</v>
      </c>
      <c r="DD12">
        <v>0</v>
      </c>
      <c r="DE12">
        <v>0</v>
      </c>
      <c r="DF12">
        <v>29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29</v>
      </c>
      <c r="DT12">
        <v>168</v>
      </c>
      <c r="DU12">
        <v>26</v>
      </c>
      <c r="DV12">
        <v>0</v>
      </c>
      <c r="DW12">
        <v>0</v>
      </c>
      <c r="DX12">
        <v>0</v>
      </c>
      <c r="DY12">
        <v>693</v>
      </c>
      <c r="DZ12">
        <v>77</v>
      </c>
      <c r="EA12">
        <v>462</v>
      </c>
      <c r="EB12">
        <v>231</v>
      </c>
      <c r="EC12">
        <v>77</v>
      </c>
      <c r="ED12">
        <v>710</v>
      </c>
      <c r="EE12">
        <v>830</v>
      </c>
      <c r="EF12">
        <v>0</v>
      </c>
      <c r="EG12">
        <v>1</v>
      </c>
      <c r="EH12">
        <v>0.7</v>
      </c>
      <c r="EI12">
        <v>0.8</v>
      </c>
      <c r="EJ12">
        <v>0.1</v>
      </c>
      <c r="EK12">
        <v>1</v>
      </c>
    </row>
    <row r="13" spans="1:141" x14ac:dyDescent="0.25">
      <c r="A13" t="str">
        <f>[1]ingredient!B11</f>
        <v>Artischoken</v>
      </c>
      <c r="B13" s="8" t="s">
        <v>156</v>
      </c>
      <c r="C13" s="7">
        <f>_xlfn.XLOOKUP(A13,[1]ingredient!$B$2:$B$521,[1]ingredient!$A$2:$A$521)</f>
        <v>10</v>
      </c>
      <c r="D13">
        <v>22</v>
      </c>
      <c r="E13">
        <v>0.12</v>
      </c>
      <c r="F13">
        <v>2</v>
      </c>
      <c r="G13">
        <v>3</v>
      </c>
      <c r="H13">
        <v>11</v>
      </c>
      <c r="I13">
        <v>3</v>
      </c>
      <c r="J13">
        <v>0.09</v>
      </c>
      <c r="K13">
        <v>83</v>
      </c>
      <c r="L13">
        <v>17</v>
      </c>
      <c r="M13">
        <v>8</v>
      </c>
      <c r="N13">
        <v>0</v>
      </c>
      <c r="O13">
        <v>100</v>
      </c>
      <c r="P13">
        <v>140</v>
      </c>
      <c r="Q13">
        <v>12</v>
      </c>
      <c r="R13">
        <v>900</v>
      </c>
      <c r="S13">
        <v>1300</v>
      </c>
      <c r="T13">
        <v>295</v>
      </c>
      <c r="U13">
        <v>97</v>
      </c>
      <c r="V13">
        <v>4</v>
      </c>
      <c r="W13">
        <v>68</v>
      </c>
      <c r="X13">
        <v>0</v>
      </c>
      <c r="Y13">
        <v>8000</v>
      </c>
      <c r="Z13">
        <v>0</v>
      </c>
      <c r="AA13">
        <v>190</v>
      </c>
      <c r="AB13">
        <v>50</v>
      </c>
      <c r="AC13">
        <v>47</v>
      </c>
      <c r="AD13">
        <v>350</v>
      </c>
      <c r="AE13">
        <v>53</v>
      </c>
      <c r="AF13">
        <v>26</v>
      </c>
      <c r="AG13">
        <v>130</v>
      </c>
      <c r="AH13">
        <v>15</v>
      </c>
      <c r="AI13">
        <v>40</v>
      </c>
      <c r="AJ13">
        <v>1500</v>
      </c>
      <c r="AK13">
        <v>60</v>
      </c>
      <c r="AL13">
        <v>320</v>
      </c>
      <c r="AM13">
        <v>380</v>
      </c>
      <c r="AN13">
        <v>50</v>
      </c>
      <c r="AO13">
        <v>4</v>
      </c>
      <c r="AP13">
        <v>0</v>
      </c>
      <c r="AQ13">
        <v>0</v>
      </c>
      <c r="AR13">
        <v>0</v>
      </c>
      <c r="AS13">
        <v>0</v>
      </c>
      <c r="AT13">
        <v>526</v>
      </c>
      <c r="AU13">
        <v>1499</v>
      </c>
      <c r="AV13">
        <v>0</v>
      </c>
      <c r="AW13">
        <v>2025</v>
      </c>
      <c r="AX13">
        <v>605</v>
      </c>
      <c r="AY13">
        <v>0</v>
      </c>
      <c r="AZ13">
        <v>0</v>
      </c>
      <c r="BA13">
        <v>605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f t="shared" si="0"/>
        <v>112.5</v>
      </c>
      <c r="BH13">
        <v>96</v>
      </c>
      <c r="BI13">
        <v>144</v>
      </c>
      <c r="BJ13">
        <v>120</v>
      </c>
      <c r="BK13">
        <v>29</v>
      </c>
      <c r="BL13">
        <v>24</v>
      </c>
      <c r="BM13">
        <v>72</v>
      </c>
      <c r="BN13">
        <v>48</v>
      </c>
      <c r="BO13">
        <v>84</v>
      </c>
      <c r="BP13">
        <v>24</v>
      </c>
      <c r="BQ13">
        <v>96</v>
      </c>
      <c r="BR13">
        <v>96</v>
      </c>
      <c r="BS13">
        <v>36</v>
      </c>
      <c r="BT13">
        <v>869</v>
      </c>
      <c r="BU13">
        <v>120</v>
      </c>
      <c r="BV13">
        <v>240</v>
      </c>
      <c r="BW13">
        <v>360</v>
      </c>
      <c r="BX13">
        <v>67</v>
      </c>
      <c r="BY13">
        <v>96</v>
      </c>
      <c r="BZ13">
        <v>72</v>
      </c>
      <c r="CA13">
        <v>955</v>
      </c>
      <c r="CB13">
        <v>50</v>
      </c>
      <c r="CC13">
        <v>21</v>
      </c>
      <c r="CD13">
        <v>16</v>
      </c>
      <c r="CE13">
        <v>42</v>
      </c>
      <c r="CF13">
        <v>2.63</v>
      </c>
      <c r="CG13">
        <v>0</v>
      </c>
      <c r="CH13">
        <v>0</v>
      </c>
      <c r="CI13">
        <v>0</v>
      </c>
      <c r="CJ13">
        <v>0</v>
      </c>
      <c r="CK13">
        <v>2</v>
      </c>
      <c r="CL13">
        <v>2</v>
      </c>
      <c r="CM13">
        <v>0</v>
      </c>
      <c r="CN13">
        <v>27</v>
      </c>
      <c r="CO13">
        <v>0</v>
      </c>
      <c r="CP13">
        <v>3</v>
      </c>
      <c r="CQ13">
        <v>0</v>
      </c>
      <c r="CR13">
        <v>0</v>
      </c>
      <c r="CS13">
        <v>0</v>
      </c>
      <c r="CT13">
        <v>34</v>
      </c>
      <c r="CU13">
        <v>0</v>
      </c>
      <c r="CV13">
        <v>0</v>
      </c>
      <c r="CW13">
        <v>0</v>
      </c>
      <c r="CX13">
        <v>0</v>
      </c>
      <c r="CY13">
        <v>4</v>
      </c>
      <c r="CZ13">
        <v>0</v>
      </c>
      <c r="DA13">
        <v>0</v>
      </c>
      <c r="DB13">
        <v>0</v>
      </c>
      <c r="DC13">
        <v>4</v>
      </c>
      <c r="DD13">
        <v>0</v>
      </c>
      <c r="DE13">
        <v>0</v>
      </c>
      <c r="DF13">
        <v>42</v>
      </c>
      <c r="DG13">
        <v>16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58</v>
      </c>
      <c r="DT13">
        <v>96</v>
      </c>
      <c r="DU13">
        <v>24</v>
      </c>
      <c r="DV13">
        <v>0</v>
      </c>
      <c r="DW13">
        <v>0</v>
      </c>
      <c r="DX13">
        <v>0</v>
      </c>
      <c r="DY13">
        <v>1619</v>
      </c>
      <c r="DZ13">
        <v>2158</v>
      </c>
      <c r="EA13">
        <v>2913</v>
      </c>
      <c r="EB13">
        <v>3776</v>
      </c>
      <c r="EC13">
        <v>324</v>
      </c>
      <c r="ED13">
        <v>3237</v>
      </c>
      <c r="EE13">
        <v>7553</v>
      </c>
      <c r="EF13">
        <v>0</v>
      </c>
      <c r="EG13">
        <v>0.27</v>
      </c>
      <c r="EH13">
        <v>1.3</v>
      </c>
      <c r="EI13">
        <v>7.6</v>
      </c>
      <c r="EJ13">
        <v>0.1</v>
      </c>
      <c r="EK13">
        <v>2</v>
      </c>
    </row>
    <row r="14" spans="1:141" x14ac:dyDescent="0.25">
      <c r="A14" t="str">
        <f>[1]ingredient!B12</f>
        <v>Auberginen</v>
      </c>
      <c r="B14" t="s">
        <v>157</v>
      </c>
      <c r="C14" s="7">
        <f>_xlfn.XLOOKUP(A14,[1]ingredient!$B$2:$B$521,[1]ingredient!$A$2:$A$521)</f>
        <v>11</v>
      </c>
      <c r="D14">
        <v>17</v>
      </c>
      <c r="E14">
        <v>0.18</v>
      </c>
      <c r="F14">
        <v>1</v>
      </c>
      <c r="G14">
        <v>2</v>
      </c>
      <c r="H14">
        <v>3</v>
      </c>
      <c r="I14">
        <v>2</v>
      </c>
      <c r="J14">
        <v>0.06</v>
      </c>
      <c r="K14">
        <v>93</v>
      </c>
      <c r="L14">
        <v>7</v>
      </c>
      <c r="M14">
        <v>4</v>
      </c>
      <c r="N14">
        <v>0</v>
      </c>
      <c r="O14">
        <v>43</v>
      </c>
      <c r="P14">
        <v>38</v>
      </c>
      <c r="Q14">
        <v>44</v>
      </c>
      <c r="R14">
        <v>600</v>
      </c>
      <c r="S14">
        <v>783</v>
      </c>
      <c r="T14">
        <v>230</v>
      </c>
      <c r="U14">
        <v>80</v>
      </c>
      <c r="V14">
        <v>1</v>
      </c>
      <c r="W14">
        <v>31</v>
      </c>
      <c r="X14">
        <v>0</v>
      </c>
      <c r="Y14">
        <v>5000</v>
      </c>
      <c r="Z14">
        <v>0</v>
      </c>
      <c r="AA14">
        <v>30</v>
      </c>
      <c r="AB14">
        <v>5</v>
      </c>
      <c r="AC14">
        <v>3</v>
      </c>
      <c r="AD14">
        <v>224</v>
      </c>
      <c r="AE14">
        <v>13</v>
      </c>
      <c r="AF14">
        <v>11</v>
      </c>
      <c r="AG14">
        <v>21</v>
      </c>
      <c r="AH14">
        <v>29</v>
      </c>
      <c r="AI14">
        <v>55</v>
      </c>
      <c r="AJ14">
        <v>420</v>
      </c>
      <c r="AK14">
        <v>280</v>
      </c>
      <c r="AL14">
        <v>90</v>
      </c>
      <c r="AM14">
        <v>190</v>
      </c>
      <c r="AN14">
        <v>20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1119</v>
      </c>
      <c r="AU14">
        <v>1121</v>
      </c>
      <c r="AV14">
        <v>0</v>
      </c>
      <c r="AW14">
        <v>2240</v>
      </c>
      <c r="AX14">
        <v>125</v>
      </c>
      <c r="AY14">
        <v>0</v>
      </c>
      <c r="AZ14">
        <v>0</v>
      </c>
      <c r="BA14">
        <v>125</v>
      </c>
      <c r="BB14">
        <v>0</v>
      </c>
      <c r="BC14">
        <v>0</v>
      </c>
      <c r="BD14">
        <v>0</v>
      </c>
      <c r="BE14">
        <v>125</v>
      </c>
      <c r="BF14">
        <v>125</v>
      </c>
      <c r="BG14">
        <f t="shared" si="0"/>
        <v>73.91304347826086</v>
      </c>
      <c r="BH14">
        <v>56</v>
      </c>
      <c r="BI14">
        <v>77</v>
      </c>
      <c r="BJ14">
        <v>53</v>
      </c>
      <c r="BK14">
        <v>11</v>
      </c>
      <c r="BL14">
        <v>6</v>
      </c>
      <c r="BM14">
        <v>52</v>
      </c>
      <c r="BN14">
        <v>40</v>
      </c>
      <c r="BO14">
        <v>43</v>
      </c>
      <c r="BP14">
        <v>11</v>
      </c>
      <c r="BQ14">
        <v>55</v>
      </c>
      <c r="BR14">
        <v>60</v>
      </c>
      <c r="BS14">
        <v>25</v>
      </c>
      <c r="BT14">
        <v>489</v>
      </c>
      <c r="BU14">
        <v>61</v>
      </c>
      <c r="BV14">
        <v>186</v>
      </c>
      <c r="BW14">
        <v>210</v>
      </c>
      <c r="BX14">
        <v>47</v>
      </c>
      <c r="BY14">
        <v>51</v>
      </c>
      <c r="BZ14">
        <v>47</v>
      </c>
      <c r="CA14">
        <v>602</v>
      </c>
      <c r="CB14">
        <v>20</v>
      </c>
      <c r="CC14">
        <v>8</v>
      </c>
      <c r="CD14">
        <v>14</v>
      </c>
      <c r="CE14">
        <v>73</v>
      </c>
      <c r="CF14">
        <v>5.21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29</v>
      </c>
      <c r="CO14">
        <v>0</v>
      </c>
      <c r="CP14">
        <v>10</v>
      </c>
      <c r="CQ14">
        <v>0</v>
      </c>
      <c r="CR14">
        <v>0</v>
      </c>
      <c r="CS14">
        <v>0</v>
      </c>
      <c r="CT14">
        <v>39</v>
      </c>
      <c r="CU14">
        <v>0</v>
      </c>
      <c r="CV14">
        <v>0</v>
      </c>
      <c r="CW14">
        <v>2</v>
      </c>
      <c r="CX14">
        <v>0</v>
      </c>
      <c r="CY14">
        <v>16</v>
      </c>
      <c r="CZ14">
        <v>0</v>
      </c>
      <c r="DA14">
        <v>0</v>
      </c>
      <c r="DB14">
        <v>0</v>
      </c>
      <c r="DC14">
        <v>18</v>
      </c>
      <c r="DD14">
        <v>0</v>
      </c>
      <c r="DE14">
        <v>0</v>
      </c>
      <c r="DF14">
        <v>73</v>
      </c>
      <c r="DG14">
        <v>14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87</v>
      </c>
      <c r="DT14">
        <v>144</v>
      </c>
      <c r="DU14">
        <v>36</v>
      </c>
      <c r="DV14">
        <v>0</v>
      </c>
      <c r="DW14">
        <v>0</v>
      </c>
      <c r="DX14">
        <v>0</v>
      </c>
      <c r="DY14">
        <v>423</v>
      </c>
      <c r="DZ14">
        <v>564</v>
      </c>
      <c r="EA14">
        <v>761</v>
      </c>
      <c r="EB14">
        <v>987</v>
      </c>
      <c r="EC14">
        <v>85</v>
      </c>
      <c r="ED14">
        <v>846</v>
      </c>
      <c r="EE14">
        <v>1974</v>
      </c>
      <c r="EF14">
        <v>0</v>
      </c>
      <c r="EG14">
        <v>0.18</v>
      </c>
      <c r="EH14">
        <v>0.5</v>
      </c>
      <c r="EI14">
        <v>2</v>
      </c>
      <c r="EJ14">
        <v>0.2</v>
      </c>
      <c r="EK14">
        <v>1.2</v>
      </c>
    </row>
    <row r="15" spans="1:141" x14ac:dyDescent="0.25">
      <c r="A15" t="str">
        <f>[1]ingredient!B13</f>
        <v>Auberginen weiß</v>
      </c>
      <c r="B15" t="s">
        <v>157</v>
      </c>
      <c r="C15" s="7">
        <f>_xlfn.XLOOKUP(A15,[1]ingredient!$B$2:$B$521,[1]ingredient!$A$2:$A$521)</f>
        <v>12</v>
      </c>
      <c r="D15">
        <v>17</v>
      </c>
      <c r="E15">
        <v>0.18</v>
      </c>
      <c r="F15">
        <v>1</v>
      </c>
      <c r="G15">
        <v>2</v>
      </c>
      <c r="H15">
        <v>3</v>
      </c>
      <c r="I15">
        <v>2</v>
      </c>
      <c r="J15">
        <v>0.06</v>
      </c>
      <c r="K15">
        <v>93</v>
      </c>
      <c r="L15">
        <v>7</v>
      </c>
      <c r="M15">
        <v>4</v>
      </c>
      <c r="N15">
        <v>0</v>
      </c>
      <c r="O15">
        <v>43</v>
      </c>
      <c r="P15">
        <v>38</v>
      </c>
      <c r="Q15">
        <v>44</v>
      </c>
      <c r="R15">
        <v>600</v>
      </c>
      <c r="S15">
        <v>783</v>
      </c>
      <c r="T15">
        <v>230</v>
      </c>
      <c r="U15">
        <v>80</v>
      </c>
      <c r="V15">
        <v>1</v>
      </c>
      <c r="W15">
        <v>31</v>
      </c>
      <c r="X15">
        <v>0</v>
      </c>
      <c r="Y15">
        <v>5000</v>
      </c>
      <c r="Z15">
        <v>0</v>
      </c>
      <c r="AA15">
        <v>30</v>
      </c>
      <c r="AB15">
        <v>5</v>
      </c>
      <c r="AC15">
        <v>3</v>
      </c>
      <c r="AD15">
        <v>224</v>
      </c>
      <c r="AE15">
        <v>13</v>
      </c>
      <c r="AF15">
        <v>11</v>
      </c>
      <c r="AG15">
        <v>21</v>
      </c>
      <c r="AH15">
        <v>29</v>
      </c>
      <c r="AI15">
        <v>55</v>
      </c>
      <c r="AJ15">
        <v>420</v>
      </c>
      <c r="AK15">
        <v>280</v>
      </c>
      <c r="AL15">
        <v>90</v>
      </c>
      <c r="AM15">
        <v>190</v>
      </c>
      <c r="AN15">
        <v>20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1119</v>
      </c>
      <c r="AU15">
        <v>1121</v>
      </c>
      <c r="AV15">
        <v>0</v>
      </c>
      <c r="AW15">
        <v>2240</v>
      </c>
      <c r="AX15">
        <v>125</v>
      </c>
      <c r="AY15">
        <v>0</v>
      </c>
      <c r="AZ15">
        <v>0</v>
      </c>
      <c r="BA15">
        <v>125</v>
      </c>
      <c r="BB15">
        <v>0</v>
      </c>
      <c r="BC15">
        <v>0</v>
      </c>
      <c r="BD15">
        <v>0</v>
      </c>
      <c r="BE15">
        <v>125</v>
      </c>
      <c r="BF15">
        <v>125</v>
      </c>
      <c r="BG15">
        <f t="shared" si="0"/>
        <v>73.91304347826086</v>
      </c>
      <c r="BH15">
        <v>56</v>
      </c>
      <c r="BI15">
        <v>77</v>
      </c>
      <c r="BJ15">
        <v>53</v>
      </c>
      <c r="BK15">
        <v>11</v>
      </c>
      <c r="BL15">
        <v>6</v>
      </c>
      <c r="BM15">
        <v>52</v>
      </c>
      <c r="BN15">
        <v>40</v>
      </c>
      <c r="BO15">
        <v>43</v>
      </c>
      <c r="BP15">
        <v>11</v>
      </c>
      <c r="BQ15">
        <v>55</v>
      </c>
      <c r="BR15">
        <v>60</v>
      </c>
      <c r="BS15">
        <v>25</v>
      </c>
      <c r="BT15">
        <v>489</v>
      </c>
      <c r="BU15">
        <v>61</v>
      </c>
      <c r="BV15">
        <v>186</v>
      </c>
      <c r="BW15">
        <v>210</v>
      </c>
      <c r="BX15">
        <v>47</v>
      </c>
      <c r="BY15">
        <v>51</v>
      </c>
      <c r="BZ15">
        <v>47</v>
      </c>
      <c r="CA15">
        <v>602</v>
      </c>
      <c r="CB15">
        <v>20</v>
      </c>
      <c r="CC15">
        <v>8</v>
      </c>
      <c r="CD15">
        <v>14</v>
      </c>
      <c r="CE15">
        <v>73</v>
      </c>
      <c r="CF15">
        <v>5.21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29</v>
      </c>
      <c r="CO15">
        <v>0</v>
      </c>
      <c r="CP15">
        <v>10</v>
      </c>
      <c r="CQ15">
        <v>0</v>
      </c>
      <c r="CR15">
        <v>0</v>
      </c>
      <c r="CS15">
        <v>0</v>
      </c>
      <c r="CT15">
        <v>39</v>
      </c>
      <c r="CU15">
        <v>0</v>
      </c>
      <c r="CV15">
        <v>0</v>
      </c>
      <c r="CW15">
        <v>2</v>
      </c>
      <c r="CX15">
        <v>0</v>
      </c>
      <c r="CY15">
        <v>16</v>
      </c>
      <c r="CZ15">
        <v>0</v>
      </c>
      <c r="DA15">
        <v>0</v>
      </c>
      <c r="DB15">
        <v>0</v>
      </c>
      <c r="DC15">
        <v>18</v>
      </c>
      <c r="DD15">
        <v>0</v>
      </c>
      <c r="DE15">
        <v>0</v>
      </c>
      <c r="DF15">
        <v>73</v>
      </c>
      <c r="DG15">
        <v>14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87</v>
      </c>
      <c r="DT15">
        <v>144</v>
      </c>
      <c r="DU15">
        <v>36</v>
      </c>
      <c r="DV15">
        <v>0</v>
      </c>
      <c r="DW15">
        <v>0</v>
      </c>
      <c r="DX15">
        <v>0</v>
      </c>
      <c r="DY15">
        <v>423</v>
      </c>
      <c r="DZ15">
        <v>564</v>
      </c>
      <c r="EA15">
        <v>761</v>
      </c>
      <c r="EB15">
        <v>987</v>
      </c>
      <c r="EC15">
        <v>85</v>
      </c>
      <c r="ED15">
        <v>846</v>
      </c>
      <c r="EE15">
        <v>1974</v>
      </c>
      <c r="EF15">
        <v>0</v>
      </c>
      <c r="EG15">
        <v>0.18</v>
      </c>
      <c r="EH15">
        <v>0.5</v>
      </c>
      <c r="EI15">
        <v>2</v>
      </c>
      <c r="EJ15">
        <v>0.2</v>
      </c>
      <c r="EK15">
        <v>1.2</v>
      </c>
    </row>
    <row r="16" spans="1:141" x14ac:dyDescent="0.25">
      <c r="A16" t="str">
        <f>[1]ingredient!B14</f>
        <v>Augenbohnen</v>
      </c>
      <c r="B16" t="s">
        <v>158</v>
      </c>
      <c r="C16" s="7">
        <f>_xlfn.XLOOKUP(A16,[1]ingredient!$B$2:$B$521,[1]ingredient!$A$2:$A$521)</f>
        <v>13</v>
      </c>
      <c r="D16">
        <v>271</v>
      </c>
      <c r="E16">
        <v>2</v>
      </c>
      <c r="F16">
        <v>17</v>
      </c>
      <c r="G16">
        <v>45</v>
      </c>
      <c r="H16">
        <v>24</v>
      </c>
      <c r="I16">
        <v>17</v>
      </c>
      <c r="J16">
        <v>0.14000000000000001</v>
      </c>
      <c r="K16">
        <v>6</v>
      </c>
      <c r="L16">
        <v>229</v>
      </c>
      <c r="M16">
        <v>115</v>
      </c>
      <c r="N16">
        <v>0</v>
      </c>
      <c r="O16">
        <v>1374</v>
      </c>
      <c r="P16">
        <v>502</v>
      </c>
      <c r="Q16">
        <v>550</v>
      </c>
      <c r="R16">
        <v>3486</v>
      </c>
      <c r="S16">
        <v>6753</v>
      </c>
      <c r="T16">
        <v>1892</v>
      </c>
      <c r="U16">
        <v>1264</v>
      </c>
      <c r="V16">
        <v>31</v>
      </c>
      <c r="W16">
        <v>173</v>
      </c>
      <c r="X16">
        <v>0</v>
      </c>
      <c r="Y16">
        <v>40657</v>
      </c>
      <c r="Z16">
        <v>0</v>
      </c>
      <c r="AA16">
        <v>2127</v>
      </c>
      <c r="AB16">
        <v>196</v>
      </c>
      <c r="AC16">
        <v>16</v>
      </c>
      <c r="AD16">
        <v>1688</v>
      </c>
      <c r="AE16">
        <v>353</v>
      </c>
      <c r="AF16">
        <v>283</v>
      </c>
      <c r="AG16">
        <v>345</v>
      </c>
      <c r="AH16">
        <v>212</v>
      </c>
      <c r="AI16">
        <v>126</v>
      </c>
      <c r="AJ16">
        <v>4954</v>
      </c>
      <c r="AK16">
        <v>1986</v>
      </c>
      <c r="AL16">
        <v>707</v>
      </c>
      <c r="AM16">
        <v>2481</v>
      </c>
      <c r="AN16">
        <v>86</v>
      </c>
      <c r="AO16">
        <v>24</v>
      </c>
      <c r="AP16">
        <v>0</v>
      </c>
      <c r="AQ16">
        <v>0</v>
      </c>
      <c r="AR16">
        <v>0</v>
      </c>
      <c r="AS16">
        <v>0</v>
      </c>
      <c r="AT16">
        <v>6060</v>
      </c>
      <c r="AU16">
        <v>7858</v>
      </c>
      <c r="AV16">
        <v>0</v>
      </c>
      <c r="AW16">
        <v>13918</v>
      </c>
      <c r="AX16">
        <v>2693</v>
      </c>
      <c r="AY16">
        <v>0</v>
      </c>
      <c r="AZ16">
        <v>0</v>
      </c>
      <c r="BA16">
        <v>2693</v>
      </c>
      <c r="BB16">
        <v>8981</v>
      </c>
      <c r="BC16">
        <v>0</v>
      </c>
      <c r="BD16">
        <v>0</v>
      </c>
      <c r="BE16">
        <v>17970</v>
      </c>
      <c r="BF16">
        <v>17970</v>
      </c>
      <c r="BG16">
        <f t="shared" si="0"/>
        <v>60.102301790281331</v>
      </c>
      <c r="BH16">
        <v>1130</v>
      </c>
      <c r="BI16">
        <v>1723</v>
      </c>
      <c r="BJ16">
        <v>1130</v>
      </c>
      <c r="BK16">
        <v>133</v>
      </c>
      <c r="BL16">
        <v>102</v>
      </c>
      <c r="BM16">
        <v>345</v>
      </c>
      <c r="BN16">
        <v>283</v>
      </c>
      <c r="BO16">
        <v>675</v>
      </c>
      <c r="BP16">
        <v>196</v>
      </c>
      <c r="BQ16">
        <v>1209</v>
      </c>
      <c r="BR16">
        <v>1130</v>
      </c>
      <c r="BS16">
        <v>675</v>
      </c>
      <c r="BT16">
        <v>8731</v>
      </c>
      <c r="BU16">
        <v>840</v>
      </c>
      <c r="BV16">
        <v>330</v>
      </c>
      <c r="BW16">
        <v>2002</v>
      </c>
      <c r="BX16">
        <v>1342</v>
      </c>
      <c r="BY16">
        <v>659</v>
      </c>
      <c r="BZ16">
        <v>824</v>
      </c>
      <c r="CA16">
        <v>5997</v>
      </c>
      <c r="CB16">
        <v>330</v>
      </c>
      <c r="CC16">
        <v>138</v>
      </c>
      <c r="CD16">
        <v>471</v>
      </c>
      <c r="CE16">
        <v>635</v>
      </c>
      <c r="CF16">
        <v>1.35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</v>
      </c>
      <c r="CM16">
        <v>0</v>
      </c>
      <c r="CN16">
        <v>306</v>
      </c>
      <c r="CO16">
        <v>0</v>
      </c>
      <c r="CP16">
        <v>47</v>
      </c>
      <c r="CQ16">
        <v>0</v>
      </c>
      <c r="CR16">
        <v>0</v>
      </c>
      <c r="CS16">
        <v>0</v>
      </c>
      <c r="CT16">
        <v>361</v>
      </c>
      <c r="CU16">
        <v>0</v>
      </c>
      <c r="CV16">
        <v>0</v>
      </c>
      <c r="CW16">
        <v>16</v>
      </c>
      <c r="CX16">
        <v>0</v>
      </c>
      <c r="CY16">
        <v>94</v>
      </c>
      <c r="CZ16">
        <v>0</v>
      </c>
      <c r="DA16">
        <v>0</v>
      </c>
      <c r="DB16">
        <v>0</v>
      </c>
      <c r="DC16">
        <v>110</v>
      </c>
      <c r="DD16">
        <v>0</v>
      </c>
      <c r="DE16">
        <v>0</v>
      </c>
      <c r="DF16">
        <v>635</v>
      </c>
      <c r="DG16">
        <v>471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1106</v>
      </c>
      <c r="DT16">
        <v>1577</v>
      </c>
      <c r="DU16">
        <v>393</v>
      </c>
      <c r="DV16">
        <v>0</v>
      </c>
      <c r="DW16">
        <v>0</v>
      </c>
      <c r="DX16">
        <v>0</v>
      </c>
      <c r="DY16">
        <v>3069</v>
      </c>
      <c r="DZ16">
        <v>8274</v>
      </c>
      <c r="EA16">
        <v>3069</v>
      </c>
      <c r="EB16">
        <v>8754</v>
      </c>
      <c r="EC16">
        <v>471</v>
      </c>
      <c r="ED16">
        <v>11823</v>
      </c>
      <c r="EE16">
        <v>11823</v>
      </c>
      <c r="EF16">
        <v>0</v>
      </c>
      <c r="EG16">
        <v>2</v>
      </c>
      <c r="EH16">
        <v>5</v>
      </c>
      <c r="EI16">
        <v>11.8</v>
      </c>
      <c r="EJ16">
        <v>2</v>
      </c>
      <c r="EK16">
        <v>15.8</v>
      </c>
    </row>
    <row r="17" spans="1:141" x14ac:dyDescent="0.25">
      <c r="A17" t="str">
        <f>[1]ingredient!B15</f>
        <v>Austernpilze</v>
      </c>
      <c r="B17" t="s">
        <v>159</v>
      </c>
      <c r="C17" s="7">
        <f>_xlfn.XLOOKUP(A17,[1]ingredient!$B$2:$B$521,[1]ingredient!$A$2:$A$521)</f>
        <v>14</v>
      </c>
      <c r="D17">
        <v>23</v>
      </c>
      <c r="E17">
        <v>0.22</v>
      </c>
      <c r="F17">
        <v>3</v>
      </c>
      <c r="G17">
        <v>3</v>
      </c>
      <c r="H17">
        <v>6</v>
      </c>
      <c r="I17">
        <v>1</v>
      </c>
      <c r="J17">
        <v>7.0000000000000007E-2</v>
      </c>
      <c r="K17">
        <v>87</v>
      </c>
      <c r="L17">
        <v>0</v>
      </c>
      <c r="M17">
        <v>0</v>
      </c>
      <c r="N17">
        <v>0</v>
      </c>
      <c r="O17">
        <v>0</v>
      </c>
      <c r="P17">
        <v>191</v>
      </c>
      <c r="Q17">
        <v>285</v>
      </c>
      <c r="R17">
        <v>10000</v>
      </c>
      <c r="S17">
        <v>10500</v>
      </c>
      <c r="T17">
        <v>0</v>
      </c>
      <c r="U17">
        <v>88</v>
      </c>
      <c r="V17">
        <v>16</v>
      </c>
      <c r="W17">
        <v>51</v>
      </c>
      <c r="X17">
        <v>0.1</v>
      </c>
      <c r="Y17">
        <v>600</v>
      </c>
      <c r="Z17">
        <v>0.1</v>
      </c>
      <c r="AA17">
        <v>0</v>
      </c>
      <c r="AB17">
        <v>0</v>
      </c>
      <c r="AC17">
        <v>6</v>
      </c>
      <c r="AD17">
        <v>254</v>
      </c>
      <c r="AE17">
        <v>12</v>
      </c>
      <c r="AF17">
        <v>13</v>
      </c>
      <c r="AG17">
        <v>67</v>
      </c>
      <c r="AH17">
        <v>34</v>
      </c>
      <c r="AI17">
        <v>67</v>
      </c>
      <c r="AJ17">
        <v>1230</v>
      </c>
      <c r="AK17">
        <v>866</v>
      </c>
      <c r="AL17">
        <v>118</v>
      </c>
      <c r="AM17">
        <v>158</v>
      </c>
      <c r="AN17">
        <v>31</v>
      </c>
      <c r="AO17">
        <v>3</v>
      </c>
      <c r="AP17">
        <v>2080</v>
      </c>
      <c r="AQ17">
        <v>0</v>
      </c>
      <c r="AR17">
        <v>0</v>
      </c>
      <c r="AS17">
        <v>2080</v>
      </c>
      <c r="AT17">
        <v>312</v>
      </c>
      <c r="AU17">
        <v>130</v>
      </c>
      <c r="AV17">
        <v>0</v>
      </c>
      <c r="AW17">
        <v>442</v>
      </c>
      <c r="AX17">
        <v>78</v>
      </c>
      <c r="AY17">
        <v>0</v>
      </c>
      <c r="AZ17">
        <v>0</v>
      </c>
      <c r="BA17">
        <v>78</v>
      </c>
      <c r="BB17">
        <v>0</v>
      </c>
      <c r="BC17">
        <v>0</v>
      </c>
      <c r="BD17">
        <v>0</v>
      </c>
      <c r="BE17">
        <v>0</v>
      </c>
      <c r="BF17">
        <v>0</v>
      </c>
      <c r="BG17">
        <f t="shared" si="0"/>
        <v>92.896174863387984</v>
      </c>
      <c r="BH17">
        <v>110</v>
      </c>
      <c r="BI17">
        <v>170</v>
      </c>
      <c r="BJ17">
        <v>150</v>
      </c>
      <c r="BK17">
        <v>50</v>
      </c>
      <c r="BL17">
        <v>187</v>
      </c>
      <c r="BM17">
        <v>100</v>
      </c>
      <c r="BN17">
        <v>211</v>
      </c>
      <c r="BO17">
        <v>120</v>
      </c>
      <c r="BP17">
        <v>30</v>
      </c>
      <c r="BQ17">
        <v>140</v>
      </c>
      <c r="BR17">
        <v>234</v>
      </c>
      <c r="BS17">
        <v>50</v>
      </c>
      <c r="BT17">
        <v>1552</v>
      </c>
      <c r="BU17">
        <v>234</v>
      </c>
      <c r="BV17">
        <v>215</v>
      </c>
      <c r="BW17">
        <v>323</v>
      </c>
      <c r="BX17">
        <v>126</v>
      </c>
      <c r="BY17">
        <v>257</v>
      </c>
      <c r="BZ17">
        <v>141</v>
      </c>
      <c r="CA17">
        <v>1296</v>
      </c>
      <c r="CB17">
        <v>50</v>
      </c>
      <c r="CC17">
        <v>21</v>
      </c>
      <c r="CD17">
        <v>98</v>
      </c>
      <c r="CE17">
        <v>97</v>
      </c>
      <c r="CF17">
        <v>0.99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25</v>
      </c>
      <c r="CO17">
        <v>0</v>
      </c>
      <c r="CP17">
        <v>5</v>
      </c>
      <c r="CQ17">
        <v>0</v>
      </c>
      <c r="CR17">
        <v>0</v>
      </c>
      <c r="CS17">
        <v>0</v>
      </c>
      <c r="CT17">
        <v>31</v>
      </c>
      <c r="CU17">
        <v>0</v>
      </c>
      <c r="CV17">
        <v>0</v>
      </c>
      <c r="CW17">
        <v>2</v>
      </c>
      <c r="CX17">
        <v>0</v>
      </c>
      <c r="CY17">
        <v>19</v>
      </c>
      <c r="CZ17">
        <v>0</v>
      </c>
      <c r="DA17">
        <v>0</v>
      </c>
      <c r="DB17">
        <v>0</v>
      </c>
      <c r="DC17">
        <v>21</v>
      </c>
      <c r="DD17">
        <v>0</v>
      </c>
      <c r="DE17">
        <v>0</v>
      </c>
      <c r="DF17">
        <v>97</v>
      </c>
      <c r="DG17">
        <v>98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195</v>
      </c>
      <c r="DT17">
        <v>247</v>
      </c>
      <c r="DU17">
        <v>44</v>
      </c>
      <c r="DV17">
        <v>0</v>
      </c>
      <c r="DW17">
        <v>0</v>
      </c>
      <c r="DX17">
        <v>0</v>
      </c>
      <c r="DY17">
        <v>0</v>
      </c>
      <c r="DZ17">
        <v>2398</v>
      </c>
      <c r="EA17">
        <v>59</v>
      </c>
      <c r="EB17">
        <v>3334</v>
      </c>
      <c r="EC17">
        <v>59</v>
      </c>
      <c r="ED17">
        <v>1112</v>
      </c>
      <c r="EE17">
        <v>4738</v>
      </c>
      <c r="EF17">
        <v>0</v>
      </c>
      <c r="EG17">
        <v>0.13</v>
      </c>
      <c r="EH17">
        <v>0.8</v>
      </c>
      <c r="EI17">
        <v>4.7</v>
      </c>
      <c r="EJ17">
        <v>0.2</v>
      </c>
      <c r="EK17">
        <v>3</v>
      </c>
    </row>
    <row r="18" spans="1:141" x14ac:dyDescent="0.25">
      <c r="A18" t="str">
        <f>[1]ingredient!B16</f>
        <v>Avocado</v>
      </c>
      <c r="B18" t="s">
        <v>160</v>
      </c>
      <c r="C18" s="7">
        <f>_xlfn.XLOOKUP(A18,[1]ingredient!$B$2:$B$521,[1]ingredient!$A$2:$A$521)</f>
        <v>15</v>
      </c>
      <c r="D18">
        <v>130</v>
      </c>
      <c r="E18">
        <v>13</v>
      </c>
      <c r="F18">
        <v>1</v>
      </c>
      <c r="G18">
        <v>4</v>
      </c>
      <c r="H18">
        <v>4</v>
      </c>
      <c r="I18">
        <v>4</v>
      </c>
      <c r="J18">
        <v>0.01</v>
      </c>
      <c r="K18">
        <v>77</v>
      </c>
      <c r="L18">
        <v>19</v>
      </c>
      <c r="M18">
        <v>9</v>
      </c>
      <c r="N18">
        <v>0</v>
      </c>
      <c r="O18">
        <v>112</v>
      </c>
      <c r="P18">
        <v>70</v>
      </c>
      <c r="Q18">
        <v>100</v>
      </c>
      <c r="R18">
        <v>1010</v>
      </c>
      <c r="S18">
        <v>1010</v>
      </c>
      <c r="T18">
        <v>0</v>
      </c>
      <c r="U18">
        <v>270</v>
      </c>
      <c r="V18">
        <v>0</v>
      </c>
      <c r="W18">
        <v>20</v>
      </c>
      <c r="X18">
        <v>0</v>
      </c>
      <c r="Y18">
        <v>0</v>
      </c>
      <c r="Z18">
        <v>3</v>
      </c>
      <c r="AA18">
        <v>2030</v>
      </c>
      <c r="AB18">
        <v>14</v>
      </c>
      <c r="AC18">
        <v>0</v>
      </c>
      <c r="AD18">
        <v>550</v>
      </c>
      <c r="AE18">
        <v>14</v>
      </c>
      <c r="AF18">
        <v>25</v>
      </c>
      <c r="AG18">
        <v>49</v>
      </c>
      <c r="AH18">
        <v>0</v>
      </c>
      <c r="AI18">
        <v>12</v>
      </c>
      <c r="AJ18">
        <v>440</v>
      </c>
      <c r="AK18">
        <v>644</v>
      </c>
      <c r="AL18">
        <v>390</v>
      </c>
      <c r="AM18">
        <v>186</v>
      </c>
      <c r="AN18">
        <v>51</v>
      </c>
      <c r="AO18">
        <v>3</v>
      </c>
      <c r="AP18">
        <v>0</v>
      </c>
      <c r="AQ18">
        <v>0</v>
      </c>
      <c r="AR18">
        <v>0</v>
      </c>
      <c r="AS18">
        <v>0</v>
      </c>
      <c r="AT18">
        <v>3550</v>
      </c>
      <c r="AU18">
        <v>0</v>
      </c>
      <c r="AV18">
        <v>0</v>
      </c>
      <c r="AW18">
        <v>3550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f t="shared" si="0"/>
        <v>0</v>
      </c>
      <c r="BH18">
        <v>65</v>
      </c>
      <c r="BI18">
        <v>117</v>
      </c>
      <c r="BJ18">
        <v>117</v>
      </c>
      <c r="BK18">
        <v>0</v>
      </c>
      <c r="BL18">
        <v>0</v>
      </c>
      <c r="BM18">
        <v>78</v>
      </c>
      <c r="BN18">
        <v>0</v>
      </c>
      <c r="BO18">
        <v>78</v>
      </c>
      <c r="BP18">
        <v>0</v>
      </c>
      <c r="BQ18">
        <v>104</v>
      </c>
      <c r="BR18">
        <v>78</v>
      </c>
      <c r="BS18">
        <v>0</v>
      </c>
      <c r="BT18">
        <v>637</v>
      </c>
      <c r="BU18">
        <v>91</v>
      </c>
      <c r="BV18">
        <v>183</v>
      </c>
      <c r="BW18">
        <v>196</v>
      </c>
      <c r="BX18">
        <v>91</v>
      </c>
      <c r="BY18">
        <v>78</v>
      </c>
      <c r="BZ18">
        <v>91</v>
      </c>
      <c r="CA18">
        <v>730</v>
      </c>
      <c r="CB18">
        <v>0</v>
      </c>
      <c r="CC18">
        <v>0</v>
      </c>
      <c r="CD18">
        <v>111</v>
      </c>
      <c r="CE18">
        <v>1509</v>
      </c>
      <c r="CF18">
        <v>13.59</v>
      </c>
      <c r="CG18">
        <v>4</v>
      </c>
      <c r="CH18">
        <v>0</v>
      </c>
      <c r="CI18">
        <v>0</v>
      </c>
      <c r="CJ18">
        <v>0</v>
      </c>
      <c r="CK18">
        <v>1</v>
      </c>
      <c r="CL18">
        <v>6</v>
      </c>
      <c r="CM18">
        <v>14</v>
      </c>
      <c r="CN18">
        <v>2627</v>
      </c>
      <c r="CO18">
        <v>5</v>
      </c>
      <c r="CP18">
        <v>84</v>
      </c>
      <c r="CQ18">
        <v>10</v>
      </c>
      <c r="CR18">
        <v>5</v>
      </c>
      <c r="CS18">
        <v>9</v>
      </c>
      <c r="CT18">
        <v>2765</v>
      </c>
      <c r="CU18">
        <v>0</v>
      </c>
      <c r="CV18">
        <v>0</v>
      </c>
      <c r="CW18">
        <v>1145</v>
      </c>
      <c r="CX18">
        <v>12</v>
      </c>
      <c r="CY18">
        <v>6930</v>
      </c>
      <c r="CZ18">
        <v>21</v>
      </c>
      <c r="DA18">
        <v>0</v>
      </c>
      <c r="DB18">
        <v>4</v>
      </c>
      <c r="DC18">
        <v>8112</v>
      </c>
      <c r="DD18">
        <v>0</v>
      </c>
      <c r="DE18">
        <v>0</v>
      </c>
      <c r="DF18">
        <v>1509</v>
      </c>
      <c r="DG18">
        <v>111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1620</v>
      </c>
      <c r="DT18">
        <v>12493</v>
      </c>
      <c r="DU18">
        <v>1</v>
      </c>
      <c r="DV18">
        <v>0</v>
      </c>
      <c r="DW18">
        <v>4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4100</v>
      </c>
      <c r="EF18">
        <v>0</v>
      </c>
      <c r="EG18">
        <v>0</v>
      </c>
      <c r="EH18">
        <v>1.3</v>
      </c>
      <c r="EI18">
        <v>4.0999999999999996</v>
      </c>
      <c r="EJ18">
        <v>12.5</v>
      </c>
      <c r="EK18">
        <v>1.4</v>
      </c>
    </row>
    <row r="19" spans="1:141" x14ac:dyDescent="0.25">
      <c r="A19" t="str">
        <f>[1]ingredient!B17</f>
        <v>Azuki-Bohnen</v>
      </c>
      <c r="B19" t="s">
        <v>161</v>
      </c>
      <c r="C19" s="7">
        <f>_xlfn.XLOOKUP(A19,[1]ingredient!$B$2:$B$521,[1]ingredient!$A$2:$A$521)</f>
        <v>16</v>
      </c>
      <c r="D19">
        <v>361</v>
      </c>
      <c r="E19">
        <v>1</v>
      </c>
      <c r="F19">
        <v>20</v>
      </c>
      <c r="G19">
        <v>61</v>
      </c>
      <c r="H19">
        <v>13</v>
      </c>
      <c r="I19">
        <v>5</v>
      </c>
      <c r="J19">
        <v>0.01</v>
      </c>
      <c r="K19">
        <v>0</v>
      </c>
      <c r="L19">
        <v>0</v>
      </c>
      <c r="M19">
        <v>0</v>
      </c>
      <c r="N19">
        <v>0</v>
      </c>
      <c r="O19">
        <v>0</v>
      </c>
      <c r="P19">
        <v>500</v>
      </c>
      <c r="Q19">
        <v>200</v>
      </c>
      <c r="R19">
        <v>2600</v>
      </c>
      <c r="S19">
        <v>19300</v>
      </c>
      <c r="T19">
        <v>1500</v>
      </c>
      <c r="U19">
        <v>400</v>
      </c>
      <c r="V19">
        <v>7</v>
      </c>
      <c r="W19">
        <v>622</v>
      </c>
      <c r="X19">
        <v>0</v>
      </c>
      <c r="Y19">
        <v>3000</v>
      </c>
      <c r="Z19">
        <v>0</v>
      </c>
      <c r="AA19">
        <v>0</v>
      </c>
      <c r="AB19">
        <v>130</v>
      </c>
      <c r="AC19">
        <v>5</v>
      </c>
      <c r="AD19">
        <v>1254</v>
      </c>
      <c r="AE19">
        <v>66</v>
      </c>
      <c r="AF19">
        <v>127</v>
      </c>
      <c r="AG19">
        <v>381</v>
      </c>
      <c r="AH19">
        <v>0</v>
      </c>
      <c r="AI19">
        <v>0</v>
      </c>
      <c r="AJ19">
        <v>5000</v>
      </c>
      <c r="AK19">
        <v>5000</v>
      </c>
      <c r="AL19">
        <v>1100</v>
      </c>
      <c r="AM19">
        <v>1700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1018</v>
      </c>
      <c r="AU19">
        <v>1696</v>
      </c>
      <c r="AV19">
        <v>0</v>
      </c>
      <c r="AW19">
        <v>2713</v>
      </c>
      <c r="AX19">
        <v>2300</v>
      </c>
      <c r="AY19">
        <v>0</v>
      </c>
      <c r="AZ19">
        <v>0</v>
      </c>
      <c r="BA19">
        <v>2287</v>
      </c>
      <c r="BB19">
        <v>3700</v>
      </c>
      <c r="BC19">
        <v>4320</v>
      </c>
      <c r="BD19">
        <v>0</v>
      </c>
      <c r="BE19">
        <v>52000</v>
      </c>
      <c r="BF19">
        <v>0</v>
      </c>
      <c r="BG19">
        <f t="shared" si="0"/>
        <v>34.130434782608695</v>
      </c>
      <c r="BH19">
        <v>1623</v>
      </c>
      <c r="BI19">
        <v>988</v>
      </c>
      <c r="BJ19">
        <v>1556</v>
      </c>
      <c r="BK19">
        <v>157</v>
      </c>
      <c r="BL19">
        <v>0</v>
      </c>
      <c r="BM19">
        <v>1175</v>
      </c>
      <c r="BN19">
        <v>658</v>
      </c>
      <c r="BO19">
        <v>606</v>
      </c>
      <c r="BP19">
        <v>1003</v>
      </c>
      <c r="BQ19">
        <v>1092</v>
      </c>
      <c r="BR19">
        <v>1556</v>
      </c>
      <c r="BS19">
        <v>778</v>
      </c>
      <c r="BT19">
        <v>11192</v>
      </c>
      <c r="BU19">
        <v>741</v>
      </c>
      <c r="BV19">
        <v>2349</v>
      </c>
      <c r="BW19">
        <v>3389</v>
      </c>
      <c r="BX19">
        <v>711</v>
      </c>
      <c r="BY19">
        <v>778</v>
      </c>
      <c r="BZ19">
        <v>711</v>
      </c>
      <c r="CA19">
        <v>8678</v>
      </c>
      <c r="CB19">
        <v>222</v>
      </c>
      <c r="CC19">
        <v>74</v>
      </c>
      <c r="CD19">
        <v>0</v>
      </c>
      <c r="CE19">
        <v>100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149</v>
      </c>
      <c r="CO19">
        <v>0</v>
      </c>
      <c r="CP19">
        <v>42</v>
      </c>
      <c r="CQ19">
        <v>0</v>
      </c>
      <c r="CR19">
        <v>0</v>
      </c>
      <c r="CS19">
        <v>0</v>
      </c>
      <c r="CT19">
        <v>200</v>
      </c>
      <c r="CU19">
        <v>0</v>
      </c>
      <c r="CV19">
        <v>0</v>
      </c>
      <c r="CW19">
        <v>0</v>
      </c>
      <c r="CX19">
        <v>0</v>
      </c>
      <c r="CY19">
        <v>50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100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100</v>
      </c>
      <c r="DT19">
        <v>371</v>
      </c>
      <c r="DU19">
        <v>160</v>
      </c>
      <c r="DV19">
        <v>0</v>
      </c>
      <c r="DW19">
        <v>0</v>
      </c>
      <c r="DX19">
        <v>0</v>
      </c>
      <c r="DY19">
        <v>1651</v>
      </c>
      <c r="DZ19">
        <v>4445</v>
      </c>
      <c r="EA19">
        <v>1651</v>
      </c>
      <c r="EB19">
        <v>4699</v>
      </c>
      <c r="EC19">
        <v>254</v>
      </c>
      <c r="ED19">
        <v>1524</v>
      </c>
      <c r="EE19">
        <v>11176</v>
      </c>
      <c r="EF19">
        <v>0</v>
      </c>
      <c r="EG19">
        <v>0</v>
      </c>
      <c r="EH19">
        <v>1.8</v>
      </c>
      <c r="EI19">
        <v>11.2</v>
      </c>
      <c r="EJ19">
        <v>0.5</v>
      </c>
      <c r="EK19">
        <v>20.5</v>
      </c>
    </row>
    <row r="20" spans="1:141" x14ac:dyDescent="0.25">
      <c r="A20" t="str">
        <f>[1]ingredient!B18</f>
        <v>Baby-Mangold</v>
      </c>
      <c r="B20" t="s">
        <v>162</v>
      </c>
      <c r="C20" s="7">
        <f>_xlfn.XLOOKUP(A20,[1]ingredient!$B$2:$B$521,[1]ingredient!$A$2:$A$521)</f>
        <v>17</v>
      </c>
      <c r="D20">
        <v>25</v>
      </c>
      <c r="E20">
        <v>0.3</v>
      </c>
      <c r="F20">
        <v>2</v>
      </c>
      <c r="G20">
        <v>3</v>
      </c>
      <c r="H20">
        <v>3</v>
      </c>
      <c r="I20">
        <v>2</v>
      </c>
      <c r="J20">
        <v>0.19</v>
      </c>
      <c r="K20">
        <v>90</v>
      </c>
      <c r="L20">
        <v>588</v>
      </c>
      <c r="M20">
        <v>294</v>
      </c>
      <c r="N20">
        <v>0</v>
      </c>
      <c r="O20">
        <v>3530</v>
      </c>
      <c r="P20">
        <v>98</v>
      </c>
      <c r="Q20">
        <v>160</v>
      </c>
      <c r="R20">
        <v>650</v>
      </c>
      <c r="S20">
        <v>1183</v>
      </c>
      <c r="T20">
        <v>170</v>
      </c>
      <c r="U20">
        <v>90</v>
      </c>
      <c r="V20">
        <v>1</v>
      </c>
      <c r="W20">
        <v>30</v>
      </c>
      <c r="X20">
        <v>0</v>
      </c>
      <c r="Y20">
        <v>39000</v>
      </c>
      <c r="Z20">
        <v>0</v>
      </c>
      <c r="AA20">
        <v>1500</v>
      </c>
      <c r="AB20">
        <v>400</v>
      </c>
      <c r="AC20">
        <v>90</v>
      </c>
      <c r="AD20">
        <v>376</v>
      </c>
      <c r="AE20">
        <v>103</v>
      </c>
      <c r="AF20">
        <v>81</v>
      </c>
      <c r="AG20">
        <v>39</v>
      </c>
      <c r="AH20">
        <v>20</v>
      </c>
      <c r="AI20">
        <v>100</v>
      </c>
      <c r="AJ20">
        <v>2700</v>
      </c>
      <c r="AK20">
        <v>343</v>
      </c>
      <c r="AL20">
        <v>77</v>
      </c>
      <c r="AM20">
        <v>300</v>
      </c>
      <c r="AN20">
        <v>60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1537</v>
      </c>
      <c r="AU20">
        <v>638</v>
      </c>
      <c r="AV20">
        <v>0</v>
      </c>
      <c r="AW20">
        <v>2175</v>
      </c>
      <c r="AX20">
        <v>290</v>
      </c>
      <c r="AY20">
        <v>0</v>
      </c>
      <c r="AZ20">
        <v>0</v>
      </c>
      <c r="BA20">
        <v>290</v>
      </c>
      <c r="BB20">
        <v>0</v>
      </c>
      <c r="BC20">
        <v>0</v>
      </c>
      <c r="BD20">
        <v>0</v>
      </c>
      <c r="BE20">
        <v>435</v>
      </c>
      <c r="BF20">
        <v>435</v>
      </c>
      <c r="BG20">
        <f t="shared" si="0"/>
        <v>115.21739130434783</v>
      </c>
      <c r="BH20">
        <v>85</v>
      </c>
      <c r="BI20">
        <v>158</v>
      </c>
      <c r="BJ20">
        <v>128</v>
      </c>
      <c r="BK20">
        <v>32</v>
      </c>
      <c r="BL20">
        <v>21</v>
      </c>
      <c r="BM20">
        <v>107</v>
      </c>
      <c r="BN20">
        <v>64</v>
      </c>
      <c r="BO20">
        <v>96</v>
      </c>
      <c r="BP20">
        <v>32</v>
      </c>
      <c r="BQ20">
        <v>128</v>
      </c>
      <c r="BR20">
        <v>85</v>
      </c>
      <c r="BS20">
        <v>43</v>
      </c>
      <c r="BT20">
        <v>979</v>
      </c>
      <c r="BU20">
        <v>117</v>
      </c>
      <c r="BV20">
        <v>192</v>
      </c>
      <c r="BW20">
        <v>213</v>
      </c>
      <c r="BX20">
        <v>107</v>
      </c>
      <c r="BY20">
        <v>96</v>
      </c>
      <c r="BZ20">
        <v>85</v>
      </c>
      <c r="CA20">
        <v>810</v>
      </c>
      <c r="CB20">
        <v>57</v>
      </c>
      <c r="CC20">
        <v>24</v>
      </c>
      <c r="CD20">
        <v>122</v>
      </c>
      <c r="CE20">
        <v>41</v>
      </c>
      <c r="CF20">
        <v>0.34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5</v>
      </c>
      <c r="CM20">
        <v>0</v>
      </c>
      <c r="CN20">
        <v>43</v>
      </c>
      <c r="CO20">
        <v>0</v>
      </c>
      <c r="CP20">
        <v>5</v>
      </c>
      <c r="CQ20">
        <v>0</v>
      </c>
      <c r="CR20">
        <v>0</v>
      </c>
      <c r="CS20">
        <v>0</v>
      </c>
      <c r="CT20">
        <v>53</v>
      </c>
      <c r="CU20">
        <v>0</v>
      </c>
      <c r="CV20">
        <v>0</v>
      </c>
      <c r="CW20">
        <v>6</v>
      </c>
      <c r="CX20">
        <v>0</v>
      </c>
      <c r="CY20">
        <v>18</v>
      </c>
      <c r="CZ20">
        <v>0</v>
      </c>
      <c r="DA20">
        <v>0</v>
      </c>
      <c r="DB20">
        <v>0</v>
      </c>
      <c r="DC20">
        <v>24</v>
      </c>
      <c r="DD20">
        <v>0</v>
      </c>
      <c r="DE20">
        <v>0</v>
      </c>
      <c r="DF20">
        <v>41</v>
      </c>
      <c r="DG20">
        <v>122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163</v>
      </c>
      <c r="DT20">
        <v>240</v>
      </c>
      <c r="DU20">
        <v>60</v>
      </c>
      <c r="DV20">
        <v>0</v>
      </c>
      <c r="DW20">
        <v>0</v>
      </c>
      <c r="DX20">
        <v>0</v>
      </c>
      <c r="DY20">
        <v>335</v>
      </c>
      <c r="DZ20">
        <v>361</v>
      </c>
      <c r="EA20">
        <v>619</v>
      </c>
      <c r="EB20">
        <v>1162</v>
      </c>
      <c r="EC20">
        <v>103</v>
      </c>
      <c r="ED20">
        <v>645</v>
      </c>
      <c r="EE20">
        <v>1935</v>
      </c>
      <c r="EF20">
        <v>0</v>
      </c>
      <c r="EG20">
        <v>1</v>
      </c>
      <c r="EH20">
        <v>1.7</v>
      </c>
      <c r="EI20">
        <v>1.9</v>
      </c>
      <c r="EJ20">
        <v>0.3</v>
      </c>
      <c r="EK20">
        <v>2</v>
      </c>
    </row>
    <row r="21" spans="1:141" x14ac:dyDescent="0.25">
      <c r="A21" t="str">
        <f>[1]ingredient!B19</f>
        <v>Baby-Spinat</v>
      </c>
      <c r="B21" t="s">
        <v>163</v>
      </c>
      <c r="C21" s="7">
        <f>_xlfn.XLOOKUP(A21,[1]ingredient!$B$2:$B$521,[1]ingredient!$A$2:$A$521)</f>
        <v>18</v>
      </c>
      <c r="D21">
        <v>17</v>
      </c>
      <c r="E21">
        <v>0.3</v>
      </c>
      <c r="F21">
        <v>3</v>
      </c>
      <c r="G21">
        <v>1</v>
      </c>
      <c r="H21">
        <v>3</v>
      </c>
      <c r="I21">
        <v>0.47</v>
      </c>
      <c r="J21">
        <v>0.12</v>
      </c>
      <c r="K21">
        <v>92</v>
      </c>
      <c r="L21">
        <v>781</v>
      </c>
      <c r="M21">
        <v>391</v>
      </c>
      <c r="N21">
        <v>0</v>
      </c>
      <c r="O21">
        <v>4687</v>
      </c>
      <c r="P21">
        <v>110</v>
      </c>
      <c r="Q21">
        <v>230</v>
      </c>
      <c r="R21">
        <v>620</v>
      </c>
      <c r="S21">
        <v>1253</v>
      </c>
      <c r="T21">
        <v>250</v>
      </c>
      <c r="U21">
        <v>220</v>
      </c>
      <c r="V21">
        <v>7</v>
      </c>
      <c r="W21">
        <v>78</v>
      </c>
      <c r="X21">
        <v>0</v>
      </c>
      <c r="Y21">
        <v>52000</v>
      </c>
      <c r="Z21">
        <v>0</v>
      </c>
      <c r="AA21">
        <v>1367</v>
      </c>
      <c r="AB21">
        <v>280</v>
      </c>
      <c r="AC21">
        <v>65</v>
      </c>
      <c r="AD21">
        <v>633</v>
      </c>
      <c r="AE21">
        <v>126</v>
      </c>
      <c r="AF21">
        <v>58</v>
      </c>
      <c r="AG21">
        <v>55</v>
      </c>
      <c r="AH21">
        <v>20</v>
      </c>
      <c r="AI21">
        <v>54</v>
      </c>
      <c r="AJ21">
        <v>4100</v>
      </c>
      <c r="AK21">
        <v>584</v>
      </c>
      <c r="AL21">
        <v>120</v>
      </c>
      <c r="AM21">
        <v>474</v>
      </c>
      <c r="AN21">
        <v>110</v>
      </c>
      <c r="AO21">
        <v>12</v>
      </c>
      <c r="AP21">
        <v>0</v>
      </c>
      <c r="AQ21">
        <v>0</v>
      </c>
      <c r="AR21">
        <v>0</v>
      </c>
      <c r="AS21">
        <v>0</v>
      </c>
      <c r="AT21">
        <v>137</v>
      </c>
      <c r="AU21">
        <v>110</v>
      </c>
      <c r="AV21">
        <v>0</v>
      </c>
      <c r="AW21">
        <v>247</v>
      </c>
      <c r="AX21">
        <v>220</v>
      </c>
      <c r="AY21">
        <v>0</v>
      </c>
      <c r="AZ21">
        <v>0</v>
      </c>
      <c r="BA21">
        <v>220</v>
      </c>
      <c r="BB21">
        <v>0</v>
      </c>
      <c r="BC21">
        <v>0</v>
      </c>
      <c r="BD21">
        <v>0</v>
      </c>
      <c r="BE21">
        <v>83</v>
      </c>
      <c r="BF21">
        <v>83</v>
      </c>
      <c r="BG21">
        <f t="shared" si="0"/>
        <v>108.69565217391303</v>
      </c>
      <c r="BH21">
        <v>121</v>
      </c>
      <c r="BI21">
        <v>202</v>
      </c>
      <c r="BJ21">
        <v>164</v>
      </c>
      <c r="BK21">
        <v>45</v>
      </c>
      <c r="BL21">
        <v>30</v>
      </c>
      <c r="BM21">
        <v>126</v>
      </c>
      <c r="BN21">
        <v>101</v>
      </c>
      <c r="BO21">
        <v>113</v>
      </c>
      <c r="BP21">
        <v>38</v>
      </c>
      <c r="BQ21">
        <v>144</v>
      </c>
      <c r="BR21">
        <v>141</v>
      </c>
      <c r="BS21">
        <v>55</v>
      </c>
      <c r="BT21">
        <v>1280</v>
      </c>
      <c r="BU21">
        <v>134</v>
      </c>
      <c r="BV21">
        <v>227</v>
      </c>
      <c r="BW21">
        <v>297</v>
      </c>
      <c r="BX21">
        <v>121</v>
      </c>
      <c r="BY21">
        <v>108</v>
      </c>
      <c r="BZ21">
        <v>101</v>
      </c>
      <c r="CA21">
        <v>988</v>
      </c>
      <c r="CB21">
        <v>57</v>
      </c>
      <c r="CC21">
        <v>24</v>
      </c>
      <c r="CD21">
        <v>150</v>
      </c>
      <c r="CE21">
        <v>30</v>
      </c>
      <c r="CF21">
        <v>0.2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2</v>
      </c>
      <c r="CM21">
        <v>0</v>
      </c>
      <c r="CN21">
        <v>30</v>
      </c>
      <c r="CO21">
        <v>0</v>
      </c>
      <c r="CP21">
        <v>5</v>
      </c>
      <c r="CQ21">
        <v>0</v>
      </c>
      <c r="CR21">
        <v>0</v>
      </c>
      <c r="CS21">
        <v>0</v>
      </c>
      <c r="CT21">
        <v>37</v>
      </c>
      <c r="CU21">
        <v>0</v>
      </c>
      <c r="CV21">
        <v>0</v>
      </c>
      <c r="CW21">
        <v>5</v>
      </c>
      <c r="CX21">
        <v>0</v>
      </c>
      <c r="CY21">
        <v>18</v>
      </c>
      <c r="CZ21">
        <v>0</v>
      </c>
      <c r="DA21">
        <v>0</v>
      </c>
      <c r="DB21">
        <v>0</v>
      </c>
      <c r="DC21">
        <v>23</v>
      </c>
      <c r="DD21">
        <v>0</v>
      </c>
      <c r="DE21">
        <v>0</v>
      </c>
      <c r="DF21">
        <v>30</v>
      </c>
      <c r="DG21">
        <v>150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180</v>
      </c>
      <c r="DT21">
        <v>240</v>
      </c>
      <c r="DU21">
        <v>60</v>
      </c>
      <c r="DV21">
        <v>0</v>
      </c>
      <c r="DW21">
        <v>0</v>
      </c>
      <c r="DX21">
        <v>0</v>
      </c>
      <c r="DY21">
        <v>387</v>
      </c>
      <c r="DZ21">
        <v>387</v>
      </c>
      <c r="EA21">
        <v>645</v>
      </c>
      <c r="EB21">
        <v>1032</v>
      </c>
      <c r="EC21">
        <v>129</v>
      </c>
      <c r="ED21">
        <v>645</v>
      </c>
      <c r="EE21">
        <v>1935</v>
      </c>
      <c r="EF21">
        <v>0</v>
      </c>
      <c r="EG21">
        <v>1</v>
      </c>
      <c r="EH21">
        <v>1.5</v>
      </c>
      <c r="EI21">
        <v>1.9</v>
      </c>
      <c r="EJ21">
        <v>0.3</v>
      </c>
      <c r="EK21">
        <v>2.5</v>
      </c>
    </row>
    <row r="22" spans="1:141" x14ac:dyDescent="0.25">
      <c r="A22" t="str">
        <f>[1]ingredient!B20</f>
        <v>Backpulver</v>
      </c>
      <c r="B22" t="s">
        <v>164</v>
      </c>
      <c r="C22" s="7">
        <f>_xlfn.XLOOKUP(A22,[1]ingredient!$B$2:$B$521,[1]ingredient!$A$2:$A$521)</f>
        <v>19</v>
      </c>
      <c r="D22">
        <v>155</v>
      </c>
      <c r="E22">
        <v>0</v>
      </c>
      <c r="F22">
        <v>1</v>
      </c>
      <c r="G22">
        <v>38</v>
      </c>
      <c r="H22">
        <v>0</v>
      </c>
      <c r="I22">
        <v>0</v>
      </c>
      <c r="J22">
        <v>12</v>
      </c>
      <c r="K22">
        <v>38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68</v>
      </c>
      <c r="T22">
        <v>1</v>
      </c>
      <c r="U22">
        <v>1</v>
      </c>
      <c r="V22">
        <v>0.1</v>
      </c>
      <c r="W22">
        <v>1</v>
      </c>
      <c r="X22">
        <v>0</v>
      </c>
      <c r="Y22">
        <v>0</v>
      </c>
      <c r="Z22">
        <v>0</v>
      </c>
      <c r="AA22">
        <v>1</v>
      </c>
      <c r="AB22">
        <v>0</v>
      </c>
      <c r="AC22">
        <v>11800</v>
      </c>
      <c r="AD22">
        <v>49</v>
      </c>
      <c r="AE22">
        <v>1130</v>
      </c>
      <c r="AF22">
        <v>9</v>
      </c>
      <c r="AG22">
        <v>8430</v>
      </c>
      <c r="AH22">
        <v>50</v>
      </c>
      <c r="AI22">
        <v>29</v>
      </c>
      <c r="AJ22">
        <v>1</v>
      </c>
      <c r="AK22">
        <v>2800</v>
      </c>
      <c r="AL22">
        <v>1</v>
      </c>
      <c r="AM22">
        <v>1</v>
      </c>
      <c r="AN22">
        <v>0</v>
      </c>
      <c r="AO22">
        <v>0.1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37800</v>
      </c>
      <c r="BF22">
        <v>37800</v>
      </c>
      <c r="BG22">
        <f t="shared" si="0"/>
        <v>29.166666666666668</v>
      </c>
      <c r="BH22">
        <v>19</v>
      </c>
      <c r="BI22">
        <v>65</v>
      </c>
      <c r="BJ22">
        <v>14</v>
      </c>
      <c r="BK22">
        <v>10</v>
      </c>
      <c r="BL22">
        <v>8</v>
      </c>
      <c r="BM22">
        <v>25</v>
      </c>
      <c r="BN22">
        <v>20</v>
      </c>
      <c r="BO22">
        <v>19</v>
      </c>
      <c r="BP22">
        <v>4</v>
      </c>
      <c r="BQ22">
        <v>25</v>
      </c>
      <c r="BR22">
        <v>21</v>
      </c>
      <c r="BS22">
        <v>14</v>
      </c>
      <c r="BT22">
        <v>244</v>
      </c>
      <c r="BU22">
        <v>39</v>
      </c>
      <c r="BV22">
        <v>32</v>
      </c>
      <c r="BW22">
        <v>97</v>
      </c>
      <c r="BX22">
        <v>19</v>
      </c>
      <c r="BY22">
        <v>46</v>
      </c>
      <c r="BZ22">
        <v>25</v>
      </c>
      <c r="CA22">
        <v>258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23.9</v>
      </c>
      <c r="EI22">
        <v>0</v>
      </c>
      <c r="EJ22">
        <v>0</v>
      </c>
      <c r="EK22">
        <v>0.5</v>
      </c>
    </row>
    <row r="23" spans="1:141" x14ac:dyDescent="0.25">
      <c r="A23" s="9" t="str">
        <f>[1]ingredient!B21</f>
        <v>Baharat</v>
      </c>
      <c r="C23" s="7">
        <f>_xlfn.XLOOKUP(A23,[1]ingredient!$B$2:$B$521,[1]ingredient!$A$2:$A$521)</f>
        <v>20</v>
      </c>
      <c r="D23" s="10">
        <f t="shared" ref="D23:BF23" si="1">(4+D307+4*D296+D212+D461+D217+D280+D276+D166+D177)/15</f>
        <v>272.8</v>
      </c>
      <c r="E23" s="10">
        <f t="shared" si="1"/>
        <v>11.066666666666666</v>
      </c>
      <c r="F23" s="10">
        <f t="shared" si="1"/>
        <v>9.1999999999999993</v>
      </c>
      <c r="G23" s="10">
        <f t="shared" si="1"/>
        <v>33.133333333333333</v>
      </c>
      <c r="H23" s="10">
        <f t="shared" si="1"/>
        <v>15</v>
      </c>
      <c r="I23" s="10">
        <f t="shared" si="1"/>
        <v>27</v>
      </c>
      <c r="J23" s="10">
        <f t="shared" si="1"/>
        <v>0.42599999999999999</v>
      </c>
      <c r="K23" s="10">
        <f t="shared" si="1"/>
        <v>8.3333333333333339</v>
      </c>
      <c r="L23" s="10">
        <f t="shared" si="1"/>
        <v>1627.8666666666666</v>
      </c>
      <c r="M23" s="10">
        <f t="shared" si="1"/>
        <v>815.21066666666661</v>
      </c>
      <c r="N23" s="10">
        <f t="shared" si="1"/>
        <v>0.26666666666666666</v>
      </c>
      <c r="O23" s="10">
        <f t="shared" si="1"/>
        <v>9778.7333333333336</v>
      </c>
      <c r="P23" s="10">
        <f t="shared" si="1"/>
        <v>290.26666666666665</v>
      </c>
      <c r="Q23" s="10">
        <f t="shared" si="1"/>
        <v>576.26666666666665</v>
      </c>
      <c r="R23" s="10">
        <f t="shared" si="1"/>
        <v>5220.2666666666664</v>
      </c>
      <c r="S23" s="10">
        <f t="shared" si="1"/>
        <v>6792.6</v>
      </c>
      <c r="T23" s="10">
        <f t="shared" si="1"/>
        <v>251.6</v>
      </c>
      <c r="U23" s="10">
        <f t="shared" si="1"/>
        <v>134.26666666666668</v>
      </c>
      <c r="V23" s="10">
        <f t="shared" si="1"/>
        <v>3.6</v>
      </c>
      <c r="W23" s="10">
        <f t="shared" si="1"/>
        <v>0.26666666666666666</v>
      </c>
      <c r="X23" s="10">
        <f t="shared" si="1"/>
        <v>0.26666666666666666</v>
      </c>
      <c r="Y23" s="10">
        <f t="shared" si="1"/>
        <v>0.26666666666666666</v>
      </c>
      <c r="Z23" s="10">
        <f t="shared" si="1"/>
        <v>0.26666666666666666</v>
      </c>
      <c r="AA23" s="10">
        <f t="shared" si="1"/>
        <v>0.26666666666666666</v>
      </c>
      <c r="AB23" s="10">
        <f t="shared" si="1"/>
        <v>0.26666666666666666</v>
      </c>
      <c r="AC23" s="10">
        <f t="shared" si="1"/>
        <v>51</v>
      </c>
      <c r="AD23" s="10">
        <f t="shared" si="1"/>
        <v>1150.2666666666667</v>
      </c>
      <c r="AE23" s="10">
        <f t="shared" si="1"/>
        <v>343.26666666666665</v>
      </c>
      <c r="AF23" s="10">
        <f t="shared" si="1"/>
        <v>167.33333333333334</v>
      </c>
      <c r="AG23" s="10">
        <f t="shared" si="1"/>
        <v>211.66666666666666</v>
      </c>
      <c r="AH23" s="10">
        <f t="shared" si="1"/>
        <v>83.533333333333331</v>
      </c>
      <c r="AI23" s="10">
        <f t="shared" si="1"/>
        <v>109.6</v>
      </c>
      <c r="AJ23" s="10">
        <f t="shared" si="1"/>
        <v>23276.266666666666</v>
      </c>
      <c r="AK23" s="10">
        <f t="shared" si="1"/>
        <v>2694.9333333333334</v>
      </c>
      <c r="AL23" s="10">
        <f t="shared" si="1"/>
        <v>640.26666666666665</v>
      </c>
      <c r="AM23" s="10">
        <f t="shared" si="1"/>
        <v>3373.6</v>
      </c>
      <c r="AN23" s="10">
        <f t="shared" si="1"/>
        <v>176.93333333333334</v>
      </c>
      <c r="AO23" s="10">
        <f t="shared" si="1"/>
        <v>4.2666666666666666</v>
      </c>
      <c r="AP23" s="10">
        <f t="shared" si="1"/>
        <v>0.26666666666666666</v>
      </c>
      <c r="AQ23" s="10">
        <f t="shared" si="1"/>
        <v>0.26666666666666666</v>
      </c>
      <c r="AR23" s="10">
        <f t="shared" si="1"/>
        <v>0.26666666666666666</v>
      </c>
      <c r="AS23" s="10">
        <f t="shared" si="1"/>
        <v>0.26666666666666666</v>
      </c>
      <c r="AT23" s="10">
        <f t="shared" si="1"/>
        <v>12325.933333333332</v>
      </c>
      <c r="AU23" s="10">
        <f t="shared" si="1"/>
        <v>10527.733333333334</v>
      </c>
      <c r="AV23" s="10">
        <f t="shared" si="1"/>
        <v>0.26666666666666666</v>
      </c>
      <c r="AW23" s="10">
        <f t="shared" si="1"/>
        <v>22853.4</v>
      </c>
      <c r="AX23" s="10">
        <f t="shared" si="1"/>
        <v>3968.1333333333332</v>
      </c>
      <c r="AY23" s="10">
        <f t="shared" si="1"/>
        <v>0.26666666666666666</v>
      </c>
      <c r="AZ23" s="10">
        <f t="shared" si="1"/>
        <v>0.26666666666666666</v>
      </c>
      <c r="BA23" s="10">
        <f t="shared" si="1"/>
        <v>3970.1333333333332</v>
      </c>
      <c r="BB23" s="10">
        <f t="shared" si="1"/>
        <v>1333.6</v>
      </c>
      <c r="BC23" s="10">
        <f t="shared" si="1"/>
        <v>0.26666666666666666</v>
      </c>
      <c r="BD23" s="10">
        <f t="shared" si="1"/>
        <v>0.26666666666666666</v>
      </c>
      <c r="BE23" s="10">
        <f t="shared" si="1"/>
        <v>4690.6000000000004</v>
      </c>
      <c r="BF23" s="10">
        <f t="shared" si="1"/>
        <v>4303.9333333333334</v>
      </c>
      <c r="BG23">
        <f t="shared" si="0"/>
        <v>87.716797339035409</v>
      </c>
      <c r="BH23" s="10">
        <f t="shared" ref="BH23:DS23" si="2">(4+BH307+4*BH296+BH212+BH461+BH217+BH280+BH276+BH166+BH177)/15</f>
        <v>300.66666666666669</v>
      </c>
      <c r="BI23" s="10">
        <f t="shared" si="2"/>
        <v>492.26666666666665</v>
      </c>
      <c r="BJ23" s="10">
        <f t="shared" si="2"/>
        <v>412.13333333333333</v>
      </c>
      <c r="BK23" s="10">
        <f t="shared" si="2"/>
        <v>131.33333333333334</v>
      </c>
      <c r="BL23" s="10">
        <f t="shared" si="2"/>
        <v>137.06666666666666</v>
      </c>
      <c r="BM23" s="10">
        <f t="shared" si="2"/>
        <v>314.60000000000002</v>
      </c>
      <c r="BN23" s="10">
        <f t="shared" si="2"/>
        <v>202.8</v>
      </c>
      <c r="BO23" s="10">
        <f t="shared" si="2"/>
        <v>250.26666666666668</v>
      </c>
      <c r="BP23" s="10">
        <f t="shared" si="2"/>
        <v>94.733333333333334</v>
      </c>
      <c r="BQ23" s="10">
        <f t="shared" si="2"/>
        <v>391.8</v>
      </c>
      <c r="BR23" s="10">
        <f t="shared" si="2"/>
        <v>523.93333333333328</v>
      </c>
      <c r="BS23" s="10">
        <f t="shared" si="2"/>
        <v>159</v>
      </c>
      <c r="BT23" s="10">
        <f t="shared" si="2"/>
        <v>3407.6666666666665</v>
      </c>
      <c r="BU23" s="10">
        <f t="shared" si="2"/>
        <v>473.8</v>
      </c>
      <c r="BV23" s="10">
        <f t="shared" si="2"/>
        <v>1192.8</v>
      </c>
      <c r="BW23" s="10">
        <f t="shared" si="2"/>
        <v>1394.6666666666667</v>
      </c>
      <c r="BX23" s="10">
        <f t="shared" si="2"/>
        <v>373.33333333333331</v>
      </c>
      <c r="BY23" s="10">
        <f t="shared" si="2"/>
        <v>332.93333333333334</v>
      </c>
      <c r="BZ23" s="10">
        <f t="shared" si="2"/>
        <v>346.4</v>
      </c>
      <c r="CA23" s="10">
        <f t="shared" si="2"/>
        <v>4112.6000000000004</v>
      </c>
      <c r="CB23" s="10">
        <f t="shared" si="2"/>
        <v>82.2</v>
      </c>
      <c r="CC23" s="10">
        <f t="shared" si="2"/>
        <v>34.4</v>
      </c>
      <c r="CD23" s="10">
        <f t="shared" si="2"/>
        <v>277.93333333333334</v>
      </c>
      <c r="CE23" s="10">
        <f t="shared" si="2"/>
        <v>2773.4666666666667</v>
      </c>
      <c r="CF23" s="10">
        <f t="shared" si="2"/>
        <v>8.4053333333333349</v>
      </c>
      <c r="CG23" s="10">
        <f t="shared" si="2"/>
        <v>0.26666666666666666</v>
      </c>
      <c r="CH23" s="10">
        <f t="shared" si="2"/>
        <v>0.26666666666666666</v>
      </c>
      <c r="CI23" s="10">
        <f t="shared" si="2"/>
        <v>2.2666666666666666</v>
      </c>
      <c r="CJ23" s="10">
        <f t="shared" si="2"/>
        <v>4.4000000000000004</v>
      </c>
      <c r="CK23" s="10">
        <f t="shared" si="2"/>
        <v>117.93333333333334</v>
      </c>
      <c r="CL23" s="10">
        <f t="shared" si="2"/>
        <v>1738.0666666666666</v>
      </c>
      <c r="CM23" s="10">
        <f t="shared" si="2"/>
        <v>0.26666666666666666</v>
      </c>
      <c r="CN23" s="10">
        <f t="shared" si="2"/>
        <v>990.66666666666663</v>
      </c>
      <c r="CO23" s="10">
        <f t="shared" si="2"/>
        <v>0.26666666666666666</v>
      </c>
      <c r="CP23" s="10">
        <f t="shared" si="2"/>
        <v>152.4</v>
      </c>
      <c r="CQ23" s="10">
        <f t="shared" si="2"/>
        <v>0.26666666666666666</v>
      </c>
      <c r="CR23" s="10">
        <f t="shared" si="2"/>
        <v>0.26666666666666666</v>
      </c>
      <c r="CS23" s="10">
        <f t="shared" si="2"/>
        <v>0.26666666666666666</v>
      </c>
      <c r="CT23" s="10">
        <f t="shared" si="2"/>
        <v>3004.4</v>
      </c>
      <c r="CU23" s="10">
        <f t="shared" si="2"/>
        <v>0.26666666666666666</v>
      </c>
      <c r="CV23" s="10">
        <f t="shared" si="2"/>
        <v>0.26666666666666666</v>
      </c>
      <c r="CW23" s="10">
        <f t="shared" si="2"/>
        <v>179</v>
      </c>
      <c r="CX23" s="10">
        <f t="shared" si="2"/>
        <v>0.26666666666666666</v>
      </c>
      <c r="CY23" s="10">
        <f t="shared" si="2"/>
        <v>2923.0666666666666</v>
      </c>
      <c r="CZ23" s="10">
        <f t="shared" si="2"/>
        <v>2.2666666666666666</v>
      </c>
      <c r="DA23" s="10">
        <f t="shared" si="2"/>
        <v>0.26666666666666666</v>
      </c>
      <c r="DB23" s="10">
        <f t="shared" si="2"/>
        <v>0.26666666666666666</v>
      </c>
      <c r="DC23" s="10">
        <f t="shared" si="2"/>
        <v>3104.9333333333334</v>
      </c>
      <c r="DD23" s="10">
        <f t="shared" si="2"/>
        <v>0.26666666666666666</v>
      </c>
      <c r="DE23" s="10">
        <f t="shared" si="2"/>
        <v>0.26666666666666666</v>
      </c>
      <c r="DF23" s="10">
        <f t="shared" si="2"/>
        <v>2773.4666666666667</v>
      </c>
      <c r="DG23" s="10">
        <f t="shared" si="2"/>
        <v>277.93333333333334</v>
      </c>
      <c r="DH23" s="10">
        <f t="shared" si="2"/>
        <v>0.26666666666666666</v>
      </c>
      <c r="DI23" s="10">
        <f t="shared" si="2"/>
        <v>0.26666666666666666</v>
      </c>
      <c r="DJ23" s="10">
        <f t="shared" si="2"/>
        <v>0.26666666666666666</v>
      </c>
      <c r="DK23" s="10">
        <f t="shared" si="2"/>
        <v>0.26666666666666666</v>
      </c>
      <c r="DL23" s="10">
        <f t="shared" si="2"/>
        <v>0.26666666666666666</v>
      </c>
      <c r="DM23" s="10">
        <f t="shared" si="2"/>
        <v>0.26666666666666666</v>
      </c>
      <c r="DN23" s="10">
        <f t="shared" si="2"/>
        <v>0.26666666666666666</v>
      </c>
      <c r="DO23" s="10">
        <f t="shared" si="2"/>
        <v>0.26666666666666666</v>
      </c>
      <c r="DP23" s="10">
        <f t="shared" si="2"/>
        <v>0.26666666666666666</v>
      </c>
      <c r="DQ23" s="10">
        <f t="shared" si="2"/>
        <v>0.26666666666666666</v>
      </c>
      <c r="DR23" s="10">
        <f t="shared" si="2"/>
        <v>0.26666666666666666</v>
      </c>
      <c r="DS23" s="10">
        <f t="shared" si="2"/>
        <v>3051.1333333333332</v>
      </c>
      <c r="DT23" s="10">
        <f t="shared" ref="DT23:EK23" si="3">(4+DT307+4*DT296+DT212+DT461+DT217+DT280+DT276+DT166+DT177)/15</f>
        <v>9152.2000000000007</v>
      </c>
      <c r="DU23" s="10">
        <f t="shared" si="3"/>
        <v>1680.2</v>
      </c>
      <c r="DV23" s="10">
        <f t="shared" si="3"/>
        <v>0.26666666666666666</v>
      </c>
      <c r="DW23" s="10">
        <f t="shared" si="3"/>
        <v>0.26666666666666666</v>
      </c>
      <c r="DX23" s="10">
        <f t="shared" si="3"/>
        <v>6.4</v>
      </c>
      <c r="DY23" s="10">
        <f t="shared" si="3"/>
        <v>2855.6666666666665</v>
      </c>
      <c r="DZ23" s="10">
        <f t="shared" si="3"/>
        <v>2865.6</v>
      </c>
      <c r="EA23" s="10">
        <f t="shared" si="3"/>
        <v>3143.2666666666669</v>
      </c>
      <c r="EB23" s="10">
        <f t="shared" si="3"/>
        <v>3809.4</v>
      </c>
      <c r="EC23" s="10">
        <f t="shared" si="3"/>
        <v>2006.7333333333333</v>
      </c>
      <c r="ED23" s="10">
        <f t="shared" si="3"/>
        <v>4331.3999999999996</v>
      </c>
      <c r="EE23" s="10">
        <f t="shared" si="3"/>
        <v>10348.533333333333</v>
      </c>
      <c r="EF23" s="10">
        <f t="shared" si="3"/>
        <v>0.26666666666666666</v>
      </c>
      <c r="EG23" s="10">
        <f t="shared" si="3"/>
        <v>0.34733333333333327</v>
      </c>
      <c r="EH23" s="10">
        <f t="shared" si="3"/>
        <v>4.7333333333333325</v>
      </c>
      <c r="EI23" s="10">
        <f t="shared" si="3"/>
        <v>10.6</v>
      </c>
      <c r="EJ23" s="10">
        <f t="shared" si="3"/>
        <v>11.106666666666664</v>
      </c>
      <c r="EK23" s="10">
        <f t="shared" si="3"/>
        <v>8.06</v>
      </c>
    </row>
    <row r="24" spans="1:141" x14ac:dyDescent="0.25">
      <c r="A24" t="str">
        <f>[1]ingredient!B22</f>
        <v>Balsamico-Essig</v>
      </c>
      <c r="B24" t="s">
        <v>165</v>
      </c>
      <c r="C24" s="7">
        <f>_xlfn.XLOOKUP(A24,[1]ingredient!$B$2:$B$521,[1]ingredient!$A$2:$A$521)</f>
        <v>21</v>
      </c>
      <c r="D24">
        <v>99</v>
      </c>
      <c r="E24">
        <v>0</v>
      </c>
      <c r="F24">
        <v>0</v>
      </c>
      <c r="G24">
        <v>21</v>
      </c>
      <c r="H24">
        <v>0</v>
      </c>
      <c r="I24">
        <v>20</v>
      </c>
      <c r="J24">
        <v>0</v>
      </c>
      <c r="K24">
        <v>75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80</v>
      </c>
      <c r="S24">
        <v>80</v>
      </c>
      <c r="T24">
        <v>0</v>
      </c>
      <c r="U24">
        <v>40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67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290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9540</v>
      </c>
      <c r="AU24">
        <v>10500</v>
      </c>
      <c r="AV24">
        <v>0</v>
      </c>
      <c r="AW24">
        <v>20040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 t="str">
        <f t="shared" si="0"/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5</v>
      </c>
      <c r="EH24">
        <v>0</v>
      </c>
      <c r="EI24">
        <v>0</v>
      </c>
      <c r="EJ24">
        <v>0</v>
      </c>
      <c r="EK24">
        <v>0</v>
      </c>
    </row>
    <row r="25" spans="1:141" x14ac:dyDescent="0.25">
      <c r="A25" t="str">
        <f>[1]ingredient!B23</f>
        <v>Bananen</v>
      </c>
      <c r="B25" t="s">
        <v>166</v>
      </c>
      <c r="C25" s="7">
        <f>_xlfn.XLOOKUP(A25,[1]ingredient!$B$2:$B$521,[1]ingredient!$A$2:$A$521)</f>
        <v>22</v>
      </c>
      <c r="D25">
        <v>95</v>
      </c>
      <c r="E25">
        <v>0.18</v>
      </c>
      <c r="F25">
        <v>1</v>
      </c>
      <c r="G25">
        <v>21</v>
      </c>
      <c r="H25">
        <v>2</v>
      </c>
      <c r="I25">
        <v>18</v>
      </c>
      <c r="J25">
        <v>0.11</v>
      </c>
      <c r="K25">
        <v>74</v>
      </c>
      <c r="L25">
        <v>38</v>
      </c>
      <c r="M25">
        <v>19</v>
      </c>
      <c r="N25">
        <v>0</v>
      </c>
      <c r="O25">
        <v>230</v>
      </c>
      <c r="P25">
        <v>44</v>
      </c>
      <c r="Q25">
        <v>57</v>
      </c>
      <c r="R25">
        <v>650</v>
      </c>
      <c r="S25">
        <v>950</v>
      </c>
      <c r="T25">
        <v>230</v>
      </c>
      <c r="U25">
        <v>370</v>
      </c>
      <c r="V25">
        <v>6</v>
      </c>
      <c r="W25">
        <v>20</v>
      </c>
      <c r="X25">
        <v>0</v>
      </c>
      <c r="Y25">
        <v>12000</v>
      </c>
      <c r="Z25">
        <v>0</v>
      </c>
      <c r="AA25">
        <v>270</v>
      </c>
      <c r="AB25">
        <v>10</v>
      </c>
      <c r="AC25">
        <v>1</v>
      </c>
      <c r="AD25">
        <v>393</v>
      </c>
      <c r="AE25">
        <v>9</v>
      </c>
      <c r="AF25">
        <v>36</v>
      </c>
      <c r="AG25">
        <v>28</v>
      </c>
      <c r="AH25">
        <v>13</v>
      </c>
      <c r="AI25">
        <v>109</v>
      </c>
      <c r="AJ25">
        <v>550</v>
      </c>
      <c r="AK25">
        <v>220</v>
      </c>
      <c r="AL25">
        <v>130</v>
      </c>
      <c r="AM25">
        <v>530</v>
      </c>
      <c r="AN25">
        <v>20</v>
      </c>
      <c r="AO25">
        <v>3</v>
      </c>
      <c r="AP25">
        <v>0</v>
      </c>
      <c r="AQ25">
        <v>0</v>
      </c>
      <c r="AR25">
        <v>0</v>
      </c>
      <c r="AS25">
        <v>0</v>
      </c>
      <c r="AT25">
        <v>3786</v>
      </c>
      <c r="AU25">
        <v>3636</v>
      </c>
      <c r="AV25">
        <v>0</v>
      </c>
      <c r="AW25">
        <v>7422</v>
      </c>
      <c r="AX25">
        <v>11016</v>
      </c>
      <c r="AY25">
        <v>0</v>
      </c>
      <c r="AZ25">
        <v>0</v>
      </c>
      <c r="BA25">
        <v>11016</v>
      </c>
      <c r="BB25">
        <v>0</v>
      </c>
      <c r="BC25">
        <v>0</v>
      </c>
      <c r="BD25">
        <v>0</v>
      </c>
      <c r="BE25">
        <v>2952</v>
      </c>
      <c r="BF25">
        <v>2952</v>
      </c>
      <c r="BG25">
        <f t="shared" si="0"/>
        <v>47.826086956521742</v>
      </c>
      <c r="BH25">
        <v>38</v>
      </c>
      <c r="BI25">
        <v>84</v>
      </c>
      <c r="BJ25">
        <v>58</v>
      </c>
      <c r="BK25">
        <v>9</v>
      </c>
      <c r="BL25">
        <v>2</v>
      </c>
      <c r="BM25">
        <v>35</v>
      </c>
      <c r="BN25">
        <v>21</v>
      </c>
      <c r="BO25">
        <v>38</v>
      </c>
      <c r="BP25">
        <v>18</v>
      </c>
      <c r="BQ25">
        <v>58</v>
      </c>
      <c r="BR25">
        <v>54</v>
      </c>
      <c r="BS25">
        <v>77</v>
      </c>
      <c r="BT25">
        <v>492</v>
      </c>
      <c r="BU25">
        <v>46</v>
      </c>
      <c r="BV25">
        <v>115</v>
      </c>
      <c r="BW25">
        <v>105</v>
      </c>
      <c r="BX25">
        <v>43</v>
      </c>
      <c r="BY25">
        <v>40</v>
      </c>
      <c r="BZ25">
        <v>49</v>
      </c>
      <c r="CA25">
        <v>398</v>
      </c>
      <c r="CB25">
        <v>25</v>
      </c>
      <c r="CC25">
        <v>10</v>
      </c>
      <c r="CD25">
        <v>30</v>
      </c>
      <c r="CE25">
        <v>23</v>
      </c>
      <c r="CF25">
        <v>0.77</v>
      </c>
      <c r="CG25">
        <v>0</v>
      </c>
      <c r="CH25">
        <v>0</v>
      </c>
      <c r="CI25">
        <v>0</v>
      </c>
      <c r="CJ25">
        <v>1</v>
      </c>
      <c r="CK25">
        <v>1</v>
      </c>
      <c r="CL25">
        <v>1</v>
      </c>
      <c r="CM25">
        <v>0</v>
      </c>
      <c r="CN25">
        <v>60</v>
      </c>
      <c r="CO25">
        <v>0</v>
      </c>
      <c r="CP25">
        <v>5</v>
      </c>
      <c r="CQ25">
        <v>0</v>
      </c>
      <c r="CR25">
        <v>0</v>
      </c>
      <c r="CS25">
        <v>0</v>
      </c>
      <c r="CT25">
        <v>68</v>
      </c>
      <c r="CU25">
        <v>0</v>
      </c>
      <c r="CV25">
        <v>0</v>
      </c>
      <c r="CW25">
        <v>3</v>
      </c>
      <c r="CX25">
        <v>0</v>
      </c>
      <c r="CY25">
        <v>20</v>
      </c>
      <c r="CZ25">
        <v>0</v>
      </c>
      <c r="DA25">
        <v>0</v>
      </c>
      <c r="DB25">
        <v>0</v>
      </c>
      <c r="DC25">
        <v>23</v>
      </c>
      <c r="DD25">
        <v>0</v>
      </c>
      <c r="DE25">
        <v>0</v>
      </c>
      <c r="DF25">
        <v>23</v>
      </c>
      <c r="DG25">
        <v>30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53</v>
      </c>
      <c r="DT25">
        <v>143</v>
      </c>
      <c r="DU25">
        <v>36</v>
      </c>
      <c r="DV25">
        <v>0</v>
      </c>
      <c r="DW25">
        <v>0</v>
      </c>
      <c r="DX25">
        <v>1</v>
      </c>
      <c r="DY25">
        <v>274</v>
      </c>
      <c r="DZ25">
        <v>802</v>
      </c>
      <c r="EA25">
        <v>600</v>
      </c>
      <c r="EB25">
        <v>194</v>
      </c>
      <c r="EC25">
        <v>130</v>
      </c>
      <c r="ED25">
        <v>682</v>
      </c>
      <c r="EE25">
        <v>1318</v>
      </c>
      <c r="EF25">
        <v>0</v>
      </c>
      <c r="EG25">
        <v>1</v>
      </c>
      <c r="EH25">
        <v>0.8</v>
      </c>
      <c r="EI25">
        <v>1.3</v>
      </c>
      <c r="EJ25">
        <v>0.2</v>
      </c>
      <c r="EK25">
        <v>1</v>
      </c>
    </row>
    <row r="26" spans="1:141" x14ac:dyDescent="0.25">
      <c r="A26" t="str">
        <f>[1]ingredient!B24</f>
        <v>Bärlauch</v>
      </c>
      <c r="B26" s="11" t="s">
        <v>167</v>
      </c>
      <c r="C26" s="7">
        <f>_xlfn.XLOOKUP(A26,[1]ingredient!$B$2:$B$521,[1]ingredient!$A$2:$A$521)</f>
        <v>23</v>
      </c>
      <c r="D26">
        <v>19</v>
      </c>
      <c r="E26">
        <v>0.3</v>
      </c>
      <c r="F26">
        <v>1</v>
      </c>
      <c r="G26">
        <v>3</v>
      </c>
      <c r="H26">
        <v>2</v>
      </c>
      <c r="I26">
        <v>3</v>
      </c>
      <c r="J26">
        <v>0.06</v>
      </c>
      <c r="K26">
        <v>93</v>
      </c>
      <c r="L26">
        <v>200</v>
      </c>
      <c r="M26">
        <v>100</v>
      </c>
      <c r="N26">
        <v>0</v>
      </c>
      <c r="O26">
        <v>1200</v>
      </c>
      <c r="P26">
        <v>130</v>
      </c>
      <c r="Q26">
        <v>60</v>
      </c>
      <c r="R26">
        <v>700</v>
      </c>
      <c r="S26">
        <v>1017</v>
      </c>
      <c r="T26">
        <v>110</v>
      </c>
      <c r="U26">
        <v>200</v>
      </c>
      <c r="V26">
        <v>1</v>
      </c>
      <c r="W26">
        <v>17</v>
      </c>
      <c r="X26">
        <v>0</v>
      </c>
      <c r="Y26">
        <v>150000</v>
      </c>
      <c r="Z26">
        <v>0</v>
      </c>
      <c r="AA26">
        <v>250</v>
      </c>
      <c r="AB26">
        <v>0</v>
      </c>
      <c r="AC26">
        <v>16</v>
      </c>
      <c r="AD26">
        <v>336</v>
      </c>
      <c r="AE26">
        <v>76</v>
      </c>
      <c r="AF26">
        <v>22</v>
      </c>
      <c r="AG26">
        <v>50</v>
      </c>
      <c r="AH26">
        <v>61</v>
      </c>
      <c r="AI26">
        <v>44</v>
      </c>
      <c r="AJ26">
        <v>2870</v>
      </c>
      <c r="AK26">
        <v>270</v>
      </c>
      <c r="AL26">
        <v>80</v>
      </c>
      <c r="AM26">
        <v>320</v>
      </c>
      <c r="AN26">
        <v>49</v>
      </c>
      <c r="AO26">
        <v>2</v>
      </c>
      <c r="AP26">
        <v>0</v>
      </c>
      <c r="AQ26">
        <v>0</v>
      </c>
      <c r="AR26">
        <v>0</v>
      </c>
      <c r="AS26">
        <v>0</v>
      </c>
      <c r="AT26">
        <v>686</v>
      </c>
      <c r="AU26">
        <v>844</v>
      </c>
      <c r="AV26">
        <v>0</v>
      </c>
      <c r="AW26">
        <v>1530</v>
      </c>
      <c r="AX26">
        <v>1360</v>
      </c>
      <c r="AY26">
        <v>0</v>
      </c>
      <c r="AZ26">
        <v>0</v>
      </c>
      <c r="BA26">
        <v>1360</v>
      </c>
      <c r="BB26">
        <v>675</v>
      </c>
      <c r="BC26">
        <v>0</v>
      </c>
      <c r="BD26">
        <v>0</v>
      </c>
      <c r="BE26">
        <v>44</v>
      </c>
      <c r="BF26">
        <v>44</v>
      </c>
      <c r="BG26">
        <f t="shared" si="0"/>
        <v>55.737704918032783</v>
      </c>
      <c r="BH26">
        <v>23</v>
      </c>
      <c r="BI26">
        <v>34</v>
      </c>
      <c r="BJ26">
        <v>57</v>
      </c>
      <c r="BK26">
        <v>13</v>
      </c>
      <c r="BL26">
        <v>21</v>
      </c>
      <c r="BM26">
        <v>34</v>
      </c>
      <c r="BN26">
        <v>39</v>
      </c>
      <c r="BO26">
        <v>20</v>
      </c>
      <c r="BP26">
        <v>19</v>
      </c>
      <c r="BQ26">
        <v>26</v>
      </c>
      <c r="BR26">
        <v>167</v>
      </c>
      <c r="BS26">
        <v>14</v>
      </c>
      <c r="BT26">
        <v>467</v>
      </c>
      <c r="BU26">
        <v>34</v>
      </c>
      <c r="BV26">
        <v>70</v>
      </c>
      <c r="BW26">
        <v>200</v>
      </c>
      <c r="BX26">
        <v>53</v>
      </c>
      <c r="BY26">
        <v>40</v>
      </c>
      <c r="BZ26">
        <v>36</v>
      </c>
      <c r="CA26">
        <v>433</v>
      </c>
      <c r="CB26">
        <v>15</v>
      </c>
      <c r="CC26">
        <v>6</v>
      </c>
      <c r="CD26">
        <v>11</v>
      </c>
      <c r="CE26">
        <v>120</v>
      </c>
      <c r="CF26">
        <v>10.91</v>
      </c>
      <c r="CG26">
        <v>109.9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65</v>
      </c>
      <c r="CO26">
        <v>0</v>
      </c>
      <c r="CP26">
        <v>5</v>
      </c>
      <c r="CQ26">
        <v>0</v>
      </c>
      <c r="CR26">
        <v>0</v>
      </c>
      <c r="CS26">
        <v>0</v>
      </c>
      <c r="CT26">
        <v>71</v>
      </c>
      <c r="CU26">
        <v>0</v>
      </c>
      <c r="CV26">
        <v>0</v>
      </c>
      <c r="CW26">
        <v>0</v>
      </c>
      <c r="CX26">
        <v>0</v>
      </c>
      <c r="CY26">
        <v>38</v>
      </c>
      <c r="CZ26">
        <v>0</v>
      </c>
      <c r="DA26">
        <v>0</v>
      </c>
      <c r="DB26">
        <v>0</v>
      </c>
      <c r="DC26">
        <v>38</v>
      </c>
      <c r="DD26">
        <v>0</v>
      </c>
      <c r="DE26">
        <v>0</v>
      </c>
      <c r="DF26">
        <v>120</v>
      </c>
      <c r="DG26">
        <v>11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131</v>
      </c>
      <c r="DT26">
        <v>240</v>
      </c>
      <c r="DU26">
        <v>60</v>
      </c>
      <c r="DV26">
        <v>0</v>
      </c>
      <c r="DW26">
        <v>0</v>
      </c>
      <c r="DX26">
        <v>0</v>
      </c>
      <c r="DY26">
        <v>109</v>
      </c>
      <c r="DZ26">
        <v>785</v>
      </c>
      <c r="EA26">
        <v>610</v>
      </c>
      <c r="EB26">
        <v>632</v>
      </c>
      <c r="EC26">
        <v>44</v>
      </c>
      <c r="ED26">
        <v>920</v>
      </c>
      <c r="EE26">
        <v>1260</v>
      </c>
      <c r="EF26">
        <v>0</v>
      </c>
      <c r="EG26">
        <v>0.2</v>
      </c>
      <c r="EH26">
        <v>0.9</v>
      </c>
      <c r="EI26">
        <v>1.3</v>
      </c>
      <c r="EJ26">
        <v>0.3</v>
      </c>
      <c r="EK26">
        <v>0.9</v>
      </c>
    </row>
    <row r="27" spans="1:141" x14ac:dyDescent="0.25">
      <c r="A27" t="str">
        <f>[1]ingredient!B25</f>
        <v>Basilikum</v>
      </c>
      <c r="B27" t="s">
        <v>168</v>
      </c>
      <c r="C27" s="7">
        <f>_xlfn.XLOOKUP(A27,[1]ingredient!$B$2:$B$521,[1]ingredient!$A$2:$A$521)</f>
        <v>24</v>
      </c>
      <c r="D27">
        <v>41</v>
      </c>
      <c r="E27">
        <v>1</v>
      </c>
      <c r="F27">
        <v>3</v>
      </c>
      <c r="G27">
        <v>5</v>
      </c>
      <c r="H27">
        <v>3</v>
      </c>
      <c r="I27">
        <v>5</v>
      </c>
      <c r="J27">
        <v>0.04</v>
      </c>
      <c r="K27">
        <v>86</v>
      </c>
      <c r="L27">
        <v>658</v>
      </c>
      <c r="M27">
        <v>329</v>
      </c>
      <c r="N27">
        <v>0</v>
      </c>
      <c r="O27">
        <v>3950</v>
      </c>
      <c r="P27">
        <v>80</v>
      </c>
      <c r="Q27">
        <v>310</v>
      </c>
      <c r="R27">
        <v>1100</v>
      </c>
      <c r="S27">
        <v>1783</v>
      </c>
      <c r="T27">
        <v>200</v>
      </c>
      <c r="U27">
        <v>180</v>
      </c>
      <c r="V27">
        <v>2</v>
      </c>
      <c r="W27">
        <v>50</v>
      </c>
      <c r="X27">
        <v>0</v>
      </c>
      <c r="Y27">
        <v>26000</v>
      </c>
      <c r="Z27">
        <v>0</v>
      </c>
      <c r="AA27">
        <v>1000</v>
      </c>
      <c r="AB27">
        <v>0</v>
      </c>
      <c r="AC27">
        <v>9</v>
      </c>
      <c r="AD27">
        <v>300</v>
      </c>
      <c r="AE27">
        <v>250</v>
      </c>
      <c r="AF27">
        <v>11</v>
      </c>
      <c r="AG27">
        <v>37</v>
      </c>
      <c r="AH27">
        <v>17</v>
      </c>
      <c r="AI27">
        <v>35</v>
      </c>
      <c r="AJ27">
        <v>5500</v>
      </c>
      <c r="AK27">
        <v>700</v>
      </c>
      <c r="AL27">
        <v>227</v>
      </c>
      <c r="AM27">
        <v>524</v>
      </c>
      <c r="AN27">
        <v>70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2040</v>
      </c>
      <c r="AU27">
        <v>2040</v>
      </c>
      <c r="AV27">
        <v>0</v>
      </c>
      <c r="AW27">
        <v>4080</v>
      </c>
      <c r="AX27">
        <v>969</v>
      </c>
      <c r="AY27">
        <v>0</v>
      </c>
      <c r="AZ27">
        <v>0</v>
      </c>
      <c r="BA27">
        <v>969</v>
      </c>
      <c r="BB27">
        <v>0</v>
      </c>
      <c r="BC27">
        <v>0</v>
      </c>
      <c r="BD27">
        <v>0</v>
      </c>
      <c r="BE27">
        <v>51</v>
      </c>
      <c r="BF27">
        <v>51</v>
      </c>
      <c r="BG27">
        <f t="shared" si="0"/>
        <v>129.16666666666669</v>
      </c>
      <c r="BH27">
        <v>163</v>
      </c>
      <c r="BI27">
        <v>245</v>
      </c>
      <c r="BJ27">
        <v>204</v>
      </c>
      <c r="BK27">
        <v>49</v>
      </c>
      <c r="BL27">
        <v>41</v>
      </c>
      <c r="BM27">
        <v>122</v>
      </c>
      <c r="BN27">
        <v>82</v>
      </c>
      <c r="BO27">
        <v>143</v>
      </c>
      <c r="BP27">
        <v>41</v>
      </c>
      <c r="BQ27">
        <v>163</v>
      </c>
      <c r="BR27">
        <v>163</v>
      </c>
      <c r="BS27">
        <v>62</v>
      </c>
      <c r="BT27">
        <v>1478</v>
      </c>
      <c r="BU27">
        <v>204</v>
      </c>
      <c r="BV27">
        <v>408</v>
      </c>
      <c r="BW27">
        <v>612</v>
      </c>
      <c r="BX27">
        <v>114</v>
      </c>
      <c r="BY27">
        <v>163</v>
      </c>
      <c r="BZ27">
        <v>122</v>
      </c>
      <c r="CA27">
        <v>1623</v>
      </c>
      <c r="CB27">
        <v>15</v>
      </c>
      <c r="CC27">
        <v>6</v>
      </c>
      <c r="CD27">
        <v>192</v>
      </c>
      <c r="CE27">
        <v>257</v>
      </c>
      <c r="CF27">
        <v>1.34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3</v>
      </c>
      <c r="CM27">
        <v>0</v>
      </c>
      <c r="CN27">
        <v>125</v>
      </c>
      <c r="CO27">
        <v>0</v>
      </c>
      <c r="CP27">
        <v>19</v>
      </c>
      <c r="CQ27">
        <v>0</v>
      </c>
      <c r="CR27">
        <v>0</v>
      </c>
      <c r="CS27">
        <v>0</v>
      </c>
      <c r="CT27">
        <v>147</v>
      </c>
      <c r="CU27">
        <v>0</v>
      </c>
      <c r="CV27">
        <v>0</v>
      </c>
      <c r="CW27">
        <v>6</v>
      </c>
      <c r="CX27">
        <v>0</v>
      </c>
      <c r="CY27">
        <v>38</v>
      </c>
      <c r="CZ27">
        <v>0</v>
      </c>
      <c r="DA27">
        <v>0</v>
      </c>
      <c r="DB27">
        <v>0</v>
      </c>
      <c r="DC27">
        <v>44</v>
      </c>
      <c r="DD27">
        <v>0</v>
      </c>
      <c r="DE27">
        <v>0</v>
      </c>
      <c r="DF27">
        <v>257</v>
      </c>
      <c r="DG27">
        <v>192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449</v>
      </c>
      <c r="DT27">
        <v>640</v>
      </c>
      <c r="DU27">
        <v>160</v>
      </c>
      <c r="DV27">
        <v>0</v>
      </c>
      <c r="DW27">
        <v>0</v>
      </c>
      <c r="DX27">
        <v>0</v>
      </c>
      <c r="DY27">
        <v>467</v>
      </c>
      <c r="DZ27">
        <v>622</v>
      </c>
      <c r="EA27">
        <v>840</v>
      </c>
      <c r="EB27">
        <v>1089</v>
      </c>
      <c r="EC27">
        <v>93</v>
      </c>
      <c r="ED27">
        <v>933</v>
      </c>
      <c r="EE27">
        <v>2178</v>
      </c>
      <c r="EF27">
        <v>0</v>
      </c>
      <c r="EG27">
        <v>0.25</v>
      </c>
      <c r="EH27">
        <v>1.2</v>
      </c>
      <c r="EI27">
        <v>2.2000000000000002</v>
      </c>
      <c r="EJ27">
        <v>0.8</v>
      </c>
      <c r="EK27">
        <v>3.1</v>
      </c>
    </row>
    <row r="28" spans="1:141" x14ac:dyDescent="0.25">
      <c r="A28" t="str">
        <f>[1]ingredient!B26</f>
        <v>Basilikum, getrocknet</v>
      </c>
      <c r="B28" t="s">
        <v>169</v>
      </c>
      <c r="C28" s="7">
        <f>_xlfn.XLOOKUP(A28,[1]ingredient!$B$2:$B$521,[1]ingredient!$A$2:$A$521)</f>
        <v>25</v>
      </c>
      <c r="D28">
        <v>268</v>
      </c>
      <c r="E28">
        <v>4</v>
      </c>
      <c r="F28">
        <v>14</v>
      </c>
      <c r="G28">
        <v>43</v>
      </c>
      <c r="H28">
        <v>18</v>
      </c>
      <c r="I28">
        <v>43</v>
      </c>
      <c r="J28">
        <v>0.23</v>
      </c>
      <c r="K28">
        <v>6</v>
      </c>
      <c r="L28">
        <v>933</v>
      </c>
      <c r="M28">
        <v>467</v>
      </c>
      <c r="N28">
        <v>0</v>
      </c>
      <c r="O28">
        <v>5600</v>
      </c>
      <c r="P28">
        <v>150</v>
      </c>
      <c r="Q28">
        <v>320</v>
      </c>
      <c r="R28">
        <v>6900</v>
      </c>
      <c r="S28">
        <v>10400</v>
      </c>
      <c r="T28">
        <v>0</v>
      </c>
      <c r="U28">
        <v>0</v>
      </c>
      <c r="V28">
        <v>0</v>
      </c>
      <c r="W28">
        <v>0</v>
      </c>
      <c r="X28">
        <v>0</v>
      </c>
      <c r="Y28">
        <v>61000</v>
      </c>
      <c r="Z28">
        <v>0</v>
      </c>
      <c r="AA28">
        <v>0</v>
      </c>
      <c r="AB28">
        <v>0</v>
      </c>
      <c r="AC28">
        <v>34</v>
      </c>
      <c r="AD28">
        <v>3433</v>
      </c>
      <c r="AE28">
        <v>2113</v>
      </c>
      <c r="AF28">
        <v>422</v>
      </c>
      <c r="AG28">
        <v>490</v>
      </c>
      <c r="AH28">
        <v>100</v>
      </c>
      <c r="AI28">
        <v>200</v>
      </c>
      <c r="AJ28">
        <v>42000</v>
      </c>
      <c r="AK28">
        <v>5820</v>
      </c>
      <c r="AL28">
        <v>1300</v>
      </c>
      <c r="AM28">
        <v>3000</v>
      </c>
      <c r="AN28">
        <v>400</v>
      </c>
      <c r="AO28">
        <v>5</v>
      </c>
      <c r="AP28">
        <v>0</v>
      </c>
      <c r="AQ28">
        <v>0</v>
      </c>
      <c r="AR28">
        <v>0</v>
      </c>
      <c r="AS28">
        <v>0</v>
      </c>
      <c r="AT28">
        <v>17200</v>
      </c>
      <c r="AU28">
        <v>17200</v>
      </c>
      <c r="AV28">
        <v>0</v>
      </c>
      <c r="AW28">
        <v>34400</v>
      </c>
      <c r="AX28">
        <v>8170</v>
      </c>
      <c r="AY28">
        <v>0</v>
      </c>
      <c r="AZ28">
        <v>0</v>
      </c>
      <c r="BA28">
        <v>8170</v>
      </c>
      <c r="BB28">
        <v>0</v>
      </c>
      <c r="BC28">
        <v>0</v>
      </c>
      <c r="BD28">
        <v>0</v>
      </c>
      <c r="BE28">
        <v>430</v>
      </c>
      <c r="BF28">
        <v>430</v>
      </c>
      <c r="BG28">
        <f t="shared" si="0"/>
        <v>87.5</v>
      </c>
      <c r="BH28">
        <v>560</v>
      </c>
      <c r="BI28">
        <v>1036</v>
      </c>
      <c r="BJ28">
        <v>588</v>
      </c>
      <c r="BK28">
        <v>182</v>
      </c>
      <c r="BL28">
        <v>154</v>
      </c>
      <c r="BM28">
        <v>700</v>
      </c>
      <c r="BN28">
        <v>406</v>
      </c>
      <c r="BO28">
        <v>560</v>
      </c>
      <c r="BP28">
        <v>210</v>
      </c>
      <c r="BQ28">
        <v>686</v>
      </c>
      <c r="BR28">
        <v>630</v>
      </c>
      <c r="BS28">
        <v>266</v>
      </c>
      <c r="BT28">
        <v>5978</v>
      </c>
      <c r="BU28">
        <v>714</v>
      </c>
      <c r="BV28">
        <v>1638</v>
      </c>
      <c r="BW28">
        <v>1526</v>
      </c>
      <c r="BX28">
        <v>672</v>
      </c>
      <c r="BY28">
        <v>560</v>
      </c>
      <c r="BZ28">
        <v>546</v>
      </c>
      <c r="CA28">
        <v>5656</v>
      </c>
      <c r="CB28">
        <v>211</v>
      </c>
      <c r="CC28">
        <v>88</v>
      </c>
      <c r="CD28">
        <v>960</v>
      </c>
      <c r="CE28">
        <v>1280</v>
      </c>
      <c r="CF28">
        <v>1.33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16</v>
      </c>
      <c r="CM28">
        <v>0</v>
      </c>
      <c r="CN28">
        <v>624</v>
      </c>
      <c r="CO28">
        <v>0</v>
      </c>
      <c r="CP28">
        <v>96</v>
      </c>
      <c r="CQ28">
        <v>0</v>
      </c>
      <c r="CR28">
        <v>0</v>
      </c>
      <c r="CS28">
        <v>0</v>
      </c>
      <c r="CT28">
        <v>736</v>
      </c>
      <c r="CU28">
        <v>0</v>
      </c>
      <c r="CV28">
        <v>0</v>
      </c>
      <c r="CW28">
        <v>32</v>
      </c>
      <c r="CX28">
        <v>0</v>
      </c>
      <c r="CY28">
        <v>192</v>
      </c>
      <c r="CZ28">
        <v>0</v>
      </c>
      <c r="DA28">
        <v>0</v>
      </c>
      <c r="DB28">
        <v>0</v>
      </c>
      <c r="DC28">
        <v>224</v>
      </c>
      <c r="DD28">
        <v>0</v>
      </c>
      <c r="DE28">
        <v>0</v>
      </c>
      <c r="DF28">
        <v>1280</v>
      </c>
      <c r="DG28">
        <v>960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2240</v>
      </c>
      <c r="DT28">
        <v>3200</v>
      </c>
      <c r="DU28">
        <v>800</v>
      </c>
      <c r="DV28">
        <v>0</v>
      </c>
      <c r="DW28">
        <v>0</v>
      </c>
      <c r="DX28">
        <v>0</v>
      </c>
      <c r="DY28">
        <v>2670</v>
      </c>
      <c r="DZ28">
        <v>3560</v>
      </c>
      <c r="EA28">
        <v>4806</v>
      </c>
      <c r="EB28">
        <v>6230</v>
      </c>
      <c r="EC28">
        <v>534</v>
      </c>
      <c r="ED28">
        <v>5340</v>
      </c>
      <c r="EE28">
        <v>12460</v>
      </c>
      <c r="EF28">
        <v>0</v>
      </c>
      <c r="EG28">
        <v>0.22</v>
      </c>
      <c r="EH28">
        <v>15.1</v>
      </c>
      <c r="EI28">
        <v>12.5</v>
      </c>
      <c r="EJ28">
        <v>4</v>
      </c>
      <c r="EK28">
        <v>12.3</v>
      </c>
    </row>
    <row r="29" spans="1:141" x14ac:dyDescent="0.25">
      <c r="A29" t="str">
        <f>[1]ingredient!B27</f>
        <v>Batavia-Salat</v>
      </c>
      <c r="B29" t="s">
        <v>170</v>
      </c>
      <c r="C29" s="7">
        <f>_xlfn.XLOOKUP(A29,[1]ingredient!$B$2:$B$521,[1]ingredient!$A$2:$A$521)</f>
        <v>26</v>
      </c>
      <c r="D29">
        <v>11</v>
      </c>
      <c r="E29">
        <v>0.2</v>
      </c>
      <c r="F29">
        <v>2</v>
      </c>
      <c r="G29">
        <v>0.3</v>
      </c>
      <c r="H29">
        <v>1</v>
      </c>
      <c r="I29">
        <v>0.28999999999999998</v>
      </c>
      <c r="J29">
        <v>0.12</v>
      </c>
      <c r="K29">
        <v>95</v>
      </c>
      <c r="L29">
        <v>280</v>
      </c>
      <c r="M29">
        <v>140</v>
      </c>
      <c r="N29">
        <v>0</v>
      </c>
      <c r="O29">
        <v>1681</v>
      </c>
      <c r="P29">
        <v>52</v>
      </c>
      <c r="Q29">
        <v>120</v>
      </c>
      <c r="R29">
        <v>410</v>
      </c>
      <c r="S29">
        <v>727</v>
      </c>
      <c r="T29">
        <v>900</v>
      </c>
      <c r="U29">
        <v>50</v>
      </c>
      <c r="V29">
        <v>1</v>
      </c>
      <c r="W29">
        <v>49</v>
      </c>
      <c r="X29">
        <v>0</v>
      </c>
      <c r="Y29">
        <v>10000</v>
      </c>
      <c r="Z29">
        <v>0</v>
      </c>
      <c r="AA29">
        <v>1000</v>
      </c>
      <c r="AB29">
        <v>200</v>
      </c>
      <c r="AC29">
        <v>53</v>
      </c>
      <c r="AD29">
        <v>346</v>
      </c>
      <c r="AE29">
        <v>54</v>
      </c>
      <c r="AF29">
        <v>10</v>
      </c>
      <c r="AG29">
        <v>54</v>
      </c>
      <c r="AH29">
        <v>26</v>
      </c>
      <c r="AI29">
        <v>71</v>
      </c>
      <c r="AJ29">
        <v>1400</v>
      </c>
      <c r="AK29">
        <v>355</v>
      </c>
      <c r="AL29">
        <v>44</v>
      </c>
      <c r="AM29">
        <v>153</v>
      </c>
      <c r="AN29">
        <v>62</v>
      </c>
      <c r="AO29">
        <v>6</v>
      </c>
      <c r="AP29">
        <v>0</v>
      </c>
      <c r="AQ29">
        <v>0</v>
      </c>
      <c r="AR29">
        <v>0</v>
      </c>
      <c r="AS29">
        <v>0</v>
      </c>
      <c r="AT29">
        <v>21</v>
      </c>
      <c r="AU29">
        <v>51</v>
      </c>
      <c r="AV29">
        <v>0</v>
      </c>
      <c r="AW29">
        <v>72</v>
      </c>
      <c r="AX29">
        <v>222</v>
      </c>
      <c r="AY29">
        <v>0</v>
      </c>
      <c r="AZ29">
        <v>0</v>
      </c>
      <c r="BA29">
        <v>222</v>
      </c>
      <c r="BB29">
        <v>0</v>
      </c>
      <c r="BC29">
        <v>0</v>
      </c>
      <c r="BD29">
        <v>0</v>
      </c>
      <c r="BE29">
        <v>6</v>
      </c>
      <c r="BF29">
        <v>6</v>
      </c>
      <c r="BG29">
        <f t="shared" si="0"/>
        <v>71.739130434782609</v>
      </c>
      <c r="BH29">
        <v>114</v>
      </c>
      <c r="BI29">
        <v>117</v>
      </c>
      <c r="BJ29">
        <v>88</v>
      </c>
      <c r="BK29">
        <v>21</v>
      </c>
      <c r="BL29">
        <v>12</v>
      </c>
      <c r="BM29">
        <v>79</v>
      </c>
      <c r="BN29">
        <v>49</v>
      </c>
      <c r="BO29">
        <v>67</v>
      </c>
      <c r="BP29">
        <v>19</v>
      </c>
      <c r="BQ29">
        <v>88</v>
      </c>
      <c r="BR29">
        <v>84</v>
      </c>
      <c r="BS29">
        <v>28</v>
      </c>
      <c r="BT29">
        <v>766</v>
      </c>
      <c r="BU29">
        <v>75</v>
      </c>
      <c r="BV29">
        <v>193</v>
      </c>
      <c r="BW29">
        <v>214</v>
      </c>
      <c r="BX29">
        <v>70</v>
      </c>
      <c r="BY29">
        <v>91</v>
      </c>
      <c r="BZ29">
        <v>61</v>
      </c>
      <c r="CA29">
        <v>704</v>
      </c>
      <c r="CB29">
        <v>11</v>
      </c>
      <c r="CC29">
        <v>5</v>
      </c>
      <c r="CD29">
        <v>16</v>
      </c>
      <c r="CE29">
        <v>86</v>
      </c>
      <c r="CF29">
        <v>5.38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3</v>
      </c>
      <c r="CM29">
        <v>0</v>
      </c>
      <c r="CN29">
        <v>48</v>
      </c>
      <c r="CO29">
        <v>0</v>
      </c>
      <c r="CP29">
        <v>2</v>
      </c>
      <c r="CQ29">
        <v>0</v>
      </c>
      <c r="CR29">
        <v>0</v>
      </c>
      <c r="CS29">
        <v>0</v>
      </c>
      <c r="CT29">
        <v>53</v>
      </c>
      <c r="CU29">
        <v>0</v>
      </c>
      <c r="CV29">
        <v>0</v>
      </c>
      <c r="CW29">
        <v>0</v>
      </c>
      <c r="CX29">
        <v>0</v>
      </c>
      <c r="CY29">
        <v>5</v>
      </c>
      <c r="CZ29">
        <v>0</v>
      </c>
      <c r="DA29">
        <v>0</v>
      </c>
      <c r="DB29">
        <v>0</v>
      </c>
      <c r="DC29">
        <v>5</v>
      </c>
      <c r="DD29">
        <v>0</v>
      </c>
      <c r="DE29">
        <v>0</v>
      </c>
      <c r="DF29">
        <v>86</v>
      </c>
      <c r="DG29">
        <v>16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102</v>
      </c>
      <c r="DT29">
        <v>160</v>
      </c>
      <c r="DU29">
        <v>40</v>
      </c>
      <c r="DV29">
        <v>0</v>
      </c>
      <c r="DW29">
        <v>0</v>
      </c>
      <c r="DX29">
        <v>0</v>
      </c>
      <c r="DY29">
        <v>207</v>
      </c>
      <c r="DZ29">
        <v>146</v>
      </c>
      <c r="EA29">
        <v>440</v>
      </c>
      <c r="EB29">
        <v>390</v>
      </c>
      <c r="EC29">
        <v>37</v>
      </c>
      <c r="ED29">
        <v>293</v>
      </c>
      <c r="EE29">
        <v>927</v>
      </c>
      <c r="EF29">
        <v>0</v>
      </c>
      <c r="EG29">
        <v>0.28000000000000003</v>
      </c>
      <c r="EH29">
        <v>0.9</v>
      </c>
      <c r="EI29">
        <v>0.9</v>
      </c>
      <c r="EJ29">
        <v>0.2</v>
      </c>
      <c r="EK29">
        <v>1.5</v>
      </c>
    </row>
    <row r="30" spans="1:141" x14ac:dyDescent="0.25">
      <c r="A30" s="12" t="str">
        <f>[1]ingredient!B28</f>
        <v>Beeren</v>
      </c>
      <c r="C30" s="7">
        <f>_xlfn.XLOOKUP(A30,[1]ingredient!$B$2:$B$521,[1]ingredient!$A$2:$A$521)</f>
        <v>27</v>
      </c>
      <c r="D30" s="10">
        <f t="shared" ref="D30:BF30" si="4">AVERAGE(D48,D110,D159,D161,D169,D171,D192)</f>
        <v>41.428571428571431</v>
      </c>
      <c r="E30" s="10">
        <f t="shared" si="4"/>
        <v>0.58571428571428563</v>
      </c>
      <c r="F30" s="10">
        <f t="shared" si="4"/>
        <v>1</v>
      </c>
      <c r="G30" s="10">
        <f t="shared" si="4"/>
        <v>6.8571428571428568</v>
      </c>
      <c r="H30" s="10">
        <f t="shared" si="4"/>
        <v>4.8571428571428568</v>
      </c>
      <c r="I30" s="10">
        <f t="shared" si="4"/>
        <v>6.7142857142857144</v>
      </c>
      <c r="J30" s="10">
        <f t="shared" si="4"/>
        <v>1.8571428571428572E-2</v>
      </c>
      <c r="K30" s="10">
        <f t="shared" si="4"/>
        <v>84.428571428571431</v>
      </c>
      <c r="L30" s="10">
        <f t="shared" si="4"/>
        <v>18.857142857142858</v>
      </c>
      <c r="M30" s="10">
        <f t="shared" si="4"/>
        <v>8.7142857142857135</v>
      </c>
      <c r="N30" s="10">
        <f t="shared" si="4"/>
        <v>0</v>
      </c>
      <c r="O30" s="10">
        <f t="shared" si="4"/>
        <v>104.42857142857143</v>
      </c>
      <c r="P30" s="10">
        <f t="shared" si="4"/>
        <v>34.714285714285715</v>
      </c>
      <c r="Q30" s="10">
        <f t="shared" si="4"/>
        <v>42.142857142857146</v>
      </c>
      <c r="R30" s="10">
        <f t="shared" si="4"/>
        <v>357.14285714285717</v>
      </c>
      <c r="S30" s="10">
        <f t="shared" si="4"/>
        <v>540.42857142857144</v>
      </c>
      <c r="T30" s="10">
        <f t="shared" si="4"/>
        <v>238.57142857142858</v>
      </c>
      <c r="U30" s="10">
        <f t="shared" si="4"/>
        <v>60</v>
      </c>
      <c r="V30" s="10">
        <f t="shared" si="4"/>
        <v>1.8285714285714287</v>
      </c>
      <c r="W30" s="10">
        <f t="shared" si="4"/>
        <v>25</v>
      </c>
      <c r="X30" s="10">
        <f t="shared" si="4"/>
        <v>0</v>
      </c>
      <c r="Y30" s="10">
        <f t="shared" si="4"/>
        <v>53428.571428571428</v>
      </c>
      <c r="Z30" s="10">
        <f t="shared" si="4"/>
        <v>0</v>
      </c>
      <c r="AA30" s="10">
        <f t="shared" si="4"/>
        <v>906.14285714285711</v>
      </c>
      <c r="AB30" s="10">
        <f t="shared" si="4"/>
        <v>9</v>
      </c>
      <c r="AC30" s="10">
        <f t="shared" si="4"/>
        <v>2</v>
      </c>
      <c r="AD30" s="10">
        <f t="shared" si="4"/>
        <v>186.14285714285714</v>
      </c>
      <c r="AE30" s="10">
        <f t="shared" si="4"/>
        <v>30.571428571428573</v>
      </c>
      <c r="AF30" s="10">
        <f t="shared" si="4"/>
        <v>16.428571428571427</v>
      </c>
      <c r="AG30" s="10">
        <f t="shared" si="4"/>
        <v>28.714285714285715</v>
      </c>
      <c r="AH30" s="10">
        <f t="shared" si="4"/>
        <v>17.857142857142858</v>
      </c>
      <c r="AI30" s="10">
        <f t="shared" si="4"/>
        <v>15.857142857142858</v>
      </c>
      <c r="AJ30" s="10">
        <f t="shared" si="4"/>
        <v>900</v>
      </c>
      <c r="AK30" s="10">
        <f t="shared" si="4"/>
        <v>201.71428571428572</v>
      </c>
      <c r="AL30" s="10">
        <f t="shared" si="4"/>
        <v>107.85714285714286</v>
      </c>
      <c r="AM30" s="10">
        <f t="shared" si="4"/>
        <v>422</v>
      </c>
      <c r="AN30" s="10">
        <f t="shared" si="4"/>
        <v>20</v>
      </c>
      <c r="AO30" s="10">
        <f t="shared" si="4"/>
        <v>1.0857142857142859</v>
      </c>
      <c r="AP30" s="10">
        <f t="shared" si="4"/>
        <v>0</v>
      </c>
      <c r="AQ30" s="10">
        <f t="shared" si="4"/>
        <v>152.71428571428572</v>
      </c>
      <c r="AR30" s="10">
        <f t="shared" si="4"/>
        <v>5.4285714285714288</v>
      </c>
      <c r="AS30" s="10">
        <f t="shared" si="4"/>
        <v>158.14285714285714</v>
      </c>
      <c r="AT30" s="10">
        <f t="shared" si="4"/>
        <v>2916.5714285714284</v>
      </c>
      <c r="AU30" s="10">
        <f t="shared" si="4"/>
        <v>3287.7142857142858</v>
      </c>
      <c r="AV30" s="10">
        <f t="shared" si="4"/>
        <v>0</v>
      </c>
      <c r="AW30" s="10">
        <f t="shared" si="4"/>
        <v>6211</v>
      </c>
      <c r="AX30" s="10">
        <f t="shared" si="4"/>
        <v>618</v>
      </c>
      <c r="AY30" s="10">
        <f t="shared" si="4"/>
        <v>0</v>
      </c>
      <c r="AZ30" s="10">
        <f t="shared" si="4"/>
        <v>0</v>
      </c>
      <c r="BA30" s="10">
        <f t="shared" si="4"/>
        <v>618</v>
      </c>
      <c r="BB30" s="10">
        <f t="shared" si="4"/>
        <v>0</v>
      </c>
      <c r="BC30" s="10">
        <f t="shared" si="4"/>
        <v>0</v>
      </c>
      <c r="BD30" s="10">
        <f t="shared" si="4"/>
        <v>0</v>
      </c>
      <c r="BE30" s="10">
        <f t="shared" si="4"/>
        <v>0</v>
      </c>
      <c r="BF30" s="10">
        <f t="shared" si="4"/>
        <v>0</v>
      </c>
      <c r="BG30">
        <f t="shared" si="0"/>
        <v>63.392857142857139</v>
      </c>
      <c r="BH30" s="10">
        <f t="shared" ref="BH30:DS30" si="5">AVERAGE(BH48,BH110,BH159,BH161,BH169,BH171,BH192)</f>
        <v>22.857142857142858</v>
      </c>
      <c r="BI30" s="10">
        <f t="shared" si="5"/>
        <v>49</v>
      </c>
      <c r="BJ30" s="10">
        <f t="shared" si="5"/>
        <v>30.428571428571427</v>
      </c>
      <c r="BK30" s="10">
        <f t="shared" si="5"/>
        <v>13.714285714285714</v>
      </c>
      <c r="BL30" s="10">
        <f t="shared" si="5"/>
        <v>9.7142857142857135</v>
      </c>
      <c r="BM30" s="10">
        <f t="shared" si="5"/>
        <v>31.571428571428573</v>
      </c>
      <c r="BN30" s="10">
        <f t="shared" si="5"/>
        <v>21.571428571428573</v>
      </c>
      <c r="BO30" s="10">
        <f t="shared" si="5"/>
        <v>31.428571428571427</v>
      </c>
      <c r="BP30" s="10">
        <f t="shared" si="5"/>
        <v>11</v>
      </c>
      <c r="BQ30" s="10">
        <f t="shared" si="5"/>
        <v>37</v>
      </c>
      <c r="BR30" s="10">
        <f t="shared" si="5"/>
        <v>53.285714285714285</v>
      </c>
      <c r="BS30" s="10">
        <f t="shared" si="5"/>
        <v>24.428571428571427</v>
      </c>
      <c r="BT30" s="10">
        <f t="shared" si="5"/>
        <v>336</v>
      </c>
      <c r="BU30" s="10">
        <f t="shared" si="5"/>
        <v>47.714285714285715</v>
      </c>
      <c r="BV30" s="10">
        <f t="shared" si="5"/>
        <v>221.42857142857142</v>
      </c>
      <c r="BW30" s="10">
        <f t="shared" si="5"/>
        <v>151.85714285714286</v>
      </c>
      <c r="BX30" s="10">
        <f t="shared" si="5"/>
        <v>41.428571428571431</v>
      </c>
      <c r="BY30" s="10">
        <f t="shared" si="5"/>
        <v>37.571428571428569</v>
      </c>
      <c r="BZ30" s="10">
        <f t="shared" si="5"/>
        <v>41.428571428571431</v>
      </c>
      <c r="CA30" s="10">
        <f t="shared" si="5"/>
        <v>541.42857142857144</v>
      </c>
      <c r="CB30" s="10">
        <f t="shared" si="5"/>
        <v>17.857142857142858</v>
      </c>
      <c r="CC30" s="10">
        <f t="shared" si="5"/>
        <v>7.2857142857142856</v>
      </c>
      <c r="CD30" s="10">
        <f t="shared" si="5"/>
        <v>103.28571428571429</v>
      </c>
      <c r="CE30" s="10">
        <f t="shared" si="5"/>
        <v>149</v>
      </c>
      <c r="CF30" s="10">
        <f t="shared" si="5"/>
        <v>1.4971428571428571</v>
      </c>
      <c r="CG30" s="10">
        <f t="shared" si="5"/>
        <v>0</v>
      </c>
      <c r="CH30" s="10">
        <f t="shared" si="5"/>
        <v>0</v>
      </c>
      <c r="CI30" s="10">
        <f t="shared" si="5"/>
        <v>0</v>
      </c>
      <c r="CJ30" s="10">
        <f t="shared" si="5"/>
        <v>0</v>
      </c>
      <c r="CK30" s="10">
        <f t="shared" si="5"/>
        <v>0</v>
      </c>
      <c r="CL30" s="10">
        <f t="shared" si="5"/>
        <v>0.42857142857142855</v>
      </c>
      <c r="CM30" s="10">
        <f t="shared" si="5"/>
        <v>0</v>
      </c>
      <c r="CN30" s="10">
        <f t="shared" si="5"/>
        <v>31.428571428571427</v>
      </c>
      <c r="CO30" s="10">
        <f t="shared" si="5"/>
        <v>0</v>
      </c>
      <c r="CP30" s="10">
        <f t="shared" si="5"/>
        <v>9.7142857142857135</v>
      </c>
      <c r="CQ30" s="10">
        <f t="shared" si="5"/>
        <v>0</v>
      </c>
      <c r="CR30" s="10">
        <f t="shared" si="5"/>
        <v>0</v>
      </c>
      <c r="CS30" s="10">
        <f t="shared" si="5"/>
        <v>0</v>
      </c>
      <c r="CT30" s="10">
        <f t="shared" si="5"/>
        <v>41.571428571428569</v>
      </c>
      <c r="CU30" s="10">
        <f t="shared" si="5"/>
        <v>0</v>
      </c>
      <c r="CV30" s="10">
        <f t="shared" si="5"/>
        <v>0</v>
      </c>
      <c r="CW30" s="10">
        <f t="shared" si="5"/>
        <v>1.8571428571428572</v>
      </c>
      <c r="CX30" s="10">
        <f t="shared" si="5"/>
        <v>0</v>
      </c>
      <c r="CY30" s="10">
        <f t="shared" si="5"/>
        <v>69.142857142857139</v>
      </c>
      <c r="CZ30" s="10">
        <f t="shared" si="5"/>
        <v>0.2857142857142857</v>
      </c>
      <c r="DA30" s="10">
        <f t="shared" si="5"/>
        <v>0</v>
      </c>
      <c r="DB30" s="10">
        <f t="shared" si="5"/>
        <v>0</v>
      </c>
      <c r="DC30" s="10">
        <f t="shared" si="5"/>
        <v>71.285714285714292</v>
      </c>
      <c r="DD30" s="10">
        <f t="shared" si="5"/>
        <v>0</v>
      </c>
      <c r="DE30" s="10">
        <f t="shared" si="5"/>
        <v>0</v>
      </c>
      <c r="DF30" s="10">
        <f t="shared" si="5"/>
        <v>149</v>
      </c>
      <c r="DG30" s="10">
        <f t="shared" si="5"/>
        <v>103.28571428571429</v>
      </c>
      <c r="DH30" s="10">
        <f t="shared" si="5"/>
        <v>0</v>
      </c>
      <c r="DI30" s="10">
        <f t="shared" si="5"/>
        <v>0</v>
      </c>
      <c r="DJ30" s="10">
        <f t="shared" si="5"/>
        <v>0</v>
      </c>
      <c r="DK30" s="10">
        <f t="shared" si="5"/>
        <v>0</v>
      </c>
      <c r="DL30" s="10">
        <f t="shared" si="5"/>
        <v>0</v>
      </c>
      <c r="DM30" s="10">
        <f t="shared" si="5"/>
        <v>0</v>
      </c>
      <c r="DN30" s="10">
        <f t="shared" si="5"/>
        <v>0</v>
      </c>
      <c r="DO30" s="10">
        <f t="shared" si="5"/>
        <v>0</v>
      </c>
      <c r="DP30" s="10">
        <f t="shared" si="5"/>
        <v>0</v>
      </c>
      <c r="DQ30" s="10">
        <f t="shared" si="5"/>
        <v>0</v>
      </c>
      <c r="DR30" s="10">
        <f t="shared" si="5"/>
        <v>0</v>
      </c>
      <c r="DS30" s="10">
        <f t="shared" si="5"/>
        <v>252.28571428571428</v>
      </c>
      <c r="DT30" s="10">
        <f t="shared" ref="DT30:EK30" si="6">AVERAGE(DT48,DT110,DT159,DT161,DT169,DT171,DT192)</f>
        <v>365.14285714285717</v>
      </c>
      <c r="DU30" s="10">
        <f t="shared" si="6"/>
        <v>91.571428571428569</v>
      </c>
      <c r="DV30" s="10">
        <f t="shared" si="6"/>
        <v>0</v>
      </c>
      <c r="DW30" s="10">
        <f t="shared" si="6"/>
        <v>0</v>
      </c>
      <c r="DX30" s="10">
        <f t="shared" si="6"/>
        <v>0</v>
      </c>
      <c r="DY30" s="10">
        <f t="shared" si="6"/>
        <v>933.71428571428567</v>
      </c>
      <c r="DZ30" s="10">
        <f t="shared" si="6"/>
        <v>840.85714285714289</v>
      </c>
      <c r="EA30" s="10">
        <f t="shared" si="6"/>
        <v>952.57142857142856</v>
      </c>
      <c r="EB30" s="10">
        <f t="shared" si="6"/>
        <v>1043.8571428571429</v>
      </c>
      <c r="EC30" s="10">
        <f t="shared" si="6"/>
        <v>1014.7142857142857</v>
      </c>
      <c r="ED30" s="10">
        <f t="shared" si="6"/>
        <v>1015.4285714285714</v>
      </c>
      <c r="EE30" s="10">
        <f t="shared" si="6"/>
        <v>3758.8571428571427</v>
      </c>
      <c r="EF30" s="10">
        <f t="shared" si="6"/>
        <v>0</v>
      </c>
      <c r="EG30" s="10">
        <f t="shared" si="6"/>
        <v>1.8571428571428572</v>
      </c>
      <c r="EH30" s="10">
        <f t="shared" si="6"/>
        <v>0.52857142857142858</v>
      </c>
      <c r="EI30" s="10">
        <f t="shared" si="6"/>
        <v>3.7571428571428567</v>
      </c>
      <c r="EJ30" s="10">
        <f t="shared" si="6"/>
        <v>0.45714285714285718</v>
      </c>
      <c r="EK30" s="10">
        <f t="shared" si="6"/>
        <v>0.95714285714285707</v>
      </c>
    </row>
    <row r="31" spans="1:141" x14ac:dyDescent="0.25">
      <c r="A31" s="12" t="str">
        <f>[1]ingredient!B29</f>
        <v>Beeren, gefroren</v>
      </c>
      <c r="C31" s="7">
        <f>_xlfn.XLOOKUP(A31,[1]ingredient!$B$2:$B$521,[1]ingredient!$A$2:$A$521)</f>
        <v>28</v>
      </c>
      <c r="D31" s="10">
        <f t="shared" ref="D31:BF31" si="7">AVERAGE(D111,D160,D162,D170,D172,D193)</f>
        <v>45.333333333333336</v>
      </c>
      <c r="E31" s="10">
        <f t="shared" si="7"/>
        <v>0.52500000000000002</v>
      </c>
      <c r="F31" s="10">
        <f t="shared" si="7"/>
        <v>1</v>
      </c>
      <c r="G31" s="10">
        <f t="shared" si="7"/>
        <v>8</v>
      </c>
      <c r="H31" s="10">
        <f t="shared" si="7"/>
        <v>4.666666666666667</v>
      </c>
      <c r="I31" s="10">
        <f t="shared" si="7"/>
        <v>7.833333333333333</v>
      </c>
      <c r="J31" s="10">
        <f t="shared" si="7"/>
        <v>1.8333333333333337E-2</v>
      </c>
      <c r="K31" s="10">
        <f t="shared" si="7"/>
        <v>83.5</v>
      </c>
      <c r="L31" s="10">
        <f t="shared" si="7"/>
        <v>14</v>
      </c>
      <c r="M31" s="10">
        <f t="shared" si="7"/>
        <v>6</v>
      </c>
      <c r="N31" s="10">
        <f t="shared" si="7"/>
        <v>0</v>
      </c>
      <c r="O31" s="10">
        <f t="shared" si="7"/>
        <v>72.333333333333329</v>
      </c>
      <c r="P31" s="10">
        <f t="shared" si="7"/>
        <v>33.5</v>
      </c>
      <c r="Q31" s="10">
        <f t="shared" si="7"/>
        <v>39.833333333333336</v>
      </c>
      <c r="R31" s="10">
        <f t="shared" si="7"/>
        <v>329</v>
      </c>
      <c r="S31" s="10">
        <f t="shared" si="7"/>
        <v>517.66666666666663</v>
      </c>
      <c r="T31" s="10">
        <f t="shared" si="7"/>
        <v>227</v>
      </c>
      <c r="U31" s="10">
        <f t="shared" si="7"/>
        <v>58</v>
      </c>
      <c r="V31" s="10">
        <f t="shared" si="7"/>
        <v>1.9000000000000001</v>
      </c>
      <c r="W31" s="10">
        <f t="shared" si="7"/>
        <v>22.166666666666668</v>
      </c>
      <c r="X31" s="10">
        <f t="shared" si="7"/>
        <v>0</v>
      </c>
      <c r="Y31" s="10">
        <f t="shared" si="7"/>
        <v>49631.333333333336</v>
      </c>
      <c r="Z31" s="10">
        <f t="shared" si="7"/>
        <v>0</v>
      </c>
      <c r="AA31" s="10">
        <f t="shared" si="7"/>
        <v>879.66666666666663</v>
      </c>
      <c r="AB31" s="10">
        <f t="shared" si="7"/>
        <v>8</v>
      </c>
      <c r="AC31" s="10">
        <f t="shared" si="7"/>
        <v>1.8333333333333333</v>
      </c>
      <c r="AD31" s="10">
        <f t="shared" si="7"/>
        <v>193.5</v>
      </c>
      <c r="AE31" s="10">
        <f t="shared" si="7"/>
        <v>29.333333333333332</v>
      </c>
      <c r="AF31" s="10">
        <f t="shared" si="7"/>
        <v>14.833333333333334</v>
      </c>
      <c r="AG31" s="10">
        <f t="shared" si="7"/>
        <v>29.833333333333332</v>
      </c>
      <c r="AH31" s="10">
        <f t="shared" si="7"/>
        <v>19.666666666666668</v>
      </c>
      <c r="AI31" s="10">
        <f t="shared" si="7"/>
        <v>16</v>
      </c>
      <c r="AJ31" s="10">
        <f t="shared" si="7"/>
        <v>939.5</v>
      </c>
      <c r="AK31" s="10">
        <f t="shared" si="7"/>
        <v>212.5</v>
      </c>
      <c r="AL31" s="10">
        <f t="shared" si="7"/>
        <v>112.5</v>
      </c>
      <c r="AM31" s="10">
        <f t="shared" si="7"/>
        <v>366.33333333333331</v>
      </c>
      <c r="AN31" s="10">
        <f t="shared" si="7"/>
        <v>20.166666666666668</v>
      </c>
      <c r="AO31" s="10">
        <f t="shared" si="7"/>
        <v>1.2</v>
      </c>
      <c r="AP31" s="10">
        <f t="shared" si="7"/>
        <v>0</v>
      </c>
      <c r="AQ31" s="10">
        <f t="shared" si="7"/>
        <v>169.33333333333334</v>
      </c>
      <c r="AR31" s="10">
        <f t="shared" si="7"/>
        <v>6.5</v>
      </c>
      <c r="AS31" s="10">
        <f t="shared" si="7"/>
        <v>175.83333333333334</v>
      </c>
      <c r="AT31" s="10">
        <f t="shared" si="7"/>
        <v>3244</v>
      </c>
      <c r="AU31" s="10">
        <f t="shared" si="7"/>
        <v>3698.8333333333335</v>
      </c>
      <c r="AV31" s="10">
        <f t="shared" si="7"/>
        <v>0</v>
      </c>
      <c r="AW31" s="10">
        <f t="shared" si="7"/>
        <v>6951</v>
      </c>
      <c r="AX31" s="10">
        <f t="shared" si="7"/>
        <v>733.16666666666663</v>
      </c>
      <c r="AY31" s="10">
        <f t="shared" si="7"/>
        <v>0</v>
      </c>
      <c r="AZ31" s="10">
        <f t="shared" si="7"/>
        <v>0</v>
      </c>
      <c r="BA31" s="10">
        <f t="shared" si="7"/>
        <v>733.16666666666663</v>
      </c>
      <c r="BB31" s="10">
        <f t="shared" si="7"/>
        <v>0</v>
      </c>
      <c r="BC31" s="10">
        <f t="shared" si="7"/>
        <v>0</v>
      </c>
      <c r="BD31" s="10">
        <f t="shared" si="7"/>
        <v>0</v>
      </c>
      <c r="BE31" s="10">
        <f t="shared" si="7"/>
        <v>0</v>
      </c>
      <c r="BF31" s="10">
        <f t="shared" si="7"/>
        <v>0</v>
      </c>
      <c r="BG31">
        <f t="shared" si="0"/>
        <v>66.319444444444443</v>
      </c>
      <c r="BH31" s="10">
        <f t="shared" ref="BH31:DS31" si="8">AVERAGE(BH111,BH160,BH162,BH170,BH172,BH193)</f>
        <v>23.666666666666668</v>
      </c>
      <c r="BI31" s="10">
        <f t="shared" si="8"/>
        <v>50.166666666666664</v>
      </c>
      <c r="BJ31" s="10">
        <f t="shared" si="8"/>
        <v>31.833333333333332</v>
      </c>
      <c r="BK31" s="10">
        <f t="shared" si="8"/>
        <v>13.5</v>
      </c>
      <c r="BL31" s="10">
        <f t="shared" si="8"/>
        <v>9.6666666666666661</v>
      </c>
      <c r="BM31" s="10">
        <f t="shared" si="8"/>
        <v>32.166666666666664</v>
      </c>
      <c r="BN31" s="10">
        <f t="shared" si="8"/>
        <v>21.833333333333332</v>
      </c>
      <c r="BO31" s="10">
        <f t="shared" si="8"/>
        <v>32</v>
      </c>
      <c r="BP31" s="10">
        <f t="shared" si="8"/>
        <v>11.333333333333334</v>
      </c>
      <c r="BQ31" s="10">
        <f t="shared" si="8"/>
        <v>37.833333333333336</v>
      </c>
      <c r="BR31" s="10">
        <f t="shared" si="8"/>
        <v>53.5</v>
      </c>
      <c r="BS31" s="10">
        <f t="shared" si="8"/>
        <v>24.5</v>
      </c>
      <c r="BT31" s="10">
        <f t="shared" si="8"/>
        <v>342</v>
      </c>
      <c r="BU31" s="10">
        <f t="shared" si="8"/>
        <v>48.5</v>
      </c>
      <c r="BV31" s="10">
        <f t="shared" si="8"/>
        <v>239.66666666666666</v>
      </c>
      <c r="BW31" s="10">
        <f t="shared" si="8"/>
        <v>152</v>
      </c>
      <c r="BX31" s="10">
        <f t="shared" si="8"/>
        <v>42.166666666666664</v>
      </c>
      <c r="BY31" s="10">
        <f t="shared" si="8"/>
        <v>38.5</v>
      </c>
      <c r="BZ31" s="10">
        <f t="shared" si="8"/>
        <v>42.166666666666664</v>
      </c>
      <c r="CA31" s="10">
        <f t="shared" si="8"/>
        <v>563</v>
      </c>
      <c r="CB31" s="10">
        <f t="shared" si="8"/>
        <v>19.333333333333332</v>
      </c>
      <c r="CC31" s="10">
        <f t="shared" si="8"/>
        <v>8.3333333333333339</v>
      </c>
      <c r="CD31" s="10">
        <f t="shared" si="8"/>
        <v>81.5</v>
      </c>
      <c r="CE31" s="10">
        <f t="shared" si="8"/>
        <v>119</v>
      </c>
      <c r="CF31" s="10">
        <f t="shared" si="8"/>
        <v>1.5066666666666668</v>
      </c>
      <c r="CG31" s="10">
        <f t="shared" si="8"/>
        <v>0</v>
      </c>
      <c r="CH31" s="10">
        <f t="shared" si="8"/>
        <v>0</v>
      </c>
      <c r="CI31" s="10">
        <f t="shared" si="8"/>
        <v>0</v>
      </c>
      <c r="CJ31" s="10">
        <f t="shared" si="8"/>
        <v>0</v>
      </c>
      <c r="CK31" s="10">
        <f t="shared" si="8"/>
        <v>0</v>
      </c>
      <c r="CL31" s="10">
        <f t="shared" si="8"/>
        <v>0.5</v>
      </c>
      <c r="CM31" s="10">
        <f t="shared" si="8"/>
        <v>0</v>
      </c>
      <c r="CN31" s="10">
        <f t="shared" si="8"/>
        <v>31</v>
      </c>
      <c r="CO31" s="10">
        <f t="shared" si="8"/>
        <v>0</v>
      </c>
      <c r="CP31" s="10">
        <f t="shared" si="8"/>
        <v>8.8333333333333339</v>
      </c>
      <c r="CQ31" s="10">
        <f t="shared" si="8"/>
        <v>0</v>
      </c>
      <c r="CR31" s="10">
        <f t="shared" si="8"/>
        <v>0</v>
      </c>
      <c r="CS31" s="10">
        <f t="shared" si="8"/>
        <v>0</v>
      </c>
      <c r="CT31" s="10">
        <f t="shared" si="8"/>
        <v>40.333333333333336</v>
      </c>
      <c r="CU31" s="10">
        <f t="shared" si="8"/>
        <v>0</v>
      </c>
      <c r="CV31" s="10">
        <f t="shared" si="8"/>
        <v>0</v>
      </c>
      <c r="CW31" s="10">
        <f t="shared" si="8"/>
        <v>1.5</v>
      </c>
      <c r="CX31" s="10">
        <f t="shared" si="8"/>
        <v>0</v>
      </c>
      <c r="CY31" s="10">
        <f t="shared" si="8"/>
        <v>63.333333333333336</v>
      </c>
      <c r="CZ31" s="10">
        <f t="shared" si="8"/>
        <v>0.33333333333333331</v>
      </c>
      <c r="DA31" s="10">
        <f t="shared" si="8"/>
        <v>0</v>
      </c>
      <c r="DB31" s="10">
        <f t="shared" si="8"/>
        <v>0</v>
      </c>
      <c r="DC31" s="10">
        <f t="shared" si="8"/>
        <v>65.166666666666671</v>
      </c>
      <c r="DD31" s="10">
        <f t="shared" si="8"/>
        <v>0</v>
      </c>
      <c r="DE31" s="10">
        <f t="shared" si="8"/>
        <v>0</v>
      </c>
      <c r="DF31" s="10">
        <f t="shared" si="8"/>
        <v>119</v>
      </c>
      <c r="DG31" s="10">
        <f t="shared" si="8"/>
        <v>81.5</v>
      </c>
      <c r="DH31" s="10">
        <f t="shared" si="8"/>
        <v>0</v>
      </c>
      <c r="DI31" s="10">
        <f t="shared" si="8"/>
        <v>0</v>
      </c>
      <c r="DJ31" s="10">
        <f t="shared" si="8"/>
        <v>0</v>
      </c>
      <c r="DK31" s="10">
        <f t="shared" si="8"/>
        <v>0</v>
      </c>
      <c r="DL31" s="10">
        <f t="shared" si="8"/>
        <v>0</v>
      </c>
      <c r="DM31" s="10">
        <f t="shared" si="8"/>
        <v>0</v>
      </c>
      <c r="DN31" s="10">
        <f t="shared" si="8"/>
        <v>0</v>
      </c>
      <c r="DO31" s="10">
        <f t="shared" si="8"/>
        <v>0</v>
      </c>
      <c r="DP31" s="10">
        <f t="shared" si="8"/>
        <v>0</v>
      </c>
      <c r="DQ31" s="10">
        <f t="shared" si="8"/>
        <v>0</v>
      </c>
      <c r="DR31" s="10">
        <f t="shared" si="8"/>
        <v>0</v>
      </c>
      <c r="DS31" s="10">
        <f t="shared" si="8"/>
        <v>200.5</v>
      </c>
      <c r="DT31" s="10">
        <f t="shared" ref="DT31:EK31" si="9">AVERAGE(DT111,DT160,DT162,DT170,DT172,DT193)</f>
        <v>306</v>
      </c>
      <c r="DU31" s="10">
        <f t="shared" si="9"/>
        <v>77</v>
      </c>
      <c r="DV31" s="10">
        <f t="shared" si="9"/>
        <v>0</v>
      </c>
      <c r="DW31" s="10">
        <f t="shared" si="9"/>
        <v>0</v>
      </c>
      <c r="DX31" s="10">
        <f t="shared" si="9"/>
        <v>0</v>
      </c>
      <c r="DY31" s="10">
        <f t="shared" si="9"/>
        <v>746.66666666666663</v>
      </c>
      <c r="DZ31" s="10">
        <f t="shared" si="9"/>
        <v>740.66666666666663</v>
      </c>
      <c r="EA31" s="10">
        <f t="shared" si="9"/>
        <v>985</v>
      </c>
      <c r="EB31" s="10">
        <f t="shared" si="9"/>
        <v>1061.1666666666667</v>
      </c>
      <c r="EC31" s="10">
        <f t="shared" si="9"/>
        <v>1143.3333333333333</v>
      </c>
      <c r="ED31" s="10">
        <f t="shared" si="9"/>
        <v>887.66666666666663</v>
      </c>
      <c r="EE31" s="10">
        <f t="shared" si="9"/>
        <v>3775</v>
      </c>
      <c r="EF31" s="10">
        <f t="shared" si="9"/>
        <v>0</v>
      </c>
      <c r="EG31" s="10">
        <f t="shared" si="9"/>
        <v>1.8333333333333333</v>
      </c>
      <c r="EH31" s="10">
        <f t="shared" si="9"/>
        <v>0.53333333333333333</v>
      </c>
      <c r="EI31" s="10">
        <f t="shared" si="9"/>
        <v>3.7833333333333332</v>
      </c>
      <c r="EJ31" s="10">
        <f t="shared" si="9"/>
        <v>0.3666666666666667</v>
      </c>
      <c r="EK31" s="10">
        <f t="shared" si="9"/>
        <v>0.96666666666666679</v>
      </c>
    </row>
    <row r="32" spans="1:141" x14ac:dyDescent="0.25">
      <c r="A32" t="str">
        <f>[1]ingredient!B30</f>
        <v>Belugalinsen</v>
      </c>
      <c r="B32" t="s">
        <v>171</v>
      </c>
      <c r="C32" s="7">
        <f>_xlfn.XLOOKUP(A32,[1]ingredient!$B$2:$B$521,[1]ingredient!$A$2:$A$521)</f>
        <v>29</v>
      </c>
      <c r="D32">
        <v>275</v>
      </c>
      <c r="E32">
        <v>2</v>
      </c>
      <c r="F32">
        <v>23</v>
      </c>
      <c r="G32">
        <v>41</v>
      </c>
      <c r="H32">
        <v>17</v>
      </c>
      <c r="I32">
        <v>1</v>
      </c>
      <c r="J32">
        <v>0.09</v>
      </c>
      <c r="K32">
        <v>12</v>
      </c>
      <c r="L32">
        <v>17</v>
      </c>
      <c r="M32">
        <v>8</v>
      </c>
      <c r="N32">
        <v>0</v>
      </c>
      <c r="O32">
        <v>100</v>
      </c>
      <c r="P32">
        <v>480</v>
      </c>
      <c r="Q32">
        <v>265</v>
      </c>
      <c r="R32">
        <v>2475</v>
      </c>
      <c r="S32">
        <v>6642</v>
      </c>
      <c r="T32">
        <v>1570</v>
      </c>
      <c r="U32">
        <v>550</v>
      </c>
      <c r="V32">
        <v>10</v>
      </c>
      <c r="W32">
        <v>168</v>
      </c>
      <c r="X32">
        <v>0</v>
      </c>
      <c r="Y32">
        <v>7000</v>
      </c>
      <c r="Z32">
        <v>0</v>
      </c>
      <c r="AA32">
        <v>1235</v>
      </c>
      <c r="AB32">
        <v>123</v>
      </c>
      <c r="AC32">
        <v>7</v>
      </c>
      <c r="AD32">
        <v>837</v>
      </c>
      <c r="AE32">
        <v>65</v>
      </c>
      <c r="AF32">
        <v>129</v>
      </c>
      <c r="AG32">
        <v>408</v>
      </c>
      <c r="AH32">
        <v>95</v>
      </c>
      <c r="AI32">
        <v>84</v>
      </c>
      <c r="AJ32">
        <v>8030</v>
      </c>
      <c r="AK32">
        <v>3427</v>
      </c>
      <c r="AL32">
        <v>763</v>
      </c>
      <c r="AM32">
        <v>1527</v>
      </c>
      <c r="AN32">
        <v>26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66</v>
      </c>
      <c r="AV32">
        <v>0</v>
      </c>
      <c r="AW32">
        <v>66</v>
      </c>
      <c r="AX32">
        <v>1052</v>
      </c>
      <c r="AY32">
        <v>0</v>
      </c>
      <c r="AZ32">
        <v>0</v>
      </c>
      <c r="BA32">
        <v>1052</v>
      </c>
      <c r="BB32">
        <v>4055</v>
      </c>
      <c r="BC32">
        <v>2572</v>
      </c>
      <c r="BD32">
        <v>0</v>
      </c>
      <c r="BE32">
        <v>34467</v>
      </c>
      <c r="BF32">
        <v>34467</v>
      </c>
      <c r="BG32">
        <f t="shared" si="0"/>
        <v>88.846880907372409</v>
      </c>
      <c r="BH32">
        <v>1190</v>
      </c>
      <c r="BI32">
        <v>2110</v>
      </c>
      <c r="BJ32">
        <v>1890</v>
      </c>
      <c r="BK32">
        <v>220</v>
      </c>
      <c r="BL32">
        <v>250</v>
      </c>
      <c r="BM32">
        <v>1400</v>
      </c>
      <c r="BN32">
        <v>840</v>
      </c>
      <c r="BO32">
        <v>1120</v>
      </c>
      <c r="BP32">
        <v>250</v>
      </c>
      <c r="BQ32">
        <v>1390</v>
      </c>
      <c r="BR32">
        <v>2240</v>
      </c>
      <c r="BS32">
        <v>710</v>
      </c>
      <c r="BT32">
        <v>13610</v>
      </c>
      <c r="BU32">
        <v>1290</v>
      </c>
      <c r="BV32">
        <v>3160</v>
      </c>
      <c r="BW32">
        <v>4490</v>
      </c>
      <c r="BX32">
        <v>1300</v>
      </c>
      <c r="BY32">
        <v>1220</v>
      </c>
      <c r="BZ32">
        <v>1510</v>
      </c>
      <c r="CA32">
        <v>12970</v>
      </c>
      <c r="CB32">
        <v>127</v>
      </c>
      <c r="CC32">
        <v>53</v>
      </c>
      <c r="CD32">
        <v>138</v>
      </c>
      <c r="CE32">
        <v>595</v>
      </c>
      <c r="CF32">
        <v>4.3099999999999996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207</v>
      </c>
      <c r="CO32">
        <v>0</v>
      </c>
      <c r="CP32">
        <v>14</v>
      </c>
      <c r="CQ32">
        <v>14</v>
      </c>
      <c r="CR32">
        <v>0</v>
      </c>
      <c r="CS32">
        <v>0</v>
      </c>
      <c r="CT32">
        <v>235</v>
      </c>
      <c r="CU32">
        <v>0</v>
      </c>
      <c r="CV32">
        <v>0</v>
      </c>
      <c r="CW32">
        <v>0</v>
      </c>
      <c r="CX32">
        <v>0</v>
      </c>
      <c r="CY32">
        <v>260</v>
      </c>
      <c r="CZ32">
        <v>13</v>
      </c>
      <c r="DA32">
        <v>0</v>
      </c>
      <c r="DB32">
        <v>0</v>
      </c>
      <c r="DC32">
        <v>273</v>
      </c>
      <c r="DD32">
        <v>0</v>
      </c>
      <c r="DE32">
        <v>0</v>
      </c>
      <c r="DF32">
        <v>595</v>
      </c>
      <c r="DG32">
        <v>138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733</v>
      </c>
      <c r="DT32">
        <v>1241</v>
      </c>
      <c r="DU32">
        <v>360</v>
      </c>
      <c r="DV32">
        <v>0</v>
      </c>
      <c r="DW32">
        <v>0</v>
      </c>
      <c r="DX32">
        <v>0</v>
      </c>
      <c r="DY32">
        <v>2213</v>
      </c>
      <c r="DZ32">
        <v>5957</v>
      </c>
      <c r="EA32">
        <v>2213</v>
      </c>
      <c r="EB32">
        <v>6297</v>
      </c>
      <c r="EC32">
        <v>340</v>
      </c>
      <c r="ED32">
        <v>1620</v>
      </c>
      <c r="EE32">
        <v>15400</v>
      </c>
      <c r="EF32">
        <v>0</v>
      </c>
      <c r="EG32">
        <v>0.32</v>
      </c>
      <c r="EH32">
        <v>2.5</v>
      </c>
      <c r="EI32">
        <v>15.4</v>
      </c>
      <c r="EJ32">
        <v>1.6</v>
      </c>
      <c r="EK32">
        <v>27</v>
      </c>
    </row>
    <row r="33" spans="1:141" x14ac:dyDescent="0.25">
      <c r="A33" t="str">
        <f>[1]ingredient!B31</f>
        <v>Birnen</v>
      </c>
      <c r="B33" t="s">
        <v>172</v>
      </c>
      <c r="C33" s="7">
        <f>_xlfn.XLOOKUP(A33,[1]ingredient!$B$2:$B$521,[1]ingredient!$A$2:$A$521)</f>
        <v>30</v>
      </c>
      <c r="D33">
        <v>52</v>
      </c>
      <c r="E33">
        <v>0.3</v>
      </c>
      <c r="F33">
        <v>1</v>
      </c>
      <c r="G33">
        <v>12</v>
      </c>
      <c r="H33">
        <v>3</v>
      </c>
      <c r="I33">
        <v>10</v>
      </c>
      <c r="J33">
        <v>0</v>
      </c>
      <c r="K33">
        <v>83</v>
      </c>
      <c r="L33">
        <v>3</v>
      </c>
      <c r="M33">
        <v>1</v>
      </c>
      <c r="N33">
        <v>0</v>
      </c>
      <c r="O33">
        <v>16</v>
      </c>
      <c r="P33">
        <v>30</v>
      </c>
      <c r="Q33">
        <v>30</v>
      </c>
      <c r="R33">
        <v>200</v>
      </c>
      <c r="S33">
        <v>200</v>
      </c>
      <c r="T33">
        <v>62</v>
      </c>
      <c r="U33">
        <v>15</v>
      </c>
      <c r="V33">
        <v>0.1</v>
      </c>
      <c r="W33">
        <v>14</v>
      </c>
      <c r="X33">
        <v>0</v>
      </c>
      <c r="Y33">
        <v>5000</v>
      </c>
      <c r="Z33">
        <v>0</v>
      </c>
      <c r="AA33">
        <v>430</v>
      </c>
      <c r="AB33">
        <v>0</v>
      </c>
      <c r="AC33">
        <v>2</v>
      </c>
      <c r="AD33">
        <v>125</v>
      </c>
      <c r="AE33">
        <v>9</v>
      </c>
      <c r="AF33">
        <v>7</v>
      </c>
      <c r="AG33">
        <v>15</v>
      </c>
      <c r="AH33">
        <v>5</v>
      </c>
      <c r="AI33">
        <v>2</v>
      </c>
      <c r="AJ33">
        <v>260</v>
      </c>
      <c r="AK33">
        <v>230</v>
      </c>
      <c r="AL33">
        <v>90</v>
      </c>
      <c r="AM33">
        <v>50</v>
      </c>
      <c r="AN33">
        <v>12</v>
      </c>
      <c r="AO33">
        <v>1</v>
      </c>
      <c r="AP33">
        <v>0</v>
      </c>
      <c r="AQ33">
        <v>2170</v>
      </c>
      <c r="AR33">
        <v>0</v>
      </c>
      <c r="AS33">
        <v>2170</v>
      </c>
      <c r="AT33">
        <v>1674</v>
      </c>
      <c r="AU33">
        <v>6746</v>
      </c>
      <c r="AV33">
        <v>0</v>
      </c>
      <c r="AW33">
        <v>8420</v>
      </c>
      <c r="AX33">
        <v>1810</v>
      </c>
      <c r="AY33">
        <v>0</v>
      </c>
      <c r="AZ33">
        <v>0</v>
      </c>
      <c r="BA33">
        <v>1810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f t="shared" si="0"/>
        <v>0</v>
      </c>
      <c r="BH33">
        <v>14</v>
      </c>
      <c r="BI33">
        <v>26</v>
      </c>
      <c r="BJ33">
        <v>18</v>
      </c>
      <c r="BK33">
        <v>7</v>
      </c>
      <c r="BL33">
        <v>5</v>
      </c>
      <c r="BM33">
        <v>13</v>
      </c>
      <c r="BN33">
        <v>4</v>
      </c>
      <c r="BO33">
        <v>13</v>
      </c>
      <c r="BP33">
        <v>0</v>
      </c>
      <c r="BQ33">
        <v>18</v>
      </c>
      <c r="BR33">
        <v>9</v>
      </c>
      <c r="BS33">
        <v>5</v>
      </c>
      <c r="BT33">
        <v>132</v>
      </c>
      <c r="BU33">
        <v>17</v>
      </c>
      <c r="BV33">
        <v>97</v>
      </c>
      <c r="BW33">
        <v>36</v>
      </c>
      <c r="BX33">
        <v>14</v>
      </c>
      <c r="BY33">
        <v>14</v>
      </c>
      <c r="BZ33">
        <v>18</v>
      </c>
      <c r="CA33">
        <v>196</v>
      </c>
      <c r="CB33">
        <v>15</v>
      </c>
      <c r="CC33">
        <v>6</v>
      </c>
      <c r="CD33">
        <v>1</v>
      </c>
      <c r="CE33">
        <v>113</v>
      </c>
      <c r="CF33">
        <v>113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21</v>
      </c>
      <c r="CO33">
        <v>0</v>
      </c>
      <c r="CP33">
        <v>4</v>
      </c>
      <c r="CQ33">
        <v>0</v>
      </c>
      <c r="CR33">
        <v>0</v>
      </c>
      <c r="CS33">
        <v>0</v>
      </c>
      <c r="CT33">
        <v>25</v>
      </c>
      <c r="CU33">
        <v>0</v>
      </c>
      <c r="CV33">
        <v>0</v>
      </c>
      <c r="CW33">
        <v>3</v>
      </c>
      <c r="CX33">
        <v>0</v>
      </c>
      <c r="CY33">
        <v>97</v>
      </c>
      <c r="CZ33">
        <v>1</v>
      </c>
      <c r="DA33">
        <v>0</v>
      </c>
      <c r="DB33">
        <v>0</v>
      </c>
      <c r="DC33">
        <v>101</v>
      </c>
      <c r="DD33">
        <v>0</v>
      </c>
      <c r="DE33">
        <v>0</v>
      </c>
      <c r="DF33">
        <v>113</v>
      </c>
      <c r="DG33">
        <v>1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114</v>
      </c>
      <c r="DT33">
        <v>240</v>
      </c>
      <c r="DU33">
        <v>60</v>
      </c>
      <c r="DV33">
        <v>0</v>
      </c>
      <c r="DW33">
        <v>0</v>
      </c>
      <c r="DX33">
        <v>0</v>
      </c>
      <c r="DY33">
        <v>771</v>
      </c>
      <c r="DZ33">
        <v>400</v>
      </c>
      <c r="EA33">
        <v>400</v>
      </c>
      <c r="EB33">
        <v>770</v>
      </c>
      <c r="EC33">
        <v>459</v>
      </c>
      <c r="ED33">
        <v>521</v>
      </c>
      <c r="EE33">
        <v>2279</v>
      </c>
      <c r="EF33">
        <v>0</v>
      </c>
      <c r="EG33">
        <v>0.31</v>
      </c>
      <c r="EH33">
        <v>0.3</v>
      </c>
      <c r="EI33">
        <v>2.2999999999999998</v>
      </c>
      <c r="EJ33">
        <v>0.3</v>
      </c>
      <c r="EK33">
        <v>0.4</v>
      </c>
    </row>
    <row r="34" spans="1:141" x14ac:dyDescent="0.25">
      <c r="A34" t="str">
        <f>[1]ingredient!B32</f>
        <v>Blattkohl</v>
      </c>
      <c r="B34" t="s">
        <v>173</v>
      </c>
      <c r="C34" s="7">
        <f>_xlfn.XLOOKUP(A34,[1]ingredient!$B$2:$B$521,[1]ingredient!$A$2:$A$521)</f>
        <v>31</v>
      </c>
      <c r="D34">
        <v>14</v>
      </c>
      <c r="E34">
        <v>0.3</v>
      </c>
      <c r="F34">
        <v>1</v>
      </c>
      <c r="G34">
        <v>1</v>
      </c>
      <c r="H34">
        <v>2</v>
      </c>
      <c r="I34">
        <v>1</v>
      </c>
      <c r="J34">
        <v>0.04</v>
      </c>
      <c r="K34">
        <v>94</v>
      </c>
      <c r="L34">
        <v>71</v>
      </c>
      <c r="M34">
        <v>35</v>
      </c>
      <c r="N34">
        <v>0</v>
      </c>
      <c r="O34">
        <v>425</v>
      </c>
      <c r="P34">
        <v>30</v>
      </c>
      <c r="Q34">
        <v>40</v>
      </c>
      <c r="R34">
        <v>400</v>
      </c>
      <c r="S34">
        <v>633</v>
      </c>
      <c r="T34">
        <v>200</v>
      </c>
      <c r="U34">
        <v>110</v>
      </c>
      <c r="V34">
        <v>1</v>
      </c>
      <c r="W34">
        <v>83</v>
      </c>
      <c r="X34">
        <v>0</v>
      </c>
      <c r="Y34">
        <v>26000</v>
      </c>
      <c r="Z34">
        <v>0</v>
      </c>
      <c r="AA34">
        <v>240</v>
      </c>
      <c r="AB34">
        <v>250</v>
      </c>
      <c r="AC34">
        <v>19</v>
      </c>
      <c r="AD34">
        <v>144</v>
      </c>
      <c r="AE34">
        <v>40</v>
      </c>
      <c r="AF34">
        <v>11</v>
      </c>
      <c r="AG34">
        <v>30</v>
      </c>
      <c r="AH34">
        <v>60</v>
      </c>
      <c r="AI34">
        <v>18</v>
      </c>
      <c r="AJ34">
        <v>600</v>
      </c>
      <c r="AK34">
        <v>340</v>
      </c>
      <c r="AL34">
        <v>20</v>
      </c>
      <c r="AM34">
        <v>280</v>
      </c>
      <c r="AN34">
        <v>15</v>
      </c>
      <c r="AO34">
        <v>0.3</v>
      </c>
      <c r="AP34">
        <v>0</v>
      </c>
      <c r="AQ34">
        <v>0</v>
      </c>
      <c r="AR34">
        <v>0</v>
      </c>
      <c r="AS34">
        <v>0</v>
      </c>
      <c r="AT34">
        <v>417</v>
      </c>
      <c r="AU34">
        <v>427</v>
      </c>
      <c r="AV34">
        <v>0</v>
      </c>
      <c r="AW34">
        <v>844</v>
      </c>
      <c r="AX34">
        <v>298</v>
      </c>
      <c r="AY34">
        <v>0</v>
      </c>
      <c r="AZ34">
        <v>0</v>
      </c>
      <c r="BA34">
        <v>298</v>
      </c>
      <c r="BB34">
        <v>0</v>
      </c>
      <c r="BC34">
        <v>0</v>
      </c>
      <c r="BD34">
        <v>0</v>
      </c>
      <c r="BE34">
        <v>48</v>
      </c>
      <c r="BF34">
        <v>48</v>
      </c>
      <c r="BG34">
        <f t="shared" si="0"/>
        <v>100</v>
      </c>
      <c r="BH34">
        <v>67</v>
      </c>
      <c r="BI34">
        <v>69</v>
      </c>
      <c r="BJ34">
        <v>62</v>
      </c>
      <c r="BK34">
        <v>12</v>
      </c>
      <c r="BL34">
        <v>11</v>
      </c>
      <c r="BM34">
        <v>39</v>
      </c>
      <c r="BN34">
        <v>29</v>
      </c>
      <c r="BO34">
        <v>44</v>
      </c>
      <c r="BP34">
        <v>14</v>
      </c>
      <c r="BQ34">
        <v>57</v>
      </c>
      <c r="BR34">
        <v>71</v>
      </c>
      <c r="BS34">
        <v>21</v>
      </c>
      <c r="BT34">
        <v>496</v>
      </c>
      <c r="BU34">
        <v>68</v>
      </c>
      <c r="BV34">
        <v>86</v>
      </c>
      <c r="BW34">
        <v>286</v>
      </c>
      <c r="BX34">
        <v>33</v>
      </c>
      <c r="BY34">
        <v>24</v>
      </c>
      <c r="BZ34">
        <v>38</v>
      </c>
      <c r="CA34">
        <v>535</v>
      </c>
      <c r="CB34">
        <v>25</v>
      </c>
      <c r="CC34">
        <v>10</v>
      </c>
      <c r="CD34">
        <v>99</v>
      </c>
      <c r="CE34">
        <v>26</v>
      </c>
      <c r="CF34">
        <v>0.26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66</v>
      </c>
      <c r="CO34">
        <v>0</v>
      </c>
      <c r="CP34">
        <v>8</v>
      </c>
      <c r="CQ34">
        <v>0</v>
      </c>
      <c r="CR34">
        <v>0</v>
      </c>
      <c r="CS34">
        <v>0</v>
      </c>
      <c r="CT34">
        <v>74</v>
      </c>
      <c r="CU34">
        <v>0</v>
      </c>
      <c r="CV34">
        <v>0</v>
      </c>
      <c r="CW34">
        <v>4</v>
      </c>
      <c r="CX34">
        <v>0</v>
      </c>
      <c r="CY34">
        <v>37</v>
      </c>
      <c r="CZ34">
        <v>0</v>
      </c>
      <c r="DA34">
        <v>0</v>
      </c>
      <c r="DB34">
        <v>0</v>
      </c>
      <c r="DC34">
        <v>41</v>
      </c>
      <c r="DD34">
        <v>0</v>
      </c>
      <c r="DE34">
        <v>0</v>
      </c>
      <c r="DF34">
        <v>26</v>
      </c>
      <c r="DG34">
        <v>99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125</v>
      </c>
      <c r="DT34">
        <v>240</v>
      </c>
      <c r="DU34">
        <v>60</v>
      </c>
      <c r="DV34">
        <v>0</v>
      </c>
      <c r="DW34">
        <v>0</v>
      </c>
      <c r="DX34">
        <v>0</v>
      </c>
      <c r="DY34">
        <v>399</v>
      </c>
      <c r="DZ34">
        <v>323</v>
      </c>
      <c r="EA34">
        <v>475</v>
      </c>
      <c r="EB34">
        <v>646</v>
      </c>
      <c r="EC34">
        <v>57</v>
      </c>
      <c r="ED34">
        <v>190</v>
      </c>
      <c r="EE34">
        <v>1710</v>
      </c>
      <c r="EF34">
        <v>0</v>
      </c>
      <c r="EG34">
        <v>0.4</v>
      </c>
      <c r="EH34">
        <v>0.6</v>
      </c>
      <c r="EI34">
        <v>1.7</v>
      </c>
      <c r="EJ34">
        <v>0.3</v>
      </c>
      <c r="EK34">
        <v>1.1000000000000001</v>
      </c>
    </row>
    <row r="35" spans="1:141" x14ac:dyDescent="0.25">
      <c r="A35" t="str">
        <f>[1]ingredient!B33</f>
        <v>Blattsalat</v>
      </c>
      <c r="B35" t="s">
        <v>174</v>
      </c>
      <c r="C35" s="7">
        <f>_xlfn.XLOOKUP(A35,[1]ingredient!$B$2:$B$521,[1]ingredient!$A$2:$A$521)</f>
        <v>32</v>
      </c>
      <c r="D35">
        <v>20</v>
      </c>
      <c r="E35">
        <v>0.3</v>
      </c>
      <c r="F35">
        <v>1</v>
      </c>
      <c r="G35">
        <v>3</v>
      </c>
      <c r="H35">
        <v>2</v>
      </c>
      <c r="I35">
        <v>3</v>
      </c>
      <c r="J35">
        <v>7.0000000000000007E-2</v>
      </c>
      <c r="K35">
        <v>93</v>
      </c>
      <c r="L35">
        <v>190</v>
      </c>
      <c r="M35">
        <v>95</v>
      </c>
      <c r="N35">
        <v>0</v>
      </c>
      <c r="O35">
        <v>1140</v>
      </c>
      <c r="P35">
        <v>50</v>
      </c>
      <c r="Q35">
        <v>80</v>
      </c>
      <c r="R35">
        <v>400</v>
      </c>
      <c r="S35">
        <v>633</v>
      </c>
      <c r="T35">
        <v>200</v>
      </c>
      <c r="U35">
        <v>55</v>
      </c>
      <c r="V35">
        <v>1</v>
      </c>
      <c r="W35">
        <v>50</v>
      </c>
      <c r="X35">
        <v>0</v>
      </c>
      <c r="Y35">
        <v>18000</v>
      </c>
      <c r="Z35">
        <v>0</v>
      </c>
      <c r="AA35">
        <v>600</v>
      </c>
      <c r="AB35">
        <v>200</v>
      </c>
      <c r="AC35">
        <v>9</v>
      </c>
      <c r="AD35">
        <v>264</v>
      </c>
      <c r="AE35">
        <v>68</v>
      </c>
      <c r="AF35">
        <v>11</v>
      </c>
      <c r="AG35">
        <v>25</v>
      </c>
      <c r="AH35">
        <v>57</v>
      </c>
      <c r="AI35">
        <v>60</v>
      </c>
      <c r="AJ35">
        <v>1400</v>
      </c>
      <c r="AK35">
        <v>500</v>
      </c>
      <c r="AL35">
        <v>100</v>
      </c>
      <c r="AM35">
        <v>250</v>
      </c>
      <c r="AN35">
        <v>100</v>
      </c>
      <c r="AO35">
        <v>4</v>
      </c>
      <c r="AP35">
        <v>0</v>
      </c>
      <c r="AQ35">
        <v>0</v>
      </c>
      <c r="AR35">
        <v>0</v>
      </c>
      <c r="AS35">
        <v>0</v>
      </c>
      <c r="AT35">
        <v>1120</v>
      </c>
      <c r="AU35">
        <v>1120</v>
      </c>
      <c r="AV35">
        <v>0</v>
      </c>
      <c r="AW35">
        <v>2240</v>
      </c>
      <c r="AX35">
        <v>532</v>
      </c>
      <c r="AY35">
        <v>0</v>
      </c>
      <c r="AZ35">
        <v>0</v>
      </c>
      <c r="BA35">
        <v>532</v>
      </c>
      <c r="BB35">
        <v>0</v>
      </c>
      <c r="BC35">
        <v>0</v>
      </c>
      <c r="BD35">
        <v>0</v>
      </c>
      <c r="BE35">
        <v>28</v>
      </c>
      <c r="BF35">
        <v>28</v>
      </c>
      <c r="BG35">
        <f t="shared" si="0"/>
        <v>108.69565217391303</v>
      </c>
      <c r="BH35">
        <v>85</v>
      </c>
      <c r="BI35">
        <v>87</v>
      </c>
      <c r="BJ35">
        <v>65</v>
      </c>
      <c r="BK35">
        <v>16</v>
      </c>
      <c r="BL35">
        <v>9</v>
      </c>
      <c r="BM35">
        <v>59</v>
      </c>
      <c r="BN35">
        <v>36</v>
      </c>
      <c r="BO35">
        <v>49</v>
      </c>
      <c r="BP35">
        <v>14</v>
      </c>
      <c r="BQ35">
        <v>65</v>
      </c>
      <c r="BR35">
        <v>62</v>
      </c>
      <c r="BS35">
        <v>21</v>
      </c>
      <c r="BT35">
        <v>568</v>
      </c>
      <c r="BU35">
        <v>56</v>
      </c>
      <c r="BV35">
        <v>143</v>
      </c>
      <c r="BW35">
        <v>159</v>
      </c>
      <c r="BX35">
        <v>52</v>
      </c>
      <c r="BY35">
        <v>68</v>
      </c>
      <c r="BZ35">
        <v>46</v>
      </c>
      <c r="CA35">
        <v>524</v>
      </c>
      <c r="CB35">
        <v>10</v>
      </c>
      <c r="CC35">
        <v>4</v>
      </c>
      <c r="CD35">
        <v>119</v>
      </c>
      <c r="CE35">
        <v>53</v>
      </c>
      <c r="CF35">
        <v>0.45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</v>
      </c>
      <c r="CM35">
        <v>0</v>
      </c>
      <c r="CN35">
        <v>48</v>
      </c>
      <c r="CO35">
        <v>0</v>
      </c>
      <c r="CP35">
        <v>4</v>
      </c>
      <c r="CQ35">
        <v>0</v>
      </c>
      <c r="CR35">
        <v>0</v>
      </c>
      <c r="CS35">
        <v>0</v>
      </c>
      <c r="CT35">
        <v>57</v>
      </c>
      <c r="CU35">
        <v>0</v>
      </c>
      <c r="CV35">
        <v>0</v>
      </c>
      <c r="CW35">
        <v>3</v>
      </c>
      <c r="CX35">
        <v>0</v>
      </c>
      <c r="CY35">
        <v>8</v>
      </c>
      <c r="CZ35">
        <v>0</v>
      </c>
      <c r="DA35">
        <v>0</v>
      </c>
      <c r="DB35">
        <v>0</v>
      </c>
      <c r="DC35">
        <v>11</v>
      </c>
      <c r="DD35">
        <v>0</v>
      </c>
      <c r="DE35">
        <v>0</v>
      </c>
      <c r="DF35">
        <v>53</v>
      </c>
      <c r="DG35">
        <v>119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172</v>
      </c>
      <c r="DT35">
        <v>240</v>
      </c>
      <c r="DU35">
        <v>60</v>
      </c>
      <c r="DV35">
        <v>0</v>
      </c>
      <c r="DW35">
        <v>0</v>
      </c>
      <c r="DX35">
        <v>0</v>
      </c>
      <c r="DY35">
        <v>192</v>
      </c>
      <c r="DZ35">
        <v>160</v>
      </c>
      <c r="EA35">
        <v>432</v>
      </c>
      <c r="EB35">
        <v>800</v>
      </c>
      <c r="EC35">
        <v>16</v>
      </c>
      <c r="ED35">
        <v>240</v>
      </c>
      <c r="EE35">
        <v>1360</v>
      </c>
      <c r="EF35">
        <v>0</v>
      </c>
      <c r="EG35">
        <v>0.25</v>
      </c>
      <c r="EH35">
        <v>0.9</v>
      </c>
      <c r="EI35">
        <v>1.4</v>
      </c>
      <c r="EJ35">
        <v>0.3</v>
      </c>
      <c r="EK35">
        <v>1.1000000000000001</v>
      </c>
    </row>
    <row r="36" spans="1:141" x14ac:dyDescent="0.25">
      <c r="A36" t="str">
        <f>[1]ingredient!B34</f>
        <v>Blumenkohl</v>
      </c>
      <c r="B36" t="s">
        <v>175</v>
      </c>
      <c r="C36" s="7">
        <f>_xlfn.XLOOKUP(A36,[1]ingredient!$B$2:$B$521,[1]ingredient!$A$2:$A$521)</f>
        <v>33</v>
      </c>
      <c r="D36">
        <v>23</v>
      </c>
      <c r="E36">
        <v>0.28000000000000003</v>
      </c>
      <c r="F36">
        <v>2</v>
      </c>
      <c r="G36">
        <v>2</v>
      </c>
      <c r="H36">
        <v>3</v>
      </c>
      <c r="I36">
        <v>2</v>
      </c>
      <c r="J36">
        <v>0.03</v>
      </c>
      <c r="K36">
        <v>91</v>
      </c>
      <c r="L36">
        <v>2</v>
      </c>
      <c r="M36">
        <v>1</v>
      </c>
      <c r="N36">
        <v>0</v>
      </c>
      <c r="O36">
        <v>10</v>
      </c>
      <c r="P36">
        <v>88</v>
      </c>
      <c r="Q36">
        <v>92</v>
      </c>
      <c r="R36">
        <v>600</v>
      </c>
      <c r="S36">
        <v>1167</v>
      </c>
      <c r="T36">
        <v>1010</v>
      </c>
      <c r="U36">
        <v>200</v>
      </c>
      <c r="V36">
        <v>2</v>
      </c>
      <c r="W36">
        <v>52</v>
      </c>
      <c r="X36">
        <v>0</v>
      </c>
      <c r="Y36">
        <v>64000</v>
      </c>
      <c r="Z36">
        <v>0</v>
      </c>
      <c r="AA36">
        <v>70</v>
      </c>
      <c r="AB36">
        <v>31</v>
      </c>
      <c r="AC36">
        <v>13</v>
      </c>
      <c r="AD36">
        <v>282</v>
      </c>
      <c r="AE36">
        <v>22</v>
      </c>
      <c r="AF36">
        <v>15</v>
      </c>
      <c r="AG36">
        <v>49</v>
      </c>
      <c r="AH36">
        <v>55</v>
      </c>
      <c r="AI36">
        <v>19</v>
      </c>
      <c r="AJ36">
        <v>510</v>
      </c>
      <c r="AK36">
        <v>286</v>
      </c>
      <c r="AL36">
        <v>45</v>
      </c>
      <c r="AM36">
        <v>180</v>
      </c>
      <c r="AN36">
        <v>9</v>
      </c>
      <c r="AO36">
        <v>1</v>
      </c>
      <c r="AP36">
        <v>0</v>
      </c>
      <c r="AQ36">
        <v>0</v>
      </c>
      <c r="AR36">
        <v>26</v>
      </c>
      <c r="AS36">
        <v>26</v>
      </c>
      <c r="AT36">
        <v>953</v>
      </c>
      <c r="AU36">
        <v>895</v>
      </c>
      <c r="AV36">
        <v>0</v>
      </c>
      <c r="AW36">
        <v>1848</v>
      </c>
      <c r="AX36">
        <v>205</v>
      </c>
      <c r="AY36">
        <v>0</v>
      </c>
      <c r="AZ36">
        <v>0</v>
      </c>
      <c r="BA36">
        <v>205</v>
      </c>
      <c r="BB36">
        <v>0</v>
      </c>
      <c r="BC36">
        <v>0</v>
      </c>
      <c r="BD36">
        <v>0</v>
      </c>
      <c r="BE36">
        <v>290</v>
      </c>
      <c r="BF36">
        <v>290</v>
      </c>
      <c r="BG36">
        <f t="shared" si="0"/>
        <v>136.58536585365854</v>
      </c>
      <c r="BH36">
        <v>110</v>
      </c>
      <c r="BI36">
        <v>170</v>
      </c>
      <c r="BJ36">
        <v>140</v>
      </c>
      <c r="BK36">
        <v>48</v>
      </c>
      <c r="BL36">
        <v>31</v>
      </c>
      <c r="BM36">
        <v>77</v>
      </c>
      <c r="BN36">
        <v>35</v>
      </c>
      <c r="BO36">
        <v>110</v>
      </c>
      <c r="BP36">
        <v>34</v>
      </c>
      <c r="BQ36">
        <v>150</v>
      </c>
      <c r="BR36">
        <v>110</v>
      </c>
      <c r="BS36">
        <v>49</v>
      </c>
      <c r="BT36">
        <v>1064</v>
      </c>
      <c r="BU36">
        <v>147</v>
      </c>
      <c r="BV36">
        <v>311</v>
      </c>
      <c r="BW36">
        <v>368</v>
      </c>
      <c r="BX36">
        <v>99</v>
      </c>
      <c r="BY36">
        <v>122</v>
      </c>
      <c r="BZ36">
        <v>147</v>
      </c>
      <c r="CA36">
        <v>1194</v>
      </c>
      <c r="CB36">
        <v>51</v>
      </c>
      <c r="CC36">
        <v>21</v>
      </c>
      <c r="CD36">
        <v>109</v>
      </c>
      <c r="CE36">
        <v>29</v>
      </c>
      <c r="CF36">
        <v>0.27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39</v>
      </c>
      <c r="CO36">
        <v>0</v>
      </c>
      <c r="CP36">
        <v>2</v>
      </c>
      <c r="CQ36">
        <v>1</v>
      </c>
      <c r="CR36">
        <v>0</v>
      </c>
      <c r="CS36">
        <v>0</v>
      </c>
      <c r="CT36">
        <v>42</v>
      </c>
      <c r="CU36">
        <v>0</v>
      </c>
      <c r="CV36">
        <v>0</v>
      </c>
      <c r="CW36">
        <v>4</v>
      </c>
      <c r="CX36">
        <v>0</v>
      </c>
      <c r="CY36">
        <v>2</v>
      </c>
      <c r="CZ36">
        <v>1</v>
      </c>
      <c r="DA36">
        <v>0</v>
      </c>
      <c r="DB36">
        <v>0</v>
      </c>
      <c r="DC36">
        <v>7</v>
      </c>
      <c r="DD36">
        <v>0</v>
      </c>
      <c r="DE36">
        <v>0</v>
      </c>
      <c r="DF36">
        <v>29</v>
      </c>
      <c r="DG36">
        <v>109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138</v>
      </c>
      <c r="DT36">
        <v>187</v>
      </c>
      <c r="DU36">
        <v>56</v>
      </c>
      <c r="DV36">
        <v>0</v>
      </c>
      <c r="DW36">
        <v>0</v>
      </c>
      <c r="DX36">
        <v>0</v>
      </c>
      <c r="DY36">
        <v>580</v>
      </c>
      <c r="DZ36">
        <v>435</v>
      </c>
      <c r="EA36">
        <v>580</v>
      </c>
      <c r="EB36">
        <v>770</v>
      </c>
      <c r="EC36">
        <v>9</v>
      </c>
      <c r="ED36">
        <v>490</v>
      </c>
      <c r="EE36">
        <v>2430</v>
      </c>
      <c r="EF36">
        <v>0</v>
      </c>
      <c r="EG36">
        <v>0.22</v>
      </c>
      <c r="EH36">
        <v>0.8</v>
      </c>
      <c r="EI36">
        <v>2.4</v>
      </c>
      <c r="EJ36">
        <v>0.3</v>
      </c>
      <c r="EK36">
        <v>2.4</v>
      </c>
    </row>
    <row r="37" spans="1:141" x14ac:dyDescent="0.25">
      <c r="A37" t="str">
        <f>[1]ingredient!B35</f>
        <v>Blumenkohl gelb</v>
      </c>
      <c r="B37" t="s">
        <v>175</v>
      </c>
      <c r="C37" s="7">
        <f>_xlfn.XLOOKUP(A37,[1]ingredient!$B$2:$B$521,[1]ingredient!$A$2:$A$521)</f>
        <v>34</v>
      </c>
      <c r="D37">
        <v>23</v>
      </c>
      <c r="E37">
        <v>0.28000000000000003</v>
      </c>
      <c r="F37">
        <v>2</v>
      </c>
      <c r="G37">
        <v>2</v>
      </c>
      <c r="H37">
        <v>3</v>
      </c>
      <c r="I37">
        <v>2</v>
      </c>
      <c r="J37">
        <v>0.03</v>
      </c>
      <c r="K37">
        <v>91</v>
      </c>
      <c r="L37">
        <v>2</v>
      </c>
      <c r="M37">
        <v>1</v>
      </c>
      <c r="N37">
        <v>0</v>
      </c>
      <c r="O37">
        <v>10</v>
      </c>
      <c r="P37">
        <v>88</v>
      </c>
      <c r="Q37">
        <v>92</v>
      </c>
      <c r="R37">
        <v>600</v>
      </c>
      <c r="S37">
        <v>1167</v>
      </c>
      <c r="T37">
        <v>1010</v>
      </c>
      <c r="U37">
        <v>200</v>
      </c>
      <c r="V37">
        <v>2</v>
      </c>
      <c r="W37">
        <v>52</v>
      </c>
      <c r="X37">
        <v>0</v>
      </c>
      <c r="Y37">
        <v>64000</v>
      </c>
      <c r="Z37">
        <v>0</v>
      </c>
      <c r="AA37">
        <v>70</v>
      </c>
      <c r="AB37">
        <v>31</v>
      </c>
      <c r="AC37">
        <v>13</v>
      </c>
      <c r="AD37">
        <v>282</v>
      </c>
      <c r="AE37">
        <v>22</v>
      </c>
      <c r="AF37">
        <v>15</v>
      </c>
      <c r="AG37">
        <v>49</v>
      </c>
      <c r="AH37">
        <v>55</v>
      </c>
      <c r="AI37">
        <v>19</v>
      </c>
      <c r="AJ37">
        <v>510</v>
      </c>
      <c r="AK37">
        <v>286</v>
      </c>
      <c r="AL37">
        <v>45</v>
      </c>
      <c r="AM37">
        <v>180</v>
      </c>
      <c r="AN37">
        <v>9</v>
      </c>
      <c r="AO37">
        <v>1</v>
      </c>
      <c r="AP37">
        <v>0</v>
      </c>
      <c r="AQ37">
        <v>0</v>
      </c>
      <c r="AR37">
        <v>26</v>
      </c>
      <c r="AS37">
        <v>26</v>
      </c>
      <c r="AT37">
        <v>953</v>
      </c>
      <c r="AU37">
        <v>895</v>
      </c>
      <c r="AV37">
        <v>0</v>
      </c>
      <c r="AW37">
        <v>1848</v>
      </c>
      <c r="AX37">
        <v>205</v>
      </c>
      <c r="AY37">
        <v>0</v>
      </c>
      <c r="AZ37">
        <v>0</v>
      </c>
      <c r="BA37">
        <v>205</v>
      </c>
      <c r="BB37">
        <v>0</v>
      </c>
      <c r="BC37">
        <v>0</v>
      </c>
      <c r="BD37">
        <v>0</v>
      </c>
      <c r="BE37">
        <v>290</v>
      </c>
      <c r="BF37">
        <v>290</v>
      </c>
      <c r="BG37">
        <f t="shared" si="0"/>
        <v>136.58536585365854</v>
      </c>
      <c r="BH37">
        <v>110</v>
      </c>
      <c r="BI37">
        <v>170</v>
      </c>
      <c r="BJ37">
        <v>140</v>
      </c>
      <c r="BK37">
        <v>48</v>
      </c>
      <c r="BL37">
        <v>31</v>
      </c>
      <c r="BM37">
        <v>77</v>
      </c>
      <c r="BN37">
        <v>35</v>
      </c>
      <c r="BO37">
        <v>110</v>
      </c>
      <c r="BP37">
        <v>34</v>
      </c>
      <c r="BQ37">
        <v>150</v>
      </c>
      <c r="BR37">
        <v>110</v>
      </c>
      <c r="BS37">
        <v>49</v>
      </c>
      <c r="BT37">
        <v>1064</v>
      </c>
      <c r="BU37">
        <v>147</v>
      </c>
      <c r="BV37">
        <v>311</v>
      </c>
      <c r="BW37">
        <v>368</v>
      </c>
      <c r="BX37">
        <v>99</v>
      </c>
      <c r="BY37">
        <v>122</v>
      </c>
      <c r="BZ37">
        <v>147</v>
      </c>
      <c r="CA37">
        <v>1194</v>
      </c>
      <c r="CB37">
        <v>51</v>
      </c>
      <c r="CC37">
        <v>21</v>
      </c>
      <c r="CD37">
        <v>109</v>
      </c>
      <c r="CE37">
        <v>29</v>
      </c>
      <c r="CF37">
        <v>0.27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39</v>
      </c>
      <c r="CO37">
        <v>0</v>
      </c>
      <c r="CP37">
        <v>2</v>
      </c>
      <c r="CQ37">
        <v>1</v>
      </c>
      <c r="CR37">
        <v>0</v>
      </c>
      <c r="CS37">
        <v>0</v>
      </c>
      <c r="CT37">
        <v>42</v>
      </c>
      <c r="CU37">
        <v>0</v>
      </c>
      <c r="CV37">
        <v>0</v>
      </c>
      <c r="CW37">
        <v>4</v>
      </c>
      <c r="CX37">
        <v>0</v>
      </c>
      <c r="CY37">
        <v>2</v>
      </c>
      <c r="CZ37">
        <v>1</v>
      </c>
      <c r="DA37">
        <v>0</v>
      </c>
      <c r="DB37">
        <v>0</v>
      </c>
      <c r="DC37">
        <v>7</v>
      </c>
      <c r="DD37">
        <v>0</v>
      </c>
      <c r="DE37">
        <v>0</v>
      </c>
      <c r="DF37">
        <v>29</v>
      </c>
      <c r="DG37">
        <v>109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138</v>
      </c>
      <c r="DT37">
        <v>187</v>
      </c>
      <c r="DU37">
        <v>56</v>
      </c>
      <c r="DV37">
        <v>0</v>
      </c>
      <c r="DW37">
        <v>0</v>
      </c>
      <c r="DX37">
        <v>0</v>
      </c>
      <c r="DY37">
        <v>580</v>
      </c>
      <c r="DZ37">
        <v>435</v>
      </c>
      <c r="EA37">
        <v>580</v>
      </c>
      <c r="EB37">
        <v>770</v>
      </c>
      <c r="EC37">
        <v>9</v>
      </c>
      <c r="ED37">
        <v>490</v>
      </c>
      <c r="EE37">
        <v>2430</v>
      </c>
      <c r="EF37">
        <v>0</v>
      </c>
      <c r="EG37">
        <v>0.22</v>
      </c>
      <c r="EH37">
        <v>0.8</v>
      </c>
      <c r="EI37">
        <v>2.4</v>
      </c>
      <c r="EJ37">
        <v>0.3</v>
      </c>
      <c r="EK37">
        <v>2.4</v>
      </c>
    </row>
    <row r="38" spans="1:141" x14ac:dyDescent="0.25">
      <c r="A38" t="str">
        <f>[1]ingredient!B36</f>
        <v>Blumenkohl grün</v>
      </c>
      <c r="B38" t="s">
        <v>175</v>
      </c>
      <c r="C38" s="7">
        <f>_xlfn.XLOOKUP(A38,[1]ingredient!$B$2:$B$521,[1]ingredient!$A$2:$A$521)</f>
        <v>35</v>
      </c>
      <c r="D38">
        <v>23</v>
      </c>
      <c r="E38">
        <v>0.28000000000000003</v>
      </c>
      <c r="F38">
        <v>2</v>
      </c>
      <c r="G38">
        <v>2</v>
      </c>
      <c r="H38">
        <v>3</v>
      </c>
      <c r="I38">
        <v>2</v>
      </c>
      <c r="J38">
        <v>0.03</v>
      </c>
      <c r="K38">
        <v>91</v>
      </c>
      <c r="L38">
        <v>2</v>
      </c>
      <c r="M38">
        <v>1</v>
      </c>
      <c r="N38">
        <v>0</v>
      </c>
      <c r="O38">
        <v>10</v>
      </c>
      <c r="P38">
        <v>88</v>
      </c>
      <c r="Q38">
        <v>92</v>
      </c>
      <c r="R38">
        <v>600</v>
      </c>
      <c r="S38">
        <v>1167</v>
      </c>
      <c r="T38">
        <v>1010</v>
      </c>
      <c r="U38">
        <v>200</v>
      </c>
      <c r="V38">
        <v>2</v>
      </c>
      <c r="W38">
        <v>52</v>
      </c>
      <c r="X38">
        <v>0</v>
      </c>
      <c r="Y38">
        <v>64000</v>
      </c>
      <c r="Z38">
        <v>0</v>
      </c>
      <c r="AA38">
        <v>70</v>
      </c>
      <c r="AB38">
        <v>31</v>
      </c>
      <c r="AC38">
        <v>13</v>
      </c>
      <c r="AD38">
        <v>282</v>
      </c>
      <c r="AE38">
        <v>22</v>
      </c>
      <c r="AF38">
        <v>15</v>
      </c>
      <c r="AG38">
        <v>49</v>
      </c>
      <c r="AH38">
        <v>55</v>
      </c>
      <c r="AI38">
        <v>19</v>
      </c>
      <c r="AJ38">
        <v>510</v>
      </c>
      <c r="AK38">
        <v>286</v>
      </c>
      <c r="AL38">
        <v>45</v>
      </c>
      <c r="AM38">
        <v>180</v>
      </c>
      <c r="AN38">
        <v>9</v>
      </c>
      <c r="AO38">
        <v>1</v>
      </c>
      <c r="AP38">
        <v>0</v>
      </c>
      <c r="AQ38">
        <v>0</v>
      </c>
      <c r="AR38">
        <v>26</v>
      </c>
      <c r="AS38">
        <v>26</v>
      </c>
      <c r="AT38">
        <v>953</v>
      </c>
      <c r="AU38">
        <v>895</v>
      </c>
      <c r="AV38">
        <v>0</v>
      </c>
      <c r="AW38">
        <v>1848</v>
      </c>
      <c r="AX38">
        <v>205</v>
      </c>
      <c r="AY38">
        <v>0</v>
      </c>
      <c r="AZ38">
        <v>0</v>
      </c>
      <c r="BA38">
        <v>205</v>
      </c>
      <c r="BB38">
        <v>0</v>
      </c>
      <c r="BC38">
        <v>0</v>
      </c>
      <c r="BD38">
        <v>0</v>
      </c>
      <c r="BE38">
        <v>290</v>
      </c>
      <c r="BF38">
        <v>290</v>
      </c>
      <c r="BG38">
        <f t="shared" si="0"/>
        <v>136.58536585365854</v>
      </c>
      <c r="BH38">
        <v>110</v>
      </c>
      <c r="BI38">
        <v>170</v>
      </c>
      <c r="BJ38">
        <v>140</v>
      </c>
      <c r="BK38">
        <v>48</v>
      </c>
      <c r="BL38">
        <v>31</v>
      </c>
      <c r="BM38">
        <v>77</v>
      </c>
      <c r="BN38">
        <v>35</v>
      </c>
      <c r="BO38">
        <v>110</v>
      </c>
      <c r="BP38">
        <v>34</v>
      </c>
      <c r="BQ38">
        <v>150</v>
      </c>
      <c r="BR38">
        <v>110</v>
      </c>
      <c r="BS38">
        <v>49</v>
      </c>
      <c r="BT38">
        <v>1064</v>
      </c>
      <c r="BU38">
        <v>147</v>
      </c>
      <c r="BV38">
        <v>311</v>
      </c>
      <c r="BW38">
        <v>368</v>
      </c>
      <c r="BX38">
        <v>99</v>
      </c>
      <c r="BY38">
        <v>122</v>
      </c>
      <c r="BZ38">
        <v>147</v>
      </c>
      <c r="CA38">
        <v>1194</v>
      </c>
      <c r="CB38">
        <v>51</v>
      </c>
      <c r="CC38">
        <v>21</v>
      </c>
      <c r="CD38">
        <v>109</v>
      </c>
      <c r="CE38">
        <v>29</v>
      </c>
      <c r="CF38">
        <v>0.27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39</v>
      </c>
      <c r="CO38">
        <v>0</v>
      </c>
      <c r="CP38">
        <v>2</v>
      </c>
      <c r="CQ38">
        <v>1</v>
      </c>
      <c r="CR38">
        <v>0</v>
      </c>
      <c r="CS38">
        <v>0</v>
      </c>
      <c r="CT38">
        <v>42</v>
      </c>
      <c r="CU38">
        <v>0</v>
      </c>
      <c r="CV38">
        <v>0</v>
      </c>
      <c r="CW38">
        <v>4</v>
      </c>
      <c r="CX38">
        <v>0</v>
      </c>
      <c r="CY38">
        <v>2</v>
      </c>
      <c r="CZ38">
        <v>1</v>
      </c>
      <c r="DA38">
        <v>0</v>
      </c>
      <c r="DB38">
        <v>0</v>
      </c>
      <c r="DC38">
        <v>7</v>
      </c>
      <c r="DD38">
        <v>0</v>
      </c>
      <c r="DE38">
        <v>0</v>
      </c>
      <c r="DF38">
        <v>29</v>
      </c>
      <c r="DG38">
        <v>109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138</v>
      </c>
      <c r="DT38">
        <v>187</v>
      </c>
      <c r="DU38">
        <v>56</v>
      </c>
      <c r="DV38">
        <v>0</v>
      </c>
      <c r="DW38">
        <v>0</v>
      </c>
      <c r="DX38">
        <v>0</v>
      </c>
      <c r="DY38">
        <v>580</v>
      </c>
      <c r="DZ38">
        <v>435</v>
      </c>
      <c r="EA38">
        <v>580</v>
      </c>
      <c r="EB38">
        <v>770</v>
      </c>
      <c r="EC38">
        <v>9</v>
      </c>
      <c r="ED38">
        <v>490</v>
      </c>
      <c r="EE38">
        <v>2430</v>
      </c>
      <c r="EF38">
        <v>0</v>
      </c>
      <c r="EG38">
        <v>0.22</v>
      </c>
      <c r="EH38">
        <v>0.8</v>
      </c>
      <c r="EI38">
        <v>2.4</v>
      </c>
      <c r="EJ38">
        <v>0.3</v>
      </c>
      <c r="EK38">
        <v>2.4</v>
      </c>
    </row>
    <row r="39" spans="1:141" x14ac:dyDescent="0.25">
      <c r="A39" t="str">
        <f>[1]ingredient!B37</f>
        <v>Blumenkohl violett</v>
      </c>
      <c r="B39" t="s">
        <v>175</v>
      </c>
      <c r="C39" s="7">
        <f>_xlfn.XLOOKUP(A39,[1]ingredient!$B$2:$B$521,[1]ingredient!$A$2:$A$521)</f>
        <v>36</v>
      </c>
      <c r="D39">
        <v>23</v>
      </c>
      <c r="E39">
        <v>0.28000000000000003</v>
      </c>
      <c r="F39">
        <v>2</v>
      </c>
      <c r="G39">
        <v>2</v>
      </c>
      <c r="H39">
        <v>3</v>
      </c>
      <c r="I39">
        <v>2</v>
      </c>
      <c r="J39">
        <v>0.03</v>
      </c>
      <c r="K39">
        <v>91</v>
      </c>
      <c r="L39">
        <v>2</v>
      </c>
      <c r="M39">
        <v>1</v>
      </c>
      <c r="N39">
        <v>0</v>
      </c>
      <c r="O39">
        <v>10</v>
      </c>
      <c r="P39">
        <v>88</v>
      </c>
      <c r="Q39">
        <v>92</v>
      </c>
      <c r="R39">
        <v>600</v>
      </c>
      <c r="S39">
        <v>1167</v>
      </c>
      <c r="T39">
        <v>1010</v>
      </c>
      <c r="U39">
        <v>200</v>
      </c>
      <c r="V39">
        <v>2</v>
      </c>
      <c r="W39">
        <v>52</v>
      </c>
      <c r="X39">
        <v>0</v>
      </c>
      <c r="Y39">
        <v>64000</v>
      </c>
      <c r="Z39">
        <v>0</v>
      </c>
      <c r="AA39">
        <v>70</v>
      </c>
      <c r="AB39">
        <v>31</v>
      </c>
      <c r="AC39">
        <v>13</v>
      </c>
      <c r="AD39">
        <v>282</v>
      </c>
      <c r="AE39">
        <v>22</v>
      </c>
      <c r="AF39">
        <v>15</v>
      </c>
      <c r="AG39">
        <v>49</v>
      </c>
      <c r="AH39">
        <v>55</v>
      </c>
      <c r="AI39">
        <v>19</v>
      </c>
      <c r="AJ39">
        <v>510</v>
      </c>
      <c r="AK39">
        <v>286</v>
      </c>
      <c r="AL39">
        <v>45</v>
      </c>
      <c r="AM39">
        <v>180</v>
      </c>
      <c r="AN39">
        <v>9</v>
      </c>
      <c r="AO39">
        <v>1</v>
      </c>
      <c r="AP39">
        <v>0</v>
      </c>
      <c r="AQ39">
        <v>0</v>
      </c>
      <c r="AR39">
        <v>26</v>
      </c>
      <c r="AS39">
        <v>26</v>
      </c>
      <c r="AT39">
        <v>953</v>
      </c>
      <c r="AU39">
        <v>895</v>
      </c>
      <c r="AV39">
        <v>0</v>
      </c>
      <c r="AW39">
        <v>1848</v>
      </c>
      <c r="AX39">
        <v>205</v>
      </c>
      <c r="AY39">
        <v>0</v>
      </c>
      <c r="AZ39">
        <v>0</v>
      </c>
      <c r="BA39">
        <v>205</v>
      </c>
      <c r="BB39">
        <v>0</v>
      </c>
      <c r="BC39">
        <v>0</v>
      </c>
      <c r="BD39">
        <v>0</v>
      </c>
      <c r="BE39">
        <v>290</v>
      </c>
      <c r="BF39">
        <v>290</v>
      </c>
      <c r="BG39">
        <f t="shared" si="0"/>
        <v>136.58536585365854</v>
      </c>
      <c r="BH39">
        <v>110</v>
      </c>
      <c r="BI39">
        <v>170</v>
      </c>
      <c r="BJ39">
        <v>140</v>
      </c>
      <c r="BK39">
        <v>48</v>
      </c>
      <c r="BL39">
        <v>31</v>
      </c>
      <c r="BM39">
        <v>77</v>
      </c>
      <c r="BN39">
        <v>35</v>
      </c>
      <c r="BO39">
        <v>110</v>
      </c>
      <c r="BP39">
        <v>34</v>
      </c>
      <c r="BQ39">
        <v>150</v>
      </c>
      <c r="BR39">
        <v>110</v>
      </c>
      <c r="BS39">
        <v>49</v>
      </c>
      <c r="BT39">
        <v>1064</v>
      </c>
      <c r="BU39">
        <v>147</v>
      </c>
      <c r="BV39">
        <v>311</v>
      </c>
      <c r="BW39">
        <v>368</v>
      </c>
      <c r="BX39">
        <v>99</v>
      </c>
      <c r="BY39">
        <v>122</v>
      </c>
      <c r="BZ39">
        <v>147</v>
      </c>
      <c r="CA39">
        <v>1194</v>
      </c>
      <c r="CB39">
        <v>51</v>
      </c>
      <c r="CC39">
        <v>21</v>
      </c>
      <c r="CD39">
        <v>109</v>
      </c>
      <c r="CE39">
        <v>29</v>
      </c>
      <c r="CF39">
        <v>0.27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39</v>
      </c>
      <c r="CO39">
        <v>0</v>
      </c>
      <c r="CP39">
        <v>2</v>
      </c>
      <c r="CQ39">
        <v>1</v>
      </c>
      <c r="CR39">
        <v>0</v>
      </c>
      <c r="CS39">
        <v>0</v>
      </c>
      <c r="CT39">
        <v>42</v>
      </c>
      <c r="CU39">
        <v>0</v>
      </c>
      <c r="CV39">
        <v>0</v>
      </c>
      <c r="CW39">
        <v>4</v>
      </c>
      <c r="CX39">
        <v>0</v>
      </c>
      <c r="CY39">
        <v>2</v>
      </c>
      <c r="CZ39">
        <v>1</v>
      </c>
      <c r="DA39">
        <v>0</v>
      </c>
      <c r="DB39">
        <v>0</v>
      </c>
      <c r="DC39">
        <v>7</v>
      </c>
      <c r="DD39">
        <v>0</v>
      </c>
      <c r="DE39">
        <v>0</v>
      </c>
      <c r="DF39">
        <v>29</v>
      </c>
      <c r="DG39">
        <v>109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138</v>
      </c>
      <c r="DT39">
        <v>187</v>
      </c>
      <c r="DU39">
        <v>56</v>
      </c>
      <c r="DV39">
        <v>0</v>
      </c>
      <c r="DW39">
        <v>0</v>
      </c>
      <c r="DX39">
        <v>0</v>
      </c>
      <c r="DY39">
        <v>580</v>
      </c>
      <c r="DZ39">
        <v>435</v>
      </c>
      <c r="EA39">
        <v>580</v>
      </c>
      <c r="EB39">
        <v>770</v>
      </c>
      <c r="EC39">
        <v>9</v>
      </c>
      <c r="ED39">
        <v>490</v>
      </c>
      <c r="EE39">
        <v>2430</v>
      </c>
      <c r="EF39">
        <v>0</v>
      </c>
      <c r="EG39">
        <v>0.22</v>
      </c>
      <c r="EH39">
        <v>0.8</v>
      </c>
      <c r="EI39">
        <v>2.4</v>
      </c>
      <c r="EJ39">
        <v>0.3</v>
      </c>
      <c r="EK39">
        <v>2.4</v>
      </c>
    </row>
    <row r="40" spans="1:141" x14ac:dyDescent="0.25">
      <c r="A40" t="str">
        <f>[1]ingredient!B38</f>
        <v>Blumenkohl, gefroren</v>
      </c>
      <c r="B40" s="11" t="s">
        <v>176</v>
      </c>
      <c r="C40" s="7"/>
      <c r="D40"/>
    </row>
    <row r="41" spans="1:141" x14ac:dyDescent="0.25">
      <c r="A41" t="str">
        <f>[1]ingredient!B39</f>
        <v>Blutorangen</v>
      </c>
      <c r="B41" t="s">
        <v>177</v>
      </c>
      <c r="C41" s="7">
        <f>_xlfn.XLOOKUP(A41,[1]ingredient!$B$2:$B$521,[1]ingredient!$A$2:$A$521)</f>
        <v>38</v>
      </c>
      <c r="D41">
        <v>43</v>
      </c>
      <c r="E41">
        <v>0.2</v>
      </c>
      <c r="F41">
        <v>1</v>
      </c>
      <c r="G41">
        <v>8</v>
      </c>
      <c r="H41">
        <v>2</v>
      </c>
      <c r="I41">
        <v>8</v>
      </c>
      <c r="J41">
        <v>0.01</v>
      </c>
      <c r="K41">
        <v>87</v>
      </c>
      <c r="L41">
        <v>9</v>
      </c>
      <c r="M41">
        <v>4</v>
      </c>
      <c r="N41">
        <v>0</v>
      </c>
      <c r="O41">
        <v>52</v>
      </c>
      <c r="P41">
        <v>79</v>
      </c>
      <c r="Q41">
        <v>42</v>
      </c>
      <c r="R41">
        <v>300</v>
      </c>
      <c r="S41">
        <v>450</v>
      </c>
      <c r="T41">
        <v>240</v>
      </c>
      <c r="U41">
        <v>104</v>
      </c>
      <c r="V41">
        <v>2</v>
      </c>
      <c r="W41">
        <v>22</v>
      </c>
      <c r="X41">
        <v>0</v>
      </c>
      <c r="Y41">
        <v>45480</v>
      </c>
      <c r="Z41">
        <v>0</v>
      </c>
      <c r="AA41">
        <v>320</v>
      </c>
      <c r="AB41">
        <v>0</v>
      </c>
      <c r="AC41">
        <v>1</v>
      </c>
      <c r="AD41">
        <v>164</v>
      </c>
      <c r="AE41">
        <v>40</v>
      </c>
      <c r="AF41">
        <v>12</v>
      </c>
      <c r="AG41">
        <v>20</v>
      </c>
      <c r="AH41">
        <v>9</v>
      </c>
      <c r="AI41">
        <v>4</v>
      </c>
      <c r="AJ41">
        <v>186</v>
      </c>
      <c r="AK41">
        <v>63</v>
      </c>
      <c r="AL41">
        <v>51</v>
      </c>
      <c r="AM41">
        <v>35</v>
      </c>
      <c r="AN41">
        <v>5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2280</v>
      </c>
      <c r="AU41">
        <v>2571</v>
      </c>
      <c r="AV41">
        <v>0</v>
      </c>
      <c r="AW41">
        <v>4851</v>
      </c>
      <c r="AX41">
        <v>3399</v>
      </c>
      <c r="AY41">
        <v>0</v>
      </c>
      <c r="AZ41">
        <v>0</v>
      </c>
      <c r="BA41">
        <v>3399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f t="shared" si="0"/>
        <v>65.217391304347828</v>
      </c>
      <c r="BH41">
        <v>27</v>
      </c>
      <c r="BI41">
        <v>43</v>
      </c>
      <c r="BJ41">
        <v>52</v>
      </c>
      <c r="BK41">
        <v>11</v>
      </c>
      <c r="BL41">
        <v>4</v>
      </c>
      <c r="BM41">
        <v>27</v>
      </c>
      <c r="BN41">
        <v>17</v>
      </c>
      <c r="BO41">
        <v>27</v>
      </c>
      <c r="BP41">
        <v>9</v>
      </c>
      <c r="BQ41">
        <v>44</v>
      </c>
      <c r="BR41">
        <v>97</v>
      </c>
      <c r="BS41">
        <v>16</v>
      </c>
      <c r="BT41">
        <v>374</v>
      </c>
      <c r="BU41">
        <v>39</v>
      </c>
      <c r="BV41">
        <v>162</v>
      </c>
      <c r="BW41">
        <v>88</v>
      </c>
      <c r="BX41">
        <v>31</v>
      </c>
      <c r="BY41">
        <v>251</v>
      </c>
      <c r="BZ41">
        <v>57</v>
      </c>
      <c r="CA41">
        <v>628</v>
      </c>
      <c r="CB41">
        <v>19</v>
      </c>
      <c r="CC41">
        <v>8</v>
      </c>
      <c r="CD41">
        <v>25</v>
      </c>
      <c r="CE41">
        <v>51</v>
      </c>
      <c r="CF41">
        <v>2.04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1</v>
      </c>
      <c r="CM41">
        <v>0</v>
      </c>
      <c r="CN41">
        <v>24</v>
      </c>
      <c r="CO41">
        <v>0</v>
      </c>
      <c r="CP41">
        <v>3</v>
      </c>
      <c r="CQ41">
        <v>0</v>
      </c>
      <c r="CR41">
        <v>0</v>
      </c>
      <c r="CS41">
        <v>0</v>
      </c>
      <c r="CT41">
        <v>29</v>
      </c>
      <c r="CU41">
        <v>0</v>
      </c>
      <c r="CV41">
        <v>0</v>
      </c>
      <c r="CW41">
        <v>9</v>
      </c>
      <c r="CX41">
        <v>0</v>
      </c>
      <c r="CY41">
        <v>46</v>
      </c>
      <c r="CZ41">
        <v>1</v>
      </c>
      <c r="DA41">
        <v>0</v>
      </c>
      <c r="DB41">
        <v>0</v>
      </c>
      <c r="DC41">
        <v>56</v>
      </c>
      <c r="DD41">
        <v>0</v>
      </c>
      <c r="DE41">
        <v>0</v>
      </c>
      <c r="DF41">
        <v>51</v>
      </c>
      <c r="DG41">
        <v>25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76</v>
      </c>
      <c r="DT41">
        <v>161</v>
      </c>
      <c r="DU41">
        <v>40</v>
      </c>
      <c r="DV41">
        <v>0</v>
      </c>
      <c r="DW41">
        <v>0</v>
      </c>
      <c r="DX41">
        <v>0</v>
      </c>
      <c r="DY41">
        <v>440</v>
      </c>
      <c r="DZ41">
        <v>330</v>
      </c>
      <c r="EA41">
        <v>660</v>
      </c>
      <c r="EB41">
        <v>440</v>
      </c>
      <c r="EC41">
        <v>330</v>
      </c>
      <c r="ED41">
        <v>600</v>
      </c>
      <c r="EE41">
        <v>1000</v>
      </c>
      <c r="EF41">
        <v>0</v>
      </c>
      <c r="EG41">
        <v>1</v>
      </c>
      <c r="EH41">
        <v>0.5</v>
      </c>
      <c r="EI41">
        <v>1</v>
      </c>
      <c r="EJ41">
        <v>0.2</v>
      </c>
      <c r="EK41">
        <v>1.1000000000000001</v>
      </c>
    </row>
    <row r="42" spans="1:141" x14ac:dyDescent="0.25">
      <c r="A42" t="str">
        <f>[1]ingredient!B40</f>
        <v>Bohnenkraut</v>
      </c>
      <c r="B42" t="s">
        <v>178</v>
      </c>
      <c r="C42" s="7">
        <f>_xlfn.XLOOKUP(A42,[1]ingredient!$B$2:$B$521,[1]ingredient!$A$2:$A$521)</f>
        <v>39</v>
      </c>
      <c r="D42">
        <v>298</v>
      </c>
      <c r="E42">
        <v>6</v>
      </c>
      <c r="F42">
        <v>7</v>
      </c>
      <c r="G42">
        <v>54</v>
      </c>
      <c r="H42">
        <v>15</v>
      </c>
      <c r="I42">
        <v>53</v>
      </c>
      <c r="J42">
        <v>0.22</v>
      </c>
      <c r="K42">
        <v>8</v>
      </c>
      <c r="L42">
        <v>517</v>
      </c>
      <c r="M42">
        <v>258</v>
      </c>
      <c r="N42">
        <v>0</v>
      </c>
      <c r="O42">
        <v>3100</v>
      </c>
      <c r="P42">
        <v>366</v>
      </c>
      <c r="Q42">
        <v>0</v>
      </c>
      <c r="R42">
        <v>4080</v>
      </c>
      <c r="S42">
        <v>5197</v>
      </c>
      <c r="T42">
        <v>0</v>
      </c>
      <c r="U42">
        <v>0</v>
      </c>
      <c r="V42">
        <v>0</v>
      </c>
      <c r="W42">
        <v>0</v>
      </c>
      <c r="X42">
        <v>0</v>
      </c>
      <c r="Y42">
        <v>60000</v>
      </c>
      <c r="Z42">
        <v>0</v>
      </c>
      <c r="AA42">
        <v>0</v>
      </c>
      <c r="AB42">
        <v>0</v>
      </c>
      <c r="AC42">
        <v>24</v>
      </c>
      <c r="AD42">
        <v>1051</v>
      </c>
      <c r="AE42">
        <v>2132</v>
      </c>
      <c r="AF42">
        <v>377</v>
      </c>
      <c r="AG42">
        <v>140</v>
      </c>
      <c r="AH42">
        <v>100</v>
      </c>
      <c r="AI42">
        <v>200</v>
      </c>
      <c r="AJ42">
        <v>37880</v>
      </c>
      <c r="AK42">
        <v>4300</v>
      </c>
      <c r="AL42">
        <v>1000</v>
      </c>
      <c r="AM42">
        <v>5000</v>
      </c>
      <c r="AN42">
        <v>400</v>
      </c>
      <c r="AO42">
        <v>5</v>
      </c>
      <c r="AP42">
        <v>0</v>
      </c>
      <c r="AQ42">
        <v>0</v>
      </c>
      <c r="AR42">
        <v>0</v>
      </c>
      <c r="AS42">
        <v>0</v>
      </c>
      <c r="AT42">
        <v>21400</v>
      </c>
      <c r="AU42">
        <v>21400</v>
      </c>
      <c r="AV42">
        <v>0</v>
      </c>
      <c r="AW42">
        <v>42800</v>
      </c>
      <c r="AX42">
        <v>10165</v>
      </c>
      <c r="AY42">
        <v>0</v>
      </c>
      <c r="AZ42">
        <v>0</v>
      </c>
      <c r="BA42">
        <v>10165</v>
      </c>
      <c r="BB42">
        <v>0</v>
      </c>
      <c r="BC42">
        <v>0</v>
      </c>
      <c r="BD42">
        <v>0</v>
      </c>
      <c r="BE42">
        <v>535</v>
      </c>
      <c r="BF42">
        <v>535</v>
      </c>
      <c r="BG42">
        <f t="shared" si="0"/>
        <v>90.178571428571431</v>
      </c>
      <c r="BH42">
        <v>269</v>
      </c>
      <c r="BI42">
        <v>404</v>
      </c>
      <c r="BJ42">
        <v>337</v>
      </c>
      <c r="BK42">
        <v>81</v>
      </c>
      <c r="BL42">
        <v>67</v>
      </c>
      <c r="BM42">
        <v>202</v>
      </c>
      <c r="BN42">
        <v>135</v>
      </c>
      <c r="BO42">
        <v>236</v>
      </c>
      <c r="BP42">
        <v>67</v>
      </c>
      <c r="BQ42">
        <v>269</v>
      </c>
      <c r="BR42">
        <v>269</v>
      </c>
      <c r="BS42">
        <v>101</v>
      </c>
      <c r="BT42">
        <v>2437</v>
      </c>
      <c r="BU42">
        <v>337</v>
      </c>
      <c r="BV42">
        <v>673</v>
      </c>
      <c r="BW42">
        <v>1009</v>
      </c>
      <c r="BX42">
        <v>188</v>
      </c>
      <c r="BY42">
        <v>269</v>
      </c>
      <c r="BZ42">
        <v>202</v>
      </c>
      <c r="CA42">
        <v>2678</v>
      </c>
      <c r="CB42">
        <v>101</v>
      </c>
      <c r="CC42">
        <v>42</v>
      </c>
      <c r="CD42">
        <v>1418</v>
      </c>
      <c r="CE42">
        <v>1891</v>
      </c>
      <c r="CF42">
        <v>1.33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24</v>
      </c>
      <c r="CM42">
        <v>0</v>
      </c>
      <c r="CN42">
        <v>922</v>
      </c>
      <c r="CO42">
        <v>0</v>
      </c>
      <c r="CP42">
        <v>142</v>
      </c>
      <c r="CQ42">
        <v>0</v>
      </c>
      <c r="CR42">
        <v>0</v>
      </c>
      <c r="CS42">
        <v>0</v>
      </c>
      <c r="CT42">
        <v>1088</v>
      </c>
      <c r="CU42">
        <v>0</v>
      </c>
      <c r="CV42">
        <v>0</v>
      </c>
      <c r="CW42">
        <v>47</v>
      </c>
      <c r="CX42">
        <v>0</v>
      </c>
      <c r="CY42">
        <v>284</v>
      </c>
      <c r="CZ42">
        <v>0</v>
      </c>
      <c r="DA42">
        <v>0</v>
      </c>
      <c r="DB42">
        <v>0</v>
      </c>
      <c r="DC42">
        <v>331</v>
      </c>
      <c r="DD42">
        <v>0</v>
      </c>
      <c r="DE42">
        <v>0</v>
      </c>
      <c r="DF42">
        <v>1891</v>
      </c>
      <c r="DG42">
        <v>1418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3309</v>
      </c>
      <c r="DT42">
        <v>4728</v>
      </c>
      <c r="DU42">
        <v>1182</v>
      </c>
      <c r="DV42">
        <v>0</v>
      </c>
      <c r="DW42">
        <v>0</v>
      </c>
      <c r="DX42">
        <v>0</v>
      </c>
      <c r="DY42">
        <v>2295</v>
      </c>
      <c r="DZ42">
        <v>3060</v>
      </c>
      <c r="EA42">
        <v>4131</v>
      </c>
      <c r="EB42">
        <v>5355</v>
      </c>
      <c r="EC42">
        <v>459</v>
      </c>
      <c r="ED42">
        <v>4590</v>
      </c>
      <c r="EE42">
        <v>10710</v>
      </c>
      <c r="EF42">
        <v>0</v>
      </c>
      <c r="EG42">
        <v>0.47</v>
      </c>
      <c r="EH42">
        <v>9.6</v>
      </c>
      <c r="EI42">
        <v>10.7</v>
      </c>
      <c r="EJ42">
        <v>5.9</v>
      </c>
      <c r="EK42">
        <v>5.4</v>
      </c>
    </row>
    <row r="43" spans="1:141" x14ac:dyDescent="0.25">
      <c r="A43" t="s">
        <v>179</v>
      </c>
      <c r="B43" t="s">
        <v>180</v>
      </c>
      <c r="C43" s="7">
        <f>_xlfn.XLOOKUP(A43,[1]ingredient!$B$2:$B$521,[1]ingredient!$A$2:$A$521)</f>
        <v>40</v>
      </c>
      <c r="D43">
        <v>20</v>
      </c>
      <c r="E43">
        <v>0.3</v>
      </c>
      <c r="F43">
        <v>1</v>
      </c>
      <c r="G43">
        <v>3</v>
      </c>
      <c r="H43">
        <v>4</v>
      </c>
      <c r="I43">
        <v>3</v>
      </c>
      <c r="J43">
        <v>0.02</v>
      </c>
      <c r="K43">
        <v>91</v>
      </c>
      <c r="L43">
        <v>180</v>
      </c>
      <c r="M43">
        <v>45</v>
      </c>
      <c r="N43">
        <v>0</v>
      </c>
      <c r="O43">
        <v>535</v>
      </c>
      <c r="P43">
        <v>52</v>
      </c>
      <c r="Q43">
        <v>43</v>
      </c>
      <c r="R43">
        <v>330</v>
      </c>
      <c r="S43">
        <v>530</v>
      </c>
      <c r="T43">
        <v>230</v>
      </c>
      <c r="U43">
        <v>270</v>
      </c>
      <c r="V43">
        <v>3</v>
      </c>
      <c r="W43">
        <v>18</v>
      </c>
      <c r="X43">
        <v>0</v>
      </c>
      <c r="Y43">
        <v>139000</v>
      </c>
      <c r="Z43">
        <v>0</v>
      </c>
      <c r="AA43">
        <v>2519</v>
      </c>
      <c r="AB43">
        <v>14</v>
      </c>
      <c r="AC43">
        <v>3</v>
      </c>
      <c r="AD43">
        <v>177</v>
      </c>
      <c r="AE43">
        <v>11</v>
      </c>
      <c r="AF43">
        <v>12</v>
      </c>
      <c r="AG43">
        <v>29</v>
      </c>
      <c r="AH43">
        <v>21</v>
      </c>
      <c r="AI43">
        <v>19</v>
      </c>
      <c r="AJ43">
        <v>750</v>
      </c>
      <c r="AK43">
        <v>180</v>
      </c>
      <c r="AL43">
        <v>71</v>
      </c>
      <c r="AM43">
        <v>100</v>
      </c>
      <c r="AN43">
        <v>20</v>
      </c>
      <c r="AO43">
        <v>2</v>
      </c>
      <c r="AP43">
        <v>0</v>
      </c>
      <c r="AQ43">
        <v>0</v>
      </c>
      <c r="AR43">
        <v>0</v>
      </c>
      <c r="AS43">
        <v>0</v>
      </c>
      <c r="AT43">
        <v>1455</v>
      </c>
      <c r="AU43">
        <v>1193</v>
      </c>
      <c r="AV43">
        <v>0</v>
      </c>
      <c r="AW43">
        <v>2648</v>
      </c>
      <c r="AX43">
        <v>116</v>
      </c>
      <c r="AY43">
        <v>0</v>
      </c>
      <c r="AZ43">
        <v>0</v>
      </c>
      <c r="BA43">
        <v>116</v>
      </c>
      <c r="BB43">
        <v>0</v>
      </c>
      <c r="BC43">
        <v>0</v>
      </c>
      <c r="BD43">
        <v>0</v>
      </c>
      <c r="BE43">
        <v>146</v>
      </c>
      <c r="BF43">
        <v>146</v>
      </c>
      <c r="BG43">
        <f t="shared" si="0"/>
        <v>88.52459016393442</v>
      </c>
      <c r="BH43">
        <v>39</v>
      </c>
      <c r="BI43">
        <v>54</v>
      </c>
      <c r="BJ43">
        <v>50</v>
      </c>
      <c r="BK43">
        <v>11</v>
      </c>
      <c r="BL43">
        <v>21</v>
      </c>
      <c r="BM43">
        <v>44</v>
      </c>
      <c r="BN43">
        <v>23</v>
      </c>
      <c r="BO43">
        <v>41</v>
      </c>
      <c r="BP43">
        <v>12</v>
      </c>
      <c r="BQ43">
        <v>42</v>
      </c>
      <c r="BR43">
        <v>44</v>
      </c>
      <c r="BS43">
        <v>18</v>
      </c>
      <c r="BT43">
        <v>399</v>
      </c>
      <c r="BU43">
        <v>47</v>
      </c>
      <c r="BV43">
        <v>166</v>
      </c>
      <c r="BW43">
        <v>159</v>
      </c>
      <c r="BX43">
        <v>42</v>
      </c>
      <c r="BY43">
        <v>47</v>
      </c>
      <c r="BZ43">
        <v>53</v>
      </c>
      <c r="CA43">
        <v>514</v>
      </c>
      <c r="CB43">
        <v>10</v>
      </c>
      <c r="CC43">
        <v>4</v>
      </c>
      <c r="CD43">
        <v>29</v>
      </c>
      <c r="CE43">
        <v>138</v>
      </c>
      <c r="CF43">
        <v>4.76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</v>
      </c>
      <c r="CM43">
        <v>0</v>
      </c>
      <c r="CN43">
        <v>37</v>
      </c>
      <c r="CO43">
        <v>0</v>
      </c>
      <c r="CP43">
        <v>10</v>
      </c>
      <c r="CQ43">
        <v>0</v>
      </c>
      <c r="CR43">
        <v>0</v>
      </c>
      <c r="CS43">
        <v>0</v>
      </c>
      <c r="CT43">
        <v>54</v>
      </c>
      <c r="CU43">
        <v>0</v>
      </c>
      <c r="CV43">
        <v>0</v>
      </c>
      <c r="CW43">
        <v>1</v>
      </c>
      <c r="CX43">
        <v>0</v>
      </c>
      <c r="CY43">
        <v>18</v>
      </c>
      <c r="CZ43">
        <v>0</v>
      </c>
      <c r="DA43">
        <v>0</v>
      </c>
      <c r="DB43">
        <v>0</v>
      </c>
      <c r="DC43">
        <v>19</v>
      </c>
      <c r="DD43">
        <v>0</v>
      </c>
      <c r="DE43">
        <v>0</v>
      </c>
      <c r="DF43">
        <v>138</v>
      </c>
      <c r="DG43">
        <v>29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167</v>
      </c>
      <c r="DT43">
        <v>240</v>
      </c>
      <c r="DU43">
        <v>60</v>
      </c>
      <c r="DV43">
        <v>0</v>
      </c>
      <c r="DW43">
        <v>0</v>
      </c>
      <c r="DX43">
        <v>0</v>
      </c>
      <c r="DY43">
        <v>251</v>
      </c>
      <c r="DZ43">
        <v>431</v>
      </c>
      <c r="EA43">
        <v>1257</v>
      </c>
      <c r="EB43">
        <v>1149</v>
      </c>
      <c r="EC43">
        <v>503</v>
      </c>
      <c r="ED43">
        <v>539</v>
      </c>
      <c r="EE43">
        <v>3052</v>
      </c>
      <c r="EF43">
        <v>0</v>
      </c>
      <c r="EG43">
        <v>0.32</v>
      </c>
      <c r="EH43">
        <v>0.6</v>
      </c>
      <c r="EI43">
        <v>3.1</v>
      </c>
      <c r="EJ43">
        <v>0.3</v>
      </c>
      <c r="EK43">
        <v>0.9</v>
      </c>
    </row>
    <row r="44" spans="1:141" x14ac:dyDescent="0.25">
      <c r="A44" t="str">
        <f>[1]ingredient!B42</f>
        <v>Braunhirse</v>
      </c>
      <c r="B44" t="s">
        <v>181</v>
      </c>
      <c r="C44" s="7">
        <f>_xlfn.XLOOKUP(A44,[1]ingredient!$B$2:$B$521,[1]ingredient!$A$2:$A$521)</f>
        <v>41</v>
      </c>
      <c r="D44">
        <v>331</v>
      </c>
      <c r="E44">
        <v>4</v>
      </c>
      <c r="F44">
        <v>10</v>
      </c>
      <c r="G44">
        <v>64</v>
      </c>
      <c r="H44">
        <v>13</v>
      </c>
      <c r="I44">
        <v>1</v>
      </c>
      <c r="J44">
        <v>0.05</v>
      </c>
      <c r="K44">
        <v>7</v>
      </c>
      <c r="L44">
        <v>0</v>
      </c>
      <c r="M44">
        <v>0</v>
      </c>
      <c r="N44">
        <v>0</v>
      </c>
      <c r="O44">
        <v>0</v>
      </c>
      <c r="P44">
        <v>260</v>
      </c>
      <c r="Q44">
        <v>140</v>
      </c>
      <c r="R44">
        <v>1800</v>
      </c>
      <c r="S44">
        <v>4250</v>
      </c>
      <c r="T44">
        <v>1200</v>
      </c>
      <c r="U44">
        <v>750</v>
      </c>
      <c r="V44">
        <v>1</v>
      </c>
      <c r="W44">
        <v>32</v>
      </c>
      <c r="X44">
        <v>0</v>
      </c>
      <c r="Y44">
        <v>0</v>
      </c>
      <c r="Z44">
        <v>0</v>
      </c>
      <c r="AA44">
        <v>50</v>
      </c>
      <c r="AB44">
        <v>1</v>
      </c>
      <c r="AC44">
        <v>3</v>
      </c>
      <c r="AD44">
        <v>430</v>
      </c>
      <c r="AE44">
        <v>20</v>
      </c>
      <c r="AF44">
        <v>170</v>
      </c>
      <c r="AG44">
        <v>310</v>
      </c>
      <c r="AH44">
        <v>140</v>
      </c>
      <c r="AI44">
        <v>50</v>
      </c>
      <c r="AJ44">
        <v>9000</v>
      </c>
      <c r="AK44">
        <v>2240</v>
      </c>
      <c r="AL44">
        <v>490</v>
      </c>
      <c r="AM44">
        <v>710</v>
      </c>
      <c r="AN44">
        <v>40</v>
      </c>
      <c r="AO44">
        <v>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1280</v>
      </c>
      <c r="AY44">
        <v>0</v>
      </c>
      <c r="AZ44">
        <v>0</v>
      </c>
      <c r="BA44">
        <v>1280</v>
      </c>
      <c r="BB44">
        <v>640</v>
      </c>
      <c r="BC44">
        <v>330</v>
      </c>
      <c r="BD44">
        <v>0</v>
      </c>
      <c r="BE44">
        <v>62080</v>
      </c>
      <c r="BF44">
        <v>62080</v>
      </c>
      <c r="BG44">
        <f t="shared" si="0"/>
        <v>47.083333333333336</v>
      </c>
      <c r="BH44">
        <v>460</v>
      </c>
      <c r="BI44">
        <v>1146</v>
      </c>
      <c r="BJ44">
        <v>226</v>
      </c>
      <c r="BK44">
        <v>206</v>
      </c>
      <c r="BL44">
        <v>128</v>
      </c>
      <c r="BM44">
        <v>382</v>
      </c>
      <c r="BN44">
        <v>226</v>
      </c>
      <c r="BO44">
        <v>343</v>
      </c>
      <c r="BP44">
        <v>147</v>
      </c>
      <c r="BQ44">
        <v>509</v>
      </c>
      <c r="BR44">
        <v>304</v>
      </c>
      <c r="BS44">
        <v>166</v>
      </c>
      <c r="BT44">
        <v>4243</v>
      </c>
      <c r="BU44">
        <v>1116</v>
      </c>
      <c r="BV44">
        <v>529</v>
      </c>
      <c r="BW44">
        <v>1910</v>
      </c>
      <c r="BX44">
        <v>255</v>
      </c>
      <c r="BY44">
        <v>911</v>
      </c>
      <c r="BZ44">
        <v>637</v>
      </c>
      <c r="CA44">
        <v>5358</v>
      </c>
      <c r="CB44">
        <v>66</v>
      </c>
      <c r="CC44">
        <v>28</v>
      </c>
      <c r="CD44">
        <v>105</v>
      </c>
      <c r="CE44">
        <v>1434</v>
      </c>
      <c r="CF44">
        <v>13.66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</v>
      </c>
      <c r="CM44">
        <v>0</v>
      </c>
      <c r="CN44">
        <v>607</v>
      </c>
      <c r="CO44">
        <v>0</v>
      </c>
      <c r="CP44">
        <v>155</v>
      </c>
      <c r="CQ44">
        <v>31</v>
      </c>
      <c r="CR44">
        <v>0</v>
      </c>
      <c r="CS44">
        <v>0</v>
      </c>
      <c r="CT44">
        <v>802</v>
      </c>
      <c r="CU44">
        <v>0</v>
      </c>
      <c r="CV44">
        <v>0</v>
      </c>
      <c r="CW44">
        <v>15</v>
      </c>
      <c r="CX44">
        <v>0</v>
      </c>
      <c r="CY44">
        <v>740</v>
      </c>
      <c r="CZ44">
        <v>0</v>
      </c>
      <c r="DA44">
        <v>0</v>
      </c>
      <c r="DB44">
        <v>0</v>
      </c>
      <c r="DC44">
        <v>755</v>
      </c>
      <c r="DD44">
        <v>0</v>
      </c>
      <c r="DE44">
        <v>0</v>
      </c>
      <c r="DF44">
        <v>1434</v>
      </c>
      <c r="DG44">
        <v>105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1539</v>
      </c>
      <c r="DT44">
        <v>3096</v>
      </c>
      <c r="DU44">
        <v>504</v>
      </c>
      <c r="DV44">
        <v>0</v>
      </c>
      <c r="DW44">
        <v>0</v>
      </c>
      <c r="DX44">
        <v>0</v>
      </c>
      <c r="DY44">
        <v>1430</v>
      </c>
      <c r="DZ44">
        <v>6760</v>
      </c>
      <c r="EA44">
        <v>2080</v>
      </c>
      <c r="EB44">
        <v>1690</v>
      </c>
      <c r="EC44">
        <v>1040</v>
      </c>
      <c r="ED44">
        <v>4810</v>
      </c>
      <c r="EE44">
        <v>8190</v>
      </c>
      <c r="EF44">
        <v>0</v>
      </c>
      <c r="EG44">
        <v>0</v>
      </c>
      <c r="EH44">
        <v>2</v>
      </c>
      <c r="EI44">
        <v>8.1999999999999993</v>
      </c>
      <c r="EJ44">
        <v>3.6</v>
      </c>
      <c r="EK44">
        <v>9.8000000000000007</v>
      </c>
    </row>
    <row r="45" spans="1:141" x14ac:dyDescent="0.25">
      <c r="A45" t="str">
        <f>[1]ingredient!B43</f>
        <v>Brechbohnen, gefroren</v>
      </c>
      <c r="B45" t="s">
        <v>182</v>
      </c>
      <c r="C45" s="7">
        <f>_xlfn.XLOOKUP(A45,[1]ingredient!$B$2:$B$521,[1]ingredient!$A$2:$A$521)</f>
        <v>42</v>
      </c>
      <c r="D45">
        <v>27</v>
      </c>
      <c r="E45">
        <v>0.26</v>
      </c>
      <c r="F45">
        <v>3</v>
      </c>
      <c r="G45">
        <v>3</v>
      </c>
      <c r="H45">
        <v>3</v>
      </c>
      <c r="I45">
        <v>1</v>
      </c>
      <c r="J45">
        <v>0.02</v>
      </c>
      <c r="K45">
        <v>88</v>
      </c>
      <c r="L45">
        <v>59</v>
      </c>
      <c r="M45">
        <v>27</v>
      </c>
      <c r="N45">
        <v>0</v>
      </c>
      <c r="O45">
        <v>324</v>
      </c>
      <c r="P45">
        <v>76</v>
      </c>
      <c r="Q45">
        <v>119</v>
      </c>
      <c r="R45">
        <v>564</v>
      </c>
      <c r="S45">
        <v>1097</v>
      </c>
      <c r="T45">
        <v>522</v>
      </c>
      <c r="U45">
        <v>262</v>
      </c>
      <c r="V45">
        <v>8</v>
      </c>
      <c r="W45">
        <v>34</v>
      </c>
      <c r="X45">
        <v>0</v>
      </c>
      <c r="Y45">
        <v>14295</v>
      </c>
      <c r="Z45">
        <v>0</v>
      </c>
      <c r="AA45">
        <v>145</v>
      </c>
      <c r="AB45">
        <v>24</v>
      </c>
      <c r="AC45">
        <v>2</v>
      </c>
      <c r="AD45">
        <v>245</v>
      </c>
      <c r="AE45">
        <v>56</v>
      </c>
      <c r="AF45">
        <v>25</v>
      </c>
      <c r="AG45">
        <v>37</v>
      </c>
      <c r="AH45">
        <v>16</v>
      </c>
      <c r="AI45">
        <v>19</v>
      </c>
      <c r="AJ45">
        <v>821</v>
      </c>
      <c r="AK45">
        <v>332</v>
      </c>
      <c r="AL45">
        <v>84</v>
      </c>
      <c r="AM45">
        <v>376</v>
      </c>
      <c r="AN45">
        <v>12</v>
      </c>
      <c r="AO45">
        <v>3</v>
      </c>
      <c r="AP45">
        <v>0</v>
      </c>
      <c r="AQ45">
        <v>0</v>
      </c>
      <c r="AR45">
        <v>0</v>
      </c>
      <c r="AS45">
        <v>0</v>
      </c>
      <c r="AT45">
        <v>451</v>
      </c>
      <c r="AU45">
        <v>585</v>
      </c>
      <c r="AV45">
        <v>0</v>
      </c>
      <c r="AW45">
        <v>1036</v>
      </c>
      <c r="AX45">
        <v>201</v>
      </c>
      <c r="AY45">
        <v>0</v>
      </c>
      <c r="AZ45">
        <v>0</v>
      </c>
      <c r="BA45">
        <v>201</v>
      </c>
      <c r="BB45">
        <v>669</v>
      </c>
      <c r="BC45">
        <v>1759</v>
      </c>
      <c r="BD45">
        <v>0</v>
      </c>
      <c r="BE45">
        <v>1337</v>
      </c>
      <c r="BF45">
        <v>1337</v>
      </c>
      <c r="BG45">
        <f t="shared" si="0"/>
        <v>86.956521739130437</v>
      </c>
      <c r="BH45">
        <v>106</v>
      </c>
      <c r="BI45">
        <v>164</v>
      </c>
      <c r="BJ45">
        <v>150</v>
      </c>
      <c r="BK45">
        <v>34</v>
      </c>
      <c r="BL45">
        <v>26</v>
      </c>
      <c r="BM45">
        <v>100</v>
      </c>
      <c r="BN45">
        <v>74</v>
      </c>
      <c r="BO45">
        <v>100</v>
      </c>
      <c r="BP45">
        <v>32</v>
      </c>
      <c r="BQ45">
        <v>140</v>
      </c>
      <c r="BR45">
        <v>110</v>
      </c>
      <c r="BS45">
        <v>58</v>
      </c>
      <c r="BT45">
        <v>1094</v>
      </c>
      <c r="BU45">
        <v>115</v>
      </c>
      <c r="BV45">
        <v>316</v>
      </c>
      <c r="BW45">
        <v>282</v>
      </c>
      <c r="BX45">
        <v>100</v>
      </c>
      <c r="BY45">
        <v>106</v>
      </c>
      <c r="BZ45">
        <v>142</v>
      </c>
      <c r="CA45">
        <v>1061</v>
      </c>
      <c r="CB45">
        <v>46</v>
      </c>
      <c r="CC45">
        <v>19</v>
      </c>
      <c r="CD45">
        <v>86</v>
      </c>
      <c r="CE45">
        <v>60</v>
      </c>
      <c r="CF45">
        <v>0.7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47</v>
      </c>
      <c r="CO45">
        <v>0</v>
      </c>
      <c r="CP45">
        <v>9</v>
      </c>
      <c r="CQ45">
        <v>0</v>
      </c>
      <c r="CR45">
        <v>0</v>
      </c>
      <c r="CS45">
        <v>0</v>
      </c>
      <c r="CT45">
        <v>56</v>
      </c>
      <c r="CU45">
        <v>0</v>
      </c>
      <c r="CV45">
        <v>0</v>
      </c>
      <c r="CW45">
        <v>1</v>
      </c>
      <c r="CX45">
        <v>0</v>
      </c>
      <c r="CY45">
        <v>8</v>
      </c>
      <c r="CZ45">
        <v>0</v>
      </c>
      <c r="DA45">
        <v>0</v>
      </c>
      <c r="DB45">
        <v>0</v>
      </c>
      <c r="DC45">
        <v>9</v>
      </c>
      <c r="DD45">
        <v>0</v>
      </c>
      <c r="DE45">
        <v>0</v>
      </c>
      <c r="DF45">
        <v>60</v>
      </c>
      <c r="DG45">
        <v>86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146</v>
      </c>
      <c r="DT45">
        <v>211</v>
      </c>
      <c r="DU45">
        <v>53</v>
      </c>
      <c r="DV45">
        <v>0</v>
      </c>
      <c r="DW45">
        <v>0</v>
      </c>
      <c r="DX45">
        <v>0</v>
      </c>
      <c r="DY45">
        <v>429</v>
      </c>
      <c r="DZ45">
        <v>1155</v>
      </c>
      <c r="EA45">
        <v>429</v>
      </c>
      <c r="EB45">
        <v>1220</v>
      </c>
      <c r="EC45">
        <v>66</v>
      </c>
      <c r="ED45">
        <v>1649</v>
      </c>
      <c r="EE45">
        <v>1649</v>
      </c>
      <c r="EF45">
        <v>0</v>
      </c>
      <c r="EG45">
        <v>0.22</v>
      </c>
      <c r="EH45">
        <v>0.8</v>
      </c>
      <c r="EI45">
        <v>1.6</v>
      </c>
      <c r="EJ45">
        <v>0.3</v>
      </c>
      <c r="EK45">
        <v>2.2999999999999998</v>
      </c>
    </row>
    <row r="46" spans="1:141" x14ac:dyDescent="0.25">
      <c r="A46" t="str">
        <f>[1]ingredient!B44</f>
        <v>Brokkoli</v>
      </c>
      <c r="B46" t="s">
        <v>183</v>
      </c>
      <c r="C46" s="7">
        <f>_xlfn.XLOOKUP(A46,[1]ingredient!$B$2:$B$521,[1]ingredient!$A$2:$A$521)</f>
        <v>43</v>
      </c>
      <c r="D46">
        <v>28</v>
      </c>
      <c r="E46">
        <v>0.2</v>
      </c>
      <c r="F46">
        <v>4</v>
      </c>
      <c r="G46">
        <v>3</v>
      </c>
      <c r="H46">
        <v>3</v>
      </c>
      <c r="I46">
        <v>3</v>
      </c>
      <c r="J46">
        <v>0.1</v>
      </c>
      <c r="K46">
        <v>89</v>
      </c>
      <c r="L46">
        <v>142</v>
      </c>
      <c r="M46">
        <v>71</v>
      </c>
      <c r="N46">
        <v>0</v>
      </c>
      <c r="O46">
        <v>850</v>
      </c>
      <c r="P46">
        <v>102</v>
      </c>
      <c r="Q46">
        <v>178</v>
      </c>
      <c r="R46">
        <v>1000</v>
      </c>
      <c r="S46">
        <v>1617</v>
      </c>
      <c r="T46">
        <v>1290</v>
      </c>
      <c r="U46">
        <v>280</v>
      </c>
      <c r="V46">
        <v>1</v>
      </c>
      <c r="W46">
        <v>39</v>
      </c>
      <c r="X46">
        <v>0</v>
      </c>
      <c r="Y46">
        <v>94000</v>
      </c>
      <c r="Z46">
        <v>0</v>
      </c>
      <c r="AA46">
        <v>607</v>
      </c>
      <c r="AB46">
        <v>179</v>
      </c>
      <c r="AC46">
        <v>23</v>
      </c>
      <c r="AD46">
        <v>256</v>
      </c>
      <c r="AE46">
        <v>58</v>
      </c>
      <c r="AF46">
        <v>18</v>
      </c>
      <c r="AG46">
        <v>63</v>
      </c>
      <c r="AH46">
        <v>130</v>
      </c>
      <c r="AI46">
        <v>78</v>
      </c>
      <c r="AJ46">
        <v>823</v>
      </c>
      <c r="AK46">
        <v>464</v>
      </c>
      <c r="AL46">
        <v>56</v>
      </c>
      <c r="AM46">
        <v>469</v>
      </c>
      <c r="AN46">
        <v>10</v>
      </c>
      <c r="AO46">
        <v>15</v>
      </c>
      <c r="AP46">
        <v>0</v>
      </c>
      <c r="AQ46">
        <v>400</v>
      </c>
      <c r="AR46">
        <v>0</v>
      </c>
      <c r="AS46">
        <v>400</v>
      </c>
      <c r="AT46">
        <v>1070</v>
      </c>
      <c r="AU46">
        <v>1101</v>
      </c>
      <c r="AV46">
        <v>0</v>
      </c>
      <c r="AW46">
        <v>2171</v>
      </c>
      <c r="AX46">
        <v>491</v>
      </c>
      <c r="AY46">
        <v>0</v>
      </c>
      <c r="AZ46">
        <v>0</v>
      </c>
      <c r="BA46">
        <v>491</v>
      </c>
      <c r="BB46">
        <v>0</v>
      </c>
      <c r="BC46">
        <v>0</v>
      </c>
      <c r="BD46">
        <v>0</v>
      </c>
      <c r="BE46">
        <v>133</v>
      </c>
      <c r="BF46">
        <v>133</v>
      </c>
      <c r="BG46">
        <f t="shared" si="0"/>
        <v>65.573770491803273</v>
      </c>
      <c r="BH46">
        <v>130</v>
      </c>
      <c r="BI46">
        <v>160</v>
      </c>
      <c r="BJ46">
        <v>150</v>
      </c>
      <c r="BK46">
        <v>50</v>
      </c>
      <c r="BL46">
        <v>53</v>
      </c>
      <c r="BM46">
        <v>120</v>
      </c>
      <c r="BN46">
        <v>110</v>
      </c>
      <c r="BO46">
        <v>120</v>
      </c>
      <c r="BP46">
        <v>37</v>
      </c>
      <c r="BQ46">
        <v>170</v>
      </c>
      <c r="BR46">
        <v>190</v>
      </c>
      <c r="BS46">
        <v>63</v>
      </c>
      <c r="BT46">
        <v>1353</v>
      </c>
      <c r="BU46">
        <v>204</v>
      </c>
      <c r="BV46">
        <v>373</v>
      </c>
      <c r="BW46">
        <v>667</v>
      </c>
      <c r="BX46">
        <v>163</v>
      </c>
      <c r="BY46">
        <v>200</v>
      </c>
      <c r="BZ46">
        <v>174</v>
      </c>
      <c r="CA46">
        <v>1781</v>
      </c>
      <c r="CB46">
        <v>81</v>
      </c>
      <c r="CC46">
        <v>27</v>
      </c>
      <c r="CD46">
        <v>88</v>
      </c>
      <c r="CE46">
        <v>20</v>
      </c>
      <c r="CF46">
        <v>0.23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33</v>
      </c>
      <c r="CO46">
        <v>0</v>
      </c>
      <c r="CP46">
        <v>4</v>
      </c>
      <c r="CQ46">
        <v>0</v>
      </c>
      <c r="CR46">
        <v>0</v>
      </c>
      <c r="CS46">
        <v>0</v>
      </c>
      <c r="CT46">
        <v>37</v>
      </c>
      <c r="CU46">
        <v>0</v>
      </c>
      <c r="CV46">
        <v>0</v>
      </c>
      <c r="CW46">
        <v>0</v>
      </c>
      <c r="CX46">
        <v>0</v>
      </c>
      <c r="CY46">
        <v>15</v>
      </c>
      <c r="CZ46">
        <v>0</v>
      </c>
      <c r="DA46">
        <v>0</v>
      </c>
      <c r="DB46">
        <v>0</v>
      </c>
      <c r="DC46">
        <v>15</v>
      </c>
      <c r="DD46">
        <v>0</v>
      </c>
      <c r="DE46">
        <v>0</v>
      </c>
      <c r="DF46">
        <v>20</v>
      </c>
      <c r="DG46">
        <v>88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108</v>
      </c>
      <c r="DT46">
        <v>160</v>
      </c>
      <c r="DU46">
        <v>40</v>
      </c>
      <c r="DV46">
        <v>0</v>
      </c>
      <c r="DW46">
        <v>0</v>
      </c>
      <c r="DX46">
        <v>0</v>
      </c>
      <c r="DY46">
        <v>600</v>
      </c>
      <c r="DZ46">
        <v>450</v>
      </c>
      <c r="EA46">
        <v>600</v>
      </c>
      <c r="EB46">
        <v>400</v>
      </c>
      <c r="EC46">
        <v>30</v>
      </c>
      <c r="ED46">
        <v>1300</v>
      </c>
      <c r="EE46">
        <v>1700</v>
      </c>
      <c r="EF46">
        <v>0</v>
      </c>
      <c r="EG46">
        <v>0.33</v>
      </c>
      <c r="EH46">
        <v>1.1000000000000001</v>
      </c>
      <c r="EI46">
        <v>1.7</v>
      </c>
      <c r="EJ46">
        <v>0.2</v>
      </c>
      <c r="EK46">
        <v>3.4</v>
      </c>
    </row>
    <row r="47" spans="1:141" x14ac:dyDescent="0.25">
      <c r="A47" t="str">
        <f>[1]ingredient!B46</f>
        <v>Brokkoli-Sprossen</v>
      </c>
      <c r="B47" s="8" t="s">
        <v>176</v>
      </c>
      <c r="C47" s="7">
        <f>_xlfn.XLOOKUP(A47,[1]ingredient!$B$2:$B$521,[1]ingredient!$A$2:$A$521)</f>
        <v>45</v>
      </c>
      <c r="D47">
        <v>42</v>
      </c>
      <c r="E47">
        <v>0.4</v>
      </c>
      <c r="F47">
        <v>3.7</v>
      </c>
      <c r="G47">
        <v>5</v>
      </c>
      <c r="H47">
        <v>2.9</v>
      </c>
      <c r="I47">
        <v>0</v>
      </c>
      <c r="J47">
        <v>0</v>
      </c>
      <c r="K47">
        <v>90</v>
      </c>
      <c r="P47">
        <v>100</v>
      </c>
      <c r="R47">
        <v>2340</v>
      </c>
      <c r="U47">
        <v>118</v>
      </c>
      <c r="Y47">
        <v>89000</v>
      </c>
      <c r="AC47">
        <v>7500</v>
      </c>
      <c r="AD47">
        <v>47</v>
      </c>
      <c r="AE47">
        <v>67700</v>
      </c>
      <c r="AF47">
        <v>44010</v>
      </c>
      <c r="AG47">
        <v>102600</v>
      </c>
      <c r="AJ47">
        <v>570</v>
      </c>
      <c r="BG47">
        <f t="shared" si="0"/>
        <v>0</v>
      </c>
    </row>
    <row r="48" spans="1:141" x14ac:dyDescent="0.25">
      <c r="A48" t="str">
        <f>[1]ingredient!B47</f>
        <v>Brombeeren</v>
      </c>
      <c r="B48" t="s">
        <v>184</v>
      </c>
      <c r="C48" s="7">
        <f>_xlfn.XLOOKUP(A48,[1]ingredient!$B$2:$B$521,[1]ingredient!$A$2:$A$521)</f>
        <v>46</v>
      </c>
      <c r="D48">
        <v>30</v>
      </c>
      <c r="E48">
        <v>1</v>
      </c>
      <c r="F48">
        <v>1</v>
      </c>
      <c r="G48">
        <v>3</v>
      </c>
      <c r="H48">
        <v>7</v>
      </c>
      <c r="I48">
        <v>3</v>
      </c>
      <c r="J48">
        <v>0.02</v>
      </c>
      <c r="K48">
        <v>86</v>
      </c>
      <c r="L48">
        <v>45</v>
      </c>
      <c r="M48">
        <v>23</v>
      </c>
      <c r="N48">
        <v>0</v>
      </c>
      <c r="O48">
        <v>270</v>
      </c>
      <c r="P48">
        <v>30</v>
      </c>
      <c r="Q48">
        <v>40</v>
      </c>
      <c r="R48">
        <v>400</v>
      </c>
      <c r="S48">
        <v>600</v>
      </c>
      <c r="T48">
        <v>220</v>
      </c>
      <c r="U48">
        <v>50</v>
      </c>
      <c r="V48">
        <v>0.4</v>
      </c>
      <c r="W48">
        <v>34</v>
      </c>
      <c r="X48">
        <v>0</v>
      </c>
      <c r="Y48">
        <v>17000</v>
      </c>
      <c r="Z48">
        <v>0</v>
      </c>
      <c r="AA48">
        <v>720</v>
      </c>
      <c r="AB48">
        <v>10</v>
      </c>
      <c r="AC48">
        <v>3</v>
      </c>
      <c r="AD48">
        <v>190</v>
      </c>
      <c r="AE48">
        <v>45</v>
      </c>
      <c r="AF48">
        <v>30</v>
      </c>
      <c r="AG48">
        <v>30</v>
      </c>
      <c r="AH48">
        <v>12</v>
      </c>
      <c r="AI48">
        <v>20</v>
      </c>
      <c r="AJ48">
        <v>900</v>
      </c>
      <c r="AK48">
        <v>190</v>
      </c>
      <c r="AL48">
        <v>108</v>
      </c>
      <c r="AM48">
        <v>849</v>
      </c>
      <c r="AN48">
        <v>24</v>
      </c>
      <c r="AO48">
        <v>0.4</v>
      </c>
      <c r="AP48">
        <v>0</v>
      </c>
      <c r="AQ48">
        <v>0</v>
      </c>
      <c r="AR48">
        <v>0</v>
      </c>
      <c r="AS48">
        <v>0</v>
      </c>
      <c r="AT48">
        <v>1280</v>
      </c>
      <c r="AU48">
        <v>1347</v>
      </c>
      <c r="AV48">
        <v>0</v>
      </c>
      <c r="AW48">
        <v>2627</v>
      </c>
      <c r="AX48">
        <v>73</v>
      </c>
      <c r="AY48">
        <v>0</v>
      </c>
      <c r="AZ48">
        <v>0</v>
      </c>
      <c r="BA48">
        <v>73</v>
      </c>
      <c r="BB48">
        <v>0</v>
      </c>
      <c r="BC48">
        <v>0</v>
      </c>
      <c r="BD48">
        <v>0</v>
      </c>
      <c r="BE48">
        <v>0</v>
      </c>
      <c r="BF48">
        <v>0</v>
      </c>
      <c r="BG48">
        <f t="shared" si="0"/>
        <v>62.5</v>
      </c>
      <c r="BH48">
        <v>24</v>
      </c>
      <c r="BI48">
        <v>54</v>
      </c>
      <c r="BJ48">
        <v>30</v>
      </c>
      <c r="BK48">
        <v>18</v>
      </c>
      <c r="BL48">
        <v>12</v>
      </c>
      <c r="BM48">
        <v>36</v>
      </c>
      <c r="BN48">
        <v>24</v>
      </c>
      <c r="BO48">
        <v>36</v>
      </c>
      <c r="BP48">
        <v>12</v>
      </c>
      <c r="BQ48">
        <v>42</v>
      </c>
      <c r="BR48">
        <v>66</v>
      </c>
      <c r="BS48">
        <v>30</v>
      </c>
      <c r="BT48">
        <v>384</v>
      </c>
      <c r="BU48">
        <v>54</v>
      </c>
      <c r="BV48">
        <v>174</v>
      </c>
      <c r="BW48">
        <v>192</v>
      </c>
      <c r="BX48">
        <v>48</v>
      </c>
      <c r="BY48">
        <v>42</v>
      </c>
      <c r="BZ48">
        <v>48</v>
      </c>
      <c r="CA48">
        <v>558</v>
      </c>
      <c r="CB48">
        <v>15</v>
      </c>
      <c r="CC48">
        <v>6</v>
      </c>
      <c r="CD48">
        <v>256</v>
      </c>
      <c r="CE48">
        <v>360</v>
      </c>
      <c r="CF48">
        <v>1.41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44</v>
      </c>
      <c r="CO48">
        <v>0</v>
      </c>
      <c r="CP48">
        <v>16</v>
      </c>
      <c r="CQ48">
        <v>0</v>
      </c>
      <c r="CR48">
        <v>0</v>
      </c>
      <c r="CS48">
        <v>0</v>
      </c>
      <c r="CT48">
        <v>60</v>
      </c>
      <c r="CU48">
        <v>0</v>
      </c>
      <c r="CV48">
        <v>0</v>
      </c>
      <c r="CW48">
        <v>4</v>
      </c>
      <c r="CX48">
        <v>0</v>
      </c>
      <c r="CY48">
        <v>120</v>
      </c>
      <c r="CZ48">
        <v>0</v>
      </c>
      <c r="DA48">
        <v>0</v>
      </c>
      <c r="DB48">
        <v>0</v>
      </c>
      <c r="DC48">
        <v>124</v>
      </c>
      <c r="DD48">
        <v>0</v>
      </c>
      <c r="DE48">
        <v>0</v>
      </c>
      <c r="DF48">
        <v>360</v>
      </c>
      <c r="DG48">
        <v>256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616</v>
      </c>
      <c r="DT48">
        <v>800</v>
      </c>
      <c r="DU48">
        <v>200</v>
      </c>
      <c r="DV48">
        <v>0</v>
      </c>
      <c r="DW48">
        <v>0</v>
      </c>
      <c r="DX48">
        <v>0</v>
      </c>
      <c r="DY48">
        <v>2244</v>
      </c>
      <c r="DZ48">
        <v>1624</v>
      </c>
      <c r="EA48">
        <v>1003</v>
      </c>
      <c r="EB48">
        <v>1201</v>
      </c>
      <c r="EC48">
        <v>528</v>
      </c>
      <c r="ED48">
        <v>2006</v>
      </c>
      <c r="EE48">
        <v>4594</v>
      </c>
      <c r="EF48">
        <v>0</v>
      </c>
      <c r="EG48">
        <v>2</v>
      </c>
      <c r="EH48">
        <v>0.5</v>
      </c>
      <c r="EI48">
        <v>4.5999999999999996</v>
      </c>
      <c r="EJ48">
        <v>1</v>
      </c>
      <c r="EK48">
        <v>1</v>
      </c>
    </row>
    <row r="49" spans="1:141" x14ac:dyDescent="0.25">
      <c r="A49" t="str">
        <f>[1]ingredient!B48</f>
        <v>Brunnenkresse</v>
      </c>
      <c r="B49" t="s">
        <v>185</v>
      </c>
      <c r="C49" s="7">
        <f>_xlfn.XLOOKUP(A49,[1]ingredient!$B$2:$B$521,[1]ingredient!$A$2:$A$521)</f>
        <v>47</v>
      </c>
      <c r="D49">
        <v>19</v>
      </c>
      <c r="E49">
        <v>0.3</v>
      </c>
      <c r="F49">
        <v>2</v>
      </c>
      <c r="G49">
        <v>2</v>
      </c>
      <c r="H49">
        <v>1</v>
      </c>
      <c r="I49">
        <v>2</v>
      </c>
      <c r="J49">
        <v>0.12</v>
      </c>
      <c r="K49">
        <v>93</v>
      </c>
      <c r="L49">
        <v>823</v>
      </c>
      <c r="M49">
        <v>411</v>
      </c>
      <c r="N49">
        <v>0</v>
      </c>
      <c r="O49">
        <v>4936</v>
      </c>
      <c r="P49">
        <v>85</v>
      </c>
      <c r="Q49">
        <v>170</v>
      </c>
      <c r="R49">
        <v>650</v>
      </c>
      <c r="S49">
        <v>1083</v>
      </c>
      <c r="T49">
        <v>100</v>
      </c>
      <c r="U49">
        <v>130</v>
      </c>
      <c r="V49">
        <v>0.4</v>
      </c>
      <c r="W49">
        <v>40</v>
      </c>
      <c r="X49">
        <v>0</v>
      </c>
      <c r="Y49">
        <v>62000</v>
      </c>
      <c r="Z49">
        <v>0</v>
      </c>
      <c r="AA49">
        <v>1000</v>
      </c>
      <c r="AB49">
        <v>250</v>
      </c>
      <c r="AC49">
        <v>12</v>
      </c>
      <c r="AD49">
        <v>276</v>
      </c>
      <c r="AE49">
        <v>180</v>
      </c>
      <c r="AF49">
        <v>34</v>
      </c>
      <c r="AG49">
        <v>64</v>
      </c>
      <c r="AH49">
        <v>100</v>
      </c>
      <c r="AI49">
        <v>109</v>
      </c>
      <c r="AJ49">
        <v>3140</v>
      </c>
      <c r="AK49">
        <v>200</v>
      </c>
      <c r="AL49">
        <v>140</v>
      </c>
      <c r="AM49">
        <v>500</v>
      </c>
      <c r="AN49">
        <v>24</v>
      </c>
      <c r="AO49">
        <v>2</v>
      </c>
      <c r="AP49">
        <v>0</v>
      </c>
      <c r="AQ49">
        <v>0</v>
      </c>
      <c r="AR49">
        <v>0</v>
      </c>
      <c r="AS49">
        <v>0</v>
      </c>
      <c r="AT49">
        <v>1014</v>
      </c>
      <c r="AU49">
        <v>508</v>
      </c>
      <c r="AV49">
        <v>0</v>
      </c>
      <c r="AW49">
        <v>1522</v>
      </c>
      <c r="AX49">
        <v>203</v>
      </c>
      <c r="AY49">
        <v>0</v>
      </c>
      <c r="AZ49">
        <v>0</v>
      </c>
      <c r="BA49">
        <v>203</v>
      </c>
      <c r="BB49">
        <v>0</v>
      </c>
      <c r="BC49">
        <v>0</v>
      </c>
      <c r="BD49">
        <v>0</v>
      </c>
      <c r="BE49">
        <v>305</v>
      </c>
      <c r="BF49">
        <v>305</v>
      </c>
      <c r="BG49">
        <f t="shared" si="0"/>
        <v>9.375</v>
      </c>
      <c r="BH49">
        <v>72</v>
      </c>
      <c r="BI49">
        <v>120</v>
      </c>
      <c r="BJ49">
        <v>9</v>
      </c>
      <c r="BK49">
        <v>17</v>
      </c>
      <c r="BL49">
        <v>6</v>
      </c>
      <c r="BM49">
        <v>58</v>
      </c>
      <c r="BN49">
        <v>34</v>
      </c>
      <c r="BO49">
        <v>79</v>
      </c>
      <c r="BP49">
        <v>26</v>
      </c>
      <c r="BQ49">
        <v>79</v>
      </c>
      <c r="BR49">
        <v>50</v>
      </c>
      <c r="BS49">
        <v>32</v>
      </c>
      <c r="BT49">
        <v>582</v>
      </c>
      <c r="BU49">
        <v>121</v>
      </c>
      <c r="BV49">
        <v>167</v>
      </c>
      <c r="BW49">
        <v>171</v>
      </c>
      <c r="BX49">
        <v>99</v>
      </c>
      <c r="BY49">
        <v>85</v>
      </c>
      <c r="BZ49">
        <v>54</v>
      </c>
      <c r="CA49">
        <v>697</v>
      </c>
      <c r="CB49">
        <v>30</v>
      </c>
      <c r="CC49">
        <v>13</v>
      </c>
      <c r="CD49">
        <v>79</v>
      </c>
      <c r="CE49">
        <v>41</v>
      </c>
      <c r="CF49">
        <v>0.52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83</v>
      </c>
      <c r="CO49">
        <v>0</v>
      </c>
      <c r="CP49">
        <v>10</v>
      </c>
      <c r="CQ49">
        <v>0</v>
      </c>
      <c r="CR49">
        <v>0</v>
      </c>
      <c r="CS49">
        <v>0</v>
      </c>
      <c r="CT49">
        <v>93</v>
      </c>
      <c r="CU49">
        <v>0</v>
      </c>
      <c r="CV49">
        <v>0</v>
      </c>
      <c r="CW49">
        <v>7</v>
      </c>
      <c r="CX49">
        <v>0</v>
      </c>
      <c r="CY49">
        <v>20</v>
      </c>
      <c r="CZ49">
        <v>0</v>
      </c>
      <c r="DA49">
        <v>0</v>
      </c>
      <c r="DB49">
        <v>0</v>
      </c>
      <c r="DC49">
        <v>27</v>
      </c>
      <c r="DD49">
        <v>0</v>
      </c>
      <c r="DE49">
        <v>0</v>
      </c>
      <c r="DF49">
        <v>41</v>
      </c>
      <c r="DG49">
        <v>79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120</v>
      </c>
      <c r="DT49">
        <v>240</v>
      </c>
      <c r="DU49">
        <v>60</v>
      </c>
      <c r="DV49">
        <v>0</v>
      </c>
      <c r="DW49">
        <v>0</v>
      </c>
      <c r="DX49">
        <v>0</v>
      </c>
      <c r="DY49">
        <v>191</v>
      </c>
      <c r="DZ49">
        <v>206</v>
      </c>
      <c r="EA49">
        <v>353</v>
      </c>
      <c r="EB49">
        <v>662</v>
      </c>
      <c r="EC49">
        <v>59</v>
      </c>
      <c r="ED49">
        <v>660</v>
      </c>
      <c r="EE49">
        <v>810</v>
      </c>
      <c r="EF49">
        <v>0</v>
      </c>
      <c r="EG49">
        <v>0.4</v>
      </c>
      <c r="EH49">
        <v>1.1000000000000001</v>
      </c>
      <c r="EI49">
        <v>0.8</v>
      </c>
      <c r="EJ49">
        <v>0.3</v>
      </c>
      <c r="EK49">
        <v>1.4</v>
      </c>
    </row>
    <row r="50" spans="1:141" x14ac:dyDescent="0.25">
      <c r="A50" t="str">
        <f>[1]ingredient!B49</f>
        <v>Buchweizen</v>
      </c>
      <c r="B50" t="s">
        <v>186</v>
      </c>
      <c r="C50" s="7">
        <f>_xlfn.XLOOKUP(A50,[1]ingredient!$B$2:$B$521,[1]ingredient!$A$2:$A$521)</f>
        <v>48</v>
      </c>
      <c r="D50">
        <v>340</v>
      </c>
      <c r="E50">
        <v>2</v>
      </c>
      <c r="F50">
        <v>9</v>
      </c>
      <c r="G50">
        <v>71</v>
      </c>
      <c r="H50">
        <v>10</v>
      </c>
      <c r="I50">
        <v>0.43</v>
      </c>
      <c r="J50">
        <v>0.03</v>
      </c>
      <c r="K50">
        <v>7</v>
      </c>
      <c r="L50">
        <v>3</v>
      </c>
      <c r="M50">
        <v>2</v>
      </c>
      <c r="N50">
        <v>0</v>
      </c>
      <c r="O50">
        <v>18</v>
      </c>
      <c r="P50">
        <v>600</v>
      </c>
      <c r="Q50">
        <v>150</v>
      </c>
      <c r="R50">
        <v>2900</v>
      </c>
      <c r="S50">
        <v>5017</v>
      </c>
      <c r="T50">
        <v>1200</v>
      </c>
      <c r="U50">
        <v>600</v>
      </c>
      <c r="V50">
        <v>5</v>
      </c>
      <c r="W50">
        <v>50</v>
      </c>
      <c r="X50">
        <v>0</v>
      </c>
      <c r="Y50">
        <v>0</v>
      </c>
      <c r="Z50">
        <v>0</v>
      </c>
      <c r="AA50">
        <v>1170</v>
      </c>
      <c r="AB50">
        <v>7</v>
      </c>
      <c r="AC50">
        <v>1</v>
      </c>
      <c r="AD50">
        <v>400</v>
      </c>
      <c r="AE50">
        <v>75</v>
      </c>
      <c r="AF50">
        <v>130</v>
      </c>
      <c r="AG50">
        <v>290</v>
      </c>
      <c r="AH50">
        <v>120</v>
      </c>
      <c r="AI50">
        <v>30</v>
      </c>
      <c r="AJ50">
        <v>3100</v>
      </c>
      <c r="AK50">
        <v>4000</v>
      </c>
      <c r="AL50">
        <v>700</v>
      </c>
      <c r="AM50">
        <v>3000</v>
      </c>
      <c r="AN50">
        <v>170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71</v>
      </c>
      <c r="AU50">
        <v>71</v>
      </c>
      <c r="AV50">
        <v>0</v>
      </c>
      <c r="AW50">
        <v>142</v>
      </c>
      <c r="AX50">
        <v>284</v>
      </c>
      <c r="AY50">
        <v>0</v>
      </c>
      <c r="AZ50">
        <v>0</v>
      </c>
      <c r="BA50">
        <v>284</v>
      </c>
      <c r="BB50">
        <v>0</v>
      </c>
      <c r="BC50">
        <v>0</v>
      </c>
      <c r="BD50">
        <v>0</v>
      </c>
      <c r="BE50">
        <v>70574</v>
      </c>
      <c r="BF50">
        <v>70574</v>
      </c>
      <c r="BG50">
        <f t="shared" si="0"/>
        <v>97.449908925318766</v>
      </c>
      <c r="BH50">
        <v>336</v>
      </c>
      <c r="BI50">
        <v>535</v>
      </c>
      <c r="BJ50">
        <v>499</v>
      </c>
      <c r="BK50">
        <v>154</v>
      </c>
      <c r="BL50">
        <v>181</v>
      </c>
      <c r="BM50">
        <v>345</v>
      </c>
      <c r="BN50">
        <v>181</v>
      </c>
      <c r="BO50">
        <v>354</v>
      </c>
      <c r="BP50">
        <v>127</v>
      </c>
      <c r="BQ50">
        <v>499</v>
      </c>
      <c r="BR50">
        <v>717</v>
      </c>
      <c r="BS50">
        <v>190</v>
      </c>
      <c r="BT50">
        <v>4118</v>
      </c>
      <c r="BU50">
        <v>435</v>
      </c>
      <c r="BV50">
        <v>816</v>
      </c>
      <c r="BW50">
        <v>1541</v>
      </c>
      <c r="BX50">
        <v>590</v>
      </c>
      <c r="BY50">
        <v>381</v>
      </c>
      <c r="BZ50">
        <v>463</v>
      </c>
      <c r="CA50">
        <v>4226</v>
      </c>
      <c r="CB50">
        <v>150</v>
      </c>
      <c r="CC50">
        <v>63</v>
      </c>
      <c r="CD50">
        <v>78</v>
      </c>
      <c r="CE50">
        <v>473</v>
      </c>
      <c r="CF50">
        <v>6.06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</v>
      </c>
      <c r="CM50">
        <v>0</v>
      </c>
      <c r="CN50">
        <v>231</v>
      </c>
      <c r="CO50">
        <v>0</v>
      </c>
      <c r="CP50">
        <v>31</v>
      </c>
      <c r="CQ50">
        <v>26</v>
      </c>
      <c r="CR50">
        <v>0</v>
      </c>
      <c r="CS50">
        <v>0</v>
      </c>
      <c r="CT50">
        <v>295</v>
      </c>
      <c r="CU50">
        <v>0</v>
      </c>
      <c r="CV50">
        <v>0</v>
      </c>
      <c r="CW50">
        <v>0</v>
      </c>
      <c r="CX50">
        <v>0</v>
      </c>
      <c r="CY50">
        <v>514</v>
      </c>
      <c r="CZ50">
        <v>0</v>
      </c>
      <c r="DA50">
        <v>0</v>
      </c>
      <c r="DB50">
        <v>0</v>
      </c>
      <c r="DC50">
        <v>514</v>
      </c>
      <c r="DD50">
        <v>0</v>
      </c>
      <c r="DE50">
        <v>0</v>
      </c>
      <c r="DF50">
        <v>473</v>
      </c>
      <c r="DG50">
        <v>78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551</v>
      </c>
      <c r="DT50">
        <v>1360</v>
      </c>
      <c r="DU50">
        <v>340</v>
      </c>
      <c r="DV50">
        <v>0</v>
      </c>
      <c r="DW50">
        <v>0</v>
      </c>
      <c r="DX50">
        <v>0</v>
      </c>
      <c r="DY50">
        <v>1139</v>
      </c>
      <c r="DZ50">
        <v>5099</v>
      </c>
      <c r="EA50">
        <v>1584</v>
      </c>
      <c r="EB50">
        <v>1287</v>
      </c>
      <c r="EC50">
        <v>792</v>
      </c>
      <c r="ED50">
        <v>4257</v>
      </c>
      <c r="EE50">
        <v>5644</v>
      </c>
      <c r="EF50">
        <v>0</v>
      </c>
      <c r="EG50">
        <v>0</v>
      </c>
      <c r="EH50">
        <v>1.7</v>
      </c>
      <c r="EI50">
        <v>5.6</v>
      </c>
      <c r="EJ50">
        <v>1.7</v>
      </c>
      <c r="EK50">
        <v>8.8000000000000007</v>
      </c>
    </row>
    <row r="51" spans="1:141" x14ac:dyDescent="0.25">
      <c r="A51" t="str">
        <f>[1]ingredient!B50</f>
        <v>Buchweizenflocken</v>
      </c>
      <c r="B51" t="s">
        <v>187</v>
      </c>
      <c r="C51" s="7">
        <f>_xlfn.XLOOKUP(A51,[1]ingredient!$B$2:$B$521,[1]ingredient!$A$2:$A$521)</f>
        <v>49</v>
      </c>
      <c r="D51">
        <v>364</v>
      </c>
      <c r="E51">
        <v>3</v>
      </c>
      <c r="F51">
        <v>12</v>
      </c>
      <c r="G51">
        <v>71</v>
      </c>
      <c r="H51">
        <v>4</v>
      </c>
      <c r="I51">
        <v>1</v>
      </c>
      <c r="J51">
        <v>0.01</v>
      </c>
      <c r="K51">
        <v>10</v>
      </c>
      <c r="L51">
        <v>0</v>
      </c>
      <c r="M51">
        <v>0</v>
      </c>
      <c r="N51">
        <v>0</v>
      </c>
      <c r="O51">
        <v>0</v>
      </c>
      <c r="P51">
        <v>300</v>
      </c>
      <c r="Q51">
        <v>100</v>
      </c>
      <c r="R51">
        <v>2100</v>
      </c>
      <c r="S51">
        <v>5300</v>
      </c>
      <c r="T51">
        <v>1000</v>
      </c>
      <c r="U51">
        <v>400</v>
      </c>
      <c r="V51">
        <v>4</v>
      </c>
      <c r="W51">
        <v>30</v>
      </c>
      <c r="X51">
        <v>0</v>
      </c>
      <c r="Y51">
        <v>0</v>
      </c>
      <c r="Z51">
        <v>0</v>
      </c>
      <c r="AA51">
        <v>0</v>
      </c>
      <c r="AB51">
        <v>7</v>
      </c>
      <c r="AC51">
        <v>4</v>
      </c>
      <c r="AD51">
        <v>242</v>
      </c>
      <c r="AE51">
        <v>13</v>
      </c>
      <c r="AF51">
        <v>30</v>
      </c>
      <c r="AG51">
        <v>289</v>
      </c>
      <c r="AH51">
        <v>50</v>
      </c>
      <c r="AI51">
        <v>10</v>
      </c>
      <c r="AJ51">
        <v>2400</v>
      </c>
      <c r="AK51">
        <v>2000</v>
      </c>
      <c r="AL51">
        <v>100</v>
      </c>
      <c r="AM51">
        <v>2100</v>
      </c>
      <c r="AN51">
        <v>100</v>
      </c>
      <c r="AO51">
        <v>3</v>
      </c>
      <c r="AP51">
        <v>0</v>
      </c>
      <c r="AQ51">
        <v>0</v>
      </c>
      <c r="AR51">
        <v>0</v>
      </c>
      <c r="AS51">
        <v>0</v>
      </c>
      <c r="AT51">
        <v>83</v>
      </c>
      <c r="AU51">
        <v>83</v>
      </c>
      <c r="AV51">
        <v>0</v>
      </c>
      <c r="AW51">
        <v>166</v>
      </c>
      <c r="AX51">
        <v>300</v>
      </c>
      <c r="AY51">
        <v>0</v>
      </c>
      <c r="AZ51">
        <v>0</v>
      </c>
      <c r="BA51">
        <v>334</v>
      </c>
      <c r="BB51">
        <v>500</v>
      </c>
      <c r="BC51">
        <v>0</v>
      </c>
      <c r="BD51">
        <v>0</v>
      </c>
      <c r="BE51">
        <v>70000</v>
      </c>
      <c r="BF51">
        <v>0</v>
      </c>
      <c r="BG51">
        <f t="shared" si="0"/>
        <v>112.29508196721312</v>
      </c>
      <c r="BH51">
        <v>515</v>
      </c>
      <c r="BI51">
        <v>822</v>
      </c>
      <c r="BJ51">
        <v>766</v>
      </c>
      <c r="BK51">
        <v>239</v>
      </c>
      <c r="BL51">
        <v>279</v>
      </c>
      <c r="BM51">
        <v>558</v>
      </c>
      <c r="BN51">
        <v>279</v>
      </c>
      <c r="BO51">
        <v>543</v>
      </c>
      <c r="BP51">
        <v>194</v>
      </c>
      <c r="BQ51">
        <v>766</v>
      </c>
      <c r="BR51">
        <v>1101</v>
      </c>
      <c r="BS51">
        <v>291</v>
      </c>
      <c r="BT51">
        <v>6352</v>
      </c>
      <c r="BU51">
        <v>581</v>
      </c>
      <c r="BV51">
        <v>1091</v>
      </c>
      <c r="BW51">
        <v>2059</v>
      </c>
      <c r="BX51">
        <v>789</v>
      </c>
      <c r="BY51">
        <v>509</v>
      </c>
      <c r="BZ51">
        <v>619</v>
      </c>
      <c r="CA51">
        <v>5648</v>
      </c>
      <c r="CB51">
        <v>84</v>
      </c>
      <c r="CC51">
        <v>28</v>
      </c>
      <c r="CD51">
        <v>100</v>
      </c>
      <c r="CE51">
        <v>900</v>
      </c>
      <c r="CF51">
        <v>9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11</v>
      </c>
      <c r="CM51">
        <v>0</v>
      </c>
      <c r="CN51">
        <v>392</v>
      </c>
      <c r="CO51">
        <v>0</v>
      </c>
      <c r="CP51">
        <v>54</v>
      </c>
      <c r="CQ51">
        <v>43</v>
      </c>
      <c r="CR51">
        <v>0</v>
      </c>
      <c r="CS51">
        <v>0</v>
      </c>
      <c r="CT51">
        <v>500</v>
      </c>
      <c r="CU51">
        <v>0</v>
      </c>
      <c r="CV51">
        <v>0</v>
      </c>
      <c r="CW51">
        <v>0</v>
      </c>
      <c r="CX51">
        <v>0</v>
      </c>
      <c r="CY51">
        <v>1008</v>
      </c>
      <c r="CZ51">
        <v>0</v>
      </c>
      <c r="DA51">
        <v>0</v>
      </c>
      <c r="DB51">
        <v>0</v>
      </c>
      <c r="DC51">
        <v>1000</v>
      </c>
      <c r="DD51">
        <v>0</v>
      </c>
      <c r="DE51">
        <v>0</v>
      </c>
      <c r="DF51">
        <v>900</v>
      </c>
      <c r="DG51">
        <v>100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1000</v>
      </c>
      <c r="DT51">
        <v>2517</v>
      </c>
      <c r="DU51">
        <v>183</v>
      </c>
      <c r="DV51">
        <v>0</v>
      </c>
      <c r="DW51">
        <v>0</v>
      </c>
      <c r="DX51">
        <v>0</v>
      </c>
      <c r="DY51">
        <v>414</v>
      </c>
      <c r="DZ51">
        <v>1854</v>
      </c>
      <c r="EA51">
        <v>576</v>
      </c>
      <c r="EB51">
        <v>468</v>
      </c>
      <c r="EC51">
        <v>288</v>
      </c>
      <c r="ED51">
        <v>1548</v>
      </c>
      <c r="EE51">
        <v>2052</v>
      </c>
      <c r="EF51">
        <v>0</v>
      </c>
      <c r="EG51">
        <v>170</v>
      </c>
      <c r="EH51">
        <v>0.6</v>
      </c>
      <c r="EI51">
        <v>2.1</v>
      </c>
      <c r="EJ51">
        <v>2.7</v>
      </c>
      <c r="EK51">
        <v>12.3</v>
      </c>
    </row>
    <row r="52" spans="1:141" x14ac:dyDescent="0.25">
      <c r="A52" t="str">
        <f>[1]ingredient!B51</f>
        <v>Buchweizenmehl</v>
      </c>
      <c r="B52" t="s">
        <v>188</v>
      </c>
      <c r="C52" s="7">
        <f>_xlfn.XLOOKUP(A52,[1]ingredient!$B$2:$B$521,[1]ingredient!$A$2:$A$521)</f>
        <v>50</v>
      </c>
      <c r="D52">
        <v>341</v>
      </c>
      <c r="E52">
        <v>3</v>
      </c>
      <c r="F52">
        <v>11</v>
      </c>
      <c r="G52">
        <v>67</v>
      </c>
      <c r="H52">
        <v>4</v>
      </c>
      <c r="I52">
        <v>0.4</v>
      </c>
      <c r="J52">
        <v>0.01</v>
      </c>
      <c r="K52">
        <v>14</v>
      </c>
      <c r="L52">
        <v>2</v>
      </c>
      <c r="M52">
        <v>1</v>
      </c>
      <c r="N52">
        <v>0</v>
      </c>
      <c r="O52">
        <v>13</v>
      </c>
      <c r="P52">
        <v>580</v>
      </c>
      <c r="Q52">
        <v>150</v>
      </c>
      <c r="R52">
        <v>2900</v>
      </c>
      <c r="S52">
        <v>5433</v>
      </c>
      <c r="T52">
        <v>1450</v>
      </c>
      <c r="U52">
        <v>580</v>
      </c>
      <c r="V52">
        <v>1</v>
      </c>
      <c r="W52">
        <v>50</v>
      </c>
      <c r="X52">
        <v>0</v>
      </c>
      <c r="Y52">
        <v>0</v>
      </c>
      <c r="Z52">
        <v>0</v>
      </c>
      <c r="AA52">
        <v>2100</v>
      </c>
      <c r="AB52">
        <v>7</v>
      </c>
      <c r="AC52">
        <v>1</v>
      </c>
      <c r="AD52">
        <v>680</v>
      </c>
      <c r="AE52">
        <v>33</v>
      </c>
      <c r="AF52">
        <v>50</v>
      </c>
      <c r="AG52">
        <v>263</v>
      </c>
      <c r="AH52">
        <v>140</v>
      </c>
      <c r="AI52">
        <v>12</v>
      </c>
      <c r="AJ52">
        <v>2200</v>
      </c>
      <c r="AK52">
        <v>2500</v>
      </c>
      <c r="AL52">
        <v>900</v>
      </c>
      <c r="AM52">
        <v>2000</v>
      </c>
      <c r="AN52">
        <v>70</v>
      </c>
      <c r="AO52">
        <v>3</v>
      </c>
      <c r="AP52">
        <v>0</v>
      </c>
      <c r="AQ52">
        <v>0</v>
      </c>
      <c r="AR52">
        <v>0</v>
      </c>
      <c r="AS52">
        <v>0</v>
      </c>
      <c r="AT52">
        <v>67</v>
      </c>
      <c r="AU52">
        <v>67</v>
      </c>
      <c r="AV52">
        <v>0</v>
      </c>
      <c r="AW52">
        <v>134</v>
      </c>
      <c r="AX52">
        <v>269</v>
      </c>
      <c r="AY52">
        <v>0</v>
      </c>
      <c r="AZ52">
        <v>0</v>
      </c>
      <c r="BA52">
        <v>269</v>
      </c>
      <c r="BB52">
        <v>0</v>
      </c>
      <c r="BC52">
        <v>0</v>
      </c>
      <c r="BD52">
        <v>0</v>
      </c>
      <c r="BE52">
        <v>66737</v>
      </c>
      <c r="BF52">
        <v>66737</v>
      </c>
      <c r="BG52">
        <f t="shared" si="0"/>
        <v>95.529061102831591</v>
      </c>
      <c r="BH52">
        <v>402</v>
      </c>
      <c r="BI52">
        <v>641</v>
      </c>
      <c r="BJ52">
        <v>597</v>
      </c>
      <c r="BK52">
        <v>185</v>
      </c>
      <c r="BL52">
        <v>217</v>
      </c>
      <c r="BM52">
        <v>413</v>
      </c>
      <c r="BN52">
        <v>217</v>
      </c>
      <c r="BO52">
        <v>424</v>
      </c>
      <c r="BP52">
        <v>152</v>
      </c>
      <c r="BQ52">
        <v>597</v>
      </c>
      <c r="BR52">
        <v>858</v>
      </c>
      <c r="BS52">
        <v>228</v>
      </c>
      <c r="BT52">
        <v>4931</v>
      </c>
      <c r="BU52">
        <v>521</v>
      </c>
      <c r="BV52">
        <v>977</v>
      </c>
      <c r="BW52">
        <v>1846</v>
      </c>
      <c r="BX52">
        <v>706</v>
      </c>
      <c r="BY52">
        <v>456</v>
      </c>
      <c r="BZ52">
        <v>554</v>
      </c>
      <c r="CA52">
        <v>5060</v>
      </c>
      <c r="CB52">
        <v>180</v>
      </c>
      <c r="CC52">
        <v>75</v>
      </c>
      <c r="CD52">
        <v>124</v>
      </c>
      <c r="CE52">
        <v>753</v>
      </c>
      <c r="CF52">
        <v>6.07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11</v>
      </c>
      <c r="CM52">
        <v>0</v>
      </c>
      <c r="CN52">
        <v>369</v>
      </c>
      <c r="CO52">
        <v>0</v>
      </c>
      <c r="CP52">
        <v>50</v>
      </c>
      <c r="CQ52">
        <v>41</v>
      </c>
      <c r="CR52">
        <v>0</v>
      </c>
      <c r="CS52">
        <v>0</v>
      </c>
      <c r="CT52">
        <v>471</v>
      </c>
      <c r="CU52">
        <v>0</v>
      </c>
      <c r="CV52">
        <v>0</v>
      </c>
      <c r="CW52">
        <v>0</v>
      </c>
      <c r="CX52">
        <v>0</v>
      </c>
      <c r="CY52">
        <v>820</v>
      </c>
      <c r="CZ52">
        <v>0</v>
      </c>
      <c r="DA52">
        <v>0</v>
      </c>
      <c r="DB52">
        <v>0</v>
      </c>
      <c r="DC52">
        <v>820</v>
      </c>
      <c r="DD52">
        <v>0</v>
      </c>
      <c r="DE52">
        <v>0</v>
      </c>
      <c r="DF52">
        <v>753</v>
      </c>
      <c r="DG52">
        <v>124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877</v>
      </c>
      <c r="DT52">
        <v>2168</v>
      </c>
      <c r="DU52">
        <v>542</v>
      </c>
      <c r="DV52">
        <v>0</v>
      </c>
      <c r="DW52">
        <v>0</v>
      </c>
      <c r="DX52">
        <v>0</v>
      </c>
      <c r="DY52">
        <v>414</v>
      </c>
      <c r="DZ52">
        <v>1854</v>
      </c>
      <c r="EA52">
        <v>576</v>
      </c>
      <c r="EB52">
        <v>468</v>
      </c>
      <c r="EC52">
        <v>288</v>
      </c>
      <c r="ED52">
        <v>1548</v>
      </c>
      <c r="EE52">
        <v>2052</v>
      </c>
      <c r="EF52">
        <v>0</v>
      </c>
      <c r="EG52">
        <v>0</v>
      </c>
      <c r="EH52">
        <v>1.6</v>
      </c>
      <c r="EI52">
        <v>2.1</v>
      </c>
      <c r="EJ52">
        <v>2.7</v>
      </c>
      <c r="EK52">
        <v>10.6</v>
      </c>
    </row>
    <row r="53" spans="1:141" x14ac:dyDescent="0.25">
      <c r="A53" t="str">
        <f>[1]ingredient!B52</f>
        <v>Buchweizen-Spaghetti</v>
      </c>
      <c r="B53" t="s">
        <v>189</v>
      </c>
      <c r="C53" s="7">
        <f>_xlfn.XLOOKUP(A53,[1]ingredient!$B$2:$B$521,[1]ingredient!$A$2:$A$521)</f>
        <v>51</v>
      </c>
      <c r="D53">
        <v>388</v>
      </c>
      <c r="E53">
        <v>2</v>
      </c>
      <c r="F53">
        <v>11</v>
      </c>
      <c r="G53">
        <v>77</v>
      </c>
      <c r="H53">
        <v>8</v>
      </c>
      <c r="I53">
        <v>1</v>
      </c>
      <c r="J53">
        <v>0.06</v>
      </c>
      <c r="K53">
        <v>0.3</v>
      </c>
      <c r="L53">
        <v>0</v>
      </c>
      <c r="M53">
        <v>0</v>
      </c>
      <c r="N53">
        <v>0</v>
      </c>
      <c r="O53">
        <v>0</v>
      </c>
      <c r="P53">
        <v>500</v>
      </c>
      <c r="Q53">
        <v>100</v>
      </c>
      <c r="R53">
        <v>5300</v>
      </c>
      <c r="S53">
        <v>7200</v>
      </c>
      <c r="T53">
        <v>1100</v>
      </c>
      <c r="U53">
        <v>400</v>
      </c>
      <c r="V53">
        <v>6</v>
      </c>
      <c r="W53">
        <v>54</v>
      </c>
      <c r="X53">
        <v>0</v>
      </c>
      <c r="Y53">
        <v>0</v>
      </c>
      <c r="Z53">
        <v>0</v>
      </c>
      <c r="AA53">
        <v>0</v>
      </c>
      <c r="AB53">
        <v>19</v>
      </c>
      <c r="AC53">
        <v>4</v>
      </c>
      <c r="AD53">
        <v>373</v>
      </c>
      <c r="AE53">
        <v>35</v>
      </c>
      <c r="AF53">
        <v>119</v>
      </c>
      <c r="AG53">
        <v>331</v>
      </c>
      <c r="AH53">
        <v>140</v>
      </c>
      <c r="AI53">
        <v>53</v>
      </c>
      <c r="AJ53">
        <v>3400</v>
      </c>
      <c r="AK53">
        <v>2700</v>
      </c>
      <c r="AL53">
        <v>400</v>
      </c>
      <c r="AM53">
        <v>3600</v>
      </c>
      <c r="AN53">
        <v>100</v>
      </c>
      <c r="AO53">
        <v>3</v>
      </c>
      <c r="AP53">
        <v>0</v>
      </c>
      <c r="AQ53">
        <v>0</v>
      </c>
      <c r="AR53">
        <v>0</v>
      </c>
      <c r="AS53">
        <v>0</v>
      </c>
      <c r="AT53">
        <v>97</v>
      </c>
      <c r="AU53">
        <v>87</v>
      </c>
      <c r="AV53">
        <v>0</v>
      </c>
      <c r="AW53">
        <v>184</v>
      </c>
      <c r="AX53">
        <v>1000</v>
      </c>
      <c r="AY53">
        <v>0</v>
      </c>
      <c r="AZ53">
        <v>0</v>
      </c>
      <c r="BA53">
        <v>1016</v>
      </c>
      <c r="BB53">
        <v>300</v>
      </c>
      <c r="BC53">
        <v>170</v>
      </c>
      <c r="BD53">
        <v>0</v>
      </c>
      <c r="BE53">
        <v>75500</v>
      </c>
      <c r="BF53">
        <v>0</v>
      </c>
      <c r="BG53">
        <f t="shared" si="0"/>
        <v>55.68181818181818</v>
      </c>
      <c r="BH53">
        <v>427</v>
      </c>
      <c r="BI53">
        <v>751</v>
      </c>
      <c r="BJ53">
        <v>294</v>
      </c>
      <c r="BK53">
        <v>167</v>
      </c>
      <c r="BL53">
        <v>231</v>
      </c>
      <c r="BM53">
        <v>519</v>
      </c>
      <c r="BN53">
        <v>319</v>
      </c>
      <c r="BO53">
        <v>317</v>
      </c>
      <c r="BP53">
        <v>116</v>
      </c>
      <c r="BQ53">
        <v>500</v>
      </c>
      <c r="BR53">
        <v>491</v>
      </c>
      <c r="BS53">
        <v>220</v>
      </c>
      <c r="BT53">
        <v>4350</v>
      </c>
      <c r="BU53">
        <v>386</v>
      </c>
      <c r="BV53">
        <v>541</v>
      </c>
      <c r="BW53">
        <v>3432</v>
      </c>
      <c r="BX53">
        <v>485</v>
      </c>
      <c r="BY53">
        <v>1257</v>
      </c>
      <c r="BZ53">
        <v>549</v>
      </c>
      <c r="CA53">
        <v>6650</v>
      </c>
      <c r="CB53">
        <v>90</v>
      </c>
      <c r="CC53">
        <v>38</v>
      </c>
      <c r="CD53">
        <v>100</v>
      </c>
      <c r="CE53">
        <v>903</v>
      </c>
      <c r="CF53">
        <v>9.0299999999999994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2</v>
      </c>
      <c r="CM53">
        <v>1</v>
      </c>
      <c r="CN53">
        <v>180</v>
      </c>
      <c r="CO53">
        <v>0</v>
      </c>
      <c r="CP53">
        <v>9</v>
      </c>
      <c r="CQ53">
        <v>8</v>
      </c>
      <c r="CR53">
        <v>0</v>
      </c>
      <c r="CS53">
        <v>0</v>
      </c>
      <c r="CT53">
        <v>200</v>
      </c>
      <c r="CU53">
        <v>0</v>
      </c>
      <c r="CV53">
        <v>0</v>
      </c>
      <c r="CW53">
        <v>8</v>
      </c>
      <c r="CX53">
        <v>0</v>
      </c>
      <c r="CY53">
        <v>249</v>
      </c>
      <c r="CZ53">
        <v>7</v>
      </c>
      <c r="DA53">
        <v>0</v>
      </c>
      <c r="DB53">
        <v>0</v>
      </c>
      <c r="DC53">
        <v>300</v>
      </c>
      <c r="DD53">
        <v>0</v>
      </c>
      <c r="DE53">
        <v>0</v>
      </c>
      <c r="DF53">
        <v>900</v>
      </c>
      <c r="DG53">
        <v>100</v>
      </c>
      <c r="DH53">
        <v>0</v>
      </c>
      <c r="DI53">
        <v>0</v>
      </c>
      <c r="DJ53">
        <v>0</v>
      </c>
      <c r="DK53">
        <v>0</v>
      </c>
      <c r="DL53">
        <v>3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1000</v>
      </c>
      <c r="DT53">
        <v>1470</v>
      </c>
      <c r="DU53">
        <v>630</v>
      </c>
      <c r="DV53">
        <v>0</v>
      </c>
      <c r="DW53">
        <v>0</v>
      </c>
      <c r="DX53">
        <v>0</v>
      </c>
      <c r="DY53">
        <v>3360</v>
      </c>
      <c r="DZ53">
        <v>2520</v>
      </c>
      <c r="EA53">
        <v>588</v>
      </c>
      <c r="EB53">
        <v>1512</v>
      </c>
      <c r="EC53">
        <v>420</v>
      </c>
      <c r="ED53">
        <v>2100</v>
      </c>
      <c r="EE53">
        <v>6300</v>
      </c>
      <c r="EF53">
        <v>0</v>
      </c>
      <c r="EG53">
        <v>0</v>
      </c>
      <c r="EH53">
        <v>1.1000000000000001</v>
      </c>
      <c r="EI53">
        <v>6.3</v>
      </c>
      <c r="EJ53">
        <v>2.1</v>
      </c>
      <c r="EK53">
        <v>11.3</v>
      </c>
    </row>
    <row r="54" spans="1:141" x14ac:dyDescent="0.25">
      <c r="A54" t="str">
        <f>[1]ingredient!B53</f>
        <v>Buchweizen-Sprossen</v>
      </c>
      <c r="B54" t="s">
        <v>190</v>
      </c>
      <c r="C54" s="7">
        <f>_xlfn.XLOOKUP(A54,[1]ingredient!$B$2:$B$521,[1]ingredient!$A$2:$A$521)</f>
        <v>52</v>
      </c>
      <c r="D54">
        <v>340</v>
      </c>
      <c r="E54">
        <v>2</v>
      </c>
      <c r="F54">
        <v>9</v>
      </c>
      <c r="G54">
        <v>71</v>
      </c>
      <c r="H54">
        <v>10</v>
      </c>
      <c r="I54">
        <v>0.43</v>
      </c>
      <c r="J54">
        <v>0.03</v>
      </c>
      <c r="K54">
        <v>7</v>
      </c>
      <c r="L54">
        <v>3</v>
      </c>
      <c r="M54">
        <v>2</v>
      </c>
      <c r="N54">
        <v>0</v>
      </c>
      <c r="O54">
        <v>18</v>
      </c>
      <c r="P54">
        <v>600</v>
      </c>
      <c r="Q54">
        <v>150</v>
      </c>
      <c r="R54">
        <v>2900</v>
      </c>
      <c r="S54">
        <v>5017</v>
      </c>
      <c r="T54">
        <v>1200</v>
      </c>
      <c r="U54">
        <v>600</v>
      </c>
      <c r="V54">
        <v>5</v>
      </c>
      <c r="W54">
        <v>50</v>
      </c>
      <c r="X54">
        <v>0</v>
      </c>
      <c r="Y54">
        <v>0</v>
      </c>
      <c r="Z54">
        <v>0</v>
      </c>
      <c r="AA54">
        <v>1170</v>
      </c>
      <c r="AB54">
        <v>7</v>
      </c>
      <c r="AC54">
        <v>1</v>
      </c>
      <c r="AD54">
        <v>400</v>
      </c>
      <c r="AE54">
        <v>75</v>
      </c>
      <c r="AF54">
        <v>130</v>
      </c>
      <c r="AG54">
        <v>290</v>
      </c>
      <c r="AH54">
        <v>120</v>
      </c>
      <c r="AI54">
        <v>30</v>
      </c>
      <c r="AJ54">
        <v>3100</v>
      </c>
      <c r="AK54">
        <v>4000</v>
      </c>
      <c r="AL54">
        <v>700</v>
      </c>
      <c r="AM54">
        <v>3000</v>
      </c>
      <c r="AN54">
        <v>170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71</v>
      </c>
      <c r="AU54">
        <v>71</v>
      </c>
      <c r="AV54">
        <v>0</v>
      </c>
      <c r="AW54">
        <v>142</v>
      </c>
      <c r="AX54">
        <v>284</v>
      </c>
      <c r="AY54">
        <v>0</v>
      </c>
      <c r="AZ54">
        <v>0</v>
      </c>
      <c r="BA54">
        <v>284</v>
      </c>
      <c r="BB54">
        <v>0</v>
      </c>
      <c r="BC54">
        <v>0</v>
      </c>
      <c r="BD54">
        <v>0</v>
      </c>
      <c r="BE54">
        <v>70574</v>
      </c>
      <c r="BF54">
        <v>70574</v>
      </c>
      <c r="BG54">
        <f t="shared" si="0"/>
        <v>97.449908925318766</v>
      </c>
      <c r="BH54">
        <v>336</v>
      </c>
      <c r="BI54">
        <v>535</v>
      </c>
      <c r="BJ54">
        <v>499</v>
      </c>
      <c r="BK54">
        <v>154</v>
      </c>
      <c r="BL54">
        <v>181</v>
      </c>
      <c r="BM54">
        <v>345</v>
      </c>
      <c r="BN54">
        <v>181</v>
      </c>
      <c r="BO54">
        <v>354</v>
      </c>
      <c r="BP54">
        <v>127</v>
      </c>
      <c r="BQ54">
        <v>499</v>
      </c>
      <c r="BR54">
        <v>717</v>
      </c>
      <c r="BS54">
        <v>190</v>
      </c>
      <c r="BT54">
        <v>4118</v>
      </c>
      <c r="BU54">
        <v>435</v>
      </c>
      <c r="BV54">
        <v>816</v>
      </c>
      <c r="BW54">
        <v>1541</v>
      </c>
      <c r="BX54">
        <v>590</v>
      </c>
      <c r="BY54">
        <v>381</v>
      </c>
      <c r="BZ54">
        <v>463</v>
      </c>
      <c r="CA54">
        <v>4226</v>
      </c>
      <c r="CB54">
        <v>150</v>
      </c>
      <c r="CC54">
        <v>63</v>
      </c>
      <c r="CD54">
        <v>78</v>
      </c>
      <c r="CE54">
        <v>473</v>
      </c>
      <c r="CF54">
        <v>6.06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</v>
      </c>
      <c r="CM54">
        <v>0</v>
      </c>
      <c r="CN54">
        <v>231</v>
      </c>
      <c r="CO54">
        <v>0</v>
      </c>
      <c r="CP54">
        <v>31</v>
      </c>
      <c r="CQ54">
        <v>26</v>
      </c>
      <c r="CR54">
        <v>0</v>
      </c>
      <c r="CS54">
        <v>0</v>
      </c>
      <c r="CT54">
        <v>295</v>
      </c>
      <c r="CU54">
        <v>0</v>
      </c>
      <c r="CV54">
        <v>0</v>
      </c>
      <c r="CW54">
        <v>0</v>
      </c>
      <c r="CX54">
        <v>0</v>
      </c>
      <c r="CY54">
        <v>514</v>
      </c>
      <c r="CZ54">
        <v>0</v>
      </c>
      <c r="DA54">
        <v>0</v>
      </c>
      <c r="DB54">
        <v>0</v>
      </c>
      <c r="DC54">
        <v>514</v>
      </c>
      <c r="DD54">
        <v>0</v>
      </c>
      <c r="DE54">
        <v>0</v>
      </c>
      <c r="DF54">
        <v>473</v>
      </c>
      <c r="DG54">
        <v>78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551</v>
      </c>
      <c r="DT54">
        <v>1360</v>
      </c>
      <c r="DU54">
        <v>340</v>
      </c>
      <c r="DV54">
        <v>0</v>
      </c>
      <c r="DW54">
        <v>0</v>
      </c>
      <c r="DX54">
        <v>0</v>
      </c>
      <c r="DY54">
        <v>1139</v>
      </c>
      <c r="DZ54">
        <v>5099</v>
      </c>
      <c r="EA54">
        <v>1584</v>
      </c>
      <c r="EB54">
        <v>1287</v>
      </c>
      <c r="EC54">
        <v>792</v>
      </c>
      <c r="ED54">
        <v>4257</v>
      </c>
      <c r="EE54">
        <v>5644</v>
      </c>
      <c r="EF54">
        <v>0</v>
      </c>
      <c r="EG54">
        <v>0</v>
      </c>
      <c r="EH54">
        <v>1.7</v>
      </c>
      <c r="EI54">
        <v>5.6</v>
      </c>
      <c r="EJ54">
        <v>1.7</v>
      </c>
      <c r="EK54">
        <v>8.8000000000000007</v>
      </c>
    </row>
    <row r="55" spans="1:141" x14ac:dyDescent="0.25">
      <c r="A55" t="str">
        <f>[1]ingredient!B54</f>
        <v>Bulgur</v>
      </c>
      <c r="B55" t="s">
        <v>191</v>
      </c>
      <c r="C55" s="7">
        <f>_xlfn.XLOOKUP(A55,[1]ingredient!$B$2:$B$521,[1]ingredient!$A$2:$A$521)</f>
        <v>53</v>
      </c>
      <c r="D55">
        <v>325</v>
      </c>
      <c r="E55">
        <v>1</v>
      </c>
      <c r="F55">
        <v>9</v>
      </c>
      <c r="G55">
        <v>69</v>
      </c>
      <c r="H55">
        <v>10</v>
      </c>
      <c r="I55">
        <v>1</v>
      </c>
      <c r="J55">
        <v>0.03</v>
      </c>
      <c r="K55">
        <v>9</v>
      </c>
      <c r="L55">
        <v>0</v>
      </c>
      <c r="M55">
        <v>0</v>
      </c>
      <c r="N55">
        <v>0</v>
      </c>
      <c r="O55">
        <v>0</v>
      </c>
      <c r="P55">
        <v>300</v>
      </c>
      <c r="Q55">
        <v>100</v>
      </c>
      <c r="R55">
        <v>4200</v>
      </c>
      <c r="S55">
        <v>5700</v>
      </c>
      <c r="T55">
        <v>1000</v>
      </c>
      <c r="U55">
        <v>400</v>
      </c>
      <c r="V55">
        <v>5</v>
      </c>
      <c r="W55">
        <v>30</v>
      </c>
      <c r="X55">
        <v>0</v>
      </c>
      <c r="Y55">
        <v>0</v>
      </c>
      <c r="Z55">
        <v>0</v>
      </c>
      <c r="AA55">
        <v>677</v>
      </c>
      <c r="AB55">
        <v>17</v>
      </c>
      <c r="AC55">
        <v>5</v>
      </c>
      <c r="AD55">
        <v>262</v>
      </c>
      <c r="AE55">
        <v>30</v>
      </c>
      <c r="AF55">
        <v>140</v>
      </c>
      <c r="AG55">
        <v>319</v>
      </c>
      <c r="AH55">
        <v>100</v>
      </c>
      <c r="AI55">
        <v>22</v>
      </c>
      <c r="AJ55">
        <v>4700</v>
      </c>
      <c r="AK55">
        <v>3000</v>
      </c>
      <c r="AL55">
        <v>560</v>
      </c>
      <c r="AM55">
        <v>2000</v>
      </c>
      <c r="AN55">
        <v>50</v>
      </c>
      <c r="AO55">
        <v>0.2</v>
      </c>
      <c r="AP55">
        <v>0</v>
      </c>
      <c r="AQ55">
        <v>0</v>
      </c>
      <c r="AR55">
        <v>0</v>
      </c>
      <c r="AS55">
        <v>0</v>
      </c>
      <c r="AT55">
        <v>69</v>
      </c>
      <c r="AU55">
        <v>69</v>
      </c>
      <c r="AV55">
        <v>0</v>
      </c>
      <c r="AW55">
        <v>138</v>
      </c>
      <c r="AX55">
        <v>689</v>
      </c>
      <c r="AY55">
        <v>0</v>
      </c>
      <c r="AZ55">
        <v>0</v>
      </c>
      <c r="BA55">
        <v>689</v>
      </c>
      <c r="BB55">
        <v>413</v>
      </c>
      <c r="BC55">
        <v>0</v>
      </c>
      <c r="BD55">
        <v>0</v>
      </c>
      <c r="BE55">
        <v>67670</v>
      </c>
      <c r="BF55">
        <v>67670</v>
      </c>
      <c r="BG55">
        <f t="shared" si="0"/>
        <v>56.25</v>
      </c>
      <c r="BH55">
        <v>351</v>
      </c>
      <c r="BI55">
        <v>603</v>
      </c>
      <c r="BJ55">
        <v>243</v>
      </c>
      <c r="BK55">
        <v>135</v>
      </c>
      <c r="BL55">
        <v>180</v>
      </c>
      <c r="BM55">
        <v>414</v>
      </c>
      <c r="BN55">
        <v>270</v>
      </c>
      <c r="BO55">
        <v>261</v>
      </c>
      <c r="BP55">
        <v>90</v>
      </c>
      <c r="BQ55">
        <v>405</v>
      </c>
      <c r="BR55">
        <v>405</v>
      </c>
      <c r="BS55">
        <v>171</v>
      </c>
      <c r="BT55">
        <v>3528</v>
      </c>
      <c r="BU55">
        <v>315</v>
      </c>
      <c r="BV55">
        <v>441</v>
      </c>
      <c r="BW55">
        <v>2727</v>
      </c>
      <c r="BX55">
        <v>414</v>
      </c>
      <c r="BY55">
        <v>1026</v>
      </c>
      <c r="BZ55">
        <v>459</v>
      </c>
      <c r="CA55">
        <v>5382</v>
      </c>
      <c r="CB55">
        <v>69</v>
      </c>
      <c r="CC55">
        <v>29</v>
      </c>
      <c r="CD55">
        <v>29</v>
      </c>
      <c r="CE55">
        <v>428</v>
      </c>
      <c r="CF55">
        <v>14.76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1</v>
      </c>
      <c r="CM55">
        <v>1</v>
      </c>
      <c r="CN55">
        <v>130</v>
      </c>
      <c r="CO55">
        <v>0</v>
      </c>
      <c r="CP55">
        <v>7</v>
      </c>
      <c r="CQ55">
        <v>6</v>
      </c>
      <c r="CR55">
        <v>0</v>
      </c>
      <c r="CS55">
        <v>0</v>
      </c>
      <c r="CT55">
        <v>146</v>
      </c>
      <c r="CU55">
        <v>0</v>
      </c>
      <c r="CV55">
        <v>0</v>
      </c>
      <c r="CW55">
        <v>4</v>
      </c>
      <c r="CX55">
        <v>0</v>
      </c>
      <c r="CY55">
        <v>110</v>
      </c>
      <c r="CZ55">
        <v>3</v>
      </c>
      <c r="DA55">
        <v>0</v>
      </c>
      <c r="DB55">
        <v>0</v>
      </c>
      <c r="DC55">
        <v>117</v>
      </c>
      <c r="DD55">
        <v>0</v>
      </c>
      <c r="DE55">
        <v>0</v>
      </c>
      <c r="DF55">
        <v>427</v>
      </c>
      <c r="DG55">
        <v>29</v>
      </c>
      <c r="DH55">
        <v>0</v>
      </c>
      <c r="DI55">
        <v>0</v>
      </c>
      <c r="DJ55">
        <v>0</v>
      </c>
      <c r="DK55">
        <v>0</v>
      </c>
      <c r="DL55">
        <v>1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457</v>
      </c>
      <c r="DT55">
        <v>720</v>
      </c>
      <c r="DU55">
        <v>280</v>
      </c>
      <c r="DV55">
        <v>0</v>
      </c>
      <c r="DW55">
        <v>0</v>
      </c>
      <c r="DX55">
        <v>0</v>
      </c>
      <c r="DY55">
        <v>4120</v>
      </c>
      <c r="DZ55">
        <v>3090</v>
      </c>
      <c r="EA55">
        <v>721</v>
      </c>
      <c r="EB55">
        <v>1854</v>
      </c>
      <c r="EC55">
        <v>515</v>
      </c>
      <c r="ED55">
        <v>2575</v>
      </c>
      <c r="EE55">
        <v>7725</v>
      </c>
      <c r="EF55">
        <v>0</v>
      </c>
      <c r="EG55">
        <v>0</v>
      </c>
      <c r="EH55">
        <v>1.5</v>
      </c>
      <c r="EI55">
        <v>7.7</v>
      </c>
      <c r="EJ55">
        <v>1</v>
      </c>
      <c r="EK55">
        <v>9.1</v>
      </c>
    </row>
    <row r="56" spans="1:141" x14ac:dyDescent="0.25">
      <c r="A56" t="str">
        <f>[1]ingredient!B55</f>
        <v>Buschbohnen</v>
      </c>
      <c r="B56" t="s">
        <v>192</v>
      </c>
      <c r="C56" s="7">
        <f>_xlfn.XLOOKUP(A56,[1]ingredient!$B$2:$B$521,[1]ingredient!$A$2:$A$521)</f>
        <v>54</v>
      </c>
      <c r="D56">
        <v>25</v>
      </c>
      <c r="E56">
        <v>0.24</v>
      </c>
      <c r="F56">
        <v>2</v>
      </c>
      <c r="G56">
        <v>3</v>
      </c>
      <c r="H56">
        <v>3</v>
      </c>
      <c r="I56">
        <v>1</v>
      </c>
      <c r="J56">
        <v>0.02</v>
      </c>
      <c r="K56">
        <v>89</v>
      </c>
      <c r="L56">
        <v>56</v>
      </c>
      <c r="M56">
        <v>26</v>
      </c>
      <c r="N56">
        <v>0</v>
      </c>
      <c r="O56">
        <v>310</v>
      </c>
      <c r="P56">
        <v>81</v>
      </c>
      <c r="Q56">
        <v>120</v>
      </c>
      <c r="R56">
        <v>570</v>
      </c>
      <c r="S56">
        <v>1053</v>
      </c>
      <c r="T56">
        <v>500</v>
      </c>
      <c r="U56">
        <v>280</v>
      </c>
      <c r="V56">
        <v>7</v>
      </c>
      <c r="W56">
        <v>44</v>
      </c>
      <c r="X56">
        <v>0</v>
      </c>
      <c r="Y56">
        <v>20000</v>
      </c>
      <c r="Z56">
        <v>0</v>
      </c>
      <c r="AA56">
        <v>132</v>
      </c>
      <c r="AB56">
        <v>22</v>
      </c>
      <c r="AC56">
        <v>2</v>
      </c>
      <c r="AD56">
        <v>248</v>
      </c>
      <c r="AE56">
        <v>57</v>
      </c>
      <c r="AF56">
        <v>25</v>
      </c>
      <c r="AG56">
        <v>38</v>
      </c>
      <c r="AH56">
        <v>17</v>
      </c>
      <c r="AI56">
        <v>19</v>
      </c>
      <c r="AJ56">
        <v>830</v>
      </c>
      <c r="AK56">
        <v>336</v>
      </c>
      <c r="AL56">
        <v>84</v>
      </c>
      <c r="AM56">
        <v>380</v>
      </c>
      <c r="AN56">
        <v>12</v>
      </c>
      <c r="AO56">
        <v>3</v>
      </c>
      <c r="AP56">
        <v>0</v>
      </c>
      <c r="AQ56">
        <v>0</v>
      </c>
      <c r="AR56">
        <v>0</v>
      </c>
      <c r="AS56">
        <v>0</v>
      </c>
      <c r="AT56">
        <v>432</v>
      </c>
      <c r="AU56">
        <v>560</v>
      </c>
      <c r="AV56">
        <v>0</v>
      </c>
      <c r="AW56">
        <v>992</v>
      </c>
      <c r="AX56">
        <v>192</v>
      </c>
      <c r="AY56">
        <v>0</v>
      </c>
      <c r="AZ56">
        <v>0</v>
      </c>
      <c r="BA56">
        <v>192</v>
      </c>
      <c r="BB56">
        <v>640</v>
      </c>
      <c r="BC56">
        <v>1600</v>
      </c>
      <c r="BD56">
        <v>0</v>
      </c>
      <c r="BE56">
        <v>1280</v>
      </c>
      <c r="BF56">
        <v>1280</v>
      </c>
      <c r="BG56">
        <f t="shared" si="0"/>
        <v>119.56521739130434</v>
      </c>
      <c r="BH56">
        <v>96</v>
      </c>
      <c r="BI56">
        <v>151</v>
      </c>
      <c r="BJ56">
        <v>136</v>
      </c>
      <c r="BK56">
        <v>31</v>
      </c>
      <c r="BL56">
        <v>24</v>
      </c>
      <c r="BM56">
        <v>91</v>
      </c>
      <c r="BN56">
        <v>67</v>
      </c>
      <c r="BO56">
        <v>91</v>
      </c>
      <c r="BP56">
        <v>29</v>
      </c>
      <c r="BQ56">
        <v>127</v>
      </c>
      <c r="BR56">
        <v>100</v>
      </c>
      <c r="BS56">
        <v>53</v>
      </c>
      <c r="BT56">
        <v>996</v>
      </c>
      <c r="BU56">
        <v>105</v>
      </c>
      <c r="BV56">
        <v>287</v>
      </c>
      <c r="BW56">
        <v>256</v>
      </c>
      <c r="BX56">
        <v>91</v>
      </c>
      <c r="BY56">
        <v>96</v>
      </c>
      <c r="BZ56">
        <v>129</v>
      </c>
      <c r="CA56">
        <v>964</v>
      </c>
      <c r="CB56">
        <v>42</v>
      </c>
      <c r="CC56">
        <v>18</v>
      </c>
      <c r="CD56">
        <v>78</v>
      </c>
      <c r="CE56">
        <v>55</v>
      </c>
      <c r="CF56">
        <v>0.71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43</v>
      </c>
      <c r="CO56">
        <v>0</v>
      </c>
      <c r="CP56">
        <v>8</v>
      </c>
      <c r="CQ56">
        <v>0</v>
      </c>
      <c r="CR56">
        <v>0</v>
      </c>
      <c r="CS56">
        <v>0</v>
      </c>
      <c r="CT56">
        <v>51</v>
      </c>
      <c r="CU56">
        <v>0</v>
      </c>
      <c r="CV56">
        <v>0</v>
      </c>
      <c r="CW56">
        <v>1</v>
      </c>
      <c r="CX56">
        <v>0</v>
      </c>
      <c r="CY56">
        <v>7</v>
      </c>
      <c r="CZ56">
        <v>0</v>
      </c>
      <c r="DA56">
        <v>0</v>
      </c>
      <c r="DB56">
        <v>0</v>
      </c>
      <c r="DC56">
        <v>8</v>
      </c>
      <c r="DD56">
        <v>0</v>
      </c>
      <c r="DE56">
        <v>0</v>
      </c>
      <c r="DF56">
        <v>55</v>
      </c>
      <c r="DG56">
        <v>78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133</v>
      </c>
      <c r="DT56">
        <v>192</v>
      </c>
      <c r="DU56">
        <v>48</v>
      </c>
      <c r="DV56">
        <v>0</v>
      </c>
      <c r="DW56">
        <v>0</v>
      </c>
      <c r="DX56">
        <v>0</v>
      </c>
      <c r="DY56">
        <v>390</v>
      </c>
      <c r="DZ56">
        <v>1050</v>
      </c>
      <c r="EA56">
        <v>390</v>
      </c>
      <c r="EB56">
        <v>1110</v>
      </c>
      <c r="EC56">
        <v>60</v>
      </c>
      <c r="ED56">
        <v>1500</v>
      </c>
      <c r="EE56">
        <v>1500</v>
      </c>
      <c r="EF56">
        <v>0</v>
      </c>
      <c r="EG56">
        <v>0.2</v>
      </c>
      <c r="EH56">
        <v>0.7</v>
      </c>
      <c r="EI56">
        <v>1.5</v>
      </c>
      <c r="EJ56">
        <v>0.2</v>
      </c>
      <c r="EK56">
        <v>2.1</v>
      </c>
    </row>
    <row r="57" spans="1:141" x14ac:dyDescent="0.25">
      <c r="A57" t="str">
        <f>[1]ingredient!B56</f>
        <v>Buschbohnen borlotto</v>
      </c>
      <c r="B57" t="s">
        <v>192</v>
      </c>
      <c r="C57" s="7">
        <f>_xlfn.XLOOKUP(A57,[1]ingredient!$B$2:$B$521,[1]ingredient!$A$2:$A$521)</f>
        <v>55</v>
      </c>
      <c r="D57">
        <v>25</v>
      </c>
      <c r="E57">
        <v>0.24</v>
      </c>
      <c r="F57">
        <v>2</v>
      </c>
      <c r="G57">
        <v>3</v>
      </c>
      <c r="H57">
        <v>3</v>
      </c>
      <c r="I57">
        <v>1</v>
      </c>
      <c r="J57">
        <v>0.02</v>
      </c>
      <c r="K57">
        <v>89</v>
      </c>
      <c r="L57">
        <v>56</v>
      </c>
      <c r="M57">
        <v>26</v>
      </c>
      <c r="N57">
        <v>0</v>
      </c>
      <c r="O57">
        <v>310</v>
      </c>
      <c r="P57">
        <v>81</v>
      </c>
      <c r="Q57">
        <v>120</v>
      </c>
      <c r="R57">
        <v>570</v>
      </c>
      <c r="S57">
        <v>1053</v>
      </c>
      <c r="T57">
        <v>500</v>
      </c>
      <c r="U57">
        <v>280</v>
      </c>
      <c r="V57">
        <v>7</v>
      </c>
      <c r="W57">
        <v>44</v>
      </c>
      <c r="X57">
        <v>0</v>
      </c>
      <c r="Y57">
        <v>20000</v>
      </c>
      <c r="Z57">
        <v>0</v>
      </c>
      <c r="AA57">
        <v>132</v>
      </c>
      <c r="AB57">
        <v>22</v>
      </c>
      <c r="AC57">
        <v>2</v>
      </c>
      <c r="AD57">
        <v>248</v>
      </c>
      <c r="AE57">
        <v>57</v>
      </c>
      <c r="AF57">
        <v>25</v>
      </c>
      <c r="AG57">
        <v>38</v>
      </c>
      <c r="AH57">
        <v>17</v>
      </c>
      <c r="AI57">
        <v>19</v>
      </c>
      <c r="AJ57">
        <v>830</v>
      </c>
      <c r="AK57">
        <v>336</v>
      </c>
      <c r="AL57">
        <v>84</v>
      </c>
      <c r="AM57">
        <v>380</v>
      </c>
      <c r="AN57">
        <v>12</v>
      </c>
      <c r="AO57">
        <v>3</v>
      </c>
      <c r="AP57">
        <v>0</v>
      </c>
      <c r="AQ57">
        <v>0</v>
      </c>
      <c r="AR57">
        <v>0</v>
      </c>
      <c r="AS57">
        <v>0</v>
      </c>
      <c r="AT57">
        <v>432</v>
      </c>
      <c r="AU57">
        <v>560</v>
      </c>
      <c r="AV57">
        <v>0</v>
      </c>
      <c r="AW57">
        <v>992</v>
      </c>
      <c r="AX57">
        <v>192</v>
      </c>
      <c r="AY57">
        <v>0</v>
      </c>
      <c r="AZ57">
        <v>0</v>
      </c>
      <c r="BA57">
        <v>192</v>
      </c>
      <c r="BB57">
        <v>640</v>
      </c>
      <c r="BC57">
        <v>1600</v>
      </c>
      <c r="BD57">
        <v>0</v>
      </c>
      <c r="BE57">
        <v>1280</v>
      </c>
      <c r="BF57">
        <v>1280</v>
      </c>
      <c r="BG57">
        <f t="shared" si="0"/>
        <v>119.56521739130434</v>
      </c>
      <c r="BH57">
        <v>96</v>
      </c>
      <c r="BI57">
        <v>151</v>
      </c>
      <c r="BJ57">
        <v>136</v>
      </c>
      <c r="BK57">
        <v>31</v>
      </c>
      <c r="BL57">
        <v>24</v>
      </c>
      <c r="BM57">
        <v>91</v>
      </c>
      <c r="BN57">
        <v>67</v>
      </c>
      <c r="BO57">
        <v>91</v>
      </c>
      <c r="BP57">
        <v>29</v>
      </c>
      <c r="BQ57">
        <v>127</v>
      </c>
      <c r="BR57">
        <v>100</v>
      </c>
      <c r="BS57">
        <v>53</v>
      </c>
      <c r="BT57">
        <v>996</v>
      </c>
      <c r="BU57">
        <v>105</v>
      </c>
      <c r="BV57">
        <v>287</v>
      </c>
      <c r="BW57">
        <v>256</v>
      </c>
      <c r="BX57">
        <v>91</v>
      </c>
      <c r="BY57">
        <v>96</v>
      </c>
      <c r="BZ57">
        <v>129</v>
      </c>
      <c r="CA57">
        <v>964</v>
      </c>
      <c r="CB57">
        <v>42</v>
      </c>
      <c r="CC57">
        <v>18</v>
      </c>
      <c r="CD57">
        <v>78</v>
      </c>
      <c r="CE57">
        <v>55</v>
      </c>
      <c r="CF57">
        <v>0.71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43</v>
      </c>
      <c r="CO57">
        <v>0</v>
      </c>
      <c r="CP57">
        <v>8</v>
      </c>
      <c r="CQ57">
        <v>0</v>
      </c>
      <c r="CR57">
        <v>0</v>
      </c>
      <c r="CS57">
        <v>0</v>
      </c>
      <c r="CT57">
        <v>51</v>
      </c>
      <c r="CU57">
        <v>0</v>
      </c>
      <c r="CV57">
        <v>0</v>
      </c>
      <c r="CW57">
        <v>1</v>
      </c>
      <c r="CX57">
        <v>0</v>
      </c>
      <c r="CY57">
        <v>7</v>
      </c>
      <c r="CZ57">
        <v>0</v>
      </c>
      <c r="DA57">
        <v>0</v>
      </c>
      <c r="DB57">
        <v>0</v>
      </c>
      <c r="DC57">
        <v>8</v>
      </c>
      <c r="DD57">
        <v>0</v>
      </c>
      <c r="DE57">
        <v>0</v>
      </c>
      <c r="DF57">
        <v>55</v>
      </c>
      <c r="DG57">
        <v>78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133</v>
      </c>
      <c r="DT57">
        <v>192</v>
      </c>
      <c r="DU57">
        <v>48</v>
      </c>
      <c r="DV57">
        <v>0</v>
      </c>
      <c r="DW57">
        <v>0</v>
      </c>
      <c r="DX57">
        <v>0</v>
      </c>
      <c r="DY57">
        <v>390</v>
      </c>
      <c r="DZ57">
        <v>1050</v>
      </c>
      <c r="EA57">
        <v>390</v>
      </c>
      <c r="EB57">
        <v>1110</v>
      </c>
      <c r="EC57">
        <v>60</v>
      </c>
      <c r="ED57">
        <v>1500</v>
      </c>
      <c r="EE57">
        <v>1500</v>
      </c>
      <c r="EF57">
        <v>0</v>
      </c>
      <c r="EG57">
        <v>0.2</v>
      </c>
      <c r="EH57">
        <v>0.7</v>
      </c>
      <c r="EI57">
        <v>1.5</v>
      </c>
      <c r="EJ57">
        <v>0.2</v>
      </c>
      <c r="EK57">
        <v>2.1</v>
      </c>
    </row>
    <row r="58" spans="1:141" x14ac:dyDescent="0.25">
      <c r="A58" t="str">
        <f>[1]ingredient!B57</f>
        <v>Buschbohnen gelb</v>
      </c>
      <c r="B58" t="s">
        <v>192</v>
      </c>
      <c r="C58" s="7">
        <f>_xlfn.XLOOKUP(A58,[1]ingredient!$B$2:$B$521,[1]ingredient!$A$2:$A$521)</f>
        <v>56</v>
      </c>
      <c r="D58">
        <v>25</v>
      </c>
      <c r="E58">
        <v>0.24</v>
      </c>
      <c r="F58">
        <v>2</v>
      </c>
      <c r="G58">
        <v>3</v>
      </c>
      <c r="H58">
        <v>3</v>
      </c>
      <c r="I58">
        <v>1</v>
      </c>
      <c r="J58">
        <v>0.02</v>
      </c>
      <c r="K58">
        <v>89</v>
      </c>
      <c r="L58">
        <v>56</v>
      </c>
      <c r="M58">
        <v>26</v>
      </c>
      <c r="N58">
        <v>0</v>
      </c>
      <c r="O58">
        <v>310</v>
      </c>
      <c r="P58">
        <v>81</v>
      </c>
      <c r="Q58">
        <v>120</v>
      </c>
      <c r="R58">
        <v>570</v>
      </c>
      <c r="S58">
        <v>1053</v>
      </c>
      <c r="T58">
        <v>500</v>
      </c>
      <c r="U58">
        <v>280</v>
      </c>
      <c r="V58">
        <v>7</v>
      </c>
      <c r="W58">
        <v>44</v>
      </c>
      <c r="X58">
        <v>0</v>
      </c>
      <c r="Y58">
        <v>20000</v>
      </c>
      <c r="Z58">
        <v>0</v>
      </c>
      <c r="AA58">
        <v>132</v>
      </c>
      <c r="AB58">
        <v>22</v>
      </c>
      <c r="AC58">
        <v>2</v>
      </c>
      <c r="AD58">
        <v>248</v>
      </c>
      <c r="AE58">
        <v>57</v>
      </c>
      <c r="AF58">
        <v>25</v>
      </c>
      <c r="AG58">
        <v>38</v>
      </c>
      <c r="AH58">
        <v>17</v>
      </c>
      <c r="AI58">
        <v>19</v>
      </c>
      <c r="AJ58">
        <v>830</v>
      </c>
      <c r="AK58">
        <v>336</v>
      </c>
      <c r="AL58">
        <v>84</v>
      </c>
      <c r="AM58">
        <v>380</v>
      </c>
      <c r="AN58">
        <v>12</v>
      </c>
      <c r="AO58">
        <v>3</v>
      </c>
      <c r="AP58">
        <v>0</v>
      </c>
      <c r="AQ58">
        <v>0</v>
      </c>
      <c r="AR58">
        <v>0</v>
      </c>
      <c r="AS58">
        <v>0</v>
      </c>
      <c r="AT58">
        <v>432</v>
      </c>
      <c r="AU58">
        <v>560</v>
      </c>
      <c r="AV58">
        <v>0</v>
      </c>
      <c r="AW58">
        <v>992</v>
      </c>
      <c r="AX58">
        <v>192</v>
      </c>
      <c r="AY58">
        <v>0</v>
      </c>
      <c r="AZ58">
        <v>0</v>
      </c>
      <c r="BA58">
        <v>192</v>
      </c>
      <c r="BB58">
        <v>640</v>
      </c>
      <c r="BC58">
        <v>1600</v>
      </c>
      <c r="BD58">
        <v>0</v>
      </c>
      <c r="BE58">
        <v>1280</v>
      </c>
      <c r="BF58">
        <v>1280</v>
      </c>
      <c r="BG58">
        <f t="shared" si="0"/>
        <v>119.56521739130434</v>
      </c>
      <c r="BH58">
        <v>96</v>
      </c>
      <c r="BI58">
        <v>151</v>
      </c>
      <c r="BJ58">
        <v>136</v>
      </c>
      <c r="BK58">
        <v>31</v>
      </c>
      <c r="BL58">
        <v>24</v>
      </c>
      <c r="BM58">
        <v>91</v>
      </c>
      <c r="BN58">
        <v>67</v>
      </c>
      <c r="BO58">
        <v>91</v>
      </c>
      <c r="BP58">
        <v>29</v>
      </c>
      <c r="BQ58">
        <v>127</v>
      </c>
      <c r="BR58">
        <v>100</v>
      </c>
      <c r="BS58">
        <v>53</v>
      </c>
      <c r="BT58">
        <v>996</v>
      </c>
      <c r="BU58">
        <v>105</v>
      </c>
      <c r="BV58">
        <v>287</v>
      </c>
      <c r="BW58">
        <v>256</v>
      </c>
      <c r="BX58">
        <v>91</v>
      </c>
      <c r="BY58">
        <v>96</v>
      </c>
      <c r="BZ58">
        <v>129</v>
      </c>
      <c r="CA58">
        <v>964</v>
      </c>
      <c r="CB58">
        <v>42</v>
      </c>
      <c r="CC58">
        <v>18</v>
      </c>
      <c r="CD58">
        <v>78</v>
      </c>
      <c r="CE58">
        <v>55</v>
      </c>
      <c r="CF58">
        <v>0.71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43</v>
      </c>
      <c r="CO58">
        <v>0</v>
      </c>
      <c r="CP58">
        <v>8</v>
      </c>
      <c r="CQ58">
        <v>0</v>
      </c>
      <c r="CR58">
        <v>0</v>
      </c>
      <c r="CS58">
        <v>0</v>
      </c>
      <c r="CT58">
        <v>51</v>
      </c>
      <c r="CU58">
        <v>0</v>
      </c>
      <c r="CV58">
        <v>0</v>
      </c>
      <c r="CW58">
        <v>1</v>
      </c>
      <c r="CX58">
        <v>0</v>
      </c>
      <c r="CY58">
        <v>7</v>
      </c>
      <c r="CZ58">
        <v>0</v>
      </c>
      <c r="DA58">
        <v>0</v>
      </c>
      <c r="DB58">
        <v>0</v>
      </c>
      <c r="DC58">
        <v>8</v>
      </c>
      <c r="DD58">
        <v>0</v>
      </c>
      <c r="DE58">
        <v>0</v>
      </c>
      <c r="DF58">
        <v>55</v>
      </c>
      <c r="DG58">
        <v>78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133</v>
      </c>
      <c r="DT58">
        <v>192</v>
      </c>
      <c r="DU58">
        <v>48</v>
      </c>
      <c r="DV58">
        <v>0</v>
      </c>
      <c r="DW58">
        <v>0</v>
      </c>
      <c r="DX58">
        <v>0</v>
      </c>
      <c r="DY58">
        <v>390</v>
      </c>
      <c r="DZ58">
        <v>1050</v>
      </c>
      <c r="EA58">
        <v>390</v>
      </c>
      <c r="EB58">
        <v>1110</v>
      </c>
      <c r="EC58">
        <v>60</v>
      </c>
      <c r="ED58">
        <v>1500</v>
      </c>
      <c r="EE58">
        <v>1500</v>
      </c>
      <c r="EF58">
        <v>0</v>
      </c>
      <c r="EG58">
        <v>0.2</v>
      </c>
      <c r="EH58">
        <v>0.7</v>
      </c>
      <c r="EI58">
        <v>1.5</v>
      </c>
      <c r="EJ58">
        <v>0.2</v>
      </c>
      <c r="EK58">
        <v>2.1</v>
      </c>
    </row>
    <row r="59" spans="1:141" x14ac:dyDescent="0.25">
      <c r="A59" t="str">
        <f>[1]ingredient!B58</f>
        <v>Buschbohnen violett</v>
      </c>
      <c r="B59" t="s">
        <v>192</v>
      </c>
      <c r="C59" s="7">
        <f>_xlfn.XLOOKUP(A59,[1]ingredient!$B$2:$B$521,[1]ingredient!$A$2:$A$521)</f>
        <v>57</v>
      </c>
      <c r="D59">
        <v>25</v>
      </c>
      <c r="E59">
        <v>0.24</v>
      </c>
      <c r="F59">
        <v>2</v>
      </c>
      <c r="G59">
        <v>3</v>
      </c>
      <c r="H59">
        <v>3</v>
      </c>
      <c r="I59">
        <v>1</v>
      </c>
      <c r="J59">
        <v>0.02</v>
      </c>
      <c r="K59">
        <v>89</v>
      </c>
      <c r="L59">
        <v>56</v>
      </c>
      <c r="M59">
        <v>26</v>
      </c>
      <c r="N59">
        <v>0</v>
      </c>
      <c r="O59">
        <v>310</v>
      </c>
      <c r="P59">
        <v>81</v>
      </c>
      <c r="Q59">
        <v>120</v>
      </c>
      <c r="R59">
        <v>570</v>
      </c>
      <c r="S59">
        <v>1053</v>
      </c>
      <c r="T59">
        <v>500</v>
      </c>
      <c r="U59">
        <v>280</v>
      </c>
      <c r="V59">
        <v>7</v>
      </c>
      <c r="W59">
        <v>44</v>
      </c>
      <c r="X59">
        <v>0</v>
      </c>
      <c r="Y59">
        <v>20000</v>
      </c>
      <c r="Z59">
        <v>0</v>
      </c>
      <c r="AA59">
        <v>132</v>
      </c>
      <c r="AB59">
        <v>22</v>
      </c>
      <c r="AC59">
        <v>2</v>
      </c>
      <c r="AD59">
        <v>248</v>
      </c>
      <c r="AE59">
        <v>57</v>
      </c>
      <c r="AF59">
        <v>25</v>
      </c>
      <c r="AG59">
        <v>38</v>
      </c>
      <c r="AH59">
        <v>17</v>
      </c>
      <c r="AI59">
        <v>19</v>
      </c>
      <c r="AJ59">
        <v>830</v>
      </c>
      <c r="AK59">
        <v>336</v>
      </c>
      <c r="AL59">
        <v>84</v>
      </c>
      <c r="AM59">
        <v>380</v>
      </c>
      <c r="AN59">
        <v>12</v>
      </c>
      <c r="AO59">
        <v>3</v>
      </c>
      <c r="AP59">
        <v>0</v>
      </c>
      <c r="AQ59">
        <v>0</v>
      </c>
      <c r="AR59">
        <v>0</v>
      </c>
      <c r="AS59">
        <v>0</v>
      </c>
      <c r="AT59">
        <v>432</v>
      </c>
      <c r="AU59">
        <v>560</v>
      </c>
      <c r="AV59">
        <v>0</v>
      </c>
      <c r="AW59">
        <v>992</v>
      </c>
      <c r="AX59">
        <v>192</v>
      </c>
      <c r="AY59">
        <v>0</v>
      </c>
      <c r="AZ59">
        <v>0</v>
      </c>
      <c r="BA59">
        <v>192</v>
      </c>
      <c r="BB59">
        <v>640</v>
      </c>
      <c r="BC59">
        <v>1600</v>
      </c>
      <c r="BD59">
        <v>0</v>
      </c>
      <c r="BE59">
        <v>1280</v>
      </c>
      <c r="BF59">
        <v>1280</v>
      </c>
      <c r="BG59">
        <f t="shared" si="0"/>
        <v>119.56521739130434</v>
      </c>
      <c r="BH59">
        <v>96</v>
      </c>
      <c r="BI59">
        <v>151</v>
      </c>
      <c r="BJ59">
        <v>136</v>
      </c>
      <c r="BK59">
        <v>31</v>
      </c>
      <c r="BL59">
        <v>24</v>
      </c>
      <c r="BM59">
        <v>91</v>
      </c>
      <c r="BN59">
        <v>67</v>
      </c>
      <c r="BO59">
        <v>91</v>
      </c>
      <c r="BP59">
        <v>29</v>
      </c>
      <c r="BQ59">
        <v>127</v>
      </c>
      <c r="BR59">
        <v>100</v>
      </c>
      <c r="BS59">
        <v>53</v>
      </c>
      <c r="BT59">
        <v>996</v>
      </c>
      <c r="BU59">
        <v>105</v>
      </c>
      <c r="BV59">
        <v>287</v>
      </c>
      <c r="BW59">
        <v>256</v>
      </c>
      <c r="BX59">
        <v>91</v>
      </c>
      <c r="BY59">
        <v>96</v>
      </c>
      <c r="BZ59">
        <v>129</v>
      </c>
      <c r="CA59">
        <v>964</v>
      </c>
      <c r="CB59">
        <v>42</v>
      </c>
      <c r="CC59">
        <v>18</v>
      </c>
      <c r="CD59">
        <v>78</v>
      </c>
      <c r="CE59">
        <v>55</v>
      </c>
      <c r="CF59">
        <v>0.71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43</v>
      </c>
      <c r="CO59">
        <v>0</v>
      </c>
      <c r="CP59">
        <v>8</v>
      </c>
      <c r="CQ59">
        <v>0</v>
      </c>
      <c r="CR59">
        <v>0</v>
      </c>
      <c r="CS59">
        <v>0</v>
      </c>
      <c r="CT59">
        <v>51</v>
      </c>
      <c r="CU59">
        <v>0</v>
      </c>
      <c r="CV59">
        <v>0</v>
      </c>
      <c r="CW59">
        <v>1</v>
      </c>
      <c r="CX59">
        <v>0</v>
      </c>
      <c r="CY59">
        <v>7</v>
      </c>
      <c r="CZ59">
        <v>0</v>
      </c>
      <c r="DA59">
        <v>0</v>
      </c>
      <c r="DB59">
        <v>0</v>
      </c>
      <c r="DC59">
        <v>8</v>
      </c>
      <c r="DD59">
        <v>0</v>
      </c>
      <c r="DE59">
        <v>0</v>
      </c>
      <c r="DF59">
        <v>55</v>
      </c>
      <c r="DG59">
        <v>78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133</v>
      </c>
      <c r="DT59">
        <v>192</v>
      </c>
      <c r="DU59">
        <v>48</v>
      </c>
      <c r="DV59">
        <v>0</v>
      </c>
      <c r="DW59">
        <v>0</v>
      </c>
      <c r="DX59">
        <v>0</v>
      </c>
      <c r="DY59">
        <v>390</v>
      </c>
      <c r="DZ59">
        <v>1050</v>
      </c>
      <c r="EA59">
        <v>390</v>
      </c>
      <c r="EB59">
        <v>1110</v>
      </c>
      <c r="EC59">
        <v>60</v>
      </c>
      <c r="ED59">
        <v>1500</v>
      </c>
      <c r="EE59">
        <v>1500</v>
      </c>
      <c r="EF59">
        <v>0</v>
      </c>
      <c r="EG59">
        <v>0.2</v>
      </c>
      <c r="EH59">
        <v>0.7</v>
      </c>
      <c r="EI59">
        <v>1.5</v>
      </c>
      <c r="EJ59">
        <v>0.2</v>
      </c>
      <c r="EK59">
        <v>2.1</v>
      </c>
    </row>
    <row r="60" spans="1:141" x14ac:dyDescent="0.25">
      <c r="A60" t="str">
        <f>[1]ingredient!B59</f>
        <v>Cannellinibohnen</v>
      </c>
      <c r="B60" t="s">
        <v>193</v>
      </c>
      <c r="C60" s="7">
        <f>_xlfn.XLOOKUP(A60,[1]ingredient!$B$2:$B$521,[1]ingredient!$A$2:$A$521)</f>
        <v>58</v>
      </c>
      <c r="D60">
        <v>325</v>
      </c>
      <c r="E60">
        <v>2</v>
      </c>
      <c r="F60">
        <v>24</v>
      </c>
      <c r="G60">
        <v>40</v>
      </c>
      <c r="H60">
        <v>23</v>
      </c>
      <c r="I60">
        <v>1</v>
      </c>
      <c r="J60">
        <v>0.02</v>
      </c>
      <c r="K60">
        <v>2</v>
      </c>
      <c r="L60">
        <v>2</v>
      </c>
      <c r="M60">
        <v>1</v>
      </c>
      <c r="N60">
        <v>0</v>
      </c>
      <c r="O60">
        <v>12</v>
      </c>
      <c r="P60">
        <v>642</v>
      </c>
      <c r="Q60">
        <v>188</v>
      </c>
      <c r="R60">
        <v>2188</v>
      </c>
      <c r="S60">
        <v>6221</v>
      </c>
      <c r="T60">
        <v>770</v>
      </c>
      <c r="U60">
        <v>395</v>
      </c>
      <c r="V60">
        <v>11</v>
      </c>
      <c r="W60">
        <v>160</v>
      </c>
      <c r="X60">
        <v>0</v>
      </c>
      <c r="Y60">
        <v>3948</v>
      </c>
      <c r="Z60">
        <v>0</v>
      </c>
      <c r="AA60">
        <v>570</v>
      </c>
      <c r="AB60">
        <v>0</v>
      </c>
      <c r="AC60">
        <v>20</v>
      </c>
      <c r="AD60">
        <v>1502</v>
      </c>
      <c r="AE60">
        <v>110</v>
      </c>
      <c r="AF60">
        <v>165</v>
      </c>
      <c r="AG60">
        <v>450</v>
      </c>
      <c r="AH60">
        <v>186</v>
      </c>
      <c r="AI60">
        <v>2</v>
      </c>
      <c r="AJ60">
        <v>7019</v>
      </c>
      <c r="AK60">
        <v>3290</v>
      </c>
      <c r="AL60">
        <v>746</v>
      </c>
      <c r="AM60">
        <v>1316</v>
      </c>
      <c r="AN60">
        <v>13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1201</v>
      </c>
      <c r="AY60">
        <v>0</v>
      </c>
      <c r="AZ60">
        <v>0</v>
      </c>
      <c r="BA60">
        <v>1201</v>
      </c>
      <c r="BB60">
        <v>3202</v>
      </c>
      <c r="BC60">
        <v>3948</v>
      </c>
      <c r="BD60">
        <v>0</v>
      </c>
      <c r="BE60">
        <v>35626</v>
      </c>
      <c r="BF60">
        <v>35626</v>
      </c>
      <c r="BG60">
        <f t="shared" si="0"/>
        <v>92.753623188405797</v>
      </c>
      <c r="BH60">
        <v>1104</v>
      </c>
      <c r="BI60">
        <v>2020</v>
      </c>
      <c r="BJ60">
        <v>1939</v>
      </c>
      <c r="BK60">
        <v>296</v>
      </c>
      <c r="BL60">
        <v>216</v>
      </c>
      <c r="BM60">
        <v>1399</v>
      </c>
      <c r="BN60">
        <v>673</v>
      </c>
      <c r="BO60">
        <v>1077</v>
      </c>
      <c r="BP60">
        <v>242</v>
      </c>
      <c r="BQ60">
        <v>1239</v>
      </c>
      <c r="BR60">
        <v>1535</v>
      </c>
      <c r="BS60">
        <v>755</v>
      </c>
      <c r="BT60">
        <v>12495</v>
      </c>
      <c r="BU60">
        <v>1103</v>
      </c>
      <c r="BV60">
        <v>3231</v>
      </c>
      <c r="BW60">
        <v>3932</v>
      </c>
      <c r="BX60">
        <v>1023</v>
      </c>
      <c r="BY60">
        <v>943</v>
      </c>
      <c r="BZ60">
        <v>1508</v>
      </c>
      <c r="CA60">
        <v>11740</v>
      </c>
      <c r="CB60">
        <v>161</v>
      </c>
      <c r="CC60">
        <v>67</v>
      </c>
      <c r="CD60">
        <v>570</v>
      </c>
      <c r="CE60">
        <v>321</v>
      </c>
      <c r="CF60">
        <v>0.56000000000000005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166</v>
      </c>
      <c r="CO60">
        <v>0</v>
      </c>
      <c r="CP60">
        <v>20</v>
      </c>
      <c r="CQ60">
        <v>0</v>
      </c>
      <c r="CR60">
        <v>0</v>
      </c>
      <c r="CS60">
        <v>0</v>
      </c>
      <c r="CT60">
        <v>186</v>
      </c>
      <c r="CU60">
        <v>0</v>
      </c>
      <c r="CV60">
        <v>0</v>
      </c>
      <c r="CW60">
        <v>0</v>
      </c>
      <c r="CX60">
        <v>0</v>
      </c>
      <c r="CY60">
        <v>113</v>
      </c>
      <c r="CZ60">
        <v>0</v>
      </c>
      <c r="DA60">
        <v>0</v>
      </c>
      <c r="DB60">
        <v>0</v>
      </c>
      <c r="DC60">
        <v>113</v>
      </c>
      <c r="DD60">
        <v>0</v>
      </c>
      <c r="DE60">
        <v>0</v>
      </c>
      <c r="DF60">
        <v>321</v>
      </c>
      <c r="DG60">
        <v>570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891</v>
      </c>
      <c r="DT60">
        <v>1190</v>
      </c>
      <c r="DU60">
        <v>345</v>
      </c>
      <c r="DV60">
        <v>0</v>
      </c>
      <c r="DW60">
        <v>0</v>
      </c>
      <c r="DX60">
        <v>0</v>
      </c>
      <c r="DY60">
        <v>3037</v>
      </c>
      <c r="DZ60">
        <v>8176</v>
      </c>
      <c r="EA60">
        <v>3037</v>
      </c>
      <c r="EB60">
        <v>8643</v>
      </c>
      <c r="EC60">
        <v>467</v>
      </c>
      <c r="ED60">
        <v>11680</v>
      </c>
      <c r="EE60">
        <v>11680</v>
      </c>
      <c r="EF60">
        <v>0</v>
      </c>
      <c r="EG60">
        <v>0.27</v>
      </c>
      <c r="EH60">
        <v>4.2</v>
      </c>
      <c r="EI60">
        <v>11.7</v>
      </c>
      <c r="EJ60">
        <v>1.5</v>
      </c>
      <c r="EK60">
        <v>24.8</v>
      </c>
    </row>
    <row r="61" spans="1:141" x14ac:dyDescent="0.25">
      <c r="A61" t="str">
        <f>[1]ingredient!B60</f>
        <v>Cashewkerne</v>
      </c>
      <c r="B61" t="s">
        <v>194</v>
      </c>
      <c r="C61" s="7">
        <f>_xlfn.XLOOKUP(A61,[1]ingredient!$B$2:$B$521,[1]ingredient!$A$2:$A$521)</f>
        <v>59</v>
      </c>
      <c r="D61">
        <v>568</v>
      </c>
      <c r="E61">
        <v>42</v>
      </c>
      <c r="F61">
        <v>18</v>
      </c>
      <c r="G61">
        <v>31</v>
      </c>
      <c r="H61">
        <v>3</v>
      </c>
      <c r="I61">
        <v>15</v>
      </c>
      <c r="J61">
        <v>0.03</v>
      </c>
      <c r="K61">
        <v>4</v>
      </c>
      <c r="L61">
        <v>10</v>
      </c>
      <c r="M61">
        <v>5</v>
      </c>
      <c r="N61">
        <v>0</v>
      </c>
      <c r="O61">
        <v>60</v>
      </c>
      <c r="P61">
        <v>630</v>
      </c>
      <c r="Q61">
        <v>260</v>
      </c>
      <c r="R61">
        <v>2000</v>
      </c>
      <c r="S61">
        <v>8133</v>
      </c>
      <c r="T61">
        <v>1200</v>
      </c>
      <c r="U61">
        <v>420</v>
      </c>
      <c r="V61">
        <v>13</v>
      </c>
      <c r="W61">
        <v>67</v>
      </c>
      <c r="X61">
        <v>0</v>
      </c>
      <c r="Y61">
        <v>0</v>
      </c>
      <c r="Z61">
        <v>0</v>
      </c>
      <c r="AA61">
        <v>782</v>
      </c>
      <c r="AB61">
        <v>26</v>
      </c>
      <c r="AC61">
        <v>14</v>
      </c>
      <c r="AD61">
        <v>552</v>
      </c>
      <c r="AE61">
        <v>31</v>
      </c>
      <c r="AF61">
        <v>270</v>
      </c>
      <c r="AG61">
        <v>375</v>
      </c>
      <c r="AH61">
        <v>200</v>
      </c>
      <c r="AI61">
        <v>18</v>
      </c>
      <c r="AJ61">
        <v>2800</v>
      </c>
      <c r="AK61">
        <v>2085</v>
      </c>
      <c r="AL61">
        <v>3700</v>
      </c>
      <c r="AM61">
        <v>840</v>
      </c>
      <c r="AN61">
        <v>140</v>
      </c>
      <c r="AO61">
        <v>10</v>
      </c>
      <c r="AP61">
        <v>0</v>
      </c>
      <c r="AQ61">
        <v>0</v>
      </c>
      <c r="AR61">
        <v>0</v>
      </c>
      <c r="AS61">
        <v>0</v>
      </c>
      <c r="AT61">
        <v>1525</v>
      </c>
      <c r="AU61">
        <v>0</v>
      </c>
      <c r="AV61">
        <v>0</v>
      </c>
      <c r="AW61">
        <v>1525</v>
      </c>
      <c r="AX61">
        <v>13725</v>
      </c>
      <c r="AY61">
        <v>0</v>
      </c>
      <c r="AZ61">
        <v>0</v>
      </c>
      <c r="BA61">
        <v>13725</v>
      </c>
      <c r="BB61">
        <v>0</v>
      </c>
      <c r="BC61">
        <v>0</v>
      </c>
      <c r="BD61">
        <v>0</v>
      </c>
      <c r="BE61">
        <v>15250</v>
      </c>
      <c r="BF61">
        <v>15250</v>
      </c>
      <c r="BG61">
        <f t="shared" si="0"/>
        <v>81.018518518518519</v>
      </c>
      <c r="BH61">
        <v>928</v>
      </c>
      <c r="BI61">
        <v>1278</v>
      </c>
      <c r="BJ61">
        <v>700</v>
      </c>
      <c r="BK61">
        <v>280</v>
      </c>
      <c r="BL61">
        <v>315</v>
      </c>
      <c r="BM61">
        <v>788</v>
      </c>
      <c r="BN61">
        <v>578</v>
      </c>
      <c r="BO61">
        <v>613</v>
      </c>
      <c r="BP61">
        <v>368</v>
      </c>
      <c r="BQ61">
        <v>1295</v>
      </c>
      <c r="BR61">
        <v>1746</v>
      </c>
      <c r="BS61">
        <v>350</v>
      </c>
      <c r="BT61">
        <v>9239</v>
      </c>
      <c r="BU61">
        <v>700</v>
      </c>
      <c r="BV61">
        <v>1505</v>
      </c>
      <c r="BW61">
        <v>3640</v>
      </c>
      <c r="BX61">
        <v>805</v>
      </c>
      <c r="BY61">
        <v>683</v>
      </c>
      <c r="BZ61">
        <v>840</v>
      </c>
      <c r="CA61">
        <v>8173</v>
      </c>
      <c r="CB61">
        <v>0</v>
      </c>
      <c r="CC61">
        <v>0</v>
      </c>
      <c r="CD61">
        <v>161</v>
      </c>
      <c r="CE61">
        <v>3227</v>
      </c>
      <c r="CF61">
        <v>20.04</v>
      </c>
      <c r="CG61">
        <v>0</v>
      </c>
      <c r="CH61">
        <v>0</v>
      </c>
      <c r="CI61">
        <v>81</v>
      </c>
      <c r="CJ61">
        <v>81</v>
      </c>
      <c r="CK61">
        <v>847</v>
      </c>
      <c r="CL61">
        <v>202</v>
      </c>
      <c r="CM61">
        <v>0</v>
      </c>
      <c r="CN61">
        <v>4397</v>
      </c>
      <c r="CO61">
        <v>0</v>
      </c>
      <c r="CP61">
        <v>3147</v>
      </c>
      <c r="CQ61">
        <v>605</v>
      </c>
      <c r="CR61">
        <v>0</v>
      </c>
      <c r="CS61">
        <v>0</v>
      </c>
      <c r="CT61">
        <v>9360</v>
      </c>
      <c r="CU61">
        <v>0</v>
      </c>
      <c r="CV61">
        <v>0</v>
      </c>
      <c r="CW61">
        <v>242</v>
      </c>
      <c r="CX61">
        <v>0</v>
      </c>
      <c r="CY61">
        <v>27232</v>
      </c>
      <c r="CZ61">
        <v>121</v>
      </c>
      <c r="DA61">
        <v>0</v>
      </c>
      <c r="DB61">
        <v>0</v>
      </c>
      <c r="DC61">
        <v>27595</v>
      </c>
      <c r="DD61">
        <v>0</v>
      </c>
      <c r="DE61">
        <v>0</v>
      </c>
      <c r="DF61">
        <v>3227</v>
      </c>
      <c r="DG61">
        <v>161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3388</v>
      </c>
      <c r="DT61">
        <v>40181</v>
      </c>
      <c r="DU61">
        <v>1857</v>
      </c>
      <c r="DV61">
        <v>0</v>
      </c>
      <c r="DW61">
        <v>0</v>
      </c>
      <c r="DX61">
        <v>162</v>
      </c>
      <c r="DY61">
        <v>580</v>
      </c>
      <c r="DZ61">
        <v>435</v>
      </c>
      <c r="EA61">
        <v>725</v>
      </c>
      <c r="EB61">
        <v>870</v>
      </c>
      <c r="EC61">
        <v>290</v>
      </c>
      <c r="ED61">
        <v>1450</v>
      </c>
      <c r="EE61">
        <v>1450</v>
      </c>
      <c r="EF61">
        <v>0</v>
      </c>
      <c r="EG61">
        <v>0</v>
      </c>
      <c r="EH61">
        <v>2.9</v>
      </c>
      <c r="EI61">
        <v>1.5</v>
      </c>
      <c r="EJ61">
        <v>42.2</v>
      </c>
      <c r="EK61">
        <v>17.399999999999999</v>
      </c>
    </row>
    <row r="62" spans="1:141" x14ac:dyDescent="0.25">
      <c r="A62" t="str">
        <f>[1]ingredient!B61</f>
        <v>Cashewmilch</v>
      </c>
      <c r="C62" s="7">
        <f>_xlfn.XLOOKUP(A62,[1]ingredient!$B$2:$B$521,[1]ingredient!$A$2:$A$521)</f>
        <v>60</v>
      </c>
      <c r="D62">
        <f t="shared" ref="D62:BF62" si="10">IFERROR(D61*(D256/D259),0)</f>
        <v>12.536502546689304</v>
      </c>
      <c r="E62">
        <f t="shared" si="10"/>
        <v>0.79245283018867918</v>
      </c>
      <c r="F62">
        <f t="shared" si="10"/>
        <v>0.3</v>
      </c>
      <c r="G62">
        <f t="shared" si="10"/>
        <v>0</v>
      </c>
      <c r="H62">
        <f t="shared" si="10"/>
        <v>8.1818181818181818E-2</v>
      </c>
      <c r="I62">
        <f t="shared" si="10"/>
        <v>0.1</v>
      </c>
      <c r="J62">
        <f t="shared" si="10"/>
        <v>0.13500000000000001</v>
      </c>
      <c r="K62">
        <f t="shared" si="10"/>
        <v>77.599999999999994</v>
      </c>
      <c r="L62">
        <f t="shared" si="10"/>
        <v>0</v>
      </c>
      <c r="M62">
        <f t="shared" si="10"/>
        <v>0</v>
      </c>
      <c r="N62">
        <f t="shared" si="10"/>
        <v>0</v>
      </c>
      <c r="O62">
        <f t="shared" si="10"/>
        <v>0</v>
      </c>
      <c r="P62">
        <f t="shared" si="10"/>
        <v>0</v>
      </c>
      <c r="Q62">
        <f t="shared" si="10"/>
        <v>307.69230769230768</v>
      </c>
      <c r="R62">
        <f t="shared" si="10"/>
        <v>47.846889952153113</v>
      </c>
      <c r="S62">
        <f t="shared" si="10"/>
        <v>115.97034079566519</v>
      </c>
      <c r="T62">
        <f t="shared" si="10"/>
        <v>0</v>
      </c>
      <c r="U62">
        <f t="shared" si="10"/>
        <v>0</v>
      </c>
      <c r="V62">
        <f t="shared" si="10"/>
        <v>0</v>
      </c>
      <c r="W62">
        <f t="shared" si="10"/>
        <v>1.4888888888888889</v>
      </c>
      <c r="X62">
        <f t="shared" si="10"/>
        <v>0</v>
      </c>
      <c r="Y62">
        <f t="shared" si="10"/>
        <v>0</v>
      </c>
      <c r="Z62">
        <f t="shared" si="10"/>
        <v>0</v>
      </c>
      <c r="AA62">
        <f t="shared" si="10"/>
        <v>0</v>
      </c>
      <c r="AB62">
        <f t="shared" si="10"/>
        <v>0</v>
      </c>
      <c r="AC62">
        <f t="shared" si="10"/>
        <v>392</v>
      </c>
      <c r="AD62">
        <f t="shared" si="10"/>
        <v>12.248520710059172</v>
      </c>
      <c r="AE62">
        <f t="shared" si="10"/>
        <v>43.764705882352942</v>
      </c>
      <c r="AF62">
        <f t="shared" si="10"/>
        <v>7.431192660550459</v>
      </c>
      <c r="AG62">
        <f t="shared" si="10"/>
        <v>223.70317002881845</v>
      </c>
      <c r="AH62">
        <f t="shared" si="10"/>
        <v>5.3333333333333339</v>
      </c>
      <c r="AI62">
        <f t="shared" si="10"/>
        <v>55.800000000000004</v>
      </c>
      <c r="AJ62">
        <f t="shared" si="10"/>
        <v>90.032154340836001</v>
      </c>
      <c r="AK62">
        <f t="shared" si="10"/>
        <v>66.06463878326997</v>
      </c>
      <c r="AL62">
        <f t="shared" si="10"/>
        <v>0</v>
      </c>
      <c r="AM62">
        <f t="shared" si="10"/>
        <v>0</v>
      </c>
      <c r="AN62">
        <f t="shared" si="10"/>
        <v>0</v>
      </c>
      <c r="AO62">
        <f t="shared" si="10"/>
        <v>40</v>
      </c>
      <c r="AP62">
        <f t="shared" si="10"/>
        <v>0</v>
      </c>
      <c r="AQ62">
        <f t="shared" si="10"/>
        <v>0</v>
      </c>
      <c r="AR62">
        <f t="shared" si="10"/>
        <v>0</v>
      </c>
      <c r="AS62">
        <f t="shared" si="10"/>
        <v>0</v>
      </c>
      <c r="AT62">
        <f t="shared" si="10"/>
        <v>8.7142857142857135</v>
      </c>
      <c r="AU62">
        <f t="shared" si="10"/>
        <v>0</v>
      </c>
      <c r="AV62">
        <f t="shared" si="10"/>
        <v>0</v>
      </c>
      <c r="AW62">
        <f t="shared" si="10"/>
        <v>9.2424242424242422</v>
      </c>
      <c r="AX62">
        <f t="shared" si="10"/>
        <v>0</v>
      </c>
      <c r="AY62">
        <f t="shared" si="10"/>
        <v>0</v>
      </c>
      <c r="AZ62">
        <f t="shared" si="10"/>
        <v>0</v>
      </c>
      <c r="BA62">
        <f t="shared" si="10"/>
        <v>78.992805755395679</v>
      </c>
      <c r="BB62">
        <f t="shared" si="10"/>
        <v>0</v>
      </c>
      <c r="BC62">
        <f t="shared" si="10"/>
        <v>0</v>
      </c>
      <c r="BD62">
        <f t="shared" si="10"/>
        <v>0</v>
      </c>
      <c r="BE62">
        <f t="shared" si="10"/>
        <v>0</v>
      </c>
      <c r="BF62">
        <f t="shared" si="10"/>
        <v>0</v>
      </c>
      <c r="BG62">
        <f t="shared" si="0"/>
        <v>92.193486590038333</v>
      </c>
      <c r="BH62">
        <f t="shared" ref="BH62:DS62" si="11">IFERROR(BH61*(BH256/BH259),0)</f>
        <v>15.818181818181817</v>
      </c>
      <c r="BI62">
        <f t="shared" si="11"/>
        <v>21.883561643835616</v>
      </c>
      <c r="BJ62">
        <f t="shared" si="11"/>
        <v>13.275862068965518</v>
      </c>
      <c r="BK62">
        <f t="shared" si="11"/>
        <v>5.1851851851851851</v>
      </c>
      <c r="BL62">
        <f t="shared" si="11"/>
        <v>5.8026315789473681</v>
      </c>
      <c r="BM62">
        <f t="shared" si="11"/>
        <v>13.586206896551724</v>
      </c>
      <c r="BN62">
        <f t="shared" si="11"/>
        <v>10.25483870967742</v>
      </c>
      <c r="BO62">
        <f t="shared" si="11"/>
        <v>11.054098360655738</v>
      </c>
      <c r="BP62">
        <f t="shared" si="11"/>
        <v>6.4941176470588236</v>
      </c>
      <c r="BQ62">
        <f t="shared" si="11"/>
        <v>22.719298245614034</v>
      </c>
      <c r="BR62">
        <f t="shared" si="11"/>
        <v>30.475636363636365</v>
      </c>
      <c r="BS62">
        <f t="shared" si="11"/>
        <v>6.0576923076923084</v>
      </c>
      <c r="BT62">
        <f t="shared" si="11"/>
        <v>159.53491461100572</v>
      </c>
      <c r="BU62">
        <f t="shared" si="11"/>
        <v>12.318840579710146</v>
      </c>
      <c r="BV62">
        <f t="shared" si="11"/>
        <v>25.561309030654513</v>
      </c>
      <c r="BW62">
        <f t="shared" si="11"/>
        <v>63.035653650254666</v>
      </c>
      <c r="BX62">
        <f t="shared" si="11"/>
        <v>13.846755277560593</v>
      </c>
      <c r="BY62">
        <f t="shared" si="11"/>
        <v>11.651502843216896</v>
      </c>
      <c r="BZ62">
        <f t="shared" si="11"/>
        <v>15.050391937290033</v>
      </c>
      <c r="CA62">
        <f t="shared" si="11"/>
        <v>140.59133591099186</v>
      </c>
      <c r="CB62">
        <f t="shared" si="11"/>
        <v>0</v>
      </c>
      <c r="CC62">
        <f t="shared" si="11"/>
        <v>0</v>
      </c>
      <c r="CD62">
        <f t="shared" si="11"/>
        <v>0</v>
      </c>
      <c r="CE62">
        <f t="shared" si="11"/>
        <v>9.4191476941039104E-2</v>
      </c>
      <c r="CF62">
        <f t="shared" si="11"/>
        <v>0</v>
      </c>
      <c r="CG62">
        <f t="shared" si="11"/>
        <v>0</v>
      </c>
      <c r="CH62">
        <f t="shared" si="11"/>
        <v>0</v>
      </c>
      <c r="CI62">
        <f t="shared" si="11"/>
        <v>0</v>
      </c>
      <c r="CJ62">
        <f t="shared" si="11"/>
        <v>0</v>
      </c>
      <c r="CK62">
        <f t="shared" si="11"/>
        <v>0</v>
      </c>
      <c r="CL62">
        <f t="shared" si="11"/>
        <v>0</v>
      </c>
      <c r="CM62">
        <f t="shared" si="11"/>
        <v>0</v>
      </c>
      <c r="CN62">
        <f t="shared" si="11"/>
        <v>108.19116719242902</v>
      </c>
      <c r="CO62">
        <f t="shared" si="11"/>
        <v>0</v>
      </c>
      <c r="CP62">
        <f t="shared" si="11"/>
        <v>74.309327036599768</v>
      </c>
      <c r="CQ62">
        <f t="shared" si="11"/>
        <v>15.512820512820513</v>
      </c>
      <c r="CR62">
        <f t="shared" si="11"/>
        <v>0</v>
      </c>
      <c r="CS62">
        <f t="shared" si="11"/>
        <v>0</v>
      </c>
      <c r="CT62">
        <f t="shared" si="11"/>
        <v>230.82614056720098</v>
      </c>
      <c r="CU62">
        <f t="shared" si="11"/>
        <v>0</v>
      </c>
      <c r="CV62">
        <f t="shared" si="11"/>
        <v>0</v>
      </c>
      <c r="CW62">
        <f t="shared" si="11"/>
        <v>5.9024390243902438</v>
      </c>
      <c r="CX62">
        <f t="shared" si="11"/>
        <v>0</v>
      </c>
      <c r="CY62">
        <f t="shared" si="11"/>
        <v>624.43835616438355</v>
      </c>
      <c r="CZ62">
        <f t="shared" si="11"/>
        <v>3.4571428571428569</v>
      </c>
      <c r="DA62">
        <f t="shared" si="11"/>
        <v>0</v>
      </c>
      <c r="DB62">
        <f t="shared" si="11"/>
        <v>0</v>
      </c>
      <c r="DC62">
        <f t="shared" si="11"/>
        <v>633.26558043471141</v>
      </c>
      <c r="DD62">
        <f t="shared" si="11"/>
        <v>0</v>
      </c>
      <c r="DE62">
        <f t="shared" si="11"/>
        <v>0</v>
      </c>
      <c r="DF62">
        <f t="shared" si="11"/>
        <v>9.4191476941039104E-2</v>
      </c>
      <c r="DG62">
        <f t="shared" si="11"/>
        <v>0</v>
      </c>
      <c r="DH62">
        <f t="shared" si="11"/>
        <v>0</v>
      </c>
      <c r="DI62">
        <f t="shared" si="11"/>
        <v>0</v>
      </c>
      <c r="DJ62">
        <f t="shared" si="11"/>
        <v>0</v>
      </c>
      <c r="DK62">
        <f t="shared" si="11"/>
        <v>0</v>
      </c>
      <c r="DL62">
        <f t="shared" si="11"/>
        <v>0</v>
      </c>
      <c r="DM62">
        <f t="shared" si="11"/>
        <v>0</v>
      </c>
      <c r="DN62">
        <f t="shared" si="11"/>
        <v>0</v>
      </c>
      <c r="DO62">
        <f t="shared" si="11"/>
        <v>0</v>
      </c>
      <c r="DP62">
        <f t="shared" si="11"/>
        <v>0</v>
      </c>
      <c r="DQ62">
        <f t="shared" si="11"/>
        <v>0</v>
      </c>
      <c r="DR62">
        <f t="shared" si="11"/>
        <v>0</v>
      </c>
      <c r="DS62">
        <f t="shared" si="11"/>
        <v>9.8507462686567154E-2</v>
      </c>
      <c r="DT62">
        <f t="shared" ref="DT62:EK62" si="12">IFERROR(DT61*(DT256/DT259),0)</f>
        <v>984.91621356627161</v>
      </c>
      <c r="DU62">
        <f t="shared" si="12"/>
        <v>0</v>
      </c>
      <c r="DV62">
        <f t="shared" si="12"/>
        <v>0</v>
      </c>
      <c r="DW62">
        <f t="shared" si="12"/>
        <v>0</v>
      </c>
      <c r="DX62">
        <f t="shared" si="12"/>
        <v>0</v>
      </c>
      <c r="DY62">
        <f t="shared" si="12"/>
        <v>9.5305164319248838</v>
      </c>
      <c r="DZ62">
        <f t="shared" si="12"/>
        <v>5.163376900506802</v>
      </c>
      <c r="EA62">
        <f t="shared" si="12"/>
        <v>565.30837004405282</v>
      </c>
      <c r="EB62">
        <f t="shared" si="12"/>
        <v>10.211267605633802</v>
      </c>
      <c r="EC62">
        <f t="shared" si="12"/>
        <v>2.5550660792951545</v>
      </c>
      <c r="ED62">
        <f t="shared" si="12"/>
        <v>16.257575757575758</v>
      </c>
      <c r="EE62">
        <f t="shared" si="12"/>
        <v>58.669230769230765</v>
      </c>
      <c r="EF62">
        <f t="shared" si="12"/>
        <v>0</v>
      </c>
      <c r="EG62">
        <f t="shared" si="12"/>
        <v>0</v>
      </c>
      <c r="EH62">
        <f t="shared" si="12"/>
        <v>1.1153846153846152</v>
      </c>
      <c r="EI62">
        <f t="shared" si="12"/>
        <v>6.9230769230769221E-2</v>
      </c>
      <c r="EJ62">
        <f t="shared" si="12"/>
        <v>0.87584905660377377</v>
      </c>
      <c r="EK62">
        <f t="shared" si="12"/>
        <v>0.29871244635193128</v>
      </c>
    </row>
    <row r="63" spans="1:141" x14ac:dyDescent="0.25">
      <c r="A63" t="str">
        <f>[1]ingredient!B62</f>
        <v>Cashewmus</v>
      </c>
      <c r="B63" t="s">
        <v>195</v>
      </c>
      <c r="C63" s="7">
        <f>_xlfn.XLOOKUP(A63,[1]ingredient!$B$2:$B$521,[1]ingredient!$A$2:$A$521)</f>
        <v>61</v>
      </c>
      <c r="D63">
        <v>617</v>
      </c>
      <c r="E63">
        <v>49</v>
      </c>
      <c r="F63">
        <v>18</v>
      </c>
      <c r="G63">
        <v>27</v>
      </c>
      <c r="H63">
        <v>1</v>
      </c>
      <c r="I63">
        <v>13</v>
      </c>
      <c r="J63">
        <v>0.03</v>
      </c>
      <c r="K63">
        <v>3</v>
      </c>
      <c r="L63">
        <v>0</v>
      </c>
      <c r="M63">
        <v>0</v>
      </c>
      <c r="N63">
        <v>0</v>
      </c>
      <c r="O63">
        <v>0</v>
      </c>
      <c r="P63">
        <v>310</v>
      </c>
      <c r="Q63">
        <v>190</v>
      </c>
      <c r="R63">
        <v>1600</v>
      </c>
      <c r="S63">
        <v>7750</v>
      </c>
      <c r="T63">
        <v>1200</v>
      </c>
      <c r="U63">
        <v>252</v>
      </c>
      <c r="V63">
        <v>25</v>
      </c>
      <c r="W63">
        <v>68</v>
      </c>
      <c r="X63">
        <v>0</v>
      </c>
      <c r="Y63">
        <v>0</v>
      </c>
      <c r="Z63">
        <v>0</v>
      </c>
      <c r="AA63">
        <v>4000</v>
      </c>
      <c r="AB63">
        <v>0</v>
      </c>
      <c r="AC63">
        <v>15</v>
      </c>
      <c r="AD63">
        <v>546</v>
      </c>
      <c r="AE63">
        <v>43</v>
      </c>
      <c r="AF63">
        <v>258</v>
      </c>
      <c r="AG63">
        <v>457</v>
      </c>
      <c r="AH63">
        <v>200</v>
      </c>
      <c r="AI63">
        <v>18</v>
      </c>
      <c r="AJ63">
        <v>5030</v>
      </c>
      <c r="AK63">
        <v>5160</v>
      </c>
      <c r="AL63">
        <v>2190</v>
      </c>
      <c r="AM63">
        <v>840</v>
      </c>
      <c r="AN63">
        <v>140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1340</v>
      </c>
      <c r="AU63">
        <v>0</v>
      </c>
      <c r="AV63">
        <v>0</v>
      </c>
      <c r="AW63">
        <v>1340</v>
      </c>
      <c r="AX63">
        <v>12060</v>
      </c>
      <c r="AY63">
        <v>0</v>
      </c>
      <c r="AZ63">
        <v>0</v>
      </c>
      <c r="BA63">
        <v>12060</v>
      </c>
      <c r="BB63">
        <v>0</v>
      </c>
      <c r="BC63">
        <v>0</v>
      </c>
      <c r="BD63">
        <v>0</v>
      </c>
      <c r="BE63">
        <v>13400</v>
      </c>
      <c r="BF63">
        <v>13400</v>
      </c>
      <c r="BG63">
        <f t="shared" si="0"/>
        <v>81.25</v>
      </c>
      <c r="BH63">
        <v>931</v>
      </c>
      <c r="BI63">
        <v>1282</v>
      </c>
      <c r="BJ63">
        <v>702</v>
      </c>
      <c r="BK63">
        <v>281</v>
      </c>
      <c r="BL63">
        <v>316</v>
      </c>
      <c r="BM63">
        <v>790</v>
      </c>
      <c r="BN63">
        <v>579</v>
      </c>
      <c r="BO63">
        <v>615</v>
      </c>
      <c r="BP63">
        <v>369</v>
      </c>
      <c r="BQ63">
        <v>1299</v>
      </c>
      <c r="BR63">
        <v>1757</v>
      </c>
      <c r="BS63">
        <v>351</v>
      </c>
      <c r="BT63">
        <v>9272</v>
      </c>
      <c r="BU63">
        <v>702</v>
      </c>
      <c r="BV63">
        <v>1510</v>
      </c>
      <c r="BW63">
        <v>3652</v>
      </c>
      <c r="BX63">
        <v>808</v>
      </c>
      <c r="BY63">
        <v>685</v>
      </c>
      <c r="BZ63">
        <v>843</v>
      </c>
      <c r="CA63">
        <v>8200</v>
      </c>
      <c r="CB63">
        <v>40</v>
      </c>
      <c r="CC63">
        <v>17</v>
      </c>
      <c r="CD63">
        <v>189</v>
      </c>
      <c r="CE63">
        <v>3779</v>
      </c>
      <c r="CF63">
        <v>19.989999999999998</v>
      </c>
      <c r="CG63">
        <v>0</v>
      </c>
      <c r="CH63">
        <v>0</v>
      </c>
      <c r="CI63">
        <v>94</v>
      </c>
      <c r="CJ63">
        <v>94</v>
      </c>
      <c r="CK63">
        <v>992</v>
      </c>
      <c r="CL63">
        <v>236</v>
      </c>
      <c r="CM63">
        <v>0</v>
      </c>
      <c r="CN63">
        <v>5149</v>
      </c>
      <c r="CO63">
        <v>0</v>
      </c>
      <c r="CP63">
        <v>3684</v>
      </c>
      <c r="CQ63">
        <v>709</v>
      </c>
      <c r="CR63">
        <v>0</v>
      </c>
      <c r="CS63">
        <v>0</v>
      </c>
      <c r="CT63">
        <v>10958</v>
      </c>
      <c r="CU63">
        <v>0</v>
      </c>
      <c r="CV63">
        <v>0</v>
      </c>
      <c r="CW63">
        <v>283</v>
      </c>
      <c r="CX63">
        <v>0</v>
      </c>
      <c r="CY63">
        <v>31885</v>
      </c>
      <c r="CZ63">
        <v>142</v>
      </c>
      <c r="DA63">
        <v>0</v>
      </c>
      <c r="DB63">
        <v>0</v>
      </c>
      <c r="DC63">
        <v>32310</v>
      </c>
      <c r="DD63">
        <v>0</v>
      </c>
      <c r="DE63">
        <v>0</v>
      </c>
      <c r="DF63">
        <v>3779</v>
      </c>
      <c r="DG63">
        <v>189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3968</v>
      </c>
      <c r="DT63">
        <v>47048</v>
      </c>
      <c r="DU63">
        <v>2174</v>
      </c>
      <c r="DV63">
        <v>0</v>
      </c>
      <c r="DW63">
        <v>0</v>
      </c>
      <c r="DX63">
        <v>188</v>
      </c>
      <c r="DY63">
        <v>152</v>
      </c>
      <c r="DZ63">
        <v>114</v>
      </c>
      <c r="EA63">
        <v>190</v>
      </c>
      <c r="EB63">
        <v>228</v>
      </c>
      <c r="EC63">
        <v>76</v>
      </c>
      <c r="ED63">
        <v>380</v>
      </c>
      <c r="EE63">
        <v>380</v>
      </c>
      <c r="EF63">
        <v>0</v>
      </c>
      <c r="EG63">
        <v>0</v>
      </c>
      <c r="EH63">
        <v>2.5</v>
      </c>
      <c r="EI63">
        <v>0.4</v>
      </c>
      <c r="EJ63">
        <v>49.4</v>
      </c>
      <c r="EK63">
        <v>17.600000000000001</v>
      </c>
    </row>
    <row r="64" spans="1:141" x14ac:dyDescent="0.25">
      <c r="A64" t="str">
        <f>[1]ingredient!B63</f>
        <v>Cayennepfeffer</v>
      </c>
      <c r="B64" t="s">
        <v>196</v>
      </c>
      <c r="C64" s="7">
        <f>_xlfn.XLOOKUP(A64,[1]ingredient!$B$2:$B$521,[1]ingredient!$A$2:$A$521)</f>
        <v>62</v>
      </c>
      <c r="D64">
        <v>329</v>
      </c>
      <c r="E64">
        <v>17</v>
      </c>
      <c r="F64">
        <v>12</v>
      </c>
      <c r="G64">
        <v>32</v>
      </c>
      <c r="H64">
        <v>25</v>
      </c>
      <c r="I64">
        <v>30</v>
      </c>
      <c r="J64">
        <v>0.23</v>
      </c>
      <c r="K64">
        <v>8</v>
      </c>
      <c r="L64">
        <v>4167</v>
      </c>
      <c r="M64">
        <v>2083</v>
      </c>
      <c r="N64">
        <v>0</v>
      </c>
      <c r="O64">
        <v>25000</v>
      </c>
      <c r="P64">
        <v>330</v>
      </c>
      <c r="Q64">
        <v>920</v>
      </c>
      <c r="R64">
        <v>8700</v>
      </c>
      <c r="S64">
        <v>10700</v>
      </c>
      <c r="T64">
        <v>0</v>
      </c>
      <c r="U64">
        <v>0</v>
      </c>
      <c r="V64">
        <v>0</v>
      </c>
      <c r="W64">
        <v>0</v>
      </c>
      <c r="X64">
        <v>0</v>
      </c>
      <c r="Y64">
        <v>76000</v>
      </c>
      <c r="Z64">
        <v>0</v>
      </c>
      <c r="AA64">
        <v>0</v>
      </c>
      <c r="AB64">
        <v>0</v>
      </c>
      <c r="AC64">
        <v>30</v>
      </c>
      <c r="AD64">
        <v>2014</v>
      </c>
      <c r="AE64">
        <v>148</v>
      </c>
      <c r="AF64">
        <v>152</v>
      </c>
      <c r="AG64">
        <v>293</v>
      </c>
      <c r="AH64">
        <v>100</v>
      </c>
      <c r="AI64">
        <v>200</v>
      </c>
      <c r="AJ64">
        <v>7800</v>
      </c>
      <c r="AK64">
        <v>2480</v>
      </c>
      <c r="AL64">
        <v>800</v>
      </c>
      <c r="AM64">
        <v>500</v>
      </c>
      <c r="AN64">
        <v>400</v>
      </c>
      <c r="AO64">
        <v>5</v>
      </c>
      <c r="AP64">
        <v>0</v>
      </c>
      <c r="AQ64">
        <v>0</v>
      </c>
      <c r="AR64">
        <v>0</v>
      </c>
      <c r="AS64">
        <v>0</v>
      </c>
      <c r="AT64">
        <v>16000</v>
      </c>
      <c r="AU64">
        <v>13120</v>
      </c>
      <c r="AV64">
        <v>0</v>
      </c>
      <c r="AW64">
        <v>29120</v>
      </c>
      <c r="AX64">
        <v>1280</v>
      </c>
      <c r="AY64">
        <v>0</v>
      </c>
      <c r="AZ64">
        <v>0</v>
      </c>
      <c r="BA64">
        <v>1280</v>
      </c>
      <c r="BB64">
        <v>0</v>
      </c>
      <c r="BC64">
        <v>0</v>
      </c>
      <c r="BD64">
        <v>0</v>
      </c>
      <c r="BE64">
        <v>1600</v>
      </c>
      <c r="BF64">
        <v>1600</v>
      </c>
      <c r="BG64">
        <f t="shared" si="0"/>
        <v>81.967213114754102</v>
      </c>
      <c r="BH64">
        <v>360</v>
      </c>
      <c r="BI64">
        <v>600</v>
      </c>
      <c r="BJ64">
        <v>600</v>
      </c>
      <c r="BK64">
        <v>180</v>
      </c>
      <c r="BL64">
        <v>120</v>
      </c>
      <c r="BM64">
        <v>420</v>
      </c>
      <c r="BN64">
        <v>240</v>
      </c>
      <c r="BO64">
        <v>300</v>
      </c>
      <c r="BP64">
        <v>120</v>
      </c>
      <c r="BQ64">
        <v>480</v>
      </c>
      <c r="BR64">
        <v>540</v>
      </c>
      <c r="BS64">
        <v>180</v>
      </c>
      <c r="BT64">
        <v>4140</v>
      </c>
      <c r="BU64">
        <v>720</v>
      </c>
      <c r="BV64">
        <v>1800</v>
      </c>
      <c r="BW64">
        <v>1680</v>
      </c>
      <c r="BX64">
        <v>480</v>
      </c>
      <c r="BY64">
        <v>420</v>
      </c>
      <c r="BZ64">
        <v>480</v>
      </c>
      <c r="CA64">
        <v>5580</v>
      </c>
      <c r="CB64">
        <v>149</v>
      </c>
      <c r="CC64">
        <v>62</v>
      </c>
      <c r="CD64">
        <v>636</v>
      </c>
      <c r="CE64">
        <v>7581</v>
      </c>
      <c r="CF64">
        <v>11.92</v>
      </c>
      <c r="CG64">
        <v>0</v>
      </c>
      <c r="CH64">
        <v>0</v>
      </c>
      <c r="CI64">
        <v>0</v>
      </c>
      <c r="CJ64">
        <v>28</v>
      </c>
      <c r="CK64">
        <v>28</v>
      </c>
      <c r="CL64">
        <v>99</v>
      </c>
      <c r="CM64">
        <v>0</v>
      </c>
      <c r="CN64">
        <v>2574</v>
      </c>
      <c r="CO64">
        <v>0</v>
      </c>
      <c r="CP64">
        <v>495</v>
      </c>
      <c r="CQ64">
        <v>0</v>
      </c>
      <c r="CR64">
        <v>0</v>
      </c>
      <c r="CS64">
        <v>0</v>
      </c>
      <c r="CT64">
        <v>3224</v>
      </c>
      <c r="CU64">
        <v>0</v>
      </c>
      <c r="CV64">
        <v>0</v>
      </c>
      <c r="CW64">
        <v>226</v>
      </c>
      <c r="CX64">
        <v>0</v>
      </c>
      <c r="CY64">
        <v>2475</v>
      </c>
      <c r="CZ64">
        <v>0</v>
      </c>
      <c r="DA64">
        <v>0</v>
      </c>
      <c r="DB64">
        <v>0</v>
      </c>
      <c r="DC64">
        <v>2701</v>
      </c>
      <c r="DD64">
        <v>0</v>
      </c>
      <c r="DE64">
        <v>0</v>
      </c>
      <c r="DF64">
        <v>7581</v>
      </c>
      <c r="DG64">
        <v>636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8217</v>
      </c>
      <c r="DT64">
        <v>14114</v>
      </c>
      <c r="DU64">
        <v>2856</v>
      </c>
      <c r="DV64">
        <v>0</v>
      </c>
      <c r="DW64">
        <v>0</v>
      </c>
      <c r="DX64">
        <v>28</v>
      </c>
      <c r="DY64">
        <v>5478</v>
      </c>
      <c r="DZ64">
        <v>4482</v>
      </c>
      <c r="EA64">
        <v>4980</v>
      </c>
      <c r="EB64">
        <v>4980</v>
      </c>
      <c r="EC64">
        <v>4980</v>
      </c>
      <c r="ED64">
        <v>7470</v>
      </c>
      <c r="EE64">
        <v>17430</v>
      </c>
      <c r="EF64">
        <v>0</v>
      </c>
      <c r="EG64">
        <v>0.09</v>
      </c>
      <c r="EH64">
        <v>6</v>
      </c>
      <c r="EI64">
        <v>17.399999999999999</v>
      </c>
      <c r="EJ64">
        <v>17</v>
      </c>
      <c r="EK64">
        <v>10.199999999999999</v>
      </c>
    </row>
    <row r="65" spans="1:141" x14ac:dyDescent="0.25">
      <c r="A65" t="str">
        <f>[1]ingredient!B64</f>
        <v>Champignons braun</v>
      </c>
      <c r="B65" t="s">
        <v>197</v>
      </c>
      <c r="C65" s="7">
        <f>_xlfn.XLOOKUP(A65,[1]ingredient!$B$2:$B$521,[1]ingredient!$A$2:$A$521)</f>
        <v>63</v>
      </c>
      <c r="D65">
        <v>15</v>
      </c>
      <c r="E65">
        <v>0.24</v>
      </c>
      <c r="F65">
        <v>3</v>
      </c>
      <c r="G65">
        <v>1</v>
      </c>
      <c r="H65">
        <v>2</v>
      </c>
      <c r="I65">
        <v>0.11</v>
      </c>
      <c r="J65">
        <v>0.08</v>
      </c>
      <c r="K65">
        <v>93</v>
      </c>
      <c r="L65">
        <v>2</v>
      </c>
      <c r="M65">
        <v>1</v>
      </c>
      <c r="N65">
        <v>0</v>
      </c>
      <c r="O65">
        <v>10</v>
      </c>
      <c r="P65">
        <v>100</v>
      </c>
      <c r="Q65">
        <v>440</v>
      </c>
      <c r="R65">
        <v>5200</v>
      </c>
      <c r="S65">
        <v>5567</v>
      </c>
      <c r="T65">
        <v>2100</v>
      </c>
      <c r="U65">
        <v>65</v>
      </c>
      <c r="V65">
        <v>16</v>
      </c>
      <c r="W65">
        <v>25</v>
      </c>
      <c r="X65">
        <v>0</v>
      </c>
      <c r="Y65">
        <v>4900</v>
      </c>
      <c r="Z65">
        <v>2</v>
      </c>
      <c r="AA65">
        <v>116</v>
      </c>
      <c r="AB65">
        <v>14</v>
      </c>
      <c r="AC65">
        <v>8</v>
      </c>
      <c r="AD65">
        <v>422</v>
      </c>
      <c r="AE65">
        <v>11</v>
      </c>
      <c r="AF65">
        <v>13</v>
      </c>
      <c r="AG65">
        <v>123</v>
      </c>
      <c r="AH65">
        <v>34</v>
      </c>
      <c r="AI65">
        <v>67</v>
      </c>
      <c r="AJ65">
        <v>1186</v>
      </c>
      <c r="AK65">
        <v>540</v>
      </c>
      <c r="AL65">
        <v>400</v>
      </c>
      <c r="AM65">
        <v>89</v>
      </c>
      <c r="AN65">
        <v>31</v>
      </c>
      <c r="AO65">
        <v>18</v>
      </c>
      <c r="AP65">
        <v>448</v>
      </c>
      <c r="AQ65">
        <v>0</v>
      </c>
      <c r="AR65">
        <v>0</v>
      </c>
      <c r="AS65">
        <v>448</v>
      </c>
      <c r="AT65">
        <v>67</v>
      </c>
      <c r="AU65">
        <v>28</v>
      </c>
      <c r="AV65">
        <v>0</v>
      </c>
      <c r="AW65">
        <v>95</v>
      </c>
      <c r="AX65">
        <v>17</v>
      </c>
      <c r="AY65">
        <v>0</v>
      </c>
      <c r="AZ65">
        <v>0</v>
      </c>
      <c r="BA65">
        <v>17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f t="shared" si="0"/>
        <v>59.420289855072461</v>
      </c>
      <c r="BH65">
        <v>110</v>
      </c>
      <c r="BI65">
        <v>118</v>
      </c>
      <c r="BJ65">
        <v>170</v>
      </c>
      <c r="BK65">
        <v>25</v>
      </c>
      <c r="BL65">
        <v>16</v>
      </c>
      <c r="BM65">
        <v>74</v>
      </c>
      <c r="BN65">
        <v>66</v>
      </c>
      <c r="BO65">
        <v>85</v>
      </c>
      <c r="BP65">
        <v>22</v>
      </c>
      <c r="BQ65">
        <v>88</v>
      </c>
      <c r="BR65">
        <v>190</v>
      </c>
      <c r="BS65">
        <v>55</v>
      </c>
      <c r="BT65">
        <v>1019</v>
      </c>
      <c r="BU65">
        <v>137</v>
      </c>
      <c r="BV65">
        <v>126</v>
      </c>
      <c r="BW65">
        <v>192</v>
      </c>
      <c r="BX65">
        <v>74</v>
      </c>
      <c r="BY65">
        <v>151</v>
      </c>
      <c r="BZ65">
        <v>82</v>
      </c>
      <c r="CA65">
        <v>762</v>
      </c>
      <c r="CB65">
        <v>60</v>
      </c>
      <c r="CC65">
        <v>25</v>
      </c>
      <c r="CD65">
        <v>106</v>
      </c>
      <c r="CE65">
        <v>25</v>
      </c>
      <c r="CF65">
        <v>0.24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53</v>
      </c>
      <c r="CO65">
        <v>0</v>
      </c>
      <c r="CP65">
        <v>4</v>
      </c>
      <c r="CQ65">
        <v>0</v>
      </c>
      <c r="CR65">
        <v>0</v>
      </c>
      <c r="CS65">
        <v>0</v>
      </c>
      <c r="CT65">
        <v>58</v>
      </c>
      <c r="CU65">
        <v>0</v>
      </c>
      <c r="CV65">
        <v>0</v>
      </c>
      <c r="CW65">
        <v>1</v>
      </c>
      <c r="CX65">
        <v>0</v>
      </c>
      <c r="CY65">
        <v>2</v>
      </c>
      <c r="CZ65">
        <v>0</v>
      </c>
      <c r="DA65">
        <v>0</v>
      </c>
      <c r="DB65">
        <v>0</v>
      </c>
      <c r="DC65">
        <v>3</v>
      </c>
      <c r="DD65">
        <v>0</v>
      </c>
      <c r="DE65">
        <v>0</v>
      </c>
      <c r="DF65">
        <v>25</v>
      </c>
      <c r="DG65">
        <v>106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131</v>
      </c>
      <c r="DT65">
        <v>192</v>
      </c>
      <c r="DU65">
        <v>48</v>
      </c>
      <c r="DV65">
        <v>0</v>
      </c>
      <c r="DW65">
        <v>0</v>
      </c>
      <c r="DX65">
        <v>0</v>
      </c>
      <c r="DY65">
        <v>0</v>
      </c>
      <c r="DZ65">
        <v>832</v>
      </c>
      <c r="EA65">
        <v>20</v>
      </c>
      <c r="EB65">
        <v>1158</v>
      </c>
      <c r="EC65">
        <v>20</v>
      </c>
      <c r="ED65">
        <v>386</v>
      </c>
      <c r="EE65">
        <v>1644</v>
      </c>
      <c r="EF65">
        <v>0</v>
      </c>
      <c r="EG65">
        <v>0.13</v>
      </c>
      <c r="EH65">
        <v>1</v>
      </c>
      <c r="EI65">
        <v>1.6</v>
      </c>
      <c r="EJ65">
        <v>0.2</v>
      </c>
      <c r="EK65">
        <v>2</v>
      </c>
    </row>
    <row r="66" spans="1:141" x14ac:dyDescent="0.25">
      <c r="A66" t="str">
        <f>[1]ingredient!B65</f>
        <v>Champignons weiß</v>
      </c>
      <c r="B66" t="s">
        <v>197</v>
      </c>
      <c r="C66" s="7">
        <f>_xlfn.XLOOKUP(A66,[1]ingredient!$B$2:$B$521,[1]ingredient!$A$2:$A$521)</f>
        <v>64</v>
      </c>
      <c r="D66">
        <v>15</v>
      </c>
      <c r="E66">
        <v>0.24</v>
      </c>
      <c r="F66">
        <v>3</v>
      </c>
      <c r="G66">
        <v>1</v>
      </c>
      <c r="H66">
        <v>2</v>
      </c>
      <c r="I66">
        <v>0.11</v>
      </c>
      <c r="J66">
        <v>0.08</v>
      </c>
      <c r="K66">
        <v>93</v>
      </c>
      <c r="L66">
        <v>2</v>
      </c>
      <c r="M66">
        <v>1</v>
      </c>
      <c r="N66">
        <v>0</v>
      </c>
      <c r="O66">
        <v>10</v>
      </c>
      <c r="P66">
        <v>100</v>
      </c>
      <c r="Q66">
        <v>440</v>
      </c>
      <c r="R66">
        <v>5200</v>
      </c>
      <c r="S66">
        <v>5567</v>
      </c>
      <c r="T66">
        <v>2100</v>
      </c>
      <c r="U66">
        <v>65</v>
      </c>
      <c r="V66">
        <v>16</v>
      </c>
      <c r="W66">
        <v>25</v>
      </c>
      <c r="X66">
        <v>0</v>
      </c>
      <c r="Y66">
        <v>4900</v>
      </c>
      <c r="Z66">
        <v>2</v>
      </c>
      <c r="AA66">
        <v>116</v>
      </c>
      <c r="AB66">
        <v>14</v>
      </c>
      <c r="AC66">
        <v>8</v>
      </c>
      <c r="AD66">
        <v>422</v>
      </c>
      <c r="AE66">
        <v>11</v>
      </c>
      <c r="AF66">
        <v>13</v>
      </c>
      <c r="AG66">
        <v>123</v>
      </c>
      <c r="AH66">
        <v>34</v>
      </c>
      <c r="AI66">
        <v>67</v>
      </c>
      <c r="AJ66">
        <v>1186</v>
      </c>
      <c r="AK66">
        <v>540</v>
      </c>
      <c r="AL66">
        <v>400</v>
      </c>
      <c r="AM66">
        <v>89</v>
      </c>
      <c r="AN66">
        <v>31</v>
      </c>
      <c r="AO66">
        <v>18</v>
      </c>
      <c r="AP66">
        <v>448</v>
      </c>
      <c r="AQ66">
        <v>0</v>
      </c>
      <c r="AR66">
        <v>0</v>
      </c>
      <c r="AS66">
        <v>448</v>
      </c>
      <c r="AT66">
        <v>67</v>
      </c>
      <c r="AU66">
        <v>28</v>
      </c>
      <c r="AV66">
        <v>0</v>
      </c>
      <c r="AW66">
        <v>95</v>
      </c>
      <c r="AX66">
        <v>17</v>
      </c>
      <c r="AY66">
        <v>0</v>
      </c>
      <c r="AZ66">
        <v>0</v>
      </c>
      <c r="BA66">
        <v>17</v>
      </c>
      <c r="BB66">
        <v>0</v>
      </c>
      <c r="BC66">
        <v>0</v>
      </c>
      <c r="BD66">
        <v>0</v>
      </c>
      <c r="BE66">
        <v>0</v>
      </c>
      <c r="BF66">
        <v>0</v>
      </c>
      <c r="BG66">
        <f t="shared" si="0"/>
        <v>59.420289855072461</v>
      </c>
      <c r="BH66">
        <v>110</v>
      </c>
      <c r="BI66">
        <v>118</v>
      </c>
      <c r="BJ66">
        <v>170</v>
      </c>
      <c r="BK66">
        <v>25</v>
      </c>
      <c r="BL66">
        <v>16</v>
      </c>
      <c r="BM66">
        <v>74</v>
      </c>
      <c r="BN66">
        <v>66</v>
      </c>
      <c r="BO66">
        <v>85</v>
      </c>
      <c r="BP66">
        <v>22</v>
      </c>
      <c r="BQ66">
        <v>88</v>
      </c>
      <c r="BR66">
        <v>190</v>
      </c>
      <c r="BS66">
        <v>55</v>
      </c>
      <c r="BT66">
        <v>1019</v>
      </c>
      <c r="BU66">
        <v>137</v>
      </c>
      <c r="BV66">
        <v>126</v>
      </c>
      <c r="BW66">
        <v>192</v>
      </c>
      <c r="BX66">
        <v>74</v>
      </c>
      <c r="BY66">
        <v>151</v>
      </c>
      <c r="BZ66">
        <v>82</v>
      </c>
      <c r="CA66">
        <v>762</v>
      </c>
      <c r="CB66">
        <v>60</v>
      </c>
      <c r="CC66">
        <v>25</v>
      </c>
      <c r="CD66">
        <v>106</v>
      </c>
      <c r="CE66">
        <v>25</v>
      </c>
      <c r="CF66">
        <v>0.24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0</v>
      </c>
      <c r="CN66">
        <v>53</v>
      </c>
      <c r="CO66">
        <v>0</v>
      </c>
      <c r="CP66">
        <v>4</v>
      </c>
      <c r="CQ66">
        <v>0</v>
      </c>
      <c r="CR66">
        <v>0</v>
      </c>
      <c r="CS66">
        <v>0</v>
      </c>
      <c r="CT66">
        <v>58</v>
      </c>
      <c r="CU66">
        <v>0</v>
      </c>
      <c r="CV66">
        <v>0</v>
      </c>
      <c r="CW66">
        <v>1</v>
      </c>
      <c r="CX66">
        <v>0</v>
      </c>
      <c r="CY66">
        <v>2</v>
      </c>
      <c r="CZ66">
        <v>0</v>
      </c>
      <c r="DA66">
        <v>0</v>
      </c>
      <c r="DB66">
        <v>0</v>
      </c>
      <c r="DC66">
        <v>3</v>
      </c>
      <c r="DD66">
        <v>0</v>
      </c>
      <c r="DE66">
        <v>0</v>
      </c>
      <c r="DF66">
        <v>25</v>
      </c>
      <c r="DG66">
        <v>106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131</v>
      </c>
      <c r="DT66">
        <v>192</v>
      </c>
      <c r="DU66">
        <v>48</v>
      </c>
      <c r="DV66">
        <v>0</v>
      </c>
      <c r="DW66">
        <v>0</v>
      </c>
      <c r="DX66">
        <v>0</v>
      </c>
      <c r="DY66">
        <v>0</v>
      </c>
      <c r="DZ66">
        <v>832</v>
      </c>
      <c r="EA66">
        <v>20</v>
      </c>
      <c r="EB66">
        <v>1158</v>
      </c>
      <c r="EC66">
        <v>20</v>
      </c>
      <c r="ED66">
        <v>386</v>
      </c>
      <c r="EE66">
        <v>1644</v>
      </c>
      <c r="EF66">
        <v>0</v>
      </c>
      <c r="EG66">
        <v>0.13</v>
      </c>
      <c r="EH66">
        <v>1</v>
      </c>
      <c r="EI66">
        <v>1.6</v>
      </c>
      <c r="EJ66">
        <v>0.2</v>
      </c>
      <c r="EK66">
        <v>2</v>
      </c>
    </row>
    <row r="67" spans="1:141" x14ac:dyDescent="0.25">
      <c r="A67" t="str">
        <f>[1]ingredient!B66</f>
        <v>Chana-Dal</v>
      </c>
      <c r="C67" s="7">
        <f>_xlfn.XLOOKUP(A67,[1]ingredient!$B$2:$B$521,[1]ingredient!$A$2:$A$521)</f>
        <v>65</v>
      </c>
      <c r="D67">
        <v>355</v>
      </c>
      <c r="E67">
        <v>6</v>
      </c>
      <c r="F67">
        <v>20</v>
      </c>
      <c r="G67">
        <v>55</v>
      </c>
      <c r="H67">
        <v>12</v>
      </c>
      <c r="J67">
        <v>0.1</v>
      </c>
      <c r="K67">
        <v>0</v>
      </c>
      <c r="BG67">
        <f t="shared" si="0"/>
        <v>0</v>
      </c>
      <c r="CT67">
        <v>1</v>
      </c>
    </row>
    <row r="68" spans="1:141" x14ac:dyDescent="0.25">
      <c r="A68" t="str">
        <f>[1]ingredient!B67</f>
        <v>Cherimoya</v>
      </c>
      <c r="B68" s="8" t="s">
        <v>198</v>
      </c>
      <c r="C68" s="7">
        <f>_xlfn.XLOOKUP(A68,[1]ingredient!$B$2:$B$521,[1]ingredient!$A$2:$A$521)</f>
        <v>66</v>
      </c>
      <c r="D68">
        <v>65</v>
      </c>
      <c r="E68">
        <v>0.3</v>
      </c>
      <c r="F68">
        <v>2</v>
      </c>
      <c r="G68">
        <v>13</v>
      </c>
      <c r="H68">
        <v>7</v>
      </c>
      <c r="I68">
        <v>13</v>
      </c>
      <c r="J68">
        <v>0.03</v>
      </c>
      <c r="K68">
        <v>76</v>
      </c>
      <c r="L68">
        <v>1</v>
      </c>
      <c r="M68">
        <v>1</v>
      </c>
      <c r="N68">
        <v>0</v>
      </c>
      <c r="O68">
        <v>6</v>
      </c>
      <c r="P68">
        <v>90</v>
      </c>
      <c r="Q68">
        <v>110</v>
      </c>
      <c r="R68">
        <v>1100</v>
      </c>
      <c r="S68">
        <v>1350</v>
      </c>
      <c r="T68">
        <v>450</v>
      </c>
      <c r="U68">
        <v>100</v>
      </c>
      <c r="V68">
        <v>2</v>
      </c>
      <c r="W68">
        <v>7</v>
      </c>
      <c r="X68">
        <v>0</v>
      </c>
      <c r="Y68">
        <v>15000</v>
      </c>
      <c r="Z68">
        <v>0</v>
      </c>
      <c r="AA68">
        <v>500</v>
      </c>
      <c r="AB68">
        <v>10</v>
      </c>
      <c r="AC68">
        <v>13</v>
      </c>
      <c r="AD68">
        <v>400</v>
      </c>
      <c r="AE68">
        <v>13</v>
      </c>
      <c r="AF68">
        <v>25</v>
      </c>
      <c r="AG68">
        <v>32</v>
      </c>
      <c r="AH68">
        <v>13</v>
      </c>
      <c r="AI68">
        <v>18</v>
      </c>
      <c r="AJ68">
        <v>400</v>
      </c>
      <c r="AK68">
        <v>120</v>
      </c>
      <c r="AL68">
        <v>80</v>
      </c>
      <c r="AM68">
        <v>60</v>
      </c>
      <c r="AN68">
        <v>20</v>
      </c>
      <c r="AO68">
        <v>2</v>
      </c>
      <c r="AP68">
        <v>0</v>
      </c>
      <c r="AQ68">
        <v>0</v>
      </c>
      <c r="AR68">
        <v>0</v>
      </c>
      <c r="AS68">
        <v>0</v>
      </c>
      <c r="AT68">
        <v>4422</v>
      </c>
      <c r="AU68">
        <v>4422</v>
      </c>
      <c r="AV68">
        <v>0</v>
      </c>
      <c r="AW68">
        <v>8844</v>
      </c>
      <c r="AX68">
        <v>4556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f t="shared" si="0"/>
        <v>50</v>
      </c>
      <c r="BH68">
        <v>45</v>
      </c>
      <c r="BI68">
        <v>75</v>
      </c>
      <c r="BJ68">
        <v>75</v>
      </c>
      <c r="BK68">
        <v>15</v>
      </c>
      <c r="BL68">
        <v>8</v>
      </c>
      <c r="BM68">
        <v>38</v>
      </c>
      <c r="BN68">
        <v>30</v>
      </c>
      <c r="BO68">
        <v>45</v>
      </c>
      <c r="BP68">
        <v>15</v>
      </c>
      <c r="BQ68">
        <v>53</v>
      </c>
      <c r="BR68">
        <v>53</v>
      </c>
      <c r="BS68">
        <v>23</v>
      </c>
      <c r="BT68">
        <v>475</v>
      </c>
      <c r="BU68">
        <v>68</v>
      </c>
      <c r="BV68">
        <v>135</v>
      </c>
      <c r="BW68">
        <v>146</v>
      </c>
      <c r="BX68">
        <v>53</v>
      </c>
      <c r="BY68">
        <v>53</v>
      </c>
      <c r="BZ68">
        <v>60</v>
      </c>
      <c r="CA68">
        <v>515</v>
      </c>
      <c r="CB68">
        <v>15</v>
      </c>
      <c r="CC68">
        <v>6</v>
      </c>
      <c r="CD68">
        <v>23</v>
      </c>
      <c r="CE68">
        <v>96</v>
      </c>
      <c r="CF68">
        <v>4.17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2</v>
      </c>
      <c r="CM68">
        <v>0</v>
      </c>
      <c r="CN68">
        <v>58</v>
      </c>
      <c r="CO68">
        <v>0</v>
      </c>
      <c r="CP68">
        <v>10</v>
      </c>
      <c r="CQ68">
        <v>0</v>
      </c>
      <c r="CR68">
        <v>0</v>
      </c>
      <c r="CS68">
        <v>0</v>
      </c>
      <c r="CT68">
        <v>71</v>
      </c>
      <c r="CU68">
        <v>0</v>
      </c>
      <c r="CV68">
        <v>0</v>
      </c>
      <c r="CW68">
        <v>2</v>
      </c>
      <c r="CX68">
        <v>0</v>
      </c>
      <c r="CY68">
        <v>48</v>
      </c>
      <c r="CZ68">
        <v>0</v>
      </c>
      <c r="DA68">
        <v>0</v>
      </c>
      <c r="DB68">
        <v>0</v>
      </c>
      <c r="DC68">
        <v>50</v>
      </c>
      <c r="DD68">
        <v>0</v>
      </c>
      <c r="DE68">
        <v>0</v>
      </c>
      <c r="DF68">
        <v>96</v>
      </c>
      <c r="DG68">
        <v>23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119</v>
      </c>
      <c r="DT68">
        <v>240</v>
      </c>
      <c r="DU68">
        <v>60</v>
      </c>
      <c r="DV68">
        <v>0</v>
      </c>
      <c r="DW68">
        <v>0</v>
      </c>
      <c r="DX68">
        <v>0</v>
      </c>
      <c r="DY68">
        <v>1050</v>
      </c>
      <c r="DZ68">
        <v>1400</v>
      </c>
      <c r="EA68">
        <v>1400</v>
      </c>
      <c r="EB68">
        <v>1400</v>
      </c>
      <c r="EC68">
        <v>1750</v>
      </c>
      <c r="ED68">
        <v>1750</v>
      </c>
      <c r="EE68">
        <v>5250</v>
      </c>
      <c r="EF68">
        <v>0</v>
      </c>
      <c r="EG68">
        <v>1</v>
      </c>
      <c r="EH68">
        <v>0.8</v>
      </c>
      <c r="EI68">
        <v>5.3</v>
      </c>
      <c r="EJ68">
        <v>0.3</v>
      </c>
      <c r="EK68">
        <v>1</v>
      </c>
    </row>
    <row r="69" spans="1:141" x14ac:dyDescent="0.25">
      <c r="A69" t="str">
        <f>[1]ingredient!B68</f>
        <v>Chiasamen</v>
      </c>
      <c r="B69" t="s">
        <v>199</v>
      </c>
      <c r="C69" s="7">
        <f>_xlfn.XLOOKUP(A69,[1]ingredient!$B$2:$B$521,[1]ingredient!$A$2:$A$521)</f>
        <v>67</v>
      </c>
      <c r="D69">
        <v>455</v>
      </c>
      <c r="E69">
        <v>32</v>
      </c>
      <c r="F69">
        <v>21</v>
      </c>
      <c r="G69">
        <v>5</v>
      </c>
      <c r="H69">
        <v>30</v>
      </c>
      <c r="I69">
        <v>1</v>
      </c>
      <c r="J69">
        <v>0.03</v>
      </c>
      <c r="K69">
        <v>9</v>
      </c>
      <c r="L69">
        <v>0</v>
      </c>
      <c r="M69">
        <v>0</v>
      </c>
      <c r="N69">
        <v>0</v>
      </c>
      <c r="O69">
        <v>0</v>
      </c>
      <c r="P69">
        <v>500</v>
      </c>
      <c r="Q69">
        <v>200</v>
      </c>
      <c r="R69">
        <v>2600</v>
      </c>
      <c r="S69">
        <v>8900</v>
      </c>
      <c r="T69">
        <v>0</v>
      </c>
      <c r="U69">
        <v>400</v>
      </c>
      <c r="V69">
        <v>16</v>
      </c>
      <c r="W69">
        <v>73</v>
      </c>
      <c r="X69">
        <v>0</v>
      </c>
      <c r="Y69">
        <v>0</v>
      </c>
      <c r="Z69">
        <v>3</v>
      </c>
      <c r="AA69">
        <v>0</v>
      </c>
      <c r="AB69">
        <v>4</v>
      </c>
      <c r="AC69">
        <v>10</v>
      </c>
      <c r="AD69">
        <v>731</v>
      </c>
      <c r="AE69">
        <v>206</v>
      </c>
      <c r="AF69">
        <v>323</v>
      </c>
      <c r="AG69">
        <v>533</v>
      </c>
      <c r="AH69">
        <v>220</v>
      </c>
      <c r="AI69">
        <v>16</v>
      </c>
      <c r="AJ69">
        <v>6800</v>
      </c>
      <c r="AK69">
        <v>4200</v>
      </c>
      <c r="AL69">
        <v>1200</v>
      </c>
      <c r="AM69">
        <v>2300</v>
      </c>
      <c r="AN69">
        <v>100</v>
      </c>
      <c r="AO69">
        <v>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500</v>
      </c>
      <c r="AY69">
        <v>0</v>
      </c>
      <c r="AZ69">
        <v>0</v>
      </c>
      <c r="BA69">
        <v>500</v>
      </c>
      <c r="BB69">
        <v>4700</v>
      </c>
      <c r="BC69">
        <v>0</v>
      </c>
      <c r="BD69">
        <v>0</v>
      </c>
      <c r="BE69">
        <v>0</v>
      </c>
      <c r="BF69">
        <v>0</v>
      </c>
      <c r="BG69">
        <f t="shared" si="0"/>
        <v>86.904761904761912</v>
      </c>
      <c r="BH69">
        <v>915</v>
      </c>
      <c r="BI69">
        <v>1303</v>
      </c>
      <c r="BJ69">
        <v>876</v>
      </c>
      <c r="BK69">
        <v>428</v>
      </c>
      <c r="BL69">
        <v>408</v>
      </c>
      <c r="BM69">
        <v>1064</v>
      </c>
      <c r="BN69">
        <v>567</v>
      </c>
      <c r="BO69">
        <v>835</v>
      </c>
      <c r="BP69">
        <v>378</v>
      </c>
      <c r="BQ69">
        <v>1104</v>
      </c>
      <c r="BR69">
        <v>2148</v>
      </c>
      <c r="BS69">
        <v>497</v>
      </c>
      <c r="BT69">
        <v>10521</v>
      </c>
      <c r="BU69">
        <v>1024</v>
      </c>
      <c r="BV69">
        <v>2138</v>
      </c>
      <c r="BW69">
        <v>4515</v>
      </c>
      <c r="BX69">
        <v>1322</v>
      </c>
      <c r="BY69">
        <v>816</v>
      </c>
      <c r="BZ69">
        <v>1064</v>
      </c>
      <c r="CA69">
        <v>10879</v>
      </c>
      <c r="CB69">
        <v>0</v>
      </c>
      <c r="CC69">
        <v>0</v>
      </c>
      <c r="CD69">
        <v>20900</v>
      </c>
      <c r="CE69">
        <v>5607</v>
      </c>
      <c r="CF69">
        <v>0.27</v>
      </c>
      <c r="CG69">
        <v>0</v>
      </c>
      <c r="CH69">
        <v>0</v>
      </c>
      <c r="CI69">
        <v>0</v>
      </c>
      <c r="CJ69">
        <v>0</v>
      </c>
      <c r="CK69">
        <v>4</v>
      </c>
      <c r="CL69">
        <v>17</v>
      </c>
      <c r="CM69">
        <v>7</v>
      </c>
      <c r="CN69">
        <v>1892</v>
      </c>
      <c r="CO69">
        <v>21</v>
      </c>
      <c r="CP69">
        <v>1420</v>
      </c>
      <c r="CQ69">
        <v>54</v>
      </c>
      <c r="CR69">
        <v>54</v>
      </c>
      <c r="CS69">
        <v>32</v>
      </c>
      <c r="CT69">
        <v>3500</v>
      </c>
      <c r="CU69">
        <v>0</v>
      </c>
      <c r="CV69">
        <v>0</v>
      </c>
      <c r="CW69">
        <v>8</v>
      </c>
      <c r="CX69">
        <v>4</v>
      </c>
      <c r="CY69">
        <v>2073</v>
      </c>
      <c r="CZ69">
        <v>14</v>
      </c>
      <c r="DA69">
        <v>0</v>
      </c>
      <c r="DB69">
        <v>1</v>
      </c>
      <c r="DC69">
        <v>2100</v>
      </c>
      <c r="DD69">
        <v>0</v>
      </c>
      <c r="DE69">
        <v>0</v>
      </c>
      <c r="DF69">
        <v>5600</v>
      </c>
      <c r="DG69">
        <v>20900</v>
      </c>
      <c r="DH69">
        <v>0</v>
      </c>
      <c r="DI69">
        <v>0</v>
      </c>
      <c r="DJ69">
        <v>7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26500</v>
      </c>
      <c r="DT69">
        <v>32100</v>
      </c>
      <c r="DU69">
        <v>100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14600</v>
      </c>
      <c r="EE69">
        <v>15000</v>
      </c>
      <c r="EF69">
        <v>0</v>
      </c>
      <c r="EG69">
        <v>0</v>
      </c>
      <c r="EH69">
        <v>2.1</v>
      </c>
      <c r="EI69">
        <v>15</v>
      </c>
      <c r="EJ69">
        <v>32.200000000000003</v>
      </c>
      <c r="EK69">
        <v>21.4</v>
      </c>
    </row>
    <row r="70" spans="1:141" x14ac:dyDescent="0.25">
      <c r="A70" t="str">
        <f>[1]ingredient!B69</f>
        <v>Chicoree</v>
      </c>
      <c r="B70" t="s">
        <v>200</v>
      </c>
      <c r="C70" s="7">
        <f>_xlfn.XLOOKUP(A70,[1]ingredient!$B$2:$B$521,[1]ingredient!$A$2:$A$521)</f>
        <v>68</v>
      </c>
      <c r="D70">
        <v>17</v>
      </c>
      <c r="E70">
        <v>0.18</v>
      </c>
      <c r="F70">
        <v>1</v>
      </c>
      <c r="G70">
        <v>2</v>
      </c>
      <c r="H70">
        <v>1</v>
      </c>
      <c r="I70">
        <v>2</v>
      </c>
      <c r="J70">
        <v>0.03</v>
      </c>
      <c r="K70">
        <v>92</v>
      </c>
      <c r="L70">
        <v>572</v>
      </c>
      <c r="M70">
        <v>286</v>
      </c>
      <c r="N70">
        <v>0</v>
      </c>
      <c r="O70">
        <v>3430</v>
      </c>
      <c r="P70">
        <v>58</v>
      </c>
      <c r="Q70">
        <v>34</v>
      </c>
      <c r="R70">
        <v>240</v>
      </c>
      <c r="S70">
        <v>473</v>
      </c>
      <c r="T70">
        <v>400</v>
      </c>
      <c r="U70">
        <v>50</v>
      </c>
      <c r="V70">
        <v>5</v>
      </c>
      <c r="W70">
        <v>52</v>
      </c>
      <c r="X70">
        <v>0</v>
      </c>
      <c r="Y70">
        <v>8689</v>
      </c>
      <c r="Z70">
        <v>0</v>
      </c>
      <c r="AA70">
        <v>100</v>
      </c>
      <c r="AB70">
        <v>200</v>
      </c>
      <c r="AC70">
        <v>4</v>
      </c>
      <c r="AD70">
        <v>194</v>
      </c>
      <c r="AE70">
        <v>26</v>
      </c>
      <c r="AF70">
        <v>13</v>
      </c>
      <c r="AG70">
        <v>26</v>
      </c>
      <c r="AH70">
        <v>13</v>
      </c>
      <c r="AI70">
        <v>25</v>
      </c>
      <c r="AJ70">
        <v>740</v>
      </c>
      <c r="AK70">
        <v>190</v>
      </c>
      <c r="AL70">
        <v>140</v>
      </c>
      <c r="AM70">
        <v>300</v>
      </c>
      <c r="AN70">
        <v>70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1381</v>
      </c>
      <c r="AU70">
        <v>725</v>
      </c>
      <c r="AV70">
        <v>0</v>
      </c>
      <c r="AW70">
        <v>2106</v>
      </c>
      <c r="AX70">
        <v>187</v>
      </c>
      <c r="AY70">
        <v>0</v>
      </c>
      <c r="AZ70">
        <v>0</v>
      </c>
      <c r="BA70">
        <v>187</v>
      </c>
      <c r="BB70">
        <v>0</v>
      </c>
      <c r="BC70">
        <v>1490</v>
      </c>
      <c r="BD70">
        <v>0</v>
      </c>
      <c r="BE70">
        <v>47</v>
      </c>
      <c r="BF70">
        <v>47</v>
      </c>
      <c r="BG70">
        <f t="shared" si="0"/>
        <v>108.69565217391303</v>
      </c>
      <c r="BH70">
        <v>85</v>
      </c>
      <c r="BI70">
        <v>87</v>
      </c>
      <c r="BJ70">
        <v>65</v>
      </c>
      <c r="BK70">
        <v>16</v>
      </c>
      <c r="BL70">
        <v>9</v>
      </c>
      <c r="BM70">
        <v>59</v>
      </c>
      <c r="BN70">
        <v>36</v>
      </c>
      <c r="BO70">
        <v>49</v>
      </c>
      <c r="BP70">
        <v>14</v>
      </c>
      <c r="BQ70">
        <v>65</v>
      </c>
      <c r="BR70">
        <v>62</v>
      </c>
      <c r="BS70">
        <v>21</v>
      </c>
      <c r="BT70">
        <v>568</v>
      </c>
      <c r="BU70">
        <v>56</v>
      </c>
      <c r="BV70">
        <v>143</v>
      </c>
      <c r="BW70">
        <v>159</v>
      </c>
      <c r="BX70">
        <v>52</v>
      </c>
      <c r="BY70">
        <v>68</v>
      </c>
      <c r="BZ70">
        <v>46</v>
      </c>
      <c r="CA70">
        <v>524</v>
      </c>
      <c r="CB70">
        <v>15</v>
      </c>
      <c r="CC70">
        <v>6</v>
      </c>
      <c r="CD70">
        <v>29</v>
      </c>
      <c r="CE70">
        <v>74</v>
      </c>
      <c r="CF70">
        <v>2.5499999999999998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3</v>
      </c>
      <c r="CM70">
        <v>0</v>
      </c>
      <c r="CN70">
        <v>32</v>
      </c>
      <c r="CO70">
        <v>0</v>
      </c>
      <c r="CP70">
        <v>2</v>
      </c>
      <c r="CQ70">
        <v>0</v>
      </c>
      <c r="CR70">
        <v>0</v>
      </c>
      <c r="CS70">
        <v>0</v>
      </c>
      <c r="CT70">
        <v>37</v>
      </c>
      <c r="CU70">
        <v>0</v>
      </c>
      <c r="CV70">
        <v>0</v>
      </c>
      <c r="CW70">
        <v>0</v>
      </c>
      <c r="CX70">
        <v>0</v>
      </c>
      <c r="CY70">
        <v>4</v>
      </c>
      <c r="CZ70">
        <v>0</v>
      </c>
      <c r="DA70">
        <v>0</v>
      </c>
      <c r="DB70">
        <v>0</v>
      </c>
      <c r="DC70">
        <v>4</v>
      </c>
      <c r="DD70">
        <v>0</v>
      </c>
      <c r="DE70">
        <v>0</v>
      </c>
      <c r="DF70">
        <v>74</v>
      </c>
      <c r="DG70">
        <v>29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103</v>
      </c>
      <c r="DT70">
        <v>144</v>
      </c>
      <c r="DU70">
        <v>36</v>
      </c>
      <c r="DV70">
        <v>0</v>
      </c>
      <c r="DW70">
        <v>0</v>
      </c>
      <c r="DX70">
        <v>0</v>
      </c>
      <c r="DY70">
        <v>221</v>
      </c>
      <c r="DZ70">
        <v>156</v>
      </c>
      <c r="EA70">
        <v>468</v>
      </c>
      <c r="EB70">
        <v>416</v>
      </c>
      <c r="EC70">
        <v>39</v>
      </c>
      <c r="ED70">
        <v>390</v>
      </c>
      <c r="EE70">
        <v>910</v>
      </c>
      <c r="EF70">
        <v>0</v>
      </c>
      <c r="EG70">
        <v>0.3</v>
      </c>
      <c r="EH70">
        <v>1</v>
      </c>
      <c r="EI70">
        <v>0.9</v>
      </c>
      <c r="EJ70">
        <v>0.2</v>
      </c>
      <c r="EK70">
        <v>1.1000000000000001</v>
      </c>
    </row>
    <row r="71" spans="1:141" x14ac:dyDescent="0.25">
      <c r="A71" t="str">
        <f>[1]ingredient!B70</f>
        <v>Chili</v>
      </c>
      <c r="B71" t="s">
        <v>201</v>
      </c>
      <c r="C71" s="7">
        <f>_xlfn.XLOOKUP(A71,[1]ingredient!$B$2:$B$521,[1]ingredient!$A$2:$A$521)</f>
        <v>69</v>
      </c>
      <c r="D71">
        <v>329</v>
      </c>
      <c r="E71">
        <v>17</v>
      </c>
      <c r="F71">
        <v>12</v>
      </c>
      <c r="G71">
        <v>32</v>
      </c>
      <c r="H71">
        <v>25</v>
      </c>
      <c r="I71">
        <v>30</v>
      </c>
      <c r="J71">
        <v>0.23</v>
      </c>
      <c r="K71">
        <v>8</v>
      </c>
      <c r="L71">
        <v>4167</v>
      </c>
      <c r="M71">
        <v>2083</v>
      </c>
      <c r="N71">
        <v>0</v>
      </c>
      <c r="O71">
        <v>25000</v>
      </c>
      <c r="P71">
        <v>330</v>
      </c>
      <c r="Q71">
        <v>920</v>
      </c>
      <c r="R71">
        <v>8700</v>
      </c>
      <c r="S71">
        <v>10700</v>
      </c>
      <c r="T71">
        <v>0</v>
      </c>
      <c r="U71">
        <v>0</v>
      </c>
      <c r="V71">
        <v>0</v>
      </c>
      <c r="W71">
        <v>0</v>
      </c>
      <c r="X71">
        <v>0</v>
      </c>
      <c r="Y71">
        <v>76000</v>
      </c>
      <c r="Z71">
        <v>0</v>
      </c>
      <c r="AA71">
        <v>0</v>
      </c>
      <c r="AB71">
        <v>0</v>
      </c>
      <c r="AC71">
        <v>30</v>
      </c>
      <c r="AD71">
        <v>2014</v>
      </c>
      <c r="AE71">
        <v>148</v>
      </c>
      <c r="AF71">
        <v>152</v>
      </c>
      <c r="AG71">
        <v>293</v>
      </c>
      <c r="AH71">
        <v>100</v>
      </c>
      <c r="AI71">
        <v>200</v>
      </c>
      <c r="AJ71">
        <v>7800</v>
      </c>
      <c r="AK71">
        <v>2480</v>
      </c>
      <c r="AL71">
        <v>800</v>
      </c>
      <c r="AM71">
        <v>500</v>
      </c>
      <c r="AN71">
        <v>400</v>
      </c>
      <c r="AO71">
        <v>5</v>
      </c>
      <c r="AP71">
        <v>0</v>
      </c>
      <c r="AQ71">
        <v>0</v>
      </c>
      <c r="AR71">
        <v>0</v>
      </c>
      <c r="AS71">
        <v>0</v>
      </c>
      <c r="AT71">
        <v>16000</v>
      </c>
      <c r="AU71">
        <v>13120</v>
      </c>
      <c r="AV71">
        <v>0</v>
      </c>
      <c r="AW71">
        <v>29120</v>
      </c>
      <c r="AX71">
        <v>1280</v>
      </c>
      <c r="AY71">
        <v>0</v>
      </c>
      <c r="AZ71">
        <v>0</v>
      </c>
      <c r="BA71">
        <v>1280</v>
      </c>
      <c r="BB71">
        <v>0</v>
      </c>
      <c r="BC71">
        <v>0</v>
      </c>
      <c r="BD71">
        <v>0</v>
      </c>
      <c r="BE71">
        <v>1600</v>
      </c>
      <c r="BF71">
        <v>1600</v>
      </c>
      <c r="BG71">
        <f t="shared" si="0"/>
        <v>81.967213114754102</v>
      </c>
      <c r="BH71">
        <v>360</v>
      </c>
      <c r="BI71">
        <v>600</v>
      </c>
      <c r="BJ71">
        <v>600</v>
      </c>
      <c r="BK71">
        <v>180</v>
      </c>
      <c r="BL71">
        <v>120</v>
      </c>
      <c r="BM71">
        <v>420</v>
      </c>
      <c r="BN71">
        <v>240</v>
      </c>
      <c r="BO71">
        <v>300</v>
      </c>
      <c r="BP71">
        <v>120</v>
      </c>
      <c r="BQ71">
        <v>480</v>
      </c>
      <c r="BR71">
        <v>540</v>
      </c>
      <c r="BS71">
        <v>180</v>
      </c>
      <c r="BT71">
        <v>4140</v>
      </c>
      <c r="BU71">
        <v>720</v>
      </c>
      <c r="BV71">
        <v>1800</v>
      </c>
      <c r="BW71">
        <v>1680</v>
      </c>
      <c r="BX71">
        <v>480</v>
      </c>
      <c r="BY71">
        <v>420</v>
      </c>
      <c r="BZ71">
        <v>480</v>
      </c>
      <c r="CA71">
        <v>5580</v>
      </c>
      <c r="CB71">
        <v>149</v>
      </c>
      <c r="CC71">
        <v>62</v>
      </c>
      <c r="CD71">
        <v>636</v>
      </c>
      <c r="CE71">
        <v>7581</v>
      </c>
      <c r="CF71">
        <v>11.92</v>
      </c>
      <c r="CG71">
        <v>0</v>
      </c>
      <c r="CH71">
        <v>0</v>
      </c>
      <c r="CI71">
        <v>0</v>
      </c>
      <c r="CJ71">
        <v>28</v>
      </c>
      <c r="CK71">
        <v>28</v>
      </c>
      <c r="CL71">
        <v>99</v>
      </c>
      <c r="CM71">
        <v>0</v>
      </c>
      <c r="CN71">
        <v>2574</v>
      </c>
      <c r="CO71">
        <v>0</v>
      </c>
      <c r="CP71">
        <v>495</v>
      </c>
      <c r="CQ71">
        <v>0</v>
      </c>
      <c r="CR71">
        <v>0</v>
      </c>
      <c r="CS71">
        <v>0</v>
      </c>
      <c r="CT71">
        <v>3224</v>
      </c>
      <c r="CU71">
        <v>0</v>
      </c>
      <c r="CV71">
        <v>0</v>
      </c>
      <c r="CW71">
        <v>226</v>
      </c>
      <c r="CX71">
        <v>0</v>
      </c>
      <c r="CY71">
        <v>2475</v>
      </c>
      <c r="CZ71">
        <v>0</v>
      </c>
      <c r="DA71">
        <v>0</v>
      </c>
      <c r="DB71">
        <v>0</v>
      </c>
      <c r="DC71">
        <v>2701</v>
      </c>
      <c r="DD71">
        <v>0</v>
      </c>
      <c r="DE71">
        <v>0</v>
      </c>
      <c r="DF71">
        <v>7581</v>
      </c>
      <c r="DG71">
        <v>636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8217</v>
      </c>
      <c r="DT71">
        <v>14114</v>
      </c>
      <c r="DU71">
        <v>2856</v>
      </c>
      <c r="DV71">
        <v>0</v>
      </c>
      <c r="DW71">
        <v>0</v>
      </c>
      <c r="DX71">
        <v>28</v>
      </c>
      <c r="DY71">
        <v>5478</v>
      </c>
      <c r="DZ71">
        <v>4482</v>
      </c>
      <c r="EA71">
        <v>4980</v>
      </c>
      <c r="EB71">
        <v>4980</v>
      </c>
      <c r="EC71">
        <v>4980</v>
      </c>
      <c r="ED71">
        <v>7470</v>
      </c>
      <c r="EE71">
        <v>17430</v>
      </c>
      <c r="EF71">
        <v>0</v>
      </c>
      <c r="EG71">
        <v>0.09</v>
      </c>
      <c r="EH71">
        <v>6</v>
      </c>
      <c r="EI71">
        <v>17.399999999999999</v>
      </c>
      <c r="EJ71">
        <v>17</v>
      </c>
      <c r="EK71">
        <v>10.199999999999999</v>
      </c>
    </row>
    <row r="72" spans="1:141" x14ac:dyDescent="0.25">
      <c r="A72" t="str">
        <f>[1]ingredient!B71</f>
        <v>Chiliflocken</v>
      </c>
      <c r="B72" t="s">
        <v>201</v>
      </c>
      <c r="C72" s="7">
        <f>_xlfn.XLOOKUP(A72,[1]ingredient!$B$2:$B$521,[1]ingredient!$A$2:$A$521)</f>
        <v>70</v>
      </c>
      <c r="D72">
        <v>329</v>
      </c>
      <c r="E72">
        <v>17</v>
      </c>
      <c r="F72">
        <v>12</v>
      </c>
      <c r="G72">
        <v>32</v>
      </c>
      <c r="H72">
        <v>25</v>
      </c>
      <c r="I72">
        <v>30</v>
      </c>
      <c r="J72">
        <v>0.23</v>
      </c>
      <c r="K72">
        <v>8</v>
      </c>
      <c r="L72">
        <v>4167</v>
      </c>
      <c r="M72">
        <v>2083</v>
      </c>
      <c r="N72">
        <v>0</v>
      </c>
      <c r="O72">
        <v>25000</v>
      </c>
      <c r="P72">
        <v>330</v>
      </c>
      <c r="Q72">
        <v>920</v>
      </c>
      <c r="R72">
        <v>8700</v>
      </c>
      <c r="S72">
        <v>10700</v>
      </c>
      <c r="T72">
        <v>0</v>
      </c>
      <c r="U72">
        <v>0</v>
      </c>
      <c r="V72">
        <v>0</v>
      </c>
      <c r="W72">
        <v>0</v>
      </c>
      <c r="X72">
        <v>0</v>
      </c>
      <c r="Y72">
        <v>76000</v>
      </c>
      <c r="Z72">
        <v>0</v>
      </c>
      <c r="AA72">
        <v>0</v>
      </c>
      <c r="AB72">
        <v>0</v>
      </c>
      <c r="AC72">
        <v>30</v>
      </c>
      <c r="AD72">
        <v>2014</v>
      </c>
      <c r="AE72">
        <v>148</v>
      </c>
      <c r="AF72">
        <v>152</v>
      </c>
      <c r="AG72">
        <v>293</v>
      </c>
      <c r="AH72">
        <v>100</v>
      </c>
      <c r="AI72">
        <v>200</v>
      </c>
      <c r="AJ72">
        <v>7800</v>
      </c>
      <c r="AK72">
        <v>2480</v>
      </c>
      <c r="AL72">
        <v>800</v>
      </c>
      <c r="AM72">
        <v>500</v>
      </c>
      <c r="AN72">
        <v>400</v>
      </c>
      <c r="AO72">
        <v>5</v>
      </c>
      <c r="AP72">
        <v>0</v>
      </c>
      <c r="AQ72">
        <v>0</v>
      </c>
      <c r="AR72">
        <v>0</v>
      </c>
      <c r="AS72">
        <v>0</v>
      </c>
      <c r="AT72">
        <v>16000</v>
      </c>
      <c r="AU72">
        <v>13120</v>
      </c>
      <c r="AV72">
        <v>0</v>
      </c>
      <c r="AW72">
        <v>29120</v>
      </c>
      <c r="AX72">
        <v>1280</v>
      </c>
      <c r="AY72">
        <v>0</v>
      </c>
      <c r="AZ72">
        <v>0</v>
      </c>
      <c r="BA72">
        <v>1280</v>
      </c>
      <c r="BB72">
        <v>0</v>
      </c>
      <c r="BC72">
        <v>0</v>
      </c>
      <c r="BD72">
        <v>0</v>
      </c>
      <c r="BE72">
        <v>1600</v>
      </c>
      <c r="BF72">
        <v>1600</v>
      </c>
      <c r="BG72">
        <f t="shared" ref="BG72:BG136" si="13">IF($F72=0,"0",MIN(
BH72/(30*$F72),
BI72/(61*$F72),
BJ72/(48*$F72),
(BK72+BL72)/(23*$F72),
(BM72+BN72)/(41*$F72),
BO72/(25*$F72),
BP72/(6.6*$F72),
BQ72/(40*$F72),
BS72/(16*$F72)
)*100)</f>
        <v>81.967213114754102</v>
      </c>
      <c r="BH72">
        <v>360</v>
      </c>
      <c r="BI72">
        <v>600</v>
      </c>
      <c r="BJ72">
        <v>600</v>
      </c>
      <c r="BK72">
        <v>180</v>
      </c>
      <c r="BL72">
        <v>120</v>
      </c>
      <c r="BM72">
        <v>420</v>
      </c>
      <c r="BN72">
        <v>240</v>
      </c>
      <c r="BO72">
        <v>300</v>
      </c>
      <c r="BP72">
        <v>120</v>
      </c>
      <c r="BQ72">
        <v>480</v>
      </c>
      <c r="BR72">
        <v>540</v>
      </c>
      <c r="BS72">
        <v>180</v>
      </c>
      <c r="BT72">
        <v>4140</v>
      </c>
      <c r="BU72">
        <v>720</v>
      </c>
      <c r="BV72">
        <v>1800</v>
      </c>
      <c r="BW72">
        <v>1680</v>
      </c>
      <c r="BX72">
        <v>480</v>
      </c>
      <c r="BY72">
        <v>420</v>
      </c>
      <c r="BZ72">
        <v>480</v>
      </c>
      <c r="CA72">
        <v>5580</v>
      </c>
      <c r="CB72">
        <v>149</v>
      </c>
      <c r="CC72">
        <v>62</v>
      </c>
      <c r="CD72">
        <v>636</v>
      </c>
      <c r="CE72">
        <v>7581</v>
      </c>
      <c r="CF72">
        <v>11.92</v>
      </c>
      <c r="CG72">
        <v>0</v>
      </c>
      <c r="CH72">
        <v>0</v>
      </c>
      <c r="CI72">
        <v>0</v>
      </c>
      <c r="CJ72">
        <v>28</v>
      </c>
      <c r="CK72">
        <v>28</v>
      </c>
      <c r="CL72">
        <v>99</v>
      </c>
      <c r="CM72">
        <v>0</v>
      </c>
      <c r="CN72">
        <v>2574</v>
      </c>
      <c r="CO72">
        <v>0</v>
      </c>
      <c r="CP72">
        <v>495</v>
      </c>
      <c r="CQ72">
        <v>0</v>
      </c>
      <c r="CR72">
        <v>0</v>
      </c>
      <c r="CS72">
        <v>0</v>
      </c>
      <c r="CT72">
        <v>3224</v>
      </c>
      <c r="CU72">
        <v>0</v>
      </c>
      <c r="CV72">
        <v>0</v>
      </c>
      <c r="CW72">
        <v>226</v>
      </c>
      <c r="CX72">
        <v>0</v>
      </c>
      <c r="CY72">
        <v>2475</v>
      </c>
      <c r="CZ72">
        <v>0</v>
      </c>
      <c r="DA72">
        <v>0</v>
      </c>
      <c r="DB72">
        <v>0</v>
      </c>
      <c r="DC72">
        <v>2701</v>
      </c>
      <c r="DD72">
        <v>0</v>
      </c>
      <c r="DE72">
        <v>0</v>
      </c>
      <c r="DF72">
        <v>7581</v>
      </c>
      <c r="DG72">
        <v>636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8217</v>
      </c>
      <c r="DT72">
        <v>14114</v>
      </c>
      <c r="DU72">
        <v>2856</v>
      </c>
      <c r="DV72">
        <v>0</v>
      </c>
      <c r="DW72">
        <v>0</v>
      </c>
      <c r="DX72">
        <v>28</v>
      </c>
      <c r="DY72">
        <v>5478</v>
      </c>
      <c r="DZ72">
        <v>4482</v>
      </c>
      <c r="EA72">
        <v>4980</v>
      </c>
      <c r="EB72">
        <v>4980</v>
      </c>
      <c r="EC72">
        <v>4980</v>
      </c>
      <c r="ED72">
        <v>7470</v>
      </c>
      <c r="EE72">
        <v>17430</v>
      </c>
      <c r="EF72">
        <v>0</v>
      </c>
      <c r="EG72">
        <v>0.09</v>
      </c>
      <c r="EH72">
        <v>6</v>
      </c>
      <c r="EI72">
        <v>17.399999999999999</v>
      </c>
      <c r="EJ72">
        <v>17</v>
      </c>
      <c r="EK72">
        <v>10.199999999999999</v>
      </c>
    </row>
    <row r="73" spans="1:141" x14ac:dyDescent="0.25">
      <c r="A73" t="str">
        <f>[1]ingredient!B72</f>
        <v>Chilischoten</v>
      </c>
      <c r="B73" t="s">
        <v>202</v>
      </c>
      <c r="C73" s="7">
        <f>_xlfn.XLOOKUP(A73,[1]ingredient!$B$2:$B$521,[1]ingredient!$A$2:$A$521)</f>
        <v>71</v>
      </c>
      <c r="D73">
        <v>28</v>
      </c>
      <c r="E73">
        <v>0.3</v>
      </c>
      <c r="F73">
        <v>2</v>
      </c>
      <c r="G73">
        <v>4</v>
      </c>
      <c r="H73">
        <v>4</v>
      </c>
      <c r="I73">
        <v>4</v>
      </c>
      <c r="J73">
        <v>0.03</v>
      </c>
      <c r="K73">
        <v>89</v>
      </c>
      <c r="L73">
        <v>684</v>
      </c>
      <c r="M73">
        <v>342</v>
      </c>
      <c r="N73">
        <v>0</v>
      </c>
      <c r="O73">
        <v>4105</v>
      </c>
      <c r="P73">
        <v>120</v>
      </c>
      <c r="Q73">
        <v>150</v>
      </c>
      <c r="R73">
        <v>2200</v>
      </c>
      <c r="S73">
        <v>2500</v>
      </c>
      <c r="T73">
        <v>60</v>
      </c>
      <c r="U73">
        <v>280</v>
      </c>
      <c r="V73">
        <v>3</v>
      </c>
      <c r="W73">
        <v>52</v>
      </c>
      <c r="X73">
        <v>0</v>
      </c>
      <c r="Y73">
        <v>225000</v>
      </c>
      <c r="Z73">
        <v>0</v>
      </c>
      <c r="AA73">
        <v>2900</v>
      </c>
      <c r="AB73">
        <v>5</v>
      </c>
      <c r="AC73">
        <v>12</v>
      </c>
      <c r="AD73">
        <v>440</v>
      </c>
      <c r="AE73">
        <v>16</v>
      </c>
      <c r="AF73">
        <v>21</v>
      </c>
      <c r="AG73">
        <v>39</v>
      </c>
      <c r="AH73">
        <v>15</v>
      </c>
      <c r="AI73">
        <v>20</v>
      </c>
      <c r="AJ73">
        <v>1000</v>
      </c>
      <c r="AK73">
        <v>300</v>
      </c>
      <c r="AL73">
        <v>170</v>
      </c>
      <c r="AM73">
        <v>200</v>
      </c>
      <c r="AN73">
        <v>20</v>
      </c>
      <c r="AO73">
        <v>2</v>
      </c>
      <c r="AP73">
        <v>0</v>
      </c>
      <c r="AQ73">
        <v>0</v>
      </c>
      <c r="AR73">
        <v>0</v>
      </c>
      <c r="AS73">
        <v>0</v>
      </c>
      <c r="AT73">
        <v>2100</v>
      </c>
      <c r="AU73">
        <v>1722</v>
      </c>
      <c r="AV73">
        <v>0</v>
      </c>
      <c r="AW73">
        <v>3822</v>
      </c>
      <c r="AX73">
        <v>168</v>
      </c>
      <c r="AY73">
        <v>0</v>
      </c>
      <c r="AZ73">
        <v>0</v>
      </c>
      <c r="BA73">
        <v>168</v>
      </c>
      <c r="BB73">
        <v>0</v>
      </c>
      <c r="BC73">
        <v>0</v>
      </c>
      <c r="BD73">
        <v>0</v>
      </c>
      <c r="BE73">
        <v>210</v>
      </c>
      <c r="BF73">
        <v>210</v>
      </c>
      <c r="BG73">
        <f t="shared" si="13"/>
        <v>68.032786885245898</v>
      </c>
      <c r="BH73">
        <v>59</v>
      </c>
      <c r="BI73">
        <v>83</v>
      </c>
      <c r="BJ73">
        <v>77</v>
      </c>
      <c r="BK73">
        <v>16</v>
      </c>
      <c r="BL73">
        <v>32</v>
      </c>
      <c r="BM73">
        <v>68</v>
      </c>
      <c r="BN73">
        <v>36</v>
      </c>
      <c r="BO73">
        <v>63</v>
      </c>
      <c r="BP73">
        <v>18</v>
      </c>
      <c r="BQ73">
        <v>65</v>
      </c>
      <c r="BR73">
        <v>68</v>
      </c>
      <c r="BS73">
        <v>27</v>
      </c>
      <c r="BT73">
        <v>612</v>
      </c>
      <c r="BU73">
        <v>72</v>
      </c>
      <c r="BV73">
        <v>257</v>
      </c>
      <c r="BW73">
        <v>245</v>
      </c>
      <c r="BX73">
        <v>65</v>
      </c>
      <c r="BY73">
        <v>72</v>
      </c>
      <c r="BZ73">
        <v>81</v>
      </c>
      <c r="CA73">
        <v>792</v>
      </c>
      <c r="CB73">
        <v>10</v>
      </c>
      <c r="CC73">
        <v>4</v>
      </c>
      <c r="CD73">
        <v>16</v>
      </c>
      <c r="CE73">
        <v>155</v>
      </c>
      <c r="CF73">
        <v>9.69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35</v>
      </c>
      <c r="CO73">
        <v>0</v>
      </c>
      <c r="CP73">
        <v>12</v>
      </c>
      <c r="CQ73">
        <v>0</v>
      </c>
      <c r="CR73">
        <v>0</v>
      </c>
      <c r="CS73">
        <v>0</v>
      </c>
      <c r="CT73">
        <v>48</v>
      </c>
      <c r="CU73">
        <v>0</v>
      </c>
      <c r="CV73">
        <v>0</v>
      </c>
      <c r="CW73">
        <v>2</v>
      </c>
      <c r="CX73">
        <v>0</v>
      </c>
      <c r="CY73">
        <v>19</v>
      </c>
      <c r="CZ73">
        <v>0</v>
      </c>
      <c r="DA73">
        <v>0</v>
      </c>
      <c r="DB73">
        <v>0</v>
      </c>
      <c r="DC73">
        <v>21</v>
      </c>
      <c r="DD73">
        <v>0</v>
      </c>
      <c r="DE73">
        <v>0</v>
      </c>
      <c r="DF73">
        <v>155</v>
      </c>
      <c r="DG73">
        <v>16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171</v>
      </c>
      <c r="DT73">
        <v>240</v>
      </c>
      <c r="DU73">
        <v>60</v>
      </c>
      <c r="DV73">
        <v>0</v>
      </c>
      <c r="DW73">
        <v>0</v>
      </c>
      <c r="DX73">
        <v>0</v>
      </c>
      <c r="DY73">
        <v>251</v>
      </c>
      <c r="DZ73">
        <v>431</v>
      </c>
      <c r="EA73">
        <v>1257</v>
      </c>
      <c r="EB73">
        <v>1149</v>
      </c>
      <c r="EC73">
        <v>503</v>
      </c>
      <c r="ED73">
        <v>539</v>
      </c>
      <c r="EE73">
        <v>3052</v>
      </c>
      <c r="EF73">
        <v>0</v>
      </c>
      <c r="EG73">
        <v>0.3</v>
      </c>
      <c r="EH73">
        <v>0.6</v>
      </c>
      <c r="EI73">
        <v>3.1</v>
      </c>
      <c r="EJ73">
        <v>0.3</v>
      </c>
      <c r="EK73">
        <v>1.4</v>
      </c>
    </row>
    <row r="74" spans="1:141" x14ac:dyDescent="0.25">
      <c r="A74" t="str">
        <f>[1]ingredient!B73</f>
        <v>Chinakohl</v>
      </c>
      <c r="B74" t="s">
        <v>203</v>
      </c>
      <c r="C74" s="7">
        <f>_xlfn.XLOOKUP(A74,[1]ingredient!$B$2:$B$521,[1]ingredient!$A$2:$A$521)</f>
        <v>72</v>
      </c>
      <c r="D74">
        <v>14</v>
      </c>
      <c r="E74">
        <v>0.3</v>
      </c>
      <c r="F74">
        <v>1</v>
      </c>
      <c r="G74">
        <v>1</v>
      </c>
      <c r="H74">
        <v>2</v>
      </c>
      <c r="I74">
        <v>1</v>
      </c>
      <c r="J74">
        <v>0.04</v>
      </c>
      <c r="K74">
        <v>94</v>
      </c>
      <c r="L74">
        <v>71</v>
      </c>
      <c r="M74">
        <v>35</v>
      </c>
      <c r="N74">
        <v>0</v>
      </c>
      <c r="O74">
        <v>425</v>
      </c>
      <c r="P74">
        <v>30</v>
      </c>
      <c r="Q74">
        <v>40</v>
      </c>
      <c r="R74">
        <v>400</v>
      </c>
      <c r="S74">
        <v>633</v>
      </c>
      <c r="T74">
        <v>200</v>
      </c>
      <c r="U74">
        <v>110</v>
      </c>
      <c r="V74">
        <v>1</v>
      </c>
      <c r="W74">
        <v>83</v>
      </c>
      <c r="X74">
        <v>0</v>
      </c>
      <c r="Y74">
        <v>26000</v>
      </c>
      <c r="Z74">
        <v>0</v>
      </c>
      <c r="AA74">
        <v>240</v>
      </c>
      <c r="AB74">
        <v>250</v>
      </c>
      <c r="AC74">
        <v>19</v>
      </c>
      <c r="AD74">
        <v>144</v>
      </c>
      <c r="AE74">
        <v>40</v>
      </c>
      <c r="AF74">
        <v>11</v>
      </c>
      <c r="AG74">
        <v>30</v>
      </c>
      <c r="AH74">
        <v>60</v>
      </c>
      <c r="AI74">
        <v>18</v>
      </c>
      <c r="AJ74">
        <v>600</v>
      </c>
      <c r="AK74">
        <v>340</v>
      </c>
      <c r="AL74">
        <v>20</v>
      </c>
      <c r="AM74">
        <v>280</v>
      </c>
      <c r="AN74">
        <v>15</v>
      </c>
      <c r="AO74">
        <v>0.3</v>
      </c>
      <c r="AP74">
        <v>0</v>
      </c>
      <c r="AQ74">
        <v>0</v>
      </c>
      <c r="AR74">
        <v>0</v>
      </c>
      <c r="AS74">
        <v>0</v>
      </c>
      <c r="AT74">
        <v>417</v>
      </c>
      <c r="AU74">
        <v>427</v>
      </c>
      <c r="AV74">
        <v>0</v>
      </c>
      <c r="AW74">
        <v>844</v>
      </c>
      <c r="AX74">
        <v>298</v>
      </c>
      <c r="AY74">
        <v>0</v>
      </c>
      <c r="AZ74">
        <v>0</v>
      </c>
      <c r="BA74">
        <v>298</v>
      </c>
      <c r="BB74">
        <v>0</v>
      </c>
      <c r="BC74">
        <v>0</v>
      </c>
      <c r="BD74">
        <v>0</v>
      </c>
      <c r="BE74">
        <v>48</v>
      </c>
      <c r="BF74">
        <v>48</v>
      </c>
      <c r="BG74">
        <f t="shared" si="13"/>
        <v>100</v>
      </c>
      <c r="BH74">
        <v>67</v>
      </c>
      <c r="BI74">
        <v>69</v>
      </c>
      <c r="BJ74">
        <v>62</v>
      </c>
      <c r="BK74">
        <v>12</v>
      </c>
      <c r="BL74">
        <v>11</v>
      </c>
      <c r="BM74">
        <v>39</v>
      </c>
      <c r="BN74">
        <v>29</v>
      </c>
      <c r="BO74">
        <v>44</v>
      </c>
      <c r="BP74">
        <v>14</v>
      </c>
      <c r="BQ74">
        <v>57</v>
      </c>
      <c r="BR74">
        <v>71</v>
      </c>
      <c r="BS74">
        <v>21</v>
      </c>
      <c r="BT74">
        <v>496</v>
      </c>
      <c r="BU74">
        <v>68</v>
      </c>
      <c r="BV74">
        <v>86</v>
      </c>
      <c r="BW74">
        <v>286</v>
      </c>
      <c r="BX74">
        <v>33</v>
      </c>
      <c r="BY74">
        <v>24</v>
      </c>
      <c r="BZ74">
        <v>38</v>
      </c>
      <c r="CA74">
        <v>535</v>
      </c>
      <c r="CB74">
        <v>25</v>
      </c>
      <c r="CC74">
        <v>10</v>
      </c>
      <c r="CD74">
        <v>99</v>
      </c>
      <c r="CE74">
        <v>26</v>
      </c>
      <c r="CF74">
        <v>0.26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66</v>
      </c>
      <c r="CO74">
        <v>0</v>
      </c>
      <c r="CP74">
        <v>8</v>
      </c>
      <c r="CQ74">
        <v>0</v>
      </c>
      <c r="CR74">
        <v>0</v>
      </c>
      <c r="CS74">
        <v>0</v>
      </c>
      <c r="CT74">
        <v>74</v>
      </c>
      <c r="CU74">
        <v>0</v>
      </c>
      <c r="CV74">
        <v>0</v>
      </c>
      <c r="CW74">
        <v>4</v>
      </c>
      <c r="CX74">
        <v>0</v>
      </c>
      <c r="CY74">
        <v>37</v>
      </c>
      <c r="CZ74">
        <v>0</v>
      </c>
      <c r="DA74">
        <v>0</v>
      </c>
      <c r="DB74">
        <v>0</v>
      </c>
      <c r="DC74">
        <v>41</v>
      </c>
      <c r="DD74">
        <v>0</v>
      </c>
      <c r="DE74">
        <v>0</v>
      </c>
      <c r="DF74">
        <v>26</v>
      </c>
      <c r="DG74">
        <v>99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125</v>
      </c>
      <c r="DT74">
        <v>240</v>
      </c>
      <c r="DU74">
        <v>60</v>
      </c>
      <c r="DV74">
        <v>0</v>
      </c>
      <c r="DW74">
        <v>0</v>
      </c>
      <c r="DX74">
        <v>0</v>
      </c>
      <c r="DY74">
        <v>399</v>
      </c>
      <c r="DZ74">
        <v>323</v>
      </c>
      <c r="EA74">
        <v>475</v>
      </c>
      <c r="EB74">
        <v>646</v>
      </c>
      <c r="EC74">
        <v>57</v>
      </c>
      <c r="ED74">
        <v>190</v>
      </c>
      <c r="EE74">
        <v>1710</v>
      </c>
      <c r="EF74">
        <v>0</v>
      </c>
      <c r="EG74">
        <v>0.4</v>
      </c>
      <c r="EH74">
        <v>0.6</v>
      </c>
      <c r="EI74">
        <v>1.7</v>
      </c>
      <c r="EJ74">
        <v>0.3</v>
      </c>
      <c r="EK74">
        <v>1.1000000000000001</v>
      </c>
    </row>
    <row r="75" spans="1:141" x14ac:dyDescent="0.25">
      <c r="A75" t="str">
        <f>[1]ingredient!B74</f>
        <v>Chinakohl violett</v>
      </c>
      <c r="B75" t="s">
        <v>203</v>
      </c>
      <c r="C75" s="7">
        <f>_xlfn.XLOOKUP(A75,[1]ingredient!$B$2:$B$521,[1]ingredient!$A$2:$A$521)</f>
        <v>73</v>
      </c>
      <c r="D75">
        <v>14</v>
      </c>
      <c r="E75">
        <v>0.3</v>
      </c>
      <c r="F75">
        <v>1</v>
      </c>
      <c r="G75">
        <v>1</v>
      </c>
      <c r="H75">
        <v>2</v>
      </c>
      <c r="I75">
        <v>1</v>
      </c>
      <c r="J75">
        <v>0.04</v>
      </c>
      <c r="K75">
        <v>94</v>
      </c>
      <c r="L75">
        <v>71</v>
      </c>
      <c r="M75">
        <v>35</v>
      </c>
      <c r="N75">
        <v>0</v>
      </c>
      <c r="O75">
        <v>425</v>
      </c>
      <c r="P75">
        <v>30</v>
      </c>
      <c r="Q75">
        <v>40</v>
      </c>
      <c r="R75">
        <v>400</v>
      </c>
      <c r="S75">
        <v>633</v>
      </c>
      <c r="T75">
        <v>200</v>
      </c>
      <c r="U75">
        <v>110</v>
      </c>
      <c r="V75">
        <v>1</v>
      </c>
      <c r="W75">
        <v>83</v>
      </c>
      <c r="X75">
        <v>0</v>
      </c>
      <c r="Y75">
        <v>26000</v>
      </c>
      <c r="Z75">
        <v>0</v>
      </c>
      <c r="AA75">
        <v>240</v>
      </c>
      <c r="AB75">
        <v>250</v>
      </c>
      <c r="AC75">
        <v>19</v>
      </c>
      <c r="AD75">
        <v>144</v>
      </c>
      <c r="AE75">
        <v>40</v>
      </c>
      <c r="AF75">
        <v>11</v>
      </c>
      <c r="AG75">
        <v>30</v>
      </c>
      <c r="AH75">
        <v>60</v>
      </c>
      <c r="AI75">
        <v>18</v>
      </c>
      <c r="AJ75">
        <v>600</v>
      </c>
      <c r="AK75">
        <v>340</v>
      </c>
      <c r="AL75">
        <v>20</v>
      </c>
      <c r="AM75">
        <v>280</v>
      </c>
      <c r="AN75">
        <v>15</v>
      </c>
      <c r="AO75">
        <v>0.3</v>
      </c>
      <c r="AP75">
        <v>0</v>
      </c>
      <c r="AQ75">
        <v>0</v>
      </c>
      <c r="AR75">
        <v>0</v>
      </c>
      <c r="AS75">
        <v>0</v>
      </c>
      <c r="AT75">
        <v>417</v>
      </c>
      <c r="AU75">
        <v>427</v>
      </c>
      <c r="AV75">
        <v>0</v>
      </c>
      <c r="AW75">
        <v>844</v>
      </c>
      <c r="AX75">
        <v>298</v>
      </c>
      <c r="AY75">
        <v>0</v>
      </c>
      <c r="AZ75">
        <v>0</v>
      </c>
      <c r="BA75">
        <v>298</v>
      </c>
      <c r="BB75">
        <v>0</v>
      </c>
      <c r="BC75">
        <v>0</v>
      </c>
      <c r="BD75">
        <v>0</v>
      </c>
      <c r="BE75">
        <v>48</v>
      </c>
      <c r="BF75">
        <v>48</v>
      </c>
      <c r="BG75">
        <f t="shared" si="13"/>
        <v>100</v>
      </c>
      <c r="BH75">
        <v>67</v>
      </c>
      <c r="BI75">
        <v>69</v>
      </c>
      <c r="BJ75">
        <v>62</v>
      </c>
      <c r="BK75">
        <v>12</v>
      </c>
      <c r="BL75">
        <v>11</v>
      </c>
      <c r="BM75">
        <v>39</v>
      </c>
      <c r="BN75">
        <v>29</v>
      </c>
      <c r="BO75">
        <v>44</v>
      </c>
      <c r="BP75">
        <v>14</v>
      </c>
      <c r="BQ75">
        <v>57</v>
      </c>
      <c r="BR75">
        <v>71</v>
      </c>
      <c r="BS75">
        <v>21</v>
      </c>
      <c r="BT75">
        <v>496</v>
      </c>
      <c r="BU75">
        <v>68</v>
      </c>
      <c r="BV75">
        <v>86</v>
      </c>
      <c r="BW75">
        <v>286</v>
      </c>
      <c r="BX75">
        <v>33</v>
      </c>
      <c r="BY75">
        <v>24</v>
      </c>
      <c r="BZ75">
        <v>38</v>
      </c>
      <c r="CA75">
        <v>535</v>
      </c>
      <c r="CB75">
        <v>25</v>
      </c>
      <c r="CC75">
        <v>10</v>
      </c>
      <c r="CD75">
        <v>99</v>
      </c>
      <c r="CE75">
        <v>26</v>
      </c>
      <c r="CF75">
        <v>0.26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66</v>
      </c>
      <c r="CO75">
        <v>0</v>
      </c>
      <c r="CP75">
        <v>8</v>
      </c>
      <c r="CQ75">
        <v>0</v>
      </c>
      <c r="CR75">
        <v>0</v>
      </c>
      <c r="CS75">
        <v>0</v>
      </c>
      <c r="CT75">
        <v>74</v>
      </c>
      <c r="CU75">
        <v>0</v>
      </c>
      <c r="CV75">
        <v>0</v>
      </c>
      <c r="CW75">
        <v>4</v>
      </c>
      <c r="CX75">
        <v>0</v>
      </c>
      <c r="CY75">
        <v>37</v>
      </c>
      <c r="CZ75">
        <v>0</v>
      </c>
      <c r="DA75">
        <v>0</v>
      </c>
      <c r="DB75">
        <v>0</v>
      </c>
      <c r="DC75">
        <v>41</v>
      </c>
      <c r="DD75">
        <v>0</v>
      </c>
      <c r="DE75">
        <v>0</v>
      </c>
      <c r="DF75">
        <v>26</v>
      </c>
      <c r="DG75">
        <v>99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125</v>
      </c>
      <c r="DT75">
        <v>240</v>
      </c>
      <c r="DU75">
        <v>60</v>
      </c>
      <c r="DV75">
        <v>0</v>
      </c>
      <c r="DW75">
        <v>0</v>
      </c>
      <c r="DX75">
        <v>0</v>
      </c>
      <c r="DY75">
        <v>399</v>
      </c>
      <c r="DZ75">
        <v>323</v>
      </c>
      <c r="EA75">
        <v>475</v>
      </c>
      <c r="EB75">
        <v>646</v>
      </c>
      <c r="EC75">
        <v>57</v>
      </c>
      <c r="ED75">
        <v>190</v>
      </c>
      <c r="EE75">
        <v>1710</v>
      </c>
      <c r="EF75">
        <v>0</v>
      </c>
      <c r="EG75">
        <v>0.4</v>
      </c>
      <c r="EH75">
        <v>0.6</v>
      </c>
      <c r="EI75">
        <v>1.7</v>
      </c>
      <c r="EJ75">
        <v>0.3</v>
      </c>
      <c r="EK75">
        <v>1.1000000000000001</v>
      </c>
    </row>
    <row r="76" spans="1:141" x14ac:dyDescent="0.25">
      <c r="A76" t="str">
        <f>[1]ingredient!B75</f>
        <v>Clementinen</v>
      </c>
      <c r="B76" t="s">
        <v>204</v>
      </c>
      <c r="C76" s="7">
        <f>_xlfn.XLOOKUP(A76,[1]ingredient!$B$2:$B$521,[1]ingredient!$A$2:$A$521)</f>
        <v>74</v>
      </c>
      <c r="D76">
        <v>46</v>
      </c>
      <c r="E76">
        <v>0.3</v>
      </c>
      <c r="F76">
        <v>1</v>
      </c>
      <c r="G76">
        <v>9</v>
      </c>
      <c r="H76">
        <v>2</v>
      </c>
      <c r="I76">
        <v>9</v>
      </c>
      <c r="J76">
        <v>0.01</v>
      </c>
      <c r="K76">
        <v>86</v>
      </c>
      <c r="L76">
        <v>50</v>
      </c>
      <c r="M76">
        <v>25</v>
      </c>
      <c r="N76">
        <v>0</v>
      </c>
      <c r="O76">
        <v>300</v>
      </c>
      <c r="P76">
        <v>70</v>
      </c>
      <c r="Q76">
        <v>20</v>
      </c>
      <c r="R76">
        <v>200</v>
      </c>
      <c r="S76">
        <v>317</v>
      </c>
      <c r="T76">
        <v>200</v>
      </c>
      <c r="U76">
        <v>50</v>
      </c>
      <c r="V76">
        <v>1</v>
      </c>
      <c r="W76">
        <v>15</v>
      </c>
      <c r="X76">
        <v>0</v>
      </c>
      <c r="Y76">
        <v>30000</v>
      </c>
      <c r="Z76">
        <v>0</v>
      </c>
      <c r="AA76">
        <v>300</v>
      </c>
      <c r="AB76">
        <v>3</v>
      </c>
      <c r="AC76">
        <v>2</v>
      </c>
      <c r="AD76">
        <v>180</v>
      </c>
      <c r="AE76">
        <v>35</v>
      </c>
      <c r="AF76">
        <v>11</v>
      </c>
      <c r="AG76">
        <v>20</v>
      </c>
      <c r="AH76">
        <v>10</v>
      </c>
      <c r="AI76">
        <v>3</v>
      </c>
      <c r="AJ76">
        <v>300</v>
      </c>
      <c r="AK76">
        <v>100</v>
      </c>
      <c r="AL76">
        <v>90</v>
      </c>
      <c r="AM76">
        <v>40</v>
      </c>
      <c r="AN76">
        <v>10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1530</v>
      </c>
      <c r="AU76">
        <v>1692</v>
      </c>
      <c r="AV76">
        <v>0</v>
      </c>
      <c r="AW76">
        <v>3222</v>
      </c>
      <c r="AX76">
        <v>5778</v>
      </c>
      <c r="AY76">
        <v>0</v>
      </c>
      <c r="AZ76">
        <v>0</v>
      </c>
      <c r="BA76">
        <v>5778</v>
      </c>
      <c r="BB76">
        <v>0</v>
      </c>
      <c r="BC76">
        <v>0</v>
      </c>
      <c r="BD76">
        <v>0</v>
      </c>
      <c r="BE76">
        <v>0</v>
      </c>
      <c r="BF76">
        <v>0</v>
      </c>
      <c r="BG76">
        <f t="shared" si="13"/>
        <v>27.868852459016392</v>
      </c>
      <c r="BH76">
        <v>17</v>
      </c>
      <c r="BI76">
        <v>17</v>
      </c>
      <c r="BJ76">
        <v>31</v>
      </c>
      <c r="BK76">
        <v>10</v>
      </c>
      <c r="BL76">
        <v>7</v>
      </c>
      <c r="BM76">
        <v>21</v>
      </c>
      <c r="BN76">
        <v>10</v>
      </c>
      <c r="BO76">
        <v>10</v>
      </c>
      <c r="BP76">
        <v>7</v>
      </c>
      <c r="BQ76">
        <v>24</v>
      </c>
      <c r="BR76">
        <v>45</v>
      </c>
      <c r="BS76">
        <v>10</v>
      </c>
      <c r="BT76">
        <v>209</v>
      </c>
      <c r="BU76">
        <v>35</v>
      </c>
      <c r="BV76">
        <v>103</v>
      </c>
      <c r="BW76">
        <v>70</v>
      </c>
      <c r="BX76">
        <v>56</v>
      </c>
      <c r="BY76">
        <v>38</v>
      </c>
      <c r="BZ76">
        <v>24</v>
      </c>
      <c r="CA76">
        <v>326</v>
      </c>
      <c r="CB76">
        <v>20</v>
      </c>
      <c r="CC76">
        <v>8</v>
      </c>
      <c r="CD76">
        <v>36</v>
      </c>
      <c r="CE76">
        <v>87</v>
      </c>
      <c r="CF76">
        <v>2.42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2</v>
      </c>
      <c r="CM76">
        <v>0</v>
      </c>
      <c r="CN76">
        <v>57</v>
      </c>
      <c r="CO76">
        <v>0</v>
      </c>
      <c r="CP76">
        <v>2</v>
      </c>
      <c r="CQ76">
        <v>0</v>
      </c>
      <c r="CR76">
        <v>0</v>
      </c>
      <c r="CS76">
        <v>0</v>
      </c>
      <c r="CT76">
        <v>61</v>
      </c>
      <c r="CU76">
        <v>0</v>
      </c>
      <c r="CV76">
        <v>0</v>
      </c>
      <c r="CW76">
        <v>7</v>
      </c>
      <c r="CX76">
        <v>0</v>
      </c>
      <c r="CY76">
        <v>48</v>
      </c>
      <c r="CZ76">
        <v>0</v>
      </c>
      <c r="DA76">
        <v>0</v>
      </c>
      <c r="DB76">
        <v>0</v>
      </c>
      <c r="DC76">
        <v>55</v>
      </c>
      <c r="DD76">
        <v>0</v>
      </c>
      <c r="DE76">
        <v>0</v>
      </c>
      <c r="DF76">
        <v>87</v>
      </c>
      <c r="DG76">
        <v>36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123</v>
      </c>
      <c r="DT76">
        <v>239</v>
      </c>
      <c r="DU76">
        <v>60</v>
      </c>
      <c r="DV76">
        <v>0</v>
      </c>
      <c r="DW76">
        <v>0</v>
      </c>
      <c r="DX76">
        <v>0</v>
      </c>
      <c r="DY76">
        <v>400</v>
      </c>
      <c r="DZ76">
        <v>300</v>
      </c>
      <c r="EA76">
        <v>600</v>
      </c>
      <c r="EB76">
        <v>400</v>
      </c>
      <c r="EC76">
        <v>300</v>
      </c>
      <c r="ED76">
        <v>788</v>
      </c>
      <c r="EE76">
        <v>1212</v>
      </c>
      <c r="EF76">
        <v>0</v>
      </c>
      <c r="EG76">
        <v>1</v>
      </c>
      <c r="EH76">
        <v>0.7</v>
      </c>
      <c r="EI76">
        <v>1.2</v>
      </c>
      <c r="EJ76">
        <v>0.3</v>
      </c>
      <c r="EK76">
        <v>0.6</v>
      </c>
    </row>
    <row r="77" spans="1:141" x14ac:dyDescent="0.25">
      <c r="A77" t="str">
        <f>[1]ingredient!B76</f>
        <v>Couscous</v>
      </c>
      <c r="B77" t="s">
        <v>205</v>
      </c>
      <c r="C77" s="7">
        <f>_xlfn.XLOOKUP(A77,[1]ingredient!$B$2:$B$521,[1]ingredient!$A$2:$A$521)</f>
        <v>75</v>
      </c>
      <c r="D77">
        <v>341</v>
      </c>
      <c r="E77">
        <v>2</v>
      </c>
      <c r="F77">
        <v>12</v>
      </c>
      <c r="G77">
        <v>69</v>
      </c>
      <c r="H77">
        <v>6</v>
      </c>
      <c r="I77">
        <v>1</v>
      </c>
      <c r="J77">
        <v>0.14000000000000001</v>
      </c>
      <c r="K77">
        <v>11</v>
      </c>
      <c r="L77">
        <v>0</v>
      </c>
      <c r="M77">
        <v>0</v>
      </c>
      <c r="N77">
        <v>0</v>
      </c>
      <c r="O77">
        <v>0</v>
      </c>
      <c r="P77">
        <v>273</v>
      </c>
      <c r="Q77">
        <v>17</v>
      </c>
      <c r="R77">
        <v>1300</v>
      </c>
      <c r="S77">
        <v>3267</v>
      </c>
      <c r="T77">
        <v>500</v>
      </c>
      <c r="U77">
        <v>33</v>
      </c>
      <c r="V77">
        <v>1</v>
      </c>
      <c r="W77">
        <v>17</v>
      </c>
      <c r="X77">
        <v>0</v>
      </c>
      <c r="Y77">
        <v>0</v>
      </c>
      <c r="Z77">
        <v>0</v>
      </c>
      <c r="AA77">
        <v>800</v>
      </c>
      <c r="AB77">
        <v>0</v>
      </c>
      <c r="AC77">
        <v>6</v>
      </c>
      <c r="AD77">
        <v>335</v>
      </c>
      <c r="AE77">
        <v>26</v>
      </c>
      <c r="AF77">
        <v>71</v>
      </c>
      <c r="AG77">
        <v>254</v>
      </c>
      <c r="AH77">
        <v>194</v>
      </c>
      <c r="AI77">
        <v>130</v>
      </c>
      <c r="AJ77">
        <v>2577</v>
      </c>
      <c r="AK77">
        <v>2051</v>
      </c>
      <c r="AL77">
        <v>406</v>
      </c>
      <c r="AM77">
        <v>1284</v>
      </c>
      <c r="AN77">
        <v>89</v>
      </c>
      <c r="AO77">
        <v>3</v>
      </c>
      <c r="AP77">
        <v>0</v>
      </c>
      <c r="AQ77">
        <v>0</v>
      </c>
      <c r="AR77">
        <v>0</v>
      </c>
      <c r="AS77">
        <v>0</v>
      </c>
      <c r="AT77">
        <v>69</v>
      </c>
      <c r="AU77">
        <v>69</v>
      </c>
      <c r="AV77">
        <v>0</v>
      </c>
      <c r="AW77">
        <v>138</v>
      </c>
      <c r="AX77">
        <v>687</v>
      </c>
      <c r="AY77">
        <v>0</v>
      </c>
      <c r="AZ77">
        <v>0</v>
      </c>
      <c r="BA77">
        <v>687</v>
      </c>
      <c r="BB77">
        <v>412</v>
      </c>
      <c r="BC77">
        <v>0</v>
      </c>
      <c r="BD77">
        <v>0</v>
      </c>
      <c r="BE77">
        <v>67453</v>
      </c>
      <c r="BF77">
        <v>67453</v>
      </c>
      <c r="BG77">
        <f t="shared" si="13"/>
        <v>55.381944444444443</v>
      </c>
      <c r="BH77">
        <v>461</v>
      </c>
      <c r="BI77">
        <v>791</v>
      </c>
      <c r="BJ77">
        <v>319</v>
      </c>
      <c r="BK77">
        <v>178</v>
      </c>
      <c r="BL77">
        <v>236</v>
      </c>
      <c r="BM77">
        <v>544</v>
      </c>
      <c r="BN77">
        <v>354</v>
      </c>
      <c r="BO77">
        <v>343</v>
      </c>
      <c r="BP77">
        <v>118</v>
      </c>
      <c r="BQ77">
        <v>532</v>
      </c>
      <c r="BR77">
        <v>532</v>
      </c>
      <c r="BS77">
        <v>225</v>
      </c>
      <c r="BT77">
        <v>4633</v>
      </c>
      <c r="BU77">
        <v>414</v>
      </c>
      <c r="BV77">
        <v>579</v>
      </c>
      <c r="BW77">
        <v>3575</v>
      </c>
      <c r="BX77">
        <v>543</v>
      </c>
      <c r="BY77">
        <v>1346</v>
      </c>
      <c r="BZ77">
        <v>601</v>
      </c>
      <c r="CA77">
        <v>7058</v>
      </c>
      <c r="CB77">
        <v>80</v>
      </c>
      <c r="CC77">
        <v>33</v>
      </c>
      <c r="CD77">
        <v>50</v>
      </c>
      <c r="CE77">
        <v>727</v>
      </c>
      <c r="CF77">
        <v>14.54</v>
      </c>
      <c r="CG77">
        <v>0</v>
      </c>
      <c r="CH77">
        <v>0</v>
      </c>
      <c r="CI77">
        <v>0</v>
      </c>
      <c r="CJ77">
        <v>0</v>
      </c>
      <c r="CK77">
        <v>2</v>
      </c>
      <c r="CL77">
        <v>2</v>
      </c>
      <c r="CM77">
        <v>2</v>
      </c>
      <c r="CN77">
        <v>220</v>
      </c>
      <c r="CO77">
        <v>0</v>
      </c>
      <c r="CP77">
        <v>13</v>
      </c>
      <c r="CQ77">
        <v>11</v>
      </c>
      <c r="CR77">
        <v>0</v>
      </c>
      <c r="CS77">
        <v>0</v>
      </c>
      <c r="CT77">
        <v>250</v>
      </c>
      <c r="CU77">
        <v>0</v>
      </c>
      <c r="CV77">
        <v>0</v>
      </c>
      <c r="CW77">
        <v>6</v>
      </c>
      <c r="CX77">
        <v>0</v>
      </c>
      <c r="CY77">
        <v>187</v>
      </c>
      <c r="CZ77">
        <v>4</v>
      </c>
      <c r="DA77">
        <v>0</v>
      </c>
      <c r="DB77">
        <v>0</v>
      </c>
      <c r="DC77">
        <v>197</v>
      </c>
      <c r="DD77">
        <v>0</v>
      </c>
      <c r="DE77">
        <v>0</v>
      </c>
      <c r="DF77">
        <v>725</v>
      </c>
      <c r="DG77">
        <v>50</v>
      </c>
      <c r="DH77">
        <v>0</v>
      </c>
      <c r="DI77">
        <v>0</v>
      </c>
      <c r="DJ77">
        <v>0</v>
      </c>
      <c r="DK77">
        <v>0</v>
      </c>
      <c r="DL77">
        <v>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777</v>
      </c>
      <c r="DT77">
        <v>1224</v>
      </c>
      <c r="DU77">
        <v>476</v>
      </c>
      <c r="DV77">
        <v>0</v>
      </c>
      <c r="DW77">
        <v>0</v>
      </c>
      <c r="DX77">
        <v>0</v>
      </c>
      <c r="DY77">
        <v>2468</v>
      </c>
      <c r="DZ77">
        <v>1851</v>
      </c>
      <c r="EA77">
        <v>432</v>
      </c>
      <c r="EB77">
        <v>1111</v>
      </c>
      <c r="EC77">
        <v>309</v>
      </c>
      <c r="ED77">
        <v>1880</v>
      </c>
      <c r="EE77">
        <v>4290</v>
      </c>
      <c r="EF77">
        <v>0</v>
      </c>
      <c r="EG77">
        <v>0</v>
      </c>
      <c r="EH77">
        <v>0.7</v>
      </c>
      <c r="EI77">
        <v>4.3</v>
      </c>
      <c r="EJ77">
        <v>1.7</v>
      </c>
      <c r="EK77">
        <v>12</v>
      </c>
    </row>
    <row r="78" spans="1:141" x14ac:dyDescent="0.25">
      <c r="A78" t="str">
        <f>[1]ingredient!B77</f>
        <v>Cranberries</v>
      </c>
      <c r="B78" t="s">
        <v>206</v>
      </c>
      <c r="C78" s="7">
        <f>_xlfn.XLOOKUP(A78,[1]ingredient!$B$2:$B$521,[1]ingredient!$A$2:$A$521)</f>
        <v>76</v>
      </c>
      <c r="D78">
        <v>36</v>
      </c>
      <c r="E78">
        <v>1</v>
      </c>
      <c r="F78">
        <v>0.4</v>
      </c>
      <c r="G78">
        <v>4</v>
      </c>
      <c r="H78">
        <v>4</v>
      </c>
      <c r="I78">
        <v>4</v>
      </c>
      <c r="J78">
        <v>0</v>
      </c>
      <c r="K78">
        <v>87</v>
      </c>
      <c r="L78">
        <v>4</v>
      </c>
      <c r="M78">
        <v>2</v>
      </c>
      <c r="N78">
        <v>0</v>
      </c>
      <c r="O78">
        <v>22</v>
      </c>
      <c r="P78">
        <v>30</v>
      </c>
      <c r="Q78">
        <v>20</v>
      </c>
      <c r="R78">
        <v>100</v>
      </c>
      <c r="S78">
        <v>233</v>
      </c>
      <c r="T78">
        <v>220</v>
      </c>
      <c r="U78">
        <v>70</v>
      </c>
      <c r="V78">
        <v>2</v>
      </c>
      <c r="W78">
        <v>2</v>
      </c>
      <c r="X78">
        <v>0</v>
      </c>
      <c r="Y78">
        <v>11000</v>
      </c>
      <c r="Z78">
        <v>0</v>
      </c>
      <c r="AA78">
        <v>500</v>
      </c>
      <c r="AB78">
        <v>10</v>
      </c>
      <c r="AC78">
        <v>2</v>
      </c>
      <c r="AD78">
        <v>90</v>
      </c>
      <c r="AE78">
        <v>14</v>
      </c>
      <c r="AF78">
        <v>7</v>
      </c>
      <c r="AG78">
        <v>10</v>
      </c>
      <c r="AH78">
        <v>11</v>
      </c>
      <c r="AI78">
        <v>1</v>
      </c>
      <c r="AJ78">
        <v>900</v>
      </c>
      <c r="AK78">
        <v>200</v>
      </c>
      <c r="AL78">
        <v>140</v>
      </c>
      <c r="AM78">
        <v>100</v>
      </c>
      <c r="AN78">
        <v>50</v>
      </c>
      <c r="AO78">
        <v>2</v>
      </c>
      <c r="AP78">
        <v>0</v>
      </c>
      <c r="AQ78">
        <v>0</v>
      </c>
      <c r="AR78">
        <v>0</v>
      </c>
      <c r="AS78">
        <v>0</v>
      </c>
      <c r="AT78">
        <v>1833</v>
      </c>
      <c r="AU78">
        <v>1833</v>
      </c>
      <c r="AV78">
        <v>0</v>
      </c>
      <c r="AW78">
        <v>3666</v>
      </c>
      <c r="AX78">
        <v>234</v>
      </c>
      <c r="AY78">
        <v>0</v>
      </c>
      <c r="AZ78">
        <v>0</v>
      </c>
      <c r="BA78">
        <v>234</v>
      </c>
      <c r="BB78">
        <v>0</v>
      </c>
      <c r="BC78">
        <v>0</v>
      </c>
      <c r="BD78">
        <v>0</v>
      </c>
      <c r="BE78">
        <v>0</v>
      </c>
      <c r="BF78">
        <v>0</v>
      </c>
      <c r="BG78">
        <f t="shared" si="13"/>
        <v>83.333333333333329</v>
      </c>
      <c r="BH78">
        <v>16</v>
      </c>
      <c r="BI78">
        <v>39</v>
      </c>
      <c r="BJ78">
        <v>16</v>
      </c>
      <c r="BK78">
        <v>8</v>
      </c>
      <c r="BL78">
        <v>9</v>
      </c>
      <c r="BM78">
        <v>24</v>
      </c>
      <c r="BN78">
        <v>31</v>
      </c>
      <c r="BO78">
        <v>16</v>
      </c>
      <c r="BP78">
        <v>8</v>
      </c>
      <c r="BQ78">
        <v>20</v>
      </c>
      <c r="BR78">
        <v>28</v>
      </c>
      <c r="BS78">
        <v>9</v>
      </c>
      <c r="BT78">
        <v>224</v>
      </c>
      <c r="BU78">
        <v>18</v>
      </c>
      <c r="BV78">
        <v>35</v>
      </c>
      <c r="BW78">
        <v>58</v>
      </c>
      <c r="BX78">
        <v>22</v>
      </c>
      <c r="BY78">
        <v>15</v>
      </c>
      <c r="BZ78">
        <v>19</v>
      </c>
      <c r="CA78">
        <v>167</v>
      </c>
      <c r="CB78">
        <v>15</v>
      </c>
      <c r="CC78">
        <v>6</v>
      </c>
      <c r="CD78">
        <v>179</v>
      </c>
      <c r="CE78">
        <v>252</v>
      </c>
      <c r="CF78">
        <v>1.41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31</v>
      </c>
      <c r="CO78">
        <v>0</v>
      </c>
      <c r="CP78">
        <v>11</v>
      </c>
      <c r="CQ78">
        <v>0</v>
      </c>
      <c r="CR78">
        <v>0</v>
      </c>
      <c r="CS78">
        <v>0</v>
      </c>
      <c r="CT78">
        <v>42</v>
      </c>
      <c r="CU78">
        <v>0</v>
      </c>
      <c r="CV78">
        <v>0</v>
      </c>
      <c r="CW78">
        <v>3</v>
      </c>
      <c r="CX78">
        <v>0</v>
      </c>
      <c r="CY78">
        <v>84</v>
      </c>
      <c r="CZ78">
        <v>0</v>
      </c>
      <c r="DA78">
        <v>0</v>
      </c>
      <c r="DB78">
        <v>0</v>
      </c>
      <c r="DC78">
        <v>87</v>
      </c>
      <c r="DD78">
        <v>0</v>
      </c>
      <c r="DE78">
        <v>0</v>
      </c>
      <c r="DF78">
        <v>252</v>
      </c>
      <c r="DG78">
        <v>179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431</v>
      </c>
      <c r="DT78">
        <v>560</v>
      </c>
      <c r="DU78">
        <v>140</v>
      </c>
      <c r="DV78">
        <v>0</v>
      </c>
      <c r="DW78">
        <v>0</v>
      </c>
      <c r="DX78">
        <v>0</v>
      </c>
      <c r="DY78">
        <v>570</v>
      </c>
      <c r="DZ78">
        <v>380</v>
      </c>
      <c r="EA78">
        <v>950</v>
      </c>
      <c r="EB78">
        <v>760</v>
      </c>
      <c r="EC78">
        <v>1140</v>
      </c>
      <c r="ED78">
        <v>950</v>
      </c>
      <c r="EE78">
        <v>2850</v>
      </c>
      <c r="EF78">
        <v>0</v>
      </c>
      <c r="EG78">
        <v>4</v>
      </c>
      <c r="EH78">
        <v>0.2</v>
      </c>
      <c r="EI78">
        <v>2.9</v>
      </c>
      <c r="EJ78">
        <v>0.7</v>
      </c>
      <c r="EK78">
        <v>0.4</v>
      </c>
    </row>
    <row r="79" spans="1:141" x14ac:dyDescent="0.25">
      <c r="A79" t="str">
        <f>[1]ingredient!B78</f>
        <v>Curry</v>
      </c>
      <c r="B79" t="s">
        <v>207</v>
      </c>
      <c r="C79" s="7">
        <f>_xlfn.XLOOKUP(A79,[1]ingredient!$B$2:$B$521,[1]ingredient!$A$2:$A$521)</f>
        <v>77</v>
      </c>
      <c r="D79">
        <v>319</v>
      </c>
      <c r="E79">
        <v>9</v>
      </c>
      <c r="F79">
        <v>10</v>
      </c>
      <c r="G79">
        <v>49</v>
      </c>
      <c r="H79">
        <v>11</v>
      </c>
      <c r="I79">
        <v>44</v>
      </c>
      <c r="J79">
        <v>5</v>
      </c>
      <c r="K79">
        <v>8</v>
      </c>
      <c r="L79">
        <v>422</v>
      </c>
      <c r="M79">
        <v>211</v>
      </c>
      <c r="N79">
        <v>0</v>
      </c>
      <c r="O79">
        <v>2529</v>
      </c>
      <c r="P79">
        <v>207</v>
      </c>
      <c r="Q79">
        <v>299</v>
      </c>
      <c r="R79">
        <v>4328</v>
      </c>
      <c r="S79">
        <v>5778</v>
      </c>
      <c r="T79">
        <v>233</v>
      </c>
      <c r="U79">
        <v>119</v>
      </c>
      <c r="V79">
        <v>3</v>
      </c>
      <c r="W79">
        <v>26</v>
      </c>
      <c r="X79">
        <v>0</v>
      </c>
      <c r="Y79">
        <v>16330</v>
      </c>
      <c r="Z79">
        <v>0</v>
      </c>
      <c r="AA79">
        <v>21</v>
      </c>
      <c r="AB79">
        <v>19</v>
      </c>
      <c r="AC79">
        <v>1984</v>
      </c>
      <c r="AD79">
        <v>1862</v>
      </c>
      <c r="AE79">
        <v>241</v>
      </c>
      <c r="AF79">
        <v>187</v>
      </c>
      <c r="AG79">
        <v>263</v>
      </c>
      <c r="AH79">
        <v>105</v>
      </c>
      <c r="AI79">
        <v>3148</v>
      </c>
      <c r="AJ79">
        <v>29664</v>
      </c>
      <c r="AK79">
        <v>3444</v>
      </c>
      <c r="AL79">
        <v>451</v>
      </c>
      <c r="AM79">
        <v>6784</v>
      </c>
      <c r="AN79">
        <v>110</v>
      </c>
      <c r="AO79">
        <v>5</v>
      </c>
      <c r="AP79">
        <v>0</v>
      </c>
      <c r="AQ79">
        <v>0</v>
      </c>
      <c r="AR79">
        <v>0</v>
      </c>
      <c r="AS79">
        <v>0</v>
      </c>
      <c r="AT79">
        <v>18554</v>
      </c>
      <c r="AU79">
        <v>17573</v>
      </c>
      <c r="AV79">
        <v>0</v>
      </c>
      <c r="AW79">
        <v>36127</v>
      </c>
      <c r="AX79">
        <v>7556</v>
      </c>
      <c r="AY79">
        <v>0</v>
      </c>
      <c r="AZ79">
        <v>0</v>
      </c>
      <c r="BA79">
        <v>7556</v>
      </c>
      <c r="BB79">
        <v>319</v>
      </c>
      <c r="BC79">
        <v>443</v>
      </c>
      <c r="BD79">
        <v>0</v>
      </c>
      <c r="BE79">
        <v>5109</v>
      </c>
      <c r="BF79">
        <v>5109</v>
      </c>
      <c r="BG79">
        <f t="shared" si="13"/>
        <v>76.08695652173914</v>
      </c>
      <c r="BH79">
        <v>368</v>
      </c>
      <c r="BI79">
        <v>561</v>
      </c>
      <c r="BJ79">
        <v>474</v>
      </c>
      <c r="BK79">
        <v>100</v>
      </c>
      <c r="BL79">
        <v>75</v>
      </c>
      <c r="BM79">
        <v>349</v>
      </c>
      <c r="BN79">
        <v>209</v>
      </c>
      <c r="BO79">
        <v>278</v>
      </c>
      <c r="BP79">
        <v>87</v>
      </c>
      <c r="BQ79">
        <v>451</v>
      </c>
      <c r="BR79">
        <v>452</v>
      </c>
      <c r="BS79">
        <v>193</v>
      </c>
      <c r="BT79">
        <v>3597</v>
      </c>
      <c r="BU79">
        <v>320</v>
      </c>
      <c r="BV79">
        <v>1177</v>
      </c>
      <c r="BW79">
        <v>1298</v>
      </c>
      <c r="BX79">
        <v>319</v>
      </c>
      <c r="BY79">
        <v>314</v>
      </c>
      <c r="BZ79">
        <v>356</v>
      </c>
      <c r="CA79">
        <v>3784</v>
      </c>
      <c r="CB79">
        <v>82</v>
      </c>
      <c r="CC79">
        <v>34</v>
      </c>
      <c r="CD79">
        <v>369</v>
      </c>
      <c r="CE79">
        <v>1893</v>
      </c>
      <c r="CF79">
        <v>5.13</v>
      </c>
      <c r="CG79">
        <v>0</v>
      </c>
      <c r="CH79">
        <v>0</v>
      </c>
      <c r="CI79">
        <v>46</v>
      </c>
      <c r="CJ79">
        <v>97</v>
      </c>
      <c r="CK79">
        <v>283</v>
      </c>
      <c r="CL79">
        <v>177</v>
      </c>
      <c r="CM79">
        <v>0</v>
      </c>
      <c r="CN79">
        <v>1308</v>
      </c>
      <c r="CO79">
        <v>0</v>
      </c>
      <c r="CP79">
        <v>267</v>
      </c>
      <c r="CQ79">
        <v>4</v>
      </c>
      <c r="CR79">
        <v>0</v>
      </c>
      <c r="CS79">
        <v>0</v>
      </c>
      <c r="CT79">
        <v>2182</v>
      </c>
      <c r="CU79">
        <v>0</v>
      </c>
      <c r="CV79">
        <v>0</v>
      </c>
      <c r="CW79">
        <v>181</v>
      </c>
      <c r="CX79">
        <v>0</v>
      </c>
      <c r="CY79">
        <v>2137</v>
      </c>
      <c r="CZ79">
        <v>57</v>
      </c>
      <c r="DA79">
        <v>0</v>
      </c>
      <c r="DB79">
        <v>0</v>
      </c>
      <c r="DC79">
        <v>2375</v>
      </c>
      <c r="DD79">
        <v>0</v>
      </c>
      <c r="DE79">
        <v>0</v>
      </c>
      <c r="DF79">
        <v>1893</v>
      </c>
      <c r="DG79">
        <v>369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2262</v>
      </c>
      <c r="DT79">
        <v>6676</v>
      </c>
      <c r="DU79">
        <v>2079</v>
      </c>
      <c r="DV79">
        <v>0</v>
      </c>
      <c r="DW79">
        <v>0</v>
      </c>
      <c r="DX79">
        <v>143</v>
      </c>
      <c r="DY79">
        <v>1941</v>
      </c>
      <c r="DZ79">
        <v>2126</v>
      </c>
      <c r="EA79">
        <v>2336</v>
      </c>
      <c r="EB79">
        <v>3256</v>
      </c>
      <c r="EC79">
        <v>1151</v>
      </c>
      <c r="ED79">
        <v>3464</v>
      </c>
      <c r="EE79">
        <v>7347</v>
      </c>
      <c r="EF79">
        <v>0</v>
      </c>
      <c r="EG79">
        <v>0.19</v>
      </c>
      <c r="EH79">
        <v>12.8</v>
      </c>
      <c r="EI79">
        <v>7.3</v>
      </c>
      <c r="EJ79">
        <v>8.9</v>
      </c>
      <c r="EK79">
        <v>7.7</v>
      </c>
    </row>
    <row r="80" spans="1:141" x14ac:dyDescent="0.25">
      <c r="A80" t="str">
        <f>[1]ingredient!B79</f>
        <v>Curry rot</v>
      </c>
      <c r="B80" t="s">
        <v>207</v>
      </c>
      <c r="C80" s="7">
        <f>_xlfn.XLOOKUP(A80,[1]ingredient!$B$2:$B$521,[1]ingredient!$A$2:$A$521)</f>
        <v>78</v>
      </c>
      <c r="D80">
        <v>319</v>
      </c>
      <c r="E80">
        <v>9</v>
      </c>
      <c r="F80">
        <v>10</v>
      </c>
      <c r="G80">
        <v>49</v>
      </c>
      <c r="H80">
        <v>11</v>
      </c>
      <c r="I80">
        <v>44</v>
      </c>
      <c r="J80">
        <v>5</v>
      </c>
      <c r="K80">
        <v>8</v>
      </c>
      <c r="L80">
        <v>422</v>
      </c>
      <c r="M80">
        <v>211</v>
      </c>
      <c r="N80">
        <v>0</v>
      </c>
      <c r="O80">
        <v>2529</v>
      </c>
      <c r="P80">
        <v>207</v>
      </c>
      <c r="Q80">
        <v>299</v>
      </c>
      <c r="R80">
        <v>4328</v>
      </c>
      <c r="S80">
        <v>5778</v>
      </c>
      <c r="T80">
        <v>233</v>
      </c>
      <c r="U80">
        <v>119</v>
      </c>
      <c r="V80">
        <v>3</v>
      </c>
      <c r="W80">
        <v>26</v>
      </c>
      <c r="X80">
        <v>0</v>
      </c>
      <c r="Y80">
        <v>16330</v>
      </c>
      <c r="Z80">
        <v>0</v>
      </c>
      <c r="AA80">
        <v>21</v>
      </c>
      <c r="AB80">
        <v>19</v>
      </c>
      <c r="AC80">
        <v>1984</v>
      </c>
      <c r="AD80">
        <v>1862</v>
      </c>
      <c r="AE80">
        <v>241</v>
      </c>
      <c r="AF80">
        <v>187</v>
      </c>
      <c r="AG80">
        <v>263</v>
      </c>
      <c r="AH80">
        <v>105</v>
      </c>
      <c r="AI80">
        <v>3148</v>
      </c>
      <c r="AJ80">
        <v>29664</v>
      </c>
      <c r="AK80">
        <v>3444</v>
      </c>
      <c r="AL80">
        <v>451</v>
      </c>
      <c r="AM80">
        <v>6784</v>
      </c>
      <c r="AN80">
        <v>110</v>
      </c>
      <c r="AO80">
        <v>5</v>
      </c>
      <c r="AP80">
        <v>0</v>
      </c>
      <c r="AQ80">
        <v>0</v>
      </c>
      <c r="AR80">
        <v>0</v>
      </c>
      <c r="AS80">
        <v>0</v>
      </c>
      <c r="AT80">
        <v>18554</v>
      </c>
      <c r="AU80">
        <v>17573</v>
      </c>
      <c r="AV80">
        <v>0</v>
      </c>
      <c r="AW80">
        <v>36127</v>
      </c>
      <c r="AX80">
        <v>7556</v>
      </c>
      <c r="AY80">
        <v>0</v>
      </c>
      <c r="AZ80">
        <v>0</v>
      </c>
      <c r="BA80">
        <v>7556</v>
      </c>
      <c r="BB80">
        <v>319</v>
      </c>
      <c r="BC80">
        <v>443</v>
      </c>
      <c r="BD80">
        <v>0</v>
      </c>
      <c r="BE80">
        <v>5109</v>
      </c>
      <c r="BF80">
        <v>5109</v>
      </c>
      <c r="BG80">
        <f t="shared" si="13"/>
        <v>76.08695652173914</v>
      </c>
      <c r="BH80">
        <v>368</v>
      </c>
      <c r="BI80">
        <v>561</v>
      </c>
      <c r="BJ80">
        <v>474</v>
      </c>
      <c r="BK80">
        <v>100</v>
      </c>
      <c r="BL80">
        <v>75</v>
      </c>
      <c r="BM80">
        <v>349</v>
      </c>
      <c r="BN80">
        <v>209</v>
      </c>
      <c r="BO80">
        <v>278</v>
      </c>
      <c r="BP80">
        <v>87</v>
      </c>
      <c r="BQ80">
        <v>451</v>
      </c>
      <c r="BR80">
        <v>452</v>
      </c>
      <c r="BS80">
        <v>193</v>
      </c>
      <c r="BT80">
        <v>3597</v>
      </c>
      <c r="BU80">
        <v>320</v>
      </c>
      <c r="BV80">
        <v>1177</v>
      </c>
      <c r="BW80">
        <v>1298</v>
      </c>
      <c r="BX80">
        <v>319</v>
      </c>
      <c r="BY80">
        <v>314</v>
      </c>
      <c r="BZ80">
        <v>356</v>
      </c>
      <c r="CA80">
        <v>3784</v>
      </c>
      <c r="CB80">
        <v>82</v>
      </c>
      <c r="CC80">
        <v>34</v>
      </c>
      <c r="CD80">
        <v>369</v>
      </c>
      <c r="CE80">
        <v>1893</v>
      </c>
      <c r="CF80">
        <v>5.13</v>
      </c>
      <c r="CG80">
        <v>0</v>
      </c>
      <c r="CH80">
        <v>0</v>
      </c>
      <c r="CI80">
        <v>46</v>
      </c>
      <c r="CJ80">
        <v>97</v>
      </c>
      <c r="CK80">
        <v>283</v>
      </c>
      <c r="CL80">
        <v>177</v>
      </c>
      <c r="CM80">
        <v>0</v>
      </c>
      <c r="CN80">
        <v>1308</v>
      </c>
      <c r="CO80">
        <v>0</v>
      </c>
      <c r="CP80">
        <v>267</v>
      </c>
      <c r="CQ80">
        <v>4</v>
      </c>
      <c r="CR80">
        <v>0</v>
      </c>
      <c r="CS80">
        <v>0</v>
      </c>
      <c r="CT80">
        <v>2182</v>
      </c>
      <c r="CU80">
        <v>0</v>
      </c>
      <c r="CV80">
        <v>0</v>
      </c>
      <c r="CW80">
        <v>181</v>
      </c>
      <c r="CX80">
        <v>0</v>
      </c>
      <c r="CY80">
        <v>2137</v>
      </c>
      <c r="CZ80">
        <v>57</v>
      </c>
      <c r="DA80">
        <v>0</v>
      </c>
      <c r="DB80">
        <v>0</v>
      </c>
      <c r="DC80">
        <v>2375</v>
      </c>
      <c r="DD80">
        <v>0</v>
      </c>
      <c r="DE80">
        <v>0</v>
      </c>
      <c r="DF80">
        <v>1893</v>
      </c>
      <c r="DG80">
        <v>369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2262</v>
      </c>
      <c r="DT80">
        <v>6676</v>
      </c>
      <c r="DU80">
        <v>2079</v>
      </c>
      <c r="DV80">
        <v>0</v>
      </c>
      <c r="DW80">
        <v>0</v>
      </c>
      <c r="DX80">
        <v>143</v>
      </c>
      <c r="DY80">
        <v>1941</v>
      </c>
      <c r="DZ80">
        <v>2126</v>
      </c>
      <c r="EA80">
        <v>2336</v>
      </c>
      <c r="EB80">
        <v>3256</v>
      </c>
      <c r="EC80">
        <v>1151</v>
      </c>
      <c r="ED80">
        <v>3464</v>
      </c>
      <c r="EE80">
        <v>7347</v>
      </c>
      <c r="EF80">
        <v>0</v>
      </c>
      <c r="EG80">
        <v>0.19</v>
      </c>
      <c r="EH80">
        <v>12.8</v>
      </c>
      <c r="EI80">
        <v>7.3</v>
      </c>
      <c r="EJ80">
        <v>8.9</v>
      </c>
      <c r="EK80">
        <v>7.7</v>
      </c>
    </row>
    <row r="81" spans="1:141" x14ac:dyDescent="0.25">
      <c r="A81" t="str">
        <f>[1]ingredient!B80</f>
        <v>Datteln, getrocknet</v>
      </c>
      <c r="B81" t="s">
        <v>208</v>
      </c>
      <c r="C81" s="7">
        <f>_xlfn.XLOOKUP(A81,[1]ingredient!$B$2:$B$521,[1]ingredient!$A$2:$A$521)</f>
        <v>79</v>
      </c>
      <c r="D81">
        <v>285</v>
      </c>
      <c r="E81">
        <v>1</v>
      </c>
      <c r="F81">
        <v>2</v>
      </c>
      <c r="G81">
        <v>66</v>
      </c>
      <c r="H81">
        <v>9</v>
      </c>
      <c r="I81">
        <v>66</v>
      </c>
      <c r="J81">
        <v>0.19</v>
      </c>
      <c r="K81">
        <v>20</v>
      </c>
      <c r="L81">
        <v>6</v>
      </c>
      <c r="M81">
        <v>3</v>
      </c>
      <c r="N81">
        <v>0</v>
      </c>
      <c r="O81">
        <v>33</v>
      </c>
      <c r="P81">
        <v>57</v>
      </c>
      <c r="Q81">
        <v>57</v>
      </c>
      <c r="R81">
        <v>1627</v>
      </c>
      <c r="S81">
        <v>2477</v>
      </c>
      <c r="T81">
        <v>651</v>
      </c>
      <c r="U81">
        <v>114</v>
      </c>
      <c r="V81">
        <v>4</v>
      </c>
      <c r="W81">
        <v>17</v>
      </c>
      <c r="X81">
        <v>0</v>
      </c>
      <c r="Y81">
        <v>2441</v>
      </c>
      <c r="Z81">
        <v>0</v>
      </c>
      <c r="AA81">
        <v>183</v>
      </c>
      <c r="AB81">
        <v>9</v>
      </c>
      <c r="AC81">
        <v>5</v>
      </c>
      <c r="AD81">
        <v>659</v>
      </c>
      <c r="AE81">
        <v>66</v>
      </c>
      <c r="AF81">
        <v>51</v>
      </c>
      <c r="AG81">
        <v>61</v>
      </c>
      <c r="AH81">
        <v>61</v>
      </c>
      <c r="AI81">
        <v>183</v>
      </c>
      <c r="AJ81">
        <v>1933</v>
      </c>
      <c r="AK81">
        <v>346</v>
      </c>
      <c r="AL81">
        <v>305</v>
      </c>
      <c r="AM81">
        <v>153</v>
      </c>
      <c r="AN81">
        <v>20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34182</v>
      </c>
      <c r="AU81">
        <v>31868</v>
      </c>
      <c r="AV81">
        <v>0</v>
      </c>
      <c r="AW81">
        <v>66050</v>
      </c>
      <c r="AX81">
        <v>66</v>
      </c>
      <c r="AY81">
        <v>0</v>
      </c>
      <c r="AZ81">
        <v>0</v>
      </c>
      <c r="BA81">
        <v>66</v>
      </c>
      <c r="BB81">
        <v>0</v>
      </c>
      <c r="BC81">
        <v>0</v>
      </c>
      <c r="BD81">
        <v>0</v>
      </c>
      <c r="BE81">
        <v>0</v>
      </c>
      <c r="BF81">
        <v>0</v>
      </c>
      <c r="BG81">
        <f t="shared" si="13"/>
        <v>63.541666666666664</v>
      </c>
      <c r="BH81">
        <v>49</v>
      </c>
      <c r="BI81">
        <v>92</v>
      </c>
      <c r="BJ81">
        <v>61</v>
      </c>
      <c r="BK81">
        <v>22</v>
      </c>
      <c r="BL81">
        <v>47</v>
      </c>
      <c r="BM81">
        <v>57</v>
      </c>
      <c r="BN81">
        <v>31</v>
      </c>
      <c r="BO81">
        <v>53</v>
      </c>
      <c r="BP81">
        <v>51</v>
      </c>
      <c r="BQ81">
        <v>69</v>
      </c>
      <c r="BR81">
        <v>69</v>
      </c>
      <c r="BS81">
        <v>31</v>
      </c>
      <c r="BT81">
        <v>632</v>
      </c>
      <c r="BU81">
        <v>104</v>
      </c>
      <c r="BV81">
        <v>130</v>
      </c>
      <c r="BW81">
        <v>218</v>
      </c>
      <c r="BX81">
        <v>98</v>
      </c>
      <c r="BY81">
        <v>110</v>
      </c>
      <c r="BZ81">
        <v>69</v>
      </c>
      <c r="CA81">
        <v>729</v>
      </c>
      <c r="CB81">
        <v>15</v>
      </c>
      <c r="CC81">
        <v>6</v>
      </c>
      <c r="CD81">
        <v>39</v>
      </c>
      <c r="CE81">
        <v>163</v>
      </c>
      <c r="CF81">
        <v>4.18</v>
      </c>
      <c r="CG81">
        <v>0</v>
      </c>
      <c r="CH81">
        <v>0</v>
      </c>
      <c r="CI81">
        <v>0</v>
      </c>
      <c r="CJ81">
        <v>0</v>
      </c>
      <c r="CK81">
        <v>2</v>
      </c>
      <c r="CL81">
        <v>4</v>
      </c>
      <c r="CM81">
        <v>0</v>
      </c>
      <c r="CN81">
        <v>98</v>
      </c>
      <c r="CO81">
        <v>0</v>
      </c>
      <c r="CP81">
        <v>16</v>
      </c>
      <c r="CQ81">
        <v>0</v>
      </c>
      <c r="CR81">
        <v>0</v>
      </c>
      <c r="CS81">
        <v>0</v>
      </c>
      <c r="CT81">
        <v>120</v>
      </c>
      <c r="CU81">
        <v>0</v>
      </c>
      <c r="CV81">
        <v>0</v>
      </c>
      <c r="CW81">
        <v>4</v>
      </c>
      <c r="CX81">
        <v>0</v>
      </c>
      <c r="CY81">
        <v>81</v>
      </c>
      <c r="CZ81">
        <v>0</v>
      </c>
      <c r="DA81">
        <v>0</v>
      </c>
      <c r="DB81">
        <v>0</v>
      </c>
      <c r="DC81">
        <v>85</v>
      </c>
      <c r="DD81">
        <v>0</v>
      </c>
      <c r="DE81">
        <v>0</v>
      </c>
      <c r="DF81">
        <v>163</v>
      </c>
      <c r="DG81">
        <v>39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202</v>
      </c>
      <c r="DT81">
        <v>407</v>
      </c>
      <c r="DU81">
        <v>102</v>
      </c>
      <c r="DV81">
        <v>0</v>
      </c>
      <c r="DW81">
        <v>0</v>
      </c>
      <c r="DX81">
        <v>0</v>
      </c>
      <c r="DY81">
        <v>1327</v>
      </c>
      <c r="DZ81">
        <v>1770</v>
      </c>
      <c r="EA81">
        <v>1770</v>
      </c>
      <c r="EB81">
        <v>1770</v>
      </c>
      <c r="EC81">
        <v>2212</v>
      </c>
      <c r="ED81">
        <v>1638</v>
      </c>
      <c r="EE81">
        <v>7213</v>
      </c>
      <c r="EF81">
        <v>0</v>
      </c>
      <c r="EG81">
        <v>1</v>
      </c>
      <c r="EH81">
        <v>1.2</v>
      </c>
      <c r="EI81">
        <v>7.2</v>
      </c>
      <c r="EJ81">
        <v>0.5</v>
      </c>
      <c r="EK81">
        <v>1.4</v>
      </c>
    </row>
    <row r="82" spans="1:141" x14ac:dyDescent="0.25">
      <c r="A82" t="str">
        <f>[1]ingredient!B81</f>
        <v>Dill</v>
      </c>
      <c r="B82" t="s">
        <v>209</v>
      </c>
      <c r="C82" s="7">
        <f>_xlfn.XLOOKUP(A82,[1]ingredient!$B$2:$B$521,[1]ingredient!$A$2:$A$521)</f>
        <v>80</v>
      </c>
      <c r="D82">
        <v>55</v>
      </c>
      <c r="E82">
        <v>1</v>
      </c>
      <c r="F82">
        <v>4</v>
      </c>
      <c r="G82">
        <v>8</v>
      </c>
      <c r="H82">
        <v>5</v>
      </c>
      <c r="I82">
        <v>8</v>
      </c>
      <c r="J82">
        <v>0.1</v>
      </c>
      <c r="K82">
        <v>80</v>
      </c>
      <c r="L82">
        <v>1017</v>
      </c>
      <c r="M82">
        <v>508</v>
      </c>
      <c r="N82">
        <v>0</v>
      </c>
      <c r="O82">
        <v>6100</v>
      </c>
      <c r="P82">
        <v>190</v>
      </c>
      <c r="Q82">
        <v>430</v>
      </c>
      <c r="R82">
        <v>2400</v>
      </c>
      <c r="S82">
        <v>3217</v>
      </c>
      <c r="T82">
        <v>300</v>
      </c>
      <c r="U82">
        <v>300</v>
      </c>
      <c r="V82">
        <v>2</v>
      </c>
      <c r="W82">
        <v>50</v>
      </c>
      <c r="X82">
        <v>0</v>
      </c>
      <c r="Y82">
        <v>70000</v>
      </c>
      <c r="Z82">
        <v>0</v>
      </c>
      <c r="AA82">
        <v>1700</v>
      </c>
      <c r="AB82">
        <v>0</v>
      </c>
      <c r="AC82">
        <v>27</v>
      </c>
      <c r="AD82">
        <v>647</v>
      </c>
      <c r="AE82">
        <v>230</v>
      </c>
      <c r="AF82">
        <v>28</v>
      </c>
      <c r="AG82">
        <v>85</v>
      </c>
      <c r="AH82">
        <v>50</v>
      </c>
      <c r="AI82">
        <v>70</v>
      </c>
      <c r="AJ82">
        <v>5500</v>
      </c>
      <c r="AK82">
        <v>1800</v>
      </c>
      <c r="AL82">
        <v>220</v>
      </c>
      <c r="AM82">
        <v>2700</v>
      </c>
      <c r="AN82">
        <v>70</v>
      </c>
      <c r="AO82">
        <v>4</v>
      </c>
      <c r="AP82">
        <v>0</v>
      </c>
      <c r="AQ82">
        <v>0</v>
      </c>
      <c r="AR82">
        <v>0</v>
      </c>
      <c r="AS82">
        <v>0</v>
      </c>
      <c r="AT82">
        <v>3200</v>
      </c>
      <c r="AU82">
        <v>3200</v>
      </c>
      <c r="AV82">
        <v>0</v>
      </c>
      <c r="AW82">
        <v>6400</v>
      </c>
      <c r="AX82">
        <v>1520</v>
      </c>
      <c r="AY82">
        <v>0</v>
      </c>
      <c r="AZ82">
        <v>0</v>
      </c>
      <c r="BA82">
        <v>1520</v>
      </c>
      <c r="BB82">
        <v>0</v>
      </c>
      <c r="BC82">
        <v>0</v>
      </c>
      <c r="BD82">
        <v>0</v>
      </c>
      <c r="BE82">
        <v>80</v>
      </c>
      <c r="BF82">
        <v>80</v>
      </c>
      <c r="BG82">
        <f t="shared" si="13"/>
        <v>115.625</v>
      </c>
      <c r="BH82">
        <v>195</v>
      </c>
      <c r="BI82">
        <v>292</v>
      </c>
      <c r="BJ82">
        <v>243</v>
      </c>
      <c r="BK82">
        <v>59</v>
      </c>
      <c r="BL82">
        <v>49</v>
      </c>
      <c r="BM82">
        <v>146</v>
      </c>
      <c r="BN82">
        <v>97</v>
      </c>
      <c r="BO82">
        <v>171</v>
      </c>
      <c r="BP82">
        <v>49</v>
      </c>
      <c r="BQ82">
        <v>195</v>
      </c>
      <c r="BR82">
        <v>195</v>
      </c>
      <c r="BS82">
        <v>74</v>
      </c>
      <c r="BT82">
        <v>1764</v>
      </c>
      <c r="BU82">
        <v>243</v>
      </c>
      <c r="BV82">
        <v>487</v>
      </c>
      <c r="BW82">
        <v>730</v>
      </c>
      <c r="BX82">
        <v>137</v>
      </c>
      <c r="BY82">
        <v>195</v>
      </c>
      <c r="BZ82">
        <v>146</v>
      </c>
      <c r="CA82">
        <v>1938</v>
      </c>
      <c r="CB82">
        <v>15</v>
      </c>
      <c r="CC82">
        <v>6</v>
      </c>
      <c r="CD82">
        <v>192</v>
      </c>
      <c r="CE82">
        <v>257</v>
      </c>
      <c r="CF82">
        <v>1.34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3</v>
      </c>
      <c r="CM82">
        <v>0</v>
      </c>
      <c r="CN82">
        <v>125</v>
      </c>
      <c r="CO82">
        <v>0</v>
      </c>
      <c r="CP82">
        <v>19</v>
      </c>
      <c r="CQ82">
        <v>0</v>
      </c>
      <c r="CR82">
        <v>0</v>
      </c>
      <c r="CS82">
        <v>0</v>
      </c>
      <c r="CT82">
        <v>147</v>
      </c>
      <c r="CU82">
        <v>0</v>
      </c>
      <c r="CV82">
        <v>0</v>
      </c>
      <c r="CW82">
        <v>6</v>
      </c>
      <c r="CX82">
        <v>0</v>
      </c>
      <c r="CY82">
        <v>38</v>
      </c>
      <c r="CZ82">
        <v>0</v>
      </c>
      <c r="DA82">
        <v>0</v>
      </c>
      <c r="DB82">
        <v>0</v>
      </c>
      <c r="DC82">
        <v>44</v>
      </c>
      <c r="DD82">
        <v>0</v>
      </c>
      <c r="DE82">
        <v>0</v>
      </c>
      <c r="DF82">
        <v>257</v>
      </c>
      <c r="DG82">
        <v>192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449</v>
      </c>
      <c r="DT82">
        <v>640</v>
      </c>
      <c r="DU82">
        <v>160</v>
      </c>
      <c r="DV82">
        <v>0</v>
      </c>
      <c r="DW82">
        <v>0</v>
      </c>
      <c r="DX82">
        <v>0</v>
      </c>
      <c r="DY82">
        <v>795</v>
      </c>
      <c r="DZ82">
        <v>1060</v>
      </c>
      <c r="EA82">
        <v>1431</v>
      </c>
      <c r="EB82">
        <v>1855</v>
      </c>
      <c r="EC82">
        <v>159</v>
      </c>
      <c r="ED82">
        <v>1590</v>
      </c>
      <c r="EE82">
        <v>3710</v>
      </c>
      <c r="EF82">
        <v>0</v>
      </c>
      <c r="EG82">
        <v>0.25</v>
      </c>
      <c r="EH82">
        <v>2</v>
      </c>
      <c r="EI82">
        <v>3.7</v>
      </c>
      <c r="EJ82">
        <v>0.8</v>
      </c>
      <c r="EK82">
        <v>3.8</v>
      </c>
    </row>
    <row r="83" spans="1:141" x14ac:dyDescent="0.25">
      <c r="A83" t="str">
        <f>[1]ingredient!B82</f>
        <v>Dill, getrocknet</v>
      </c>
      <c r="B83" t="s">
        <v>210</v>
      </c>
      <c r="C83" s="7">
        <f>_xlfn.XLOOKUP(A83,[1]ingredient!$B$2:$B$521,[1]ingredient!$A$2:$A$521)</f>
        <v>81</v>
      </c>
      <c r="D83">
        <v>260</v>
      </c>
      <c r="E83">
        <v>4</v>
      </c>
      <c r="F83">
        <v>18</v>
      </c>
      <c r="G83">
        <v>37</v>
      </c>
      <c r="H83">
        <v>26</v>
      </c>
      <c r="I83">
        <v>36</v>
      </c>
      <c r="J83">
        <v>0.41</v>
      </c>
      <c r="K83">
        <v>6</v>
      </c>
      <c r="L83">
        <v>4424</v>
      </c>
      <c r="M83">
        <v>2211</v>
      </c>
      <c r="N83">
        <v>0</v>
      </c>
      <c r="O83">
        <v>26531</v>
      </c>
      <c r="P83">
        <v>778</v>
      </c>
      <c r="Q83">
        <v>1974</v>
      </c>
      <c r="R83">
        <v>11020</v>
      </c>
      <c r="S83">
        <v>14937</v>
      </c>
      <c r="T83">
        <v>1307</v>
      </c>
      <c r="U83">
        <v>1379</v>
      </c>
      <c r="V83">
        <v>10</v>
      </c>
      <c r="W83">
        <v>240</v>
      </c>
      <c r="X83">
        <v>0</v>
      </c>
      <c r="Y83">
        <v>186059</v>
      </c>
      <c r="Z83">
        <v>0</v>
      </c>
      <c r="AA83">
        <v>7393</v>
      </c>
      <c r="AB83">
        <v>0</v>
      </c>
      <c r="AC83">
        <v>110</v>
      </c>
      <c r="AD83">
        <v>2656</v>
      </c>
      <c r="AE83">
        <v>999</v>
      </c>
      <c r="AF83">
        <v>120</v>
      </c>
      <c r="AG83">
        <v>370</v>
      </c>
      <c r="AH83">
        <v>216</v>
      </c>
      <c r="AI83">
        <v>303</v>
      </c>
      <c r="AJ83">
        <v>22592</v>
      </c>
      <c r="AK83">
        <v>7830</v>
      </c>
      <c r="AL83">
        <v>956</v>
      </c>
      <c r="AM83">
        <v>11745</v>
      </c>
      <c r="AN83">
        <v>303</v>
      </c>
      <c r="AO83">
        <v>17</v>
      </c>
      <c r="AP83">
        <v>0</v>
      </c>
      <c r="AQ83">
        <v>0</v>
      </c>
      <c r="AR83">
        <v>0</v>
      </c>
      <c r="AS83">
        <v>0</v>
      </c>
      <c r="AT83">
        <v>14693</v>
      </c>
      <c r="AU83">
        <v>14693</v>
      </c>
      <c r="AV83">
        <v>0</v>
      </c>
      <c r="AW83">
        <v>29386</v>
      </c>
      <c r="AX83">
        <v>6979</v>
      </c>
      <c r="AY83">
        <v>0</v>
      </c>
      <c r="AZ83">
        <v>0</v>
      </c>
      <c r="BA83">
        <v>6979</v>
      </c>
      <c r="BB83">
        <v>0</v>
      </c>
      <c r="BC83">
        <v>0</v>
      </c>
      <c r="BD83">
        <v>0</v>
      </c>
      <c r="BE83">
        <v>365</v>
      </c>
      <c r="BF83">
        <v>365</v>
      </c>
      <c r="BG83">
        <f t="shared" si="13"/>
        <v>123.26388888888889</v>
      </c>
      <c r="BH83">
        <v>942</v>
      </c>
      <c r="BI83">
        <v>1412</v>
      </c>
      <c r="BJ83">
        <v>1172</v>
      </c>
      <c r="BK83">
        <v>279</v>
      </c>
      <c r="BL83">
        <v>235</v>
      </c>
      <c r="BM83">
        <v>706</v>
      </c>
      <c r="BN83">
        <v>471</v>
      </c>
      <c r="BO83">
        <v>826</v>
      </c>
      <c r="BP83">
        <v>235</v>
      </c>
      <c r="BQ83">
        <v>942</v>
      </c>
      <c r="BR83">
        <v>942</v>
      </c>
      <c r="BS83">
        <v>355</v>
      </c>
      <c r="BT83">
        <v>8517</v>
      </c>
      <c r="BU83">
        <v>1172</v>
      </c>
      <c r="BV83">
        <v>2354</v>
      </c>
      <c r="BW83">
        <v>3526</v>
      </c>
      <c r="BX83">
        <v>663</v>
      </c>
      <c r="BY83">
        <v>942</v>
      </c>
      <c r="BZ83">
        <v>706</v>
      </c>
      <c r="CA83">
        <v>9363</v>
      </c>
      <c r="CB83">
        <v>72</v>
      </c>
      <c r="CC83">
        <v>30</v>
      </c>
      <c r="CD83">
        <v>927</v>
      </c>
      <c r="CE83">
        <v>1245</v>
      </c>
      <c r="CF83">
        <v>1.34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14</v>
      </c>
      <c r="CM83">
        <v>0</v>
      </c>
      <c r="CN83">
        <v>605</v>
      </c>
      <c r="CO83">
        <v>0</v>
      </c>
      <c r="CP83">
        <v>91</v>
      </c>
      <c r="CQ83">
        <v>0</v>
      </c>
      <c r="CR83">
        <v>0</v>
      </c>
      <c r="CS83">
        <v>0</v>
      </c>
      <c r="CT83">
        <v>710</v>
      </c>
      <c r="CU83">
        <v>0</v>
      </c>
      <c r="CV83">
        <v>0</v>
      </c>
      <c r="CW83">
        <v>29</v>
      </c>
      <c r="CX83">
        <v>0</v>
      </c>
      <c r="CY83">
        <v>183</v>
      </c>
      <c r="CZ83">
        <v>0</v>
      </c>
      <c r="DA83">
        <v>0</v>
      </c>
      <c r="DB83">
        <v>0</v>
      </c>
      <c r="DC83">
        <v>212</v>
      </c>
      <c r="DD83">
        <v>0</v>
      </c>
      <c r="DE83">
        <v>0</v>
      </c>
      <c r="DF83">
        <v>1245</v>
      </c>
      <c r="DG83">
        <v>927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2172</v>
      </c>
      <c r="DT83">
        <v>3094</v>
      </c>
      <c r="DU83">
        <v>773</v>
      </c>
      <c r="DV83">
        <v>0</v>
      </c>
      <c r="DW83">
        <v>0</v>
      </c>
      <c r="DX83">
        <v>0</v>
      </c>
      <c r="DY83">
        <v>3843</v>
      </c>
      <c r="DZ83">
        <v>5121</v>
      </c>
      <c r="EA83">
        <v>6917</v>
      </c>
      <c r="EB83">
        <v>8964</v>
      </c>
      <c r="EC83">
        <v>769</v>
      </c>
      <c r="ED83">
        <v>7686</v>
      </c>
      <c r="EE83">
        <v>17928</v>
      </c>
      <c r="EF83">
        <v>0</v>
      </c>
      <c r="EG83">
        <v>1</v>
      </c>
      <c r="EH83">
        <v>8.6999999999999993</v>
      </c>
      <c r="EI83">
        <v>17.899999999999999</v>
      </c>
      <c r="EJ83">
        <v>3.9</v>
      </c>
      <c r="EK83">
        <v>18.100000000000001</v>
      </c>
    </row>
    <row r="84" spans="1:141" x14ac:dyDescent="0.25">
      <c r="A84" t="str">
        <f>[1]ingredient!B83</f>
        <v>Dinkel</v>
      </c>
      <c r="B84" t="s">
        <v>211</v>
      </c>
      <c r="C84" s="7">
        <f>_xlfn.XLOOKUP(A84,[1]ingredient!$B$2:$B$521,[1]ingredient!$A$2:$A$521)</f>
        <v>82</v>
      </c>
      <c r="D84">
        <v>329</v>
      </c>
      <c r="E84">
        <v>2</v>
      </c>
      <c r="F84">
        <v>17</v>
      </c>
      <c r="G84">
        <v>60</v>
      </c>
      <c r="H84">
        <v>10</v>
      </c>
      <c r="I84">
        <v>1</v>
      </c>
      <c r="J84">
        <v>0.02</v>
      </c>
      <c r="K84">
        <v>9</v>
      </c>
      <c r="L84">
        <v>0</v>
      </c>
      <c r="M84">
        <v>0</v>
      </c>
      <c r="N84">
        <v>0</v>
      </c>
      <c r="O84">
        <v>0</v>
      </c>
      <c r="P84">
        <v>303</v>
      </c>
      <c r="Q84">
        <v>155</v>
      </c>
      <c r="R84">
        <v>6590</v>
      </c>
      <c r="S84">
        <v>9457</v>
      </c>
      <c r="T84">
        <v>1200</v>
      </c>
      <c r="U84">
        <v>300</v>
      </c>
      <c r="V84">
        <v>6</v>
      </c>
      <c r="W84">
        <v>50</v>
      </c>
      <c r="X84">
        <v>0</v>
      </c>
      <c r="Y84">
        <v>0</v>
      </c>
      <c r="Z84">
        <v>0</v>
      </c>
      <c r="AA84">
        <v>220</v>
      </c>
      <c r="AB84">
        <v>0</v>
      </c>
      <c r="AC84">
        <v>1</v>
      </c>
      <c r="AD84">
        <v>415</v>
      </c>
      <c r="AE84">
        <v>25</v>
      </c>
      <c r="AF84">
        <v>136</v>
      </c>
      <c r="AG84">
        <v>422</v>
      </c>
      <c r="AH84">
        <v>129</v>
      </c>
      <c r="AI84">
        <v>18</v>
      </c>
      <c r="AJ84">
        <v>4350</v>
      </c>
      <c r="AK84">
        <v>3650</v>
      </c>
      <c r="AL84">
        <v>400</v>
      </c>
      <c r="AM84">
        <v>4410</v>
      </c>
      <c r="AN84">
        <v>55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60</v>
      </c>
      <c r="AU84">
        <v>60</v>
      </c>
      <c r="AV84">
        <v>0</v>
      </c>
      <c r="AW84">
        <v>120</v>
      </c>
      <c r="AX84">
        <v>603</v>
      </c>
      <c r="AY84">
        <v>0</v>
      </c>
      <c r="AZ84">
        <v>0</v>
      </c>
      <c r="BA84">
        <v>603</v>
      </c>
      <c r="BB84">
        <v>362</v>
      </c>
      <c r="BC84">
        <v>0</v>
      </c>
      <c r="BD84">
        <v>0</v>
      </c>
      <c r="BE84">
        <v>59215</v>
      </c>
      <c r="BF84">
        <v>59215</v>
      </c>
      <c r="BG84">
        <f t="shared" si="13"/>
        <v>55.024509803921575</v>
      </c>
      <c r="BH84">
        <v>683</v>
      </c>
      <c r="BI84">
        <v>1234</v>
      </c>
      <c r="BJ84">
        <v>449</v>
      </c>
      <c r="BK84">
        <v>318</v>
      </c>
      <c r="BL84">
        <v>414</v>
      </c>
      <c r="BM84">
        <v>939</v>
      </c>
      <c r="BN84">
        <v>586</v>
      </c>
      <c r="BO84">
        <v>609</v>
      </c>
      <c r="BP84">
        <v>172</v>
      </c>
      <c r="BQ84">
        <v>844</v>
      </c>
      <c r="BR84">
        <v>888</v>
      </c>
      <c r="BS84">
        <v>444</v>
      </c>
      <c r="BT84">
        <v>7580</v>
      </c>
      <c r="BU84">
        <v>803</v>
      </c>
      <c r="BV84">
        <v>1052</v>
      </c>
      <c r="BW84">
        <v>5266</v>
      </c>
      <c r="BX84">
        <v>952</v>
      </c>
      <c r="BY84">
        <v>1888</v>
      </c>
      <c r="BZ84">
        <v>923</v>
      </c>
      <c r="CA84">
        <v>10884</v>
      </c>
      <c r="CB84">
        <v>125</v>
      </c>
      <c r="CC84">
        <v>52</v>
      </c>
      <c r="CD84">
        <v>49</v>
      </c>
      <c r="CE84">
        <v>727</v>
      </c>
      <c r="CF84">
        <v>14.84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3</v>
      </c>
      <c r="CM84">
        <v>1</v>
      </c>
      <c r="CN84">
        <v>220</v>
      </c>
      <c r="CO84">
        <v>0</v>
      </c>
      <c r="CP84">
        <v>12</v>
      </c>
      <c r="CQ84">
        <v>10</v>
      </c>
      <c r="CR84">
        <v>0</v>
      </c>
      <c r="CS84">
        <v>0</v>
      </c>
      <c r="CT84">
        <v>247</v>
      </c>
      <c r="CU84">
        <v>0</v>
      </c>
      <c r="CV84">
        <v>0</v>
      </c>
      <c r="CW84">
        <v>6</v>
      </c>
      <c r="CX84">
        <v>0</v>
      </c>
      <c r="CY84">
        <v>187</v>
      </c>
      <c r="CZ84">
        <v>5</v>
      </c>
      <c r="DA84">
        <v>0</v>
      </c>
      <c r="DB84">
        <v>0</v>
      </c>
      <c r="DC84">
        <v>198</v>
      </c>
      <c r="DD84">
        <v>0</v>
      </c>
      <c r="DE84">
        <v>0</v>
      </c>
      <c r="DF84">
        <v>724</v>
      </c>
      <c r="DG84">
        <v>49</v>
      </c>
      <c r="DH84">
        <v>0</v>
      </c>
      <c r="DI84">
        <v>0</v>
      </c>
      <c r="DJ84">
        <v>0</v>
      </c>
      <c r="DK84">
        <v>0</v>
      </c>
      <c r="DL84">
        <v>3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776</v>
      </c>
      <c r="DT84">
        <v>1221</v>
      </c>
      <c r="DU84">
        <v>474</v>
      </c>
      <c r="DV84">
        <v>0</v>
      </c>
      <c r="DW84">
        <v>0</v>
      </c>
      <c r="DX84">
        <v>0</v>
      </c>
      <c r="DY84">
        <v>4681</v>
      </c>
      <c r="DZ84">
        <v>2988</v>
      </c>
      <c r="EA84">
        <v>598</v>
      </c>
      <c r="EB84">
        <v>1195</v>
      </c>
      <c r="EC84">
        <v>498</v>
      </c>
      <c r="ED84">
        <v>1277</v>
      </c>
      <c r="EE84">
        <v>8666</v>
      </c>
      <c r="EF84">
        <v>0</v>
      </c>
      <c r="EG84">
        <v>0</v>
      </c>
      <c r="EH84">
        <v>1.8</v>
      </c>
      <c r="EI84">
        <v>8.6999999999999993</v>
      </c>
      <c r="EJ84">
        <v>1.7</v>
      </c>
      <c r="EK84">
        <v>18.899999999999999</v>
      </c>
    </row>
    <row r="85" spans="1:141" x14ac:dyDescent="0.25">
      <c r="A85" t="str">
        <f>[1]ingredient!B84</f>
        <v>Dinkelflocken</v>
      </c>
      <c r="B85" t="s">
        <v>212</v>
      </c>
      <c r="C85" s="7">
        <f>_xlfn.XLOOKUP(A85,[1]ingredient!$B$2:$B$521,[1]ingredient!$A$2:$A$521)</f>
        <v>83</v>
      </c>
      <c r="D85">
        <v>388</v>
      </c>
      <c r="E85">
        <v>2</v>
      </c>
      <c r="F85">
        <v>11</v>
      </c>
      <c r="G85">
        <v>77</v>
      </c>
      <c r="H85">
        <v>8</v>
      </c>
      <c r="I85">
        <v>1</v>
      </c>
      <c r="J85">
        <v>0.06</v>
      </c>
      <c r="K85">
        <v>0.3</v>
      </c>
      <c r="L85">
        <v>0</v>
      </c>
      <c r="M85">
        <v>0</v>
      </c>
      <c r="N85">
        <v>0</v>
      </c>
      <c r="O85">
        <v>0</v>
      </c>
      <c r="P85">
        <v>500</v>
      </c>
      <c r="Q85">
        <v>100</v>
      </c>
      <c r="R85">
        <v>5300</v>
      </c>
      <c r="S85">
        <v>7200</v>
      </c>
      <c r="T85">
        <v>1100</v>
      </c>
      <c r="U85">
        <v>400</v>
      </c>
      <c r="V85">
        <v>6</v>
      </c>
      <c r="W85">
        <v>54</v>
      </c>
      <c r="X85">
        <v>0</v>
      </c>
      <c r="Y85">
        <v>0</v>
      </c>
      <c r="Z85">
        <v>0</v>
      </c>
      <c r="AA85">
        <v>0</v>
      </c>
      <c r="AB85">
        <v>19</v>
      </c>
      <c r="AC85">
        <v>4</v>
      </c>
      <c r="AD85">
        <v>373</v>
      </c>
      <c r="AE85">
        <v>35</v>
      </c>
      <c r="AF85">
        <v>119</v>
      </c>
      <c r="AG85">
        <v>331</v>
      </c>
      <c r="AH85">
        <v>140</v>
      </c>
      <c r="AI85">
        <v>53</v>
      </c>
      <c r="AJ85">
        <v>3400</v>
      </c>
      <c r="AK85">
        <v>2700</v>
      </c>
      <c r="AL85">
        <v>400</v>
      </c>
      <c r="AM85">
        <v>3600</v>
      </c>
      <c r="AN85">
        <v>100</v>
      </c>
      <c r="AO85">
        <v>3</v>
      </c>
      <c r="AP85">
        <v>0</v>
      </c>
      <c r="AQ85">
        <v>0</v>
      </c>
      <c r="AR85">
        <v>0</v>
      </c>
      <c r="AS85">
        <v>0</v>
      </c>
      <c r="AT85">
        <v>97</v>
      </c>
      <c r="AU85">
        <v>87</v>
      </c>
      <c r="AV85">
        <v>0</v>
      </c>
      <c r="AW85">
        <v>184</v>
      </c>
      <c r="AX85">
        <v>1000</v>
      </c>
      <c r="AY85">
        <v>0</v>
      </c>
      <c r="AZ85">
        <v>0</v>
      </c>
      <c r="BA85">
        <v>1016</v>
      </c>
      <c r="BB85">
        <v>300</v>
      </c>
      <c r="BC85">
        <v>170</v>
      </c>
      <c r="BD85">
        <v>0</v>
      </c>
      <c r="BE85">
        <v>75500</v>
      </c>
      <c r="BF85">
        <v>0</v>
      </c>
      <c r="BG85">
        <f t="shared" si="13"/>
        <v>55.68181818181818</v>
      </c>
      <c r="BH85">
        <v>427</v>
      </c>
      <c r="BI85">
        <v>751</v>
      </c>
      <c r="BJ85">
        <v>294</v>
      </c>
      <c r="BK85">
        <v>167</v>
      </c>
      <c r="BL85">
        <v>231</v>
      </c>
      <c r="BM85">
        <v>519</v>
      </c>
      <c r="BN85">
        <v>319</v>
      </c>
      <c r="BO85">
        <v>317</v>
      </c>
      <c r="BP85">
        <v>116</v>
      </c>
      <c r="BQ85">
        <v>500</v>
      </c>
      <c r="BR85">
        <v>491</v>
      </c>
      <c r="BS85">
        <v>220</v>
      </c>
      <c r="BT85">
        <v>4350</v>
      </c>
      <c r="BU85">
        <v>386</v>
      </c>
      <c r="BV85">
        <v>541</v>
      </c>
      <c r="BW85">
        <v>3432</v>
      </c>
      <c r="BX85">
        <v>485</v>
      </c>
      <c r="BY85">
        <v>1257</v>
      </c>
      <c r="BZ85">
        <v>549</v>
      </c>
      <c r="CA85">
        <v>6650</v>
      </c>
      <c r="CB85">
        <v>90</v>
      </c>
      <c r="CC85">
        <v>38</v>
      </c>
      <c r="CD85">
        <v>100</v>
      </c>
      <c r="CE85">
        <v>903</v>
      </c>
      <c r="CF85">
        <v>9.0299999999999994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2</v>
      </c>
      <c r="CM85">
        <v>1</v>
      </c>
      <c r="CN85">
        <v>180</v>
      </c>
      <c r="CO85">
        <v>0</v>
      </c>
      <c r="CP85">
        <v>9</v>
      </c>
      <c r="CQ85">
        <v>8</v>
      </c>
      <c r="CR85">
        <v>0</v>
      </c>
      <c r="CS85">
        <v>0</v>
      </c>
      <c r="CT85">
        <v>200</v>
      </c>
      <c r="CU85">
        <v>0</v>
      </c>
      <c r="CV85">
        <v>0</v>
      </c>
      <c r="CW85">
        <v>8</v>
      </c>
      <c r="CX85">
        <v>0</v>
      </c>
      <c r="CY85">
        <v>249</v>
      </c>
      <c r="CZ85">
        <v>7</v>
      </c>
      <c r="DA85">
        <v>0</v>
      </c>
      <c r="DB85">
        <v>0</v>
      </c>
      <c r="DC85">
        <v>300</v>
      </c>
      <c r="DD85">
        <v>0</v>
      </c>
      <c r="DE85">
        <v>0</v>
      </c>
      <c r="DF85">
        <v>900</v>
      </c>
      <c r="DG85">
        <v>100</v>
      </c>
      <c r="DH85">
        <v>0</v>
      </c>
      <c r="DI85">
        <v>0</v>
      </c>
      <c r="DJ85">
        <v>0</v>
      </c>
      <c r="DK85">
        <v>0</v>
      </c>
      <c r="DL85">
        <v>3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1000</v>
      </c>
      <c r="DT85">
        <v>1470</v>
      </c>
      <c r="DU85">
        <v>630</v>
      </c>
      <c r="DV85">
        <v>0</v>
      </c>
      <c r="DW85">
        <v>0</v>
      </c>
      <c r="DX85">
        <v>0</v>
      </c>
      <c r="DY85">
        <v>3360</v>
      </c>
      <c r="DZ85">
        <v>2520</v>
      </c>
      <c r="EA85">
        <v>588</v>
      </c>
      <c r="EB85">
        <v>1512</v>
      </c>
      <c r="EC85">
        <v>420</v>
      </c>
      <c r="ED85">
        <v>2100</v>
      </c>
      <c r="EE85">
        <v>6300</v>
      </c>
      <c r="EF85">
        <v>0</v>
      </c>
      <c r="EG85">
        <v>0</v>
      </c>
      <c r="EH85">
        <v>1.1000000000000001</v>
      </c>
      <c r="EI85">
        <v>6.3</v>
      </c>
      <c r="EJ85">
        <v>2.1</v>
      </c>
      <c r="EK85">
        <v>11.3</v>
      </c>
    </row>
    <row r="86" spans="1:141" x14ac:dyDescent="0.25">
      <c r="A86" t="str">
        <f>[1]ingredient!B85</f>
        <v>Dinkelmehl</v>
      </c>
      <c r="B86" t="s">
        <v>213</v>
      </c>
      <c r="C86" s="7">
        <f>_xlfn.XLOOKUP(A86,[1]ingredient!$B$2:$B$521,[1]ingredient!$A$2:$A$521)</f>
        <v>84</v>
      </c>
      <c r="D86">
        <v>342</v>
      </c>
      <c r="E86">
        <v>4</v>
      </c>
      <c r="F86">
        <v>13</v>
      </c>
      <c r="G86">
        <v>64</v>
      </c>
      <c r="H86">
        <v>8</v>
      </c>
      <c r="I86">
        <v>4</v>
      </c>
      <c r="J86">
        <v>0.01</v>
      </c>
      <c r="K86">
        <v>11</v>
      </c>
      <c r="L86">
        <v>0</v>
      </c>
      <c r="M86">
        <v>0</v>
      </c>
      <c r="N86">
        <v>0</v>
      </c>
      <c r="O86">
        <v>0</v>
      </c>
      <c r="P86">
        <v>510</v>
      </c>
      <c r="Q86">
        <v>26</v>
      </c>
      <c r="R86">
        <v>1500</v>
      </c>
      <c r="S86">
        <v>4500</v>
      </c>
      <c r="T86">
        <v>1200</v>
      </c>
      <c r="U86">
        <v>175</v>
      </c>
      <c r="V86">
        <v>6</v>
      </c>
      <c r="W86">
        <v>50</v>
      </c>
      <c r="X86">
        <v>0</v>
      </c>
      <c r="Y86">
        <v>0</v>
      </c>
      <c r="Z86">
        <v>0</v>
      </c>
      <c r="AA86">
        <v>1400</v>
      </c>
      <c r="AB86">
        <v>0</v>
      </c>
      <c r="AC86">
        <v>2</v>
      </c>
      <c r="AD86">
        <v>407</v>
      </c>
      <c r="AE86">
        <v>8</v>
      </c>
      <c r="AF86">
        <v>109</v>
      </c>
      <c r="AG86">
        <v>286</v>
      </c>
      <c r="AH86">
        <v>58</v>
      </c>
      <c r="AI86">
        <v>8</v>
      </c>
      <c r="AJ86">
        <v>9680</v>
      </c>
      <c r="AK86">
        <v>3363</v>
      </c>
      <c r="AL86">
        <v>460</v>
      </c>
      <c r="AM86">
        <v>3261</v>
      </c>
      <c r="AN86">
        <v>25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180</v>
      </c>
      <c r="AU86">
        <v>100</v>
      </c>
      <c r="AV86">
        <v>0</v>
      </c>
      <c r="AW86">
        <v>280</v>
      </c>
      <c r="AX86">
        <v>540</v>
      </c>
      <c r="AY86">
        <v>3040</v>
      </c>
      <c r="AZ86">
        <v>0</v>
      </c>
      <c r="BA86">
        <v>3580</v>
      </c>
      <c r="BB86">
        <v>382</v>
      </c>
      <c r="BC86">
        <v>0</v>
      </c>
      <c r="BD86">
        <v>0</v>
      </c>
      <c r="BE86">
        <v>57000</v>
      </c>
      <c r="BF86">
        <v>57000</v>
      </c>
      <c r="BG86">
        <f t="shared" si="13"/>
        <v>56.570512820512818</v>
      </c>
      <c r="BH86">
        <v>555</v>
      </c>
      <c r="BI86">
        <v>1023</v>
      </c>
      <c r="BJ86">
        <v>353</v>
      </c>
      <c r="BK86">
        <v>230</v>
      </c>
      <c r="BL86">
        <v>470</v>
      </c>
      <c r="BM86">
        <v>760</v>
      </c>
      <c r="BN86">
        <v>540</v>
      </c>
      <c r="BO86">
        <v>505</v>
      </c>
      <c r="BP86">
        <v>180</v>
      </c>
      <c r="BQ86">
        <v>653</v>
      </c>
      <c r="BR86">
        <v>700</v>
      </c>
      <c r="BS86">
        <v>360</v>
      </c>
      <c r="BT86">
        <v>6328</v>
      </c>
      <c r="BU86">
        <v>470</v>
      </c>
      <c r="BV86">
        <v>550</v>
      </c>
      <c r="BW86">
        <v>5170</v>
      </c>
      <c r="BX86">
        <v>580</v>
      </c>
      <c r="BY86">
        <v>1740</v>
      </c>
      <c r="BZ86">
        <v>740</v>
      </c>
      <c r="CA86">
        <v>9250</v>
      </c>
      <c r="CB86">
        <v>125</v>
      </c>
      <c r="CC86">
        <v>52</v>
      </c>
      <c r="CD86">
        <v>0</v>
      </c>
      <c r="CE86">
        <v>1388</v>
      </c>
      <c r="CG86">
        <v>0</v>
      </c>
      <c r="CH86">
        <v>0</v>
      </c>
      <c r="CI86">
        <v>0</v>
      </c>
      <c r="CJ86">
        <v>0</v>
      </c>
      <c r="CK86">
        <v>7</v>
      </c>
      <c r="CL86">
        <v>1</v>
      </c>
      <c r="CM86">
        <v>0</v>
      </c>
      <c r="CN86">
        <v>409</v>
      </c>
      <c r="CO86">
        <v>0</v>
      </c>
      <c r="CP86">
        <v>28</v>
      </c>
      <c r="CQ86">
        <v>4</v>
      </c>
      <c r="CR86">
        <v>4</v>
      </c>
      <c r="CS86">
        <v>0</v>
      </c>
      <c r="CT86">
        <v>454</v>
      </c>
      <c r="CU86">
        <v>0</v>
      </c>
      <c r="CV86">
        <v>0</v>
      </c>
      <c r="CW86">
        <v>4</v>
      </c>
      <c r="CX86">
        <v>0</v>
      </c>
      <c r="CY86">
        <v>508</v>
      </c>
      <c r="CZ86">
        <v>21</v>
      </c>
      <c r="DA86">
        <v>0</v>
      </c>
      <c r="DB86">
        <v>0</v>
      </c>
      <c r="DC86">
        <v>533</v>
      </c>
      <c r="DD86">
        <v>0</v>
      </c>
      <c r="DE86">
        <v>0</v>
      </c>
      <c r="DF86">
        <v>1386</v>
      </c>
      <c r="DG86">
        <v>0</v>
      </c>
      <c r="DH86">
        <v>0</v>
      </c>
      <c r="DI86">
        <v>0</v>
      </c>
      <c r="DJ86">
        <v>2</v>
      </c>
      <c r="DK86">
        <v>0</v>
      </c>
      <c r="DL86">
        <v>0</v>
      </c>
      <c r="DM86">
        <v>0</v>
      </c>
      <c r="DN86">
        <v>1</v>
      </c>
      <c r="DO86">
        <v>0</v>
      </c>
      <c r="DP86">
        <v>0</v>
      </c>
      <c r="DQ86">
        <v>0</v>
      </c>
      <c r="DR86">
        <v>0</v>
      </c>
      <c r="DS86">
        <v>1388</v>
      </c>
      <c r="DT86">
        <v>2376</v>
      </c>
      <c r="DU86">
        <v>1002</v>
      </c>
      <c r="DV86">
        <v>0</v>
      </c>
      <c r="DW86">
        <v>0</v>
      </c>
      <c r="DX86">
        <v>0</v>
      </c>
      <c r="DY86">
        <v>3882</v>
      </c>
      <c r="DZ86">
        <v>2478</v>
      </c>
      <c r="EA86">
        <v>496</v>
      </c>
      <c r="EB86">
        <v>991</v>
      </c>
      <c r="EC86">
        <v>413</v>
      </c>
      <c r="ED86">
        <v>1090</v>
      </c>
      <c r="EE86">
        <v>7290</v>
      </c>
      <c r="EF86">
        <v>0</v>
      </c>
      <c r="EG86">
        <v>0</v>
      </c>
      <c r="EH86">
        <v>0.8</v>
      </c>
      <c r="EI86">
        <v>7.3</v>
      </c>
      <c r="EJ86">
        <v>3.6</v>
      </c>
      <c r="EK86">
        <v>16</v>
      </c>
    </row>
    <row r="87" spans="1:141" x14ac:dyDescent="0.25">
      <c r="A87" t="str">
        <f>[1]ingredient!B86</f>
        <v>Dinkelmilch</v>
      </c>
      <c r="B87" t="s">
        <v>214</v>
      </c>
      <c r="C87" s="7">
        <f>_xlfn.XLOOKUP(A87,[1]ingredient!$B$2:$B$521,[1]ingredient!$A$2:$A$521)</f>
        <v>85</v>
      </c>
      <c r="D87">
        <v>46</v>
      </c>
      <c r="E87">
        <v>2</v>
      </c>
      <c r="F87">
        <v>1</v>
      </c>
      <c r="G87">
        <v>7</v>
      </c>
      <c r="H87">
        <v>1</v>
      </c>
      <c r="I87">
        <v>4</v>
      </c>
      <c r="J87">
        <v>0.11</v>
      </c>
      <c r="K87">
        <v>90</v>
      </c>
      <c r="L87">
        <v>0</v>
      </c>
      <c r="M87">
        <v>0</v>
      </c>
      <c r="N87">
        <v>0</v>
      </c>
      <c r="O87">
        <v>0</v>
      </c>
      <c r="P87">
        <v>100</v>
      </c>
      <c r="Q87">
        <v>200</v>
      </c>
      <c r="R87">
        <v>100</v>
      </c>
      <c r="S87">
        <v>400</v>
      </c>
      <c r="T87">
        <v>100</v>
      </c>
      <c r="U87">
        <v>0</v>
      </c>
      <c r="V87">
        <v>2</v>
      </c>
      <c r="W87">
        <v>6</v>
      </c>
      <c r="X87">
        <v>0.4</v>
      </c>
      <c r="Y87">
        <v>0</v>
      </c>
      <c r="Z87">
        <v>1</v>
      </c>
      <c r="AA87">
        <v>0</v>
      </c>
      <c r="AB87">
        <v>2</v>
      </c>
      <c r="AC87">
        <v>40</v>
      </c>
      <c r="AD87">
        <v>27</v>
      </c>
      <c r="AE87">
        <v>120</v>
      </c>
      <c r="AF87">
        <v>14</v>
      </c>
      <c r="AG87">
        <v>41</v>
      </c>
      <c r="AH87">
        <v>17</v>
      </c>
      <c r="AI87">
        <v>70</v>
      </c>
      <c r="AJ87">
        <v>400</v>
      </c>
      <c r="AK87">
        <v>300</v>
      </c>
      <c r="AL87">
        <v>0</v>
      </c>
      <c r="AM87">
        <v>400</v>
      </c>
      <c r="AN87">
        <v>0</v>
      </c>
      <c r="AO87">
        <v>23</v>
      </c>
      <c r="AP87">
        <v>0</v>
      </c>
      <c r="AQ87">
        <v>0</v>
      </c>
      <c r="AR87">
        <v>0</v>
      </c>
      <c r="AS87">
        <v>0</v>
      </c>
      <c r="AT87">
        <v>1900</v>
      </c>
      <c r="AU87">
        <v>100</v>
      </c>
      <c r="AV87">
        <v>0</v>
      </c>
      <c r="AW87">
        <v>2000</v>
      </c>
      <c r="AX87">
        <v>200</v>
      </c>
      <c r="AY87">
        <v>1900</v>
      </c>
      <c r="AZ87">
        <v>0</v>
      </c>
      <c r="BA87">
        <v>2100</v>
      </c>
      <c r="BB87">
        <v>600</v>
      </c>
      <c r="BC87">
        <v>28</v>
      </c>
      <c r="BD87">
        <v>0</v>
      </c>
      <c r="BE87">
        <v>2000</v>
      </c>
      <c r="BF87">
        <v>0</v>
      </c>
      <c r="BG87">
        <f t="shared" si="13"/>
        <v>83.333333333333343</v>
      </c>
      <c r="BH87">
        <v>41</v>
      </c>
      <c r="BI87">
        <v>77</v>
      </c>
      <c r="BJ87">
        <v>40</v>
      </c>
      <c r="BK87">
        <v>18</v>
      </c>
      <c r="BL87">
        <v>34</v>
      </c>
      <c r="BM87">
        <v>52</v>
      </c>
      <c r="BN87">
        <v>31</v>
      </c>
      <c r="BO87">
        <v>36</v>
      </c>
      <c r="BP87">
        <v>15</v>
      </c>
      <c r="BQ87">
        <v>54</v>
      </c>
      <c r="BR87">
        <v>62</v>
      </c>
      <c r="BS87">
        <v>20</v>
      </c>
      <c r="BT87">
        <v>480</v>
      </c>
      <c r="BU87">
        <v>53</v>
      </c>
      <c r="BV87">
        <v>83</v>
      </c>
      <c r="BW87">
        <v>217</v>
      </c>
      <c r="BX87">
        <v>53</v>
      </c>
      <c r="BY87">
        <v>59</v>
      </c>
      <c r="BZ87">
        <v>54</v>
      </c>
      <c r="CA87">
        <v>520</v>
      </c>
      <c r="CB87">
        <v>15</v>
      </c>
      <c r="CC87">
        <v>6</v>
      </c>
      <c r="CD87">
        <v>100</v>
      </c>
      <c r="CE87">
        <v>401</v>
      </c>
      <c r="CF87">
        <v>4.01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2</v>
      </c>
      <c r="CM87">
        <v>0.3</v>
      </c>
      <c r="CN87">
        <v>160</v>
      </c>
      <c r="CO87">
        <v>1</v>
      </c>
      <c r="CP87">
        <v>27</v>
      </c>
      <c r="CQ87">
        <v>6</v>
      </c>
      <c r="CR87">
        <v>3</v>
      </c>
      <c r="CS87">
        <v>1</v>
      </c>
      <c r="CT87">
        <v>200</v>
      </c>
      <c r="CU87">
        <v>0</v>
      </c>
      <c r="CV87">
        <v>0</v>
      </c>
      <c r="CW87">
        <v>5</v>
      </c>
      <c r="CX87">
        <v>0</v>
      </c>
      <c r="CY87">
        <v>673</v>
      </c>
      <c r="CZ87">
        <v>28</v>
      </c>
      <c r="DA87">
        <v>3</v>
      </c>
      <c r="DB87">
        <v>1</v>
      </c>
      <c r="DC87">
        <v>700</v>
      </c>
      <c r="DD87">
        <v>0</v>
      </c>
      <c r="DE87">
        <v>0</v>
      </c>
      <c r="DF87">
        <v>400</v>
      </c>
      <c r="DG87">
        <v>100</v>
      </c>
      <c r="DH87">
        <v>0</v>
      </c>
      <c r="DI87">
        <v>0</v>
      </c>
      <c r="DJ87">
        <v>0.1</v>
      </c>
      <c r="DK87">
        <v>0</v>
      </c>
      <c r="DL87">
        <v>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500</v>
      </c>
      <c r="DT87">
        <v>1418</v>
      </c>
      <c r="DU87">
        <v>82</v>
      </c>
      <c r="DV87">
        <v>0</v>
      </c>
      <c r="DW87">
        <v>0</v>
      </c>
      <c r="DX87">
        <v>0</v>
      </c>
      <c r="DY87">
        <v>256</v>
      </c>
      <c r="DZ87">
        <v>360</v>
      </c>
      <c r="EA87">
        <v>40</v>
      </c>
      <c r="EB87">
        <v>96</v>
      </c>
      <c r="EC87">
        <v>48</v>
      </c>
      <c r="ED87">
        <v>240</v>
      </c>
      <c r="EE87">
        <v>560</v>
      </c>
      <c r="EF87">
        <v>0</v>
      </c>
      <c r="EG87">
        <v>20</v>
      </c>
      <c r="EH87">
        <v>0.3</v>
      </c>
      <c r="EI87">
        <v>0.6</v>
      </c>
      <c r="EJ87">
        <v>1.5</v>
      </c>
      <c r="EK87">
        <v>1</v>
      </c>
    </row>
    <row r="88" spans="1:141" x14ac:dyDescent="0.25">
      <c r="A88" t="str">
        <f>[1]ingredient!B87</f>
        <v>Dinkel-Vollkorn Bandnudeln</v>
      </c>
      <c r="B88" t="s">
        <v>215</v>
      </c>
      <c r="C88" s="7">
        <f>_xlfn.XLOOKUP(A88,[1]ingredient!$B$2:$B$521,[1]ingredient!$A$2:$A$521)</f>
        <v>86</v>
      </c>
      <c r="D88">
        <v>337</v>
      </c>
      <c r="E88">
        <v>2.1</v>
      </c>
      <c r="F88">
        <v>13</v>
      </c>
      <c r="G88">
        <v>63</v>
      </c>
      <c r="H88">
        <v>12</v>
      </c>
      <c r="I88">
        <v>2</v>
      </c>
      <c r="J88">
        <v>1E-3</v>
      </c>
      <c r="K88">
        <v>11</v>
      </c>
      <c r="L88">
        <v>0</v>
      </c>
      <c r="M88">
        <v>0</v>
      </c>
      <c r="N88">
        <v>0</v>
      </c>
      <c r="O88">
        <v>0</v>
      </c>
      <c r="P88">
        <v>670</v>
      </c>
      <c r="Q88">
        <v>110</v>
      </c>
      <c r="R88">
        <v>3100</v>
      </c>
      <c r="S88">
        <v>5333</v>
      </c>
      <c r="T88">
        <v>800</v>
      </c>
      <c r="U88">
        <v>200</v>
      </c>
      <c r="V88">
        <v>1</v>
      </c>
      <c r="W88">
        <v>40</v>
      </c>
      <c r="X88">
        <v>0</v>
      </c>
      <c r="Y88">
        <v>0</v>
      </c>
      <c r="Z88">
        <v>0</v>
      </c>
      <c r="AA88">
        <v>250</v>
      </c>
      <c r="AB88">
        <v>0</v>
      </c>
      <c r="AC88">
        <v>5</v>
      </c>
      <c r="AD88">
        <v>390</v>
      </c>
      <c r="AE88">
        <v>34</v>
      </c>
      <c r="AF88">
        <v>120</v>
      </c>
      <c r="AG88">
        <v>370</v>
      </c>
      <c r="AH88">
        <v>190</v>
      </c>
      <c r="AI88">
        <v>22</v>
      </c>
      <c r="AJ88">
        <v>3900</v>
      </c>
      <c r="AK88">
        <v>3000</v>
      </c>
      <c r="AL88">
        <v>510</v>
      </c>
      <c r="AM88">
        <v>264</v>
      </c>
      <c r="AN88">
        <v>40</v>
      </c>
      <c r="AO88">
        <v>2</v>
      </c>
      <c r="AP88">
        <v>0</v>
      </c>
      <c r="AQ88">
        <v>0</v>
      </c>
      <c r="AR88">
        <v>0</v>
      </c>
      <c r="AS88">
        <v>0</v>
      </c>
      <c r="AT88">
        <v>61</v>
      </c>
      <c r="AU88">
        <v>61</v>
      </c>
      <c r="AV88">
        <v>0</v>
      </c>
      <c r="AW88">
        <v>122</v>
      </c>
      <c r="AX88">
        <v>606</v>
      </c>
      <c r="AY88">
        <v>0</v>
      </c>
      <c r="AZ88">
        <v>0</v>
      </c>
      <c r="BA88">
        <v>606</v>
      </c>
      <c r="BB88">
        <v>364</v>
      </c>
      <c r="BC88">
        <v>0</v>
      </c>
      <c r="BD88">
        <v>0</v>
      </c>
      <c r="BE88">
        <v>59508</v>
      </c>
      <c r="BF88">
        <v>59508</v>
      </c>
      <c r="BG88">
        <f t="shared" si="13"/>
        <v>58.012820512820518</v>
      </c>
      <c r="BH88">
        <v>523</v>
      </c>
      <c r="BI88">
        <v>898</v>
      </c>
      <c r="BJ88">
        <v>362</v>
      </c>
      <c r="BK88">
        <v>201</v>
      </c>
      <c r="BL88">
        <v>268</v>
      </c>
      <c r="BM88">
        <v>616</v>
      </c>
      <c r="BN88">
        <v>402</v>
      </c>
      <c r="BO88">
        <v>389</v>
      </c>
      <c r="BP88">
        <v>134</v>
      </c>
      <c r="BQ88">
        <v>603</v>
      </c>
      <c r="BR88">
        <v>603</v>
      </c>
      <c r="BS88">
        <v>255</v>
      </c>
      <c r="BT88">
        <v>5254</v>
      </c>
      <c r="BU88">
        <v>469</v>
      </c>
      <c r="BV88">
        <v>657</v>
      </c>
      <c r="BW88">
        <v>4059</v>
      </c>
      <c r="BX88">
        <v>616</v>
      </c>
      <c r="BY88">
        <v>1528</v>
      </c>
      <c r="BZ88">
        <v>683</v>
      </c>
      <c r="CA88">
        <v>8012</v>
      </c>
      <c r="CB88">
        <v>80</v>
      </c>
      <c r="CC88">
        <v>33</v>
      </c>
      <c r="CD88">
        <v>72</v>
      </c>
      <c r="CE88">
        <v>1073</v>
      </c>
      <c r="CF88">
        <v>14.9</v>
      </c>
      <c r="CG88">
        <v>0</v>
      </c>
      <c r="CH88">
        <v>0</v>
      </c>
      <c r="CI88">
        <v>0</v>
      </c>
      <c r="CJ88">
        <v>0</v>
      </c>
      <c r="CK88">
        <v>2</v>
      </c>
      <c r="CL88">
        <v>4</v>
      </c>
      <c r="CM88">
        <v>2</v>
      </c>
      <c r="CN88">
        <v>324</v>
      </c>
      <c r="CO88">
        <v>0</v>
      </c>
      <c r="CP88">
        <v>18</v>
      </c>
      <c r="CQ88">
        <v>14</v>
      </c>
      <c r="CR88">
        <v>0</v>
      </c>
      <c r="CS88">
        <v>0</v>
      </c>
      <c r="CT88">
        <v>364</v>
      </c>
      <c r="CU88">
        <v>0</v>
      </c>
      <c r="CV88">
        <v>0</v>
      </c>
      <c r="CW88">
        <v>9</v>
      </c>
      <c r="CX88">
        <v>0</v>
      </c>
      <c r="CY88">
        <v>275</v>
      </c>
      <c r="CZ88">
        <v>7</v>
      </c>
      <c r="DA88">
        <v>0</v>
      </c>
      <c r="DB88">
        <v>0</v>
      </c>
      <c r="DC88">
        <v>291</v>
      </c>
      <c r="DD88">
        <v>0</v>
      </c>
      <c r="DE88">
        <v>0</v>
      </c>
      <c r="DF88">
        <v>1069</v>
      </c>
      <c r="DG88">
        <v>72</v>
      </c>
      <c r="DH88">
        <v>0</v>
      </c>
      <c r="DI88">
        <v>0</v>
      </c>
      <c r="DJ88">
        <v>0</v>
      </c>
      <c r="DK88">
        <v>0</v>
      </c>
      <c r="DL88">
        <v>4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1145</v>
      </c>
      <c r="DT88">
        <v>1800</v>
      </c>
      <c r="DU88">
        <v>700</v>
      </c>
      <c r="DV88">
        <v>0</v>
      </c>
      <c r="DW88">
        <v>0</v>
      </c>
      <c r="DX88">
        <v>0</v>
      </c>
      <c r="DY88">
        <v>4600</v>
      </c>
      <c r="DZ88">
        <v>3450</v>
      </c>
      <c r="EA88">
        <v>805</v>
      </c>
      <c r="EB88">
        <v>2070</v>
      </c>
      <c r="EC88">
        <v>575</v>
      </c>
      <c r="ED88">
        <v>2875</v>
      </c>
      <c r="EE88">
        <v>8625</v>
      </c>
      <c r="EF88">
        <v>0</v>
      </c>
      <c r="EG88">
        <v>0</v>
      </c>
      <c r="EH88">
        <v>1.5</v>
      </c>
      <c r="EI88">
        <v>8.6</v>
      </c>
      <c r="EJ88">
        <v>2.5</v>
      </c>
      <c r="EK88">
        <v>13.5</v>
      </c>
    </row>
    <row r="89" spans="1:141" x14ac:dyDescent="0.25">
      <c r="A89" t="str">
        <f>[1]ingredient!B88</f>
        <v>Dinkel-Vollkorn Farfalle</v>
      </c>
      <c r="B89" t="s">
        <v>215</v>
      </c>
      <c r="C89" s="7">
        <f>_xlfn.XLOOKUP(A89,[1]ingredient!$B$2:$B$521,[1]ingredient!$A$2:$A$521)</f>
        <v>87</v>
      </c>
      <c r="D89">
        <v>337</v>
      </c>
      <c r="E89">
        <v>2.1</v>
      </c>
      <c r="F89">
        <v>13</v>
      </c>
      <c r="G89">
        <v>63</v>
      </c>
      <c r="H89">
        <v>12</v>
      </c>
      <c r="I89">
        <v>2</v>
      </c>
      <c r="J89">
        <v>1E-3</v>
      </c>
      <c r="K89">
        <v>11</v>
      </c>
      <c r="L89">
        <v>0</v>
      </c>
      <c r="M89">
        <v>0</v>
      </c>
      <c r="N89">
        <v>0</v>
      </c>
      <c r="O89">
        <v>0</v>
      </c>
      <c r="P89">
        <v>670</v>
      </c>
      <c r="Q89">
        <v>110</v>
      </c>
      <c r="R89">
        <v>3100</v>
      </c>
      <c r="S89">
        <v>5333</v>
      </c>
      <c r="T89">
        <v>800</v>
      </c>
      <c r="U89">
        <v>200</v>
      </c>
      <c r="V89">
        <v>1</v>
      </c>
      <c r="W89">
        <v>40</v>
      </c>
      <c r="X89">
        <v>0</v>
      </c>
      <c r="Y89">
        <v>0</v>
      </c>
      <c r="Z89">
        <v>0</v>
      </c>
      <c r="AA89">
        <v>250</v>
      </c>
      <c r="AB89">
        <v>0</v>
      </c>
      <c r="AC89">
        <v>5</v>
      </c>
      <c r="AD89">
        <v>390</v>
      </c>
      <c r="AE89">
        <v>34</v>
      </c>
      <c r="AF89">
        <v>120</v>
      </c>
      <c r="AG89">
        <v>370</v>
      </c>
      <c r="AH89">
        <v>190</v>
      </c>
      <c r="AI89">
        <v>22</v>
      </c>
      <c r="AJ89">
        <v>3900</v>
      </c>
      <c r="AK89">
        <v>3000</v>
      </c>
      <c r="AL89">
        <v>510</v>
      </c>
      <c r="AM89">
        <v>264</v>
      </c>
      <c r="AN89">
        <v>40</v>
      </c>
      <c r="AO89">
        <v>2</v>
      </c>
      <c r="AP89">
        <v>0</v>
      </c>
      <c r="AQ89">
        <v>0</v>
      </c>
      <c r="AR89">
        <v>0</v>
      </c>
      <c r="AS89">
        <v>0</v>
      </c>
      <c r="AT89">
        <v>61</v>
      </c>
      <c r="AU89">
        <v>61</v>
      </c>
      <c r="AV89">
        <v>0</v>
      </c>
      <c r="AW89">
        <v>122</v>
      </c>
      <c r="AX89">
        <v>606</v>
      </c>
      <c r="AY89">
        <v>0</v>
      </c>
      <c r="AZ89">
        <v>0</v>
      </c>
      <c r="BA89">
        <v>606</v>
      </c>
      <c r="BB89">
        <v>364</v>
      </c>
      <c r="BC89">
        <v>0</v>
      </c>
      <c r="BD89">
        <v>0</v>
      </c>
      <c r="BE89">
        <v>59508</v>
      </c>
      <c r="BF89">
        <v>59508</v>
      </c>
      <c r="BG89">
        <f t="shared" si="13"/>
        <v>58.012820512820518</v>
      </c>
      <c r="BH89">
        <v>523</v>
      </c>
      <c r="BI89">
        <v>898</v>
      </c>
      <c r="BJ89">
        <v>362</v>
      </c>
      <c r="BK89">
        <v>201</v>
      </c>
      <c r="BL89">
        <v>268</v>
      </c>
      <c r="BM89">
        <v>616</v>
      </c>
      <c r="BN89">
        <v>402</v>
      </c>
      <c r="BO89">
        <v>389</v>
      </c>
      <c r="BP89">
        <v>134</v>
      </c>
      <c r="BQ89">
        <v>603</v>
      </c>
      <c r="BR89">
        <v>603</v>
      </c>
      <c r="BS89">
        <v>255</v>
      </c>
      <c r="BT89">
        <v>5254</v>
      </c>
      <c r="BU89">
        <v>469</v>
      </c>
      <c r="BV89">
        <v>657</v>
      </c>
      <c r="BW89">
        <v>4059</v>
      </c>
      <c r="BX89">
        <v>616</v>
      </c>
      <c r="BY89">
        <v>1528</v>
      </c>
      <c r="BZ89">
        <v>683</v>
      </c>
      <c r="CA89">
        <v>8012</v>
      </c>
      <c r="CB89">
        <v>80</v>
      </c>
      <c r="CC89">
        <v>33</v>
      </c>
      <c r="CD89">
        <v>72</v>
      </c>
      <c r="CE89">
        <v>1073</v>
      </c>
      <c r="CF89">
        <v>14.9</v>
      </c>
      <c r="CG89">
        <v>0</v>
      </c>
      <c r="CH89">
        <v>0</v>
      </c>
      <c r="CI89">
        <v>0</v>
      </c>
      <c r="CJ89">
        <v>0</v>
      </c>
      <c r="CK89">
        <v>2</v>
      </c>
      <c r="CL89">
        <v>4</v>
      </c>
      <c r="CM89">
        <v>2</v>
      </c>
      <c r="CN89">
        <v>324</v>
      </c>
      <c r="CO89">
        <v>0</v>
      </c>
      <c r="CP89">
        <v>18</v>
      </c>
      <c r="CQ89">
        <v>14</v>
      </c>
      <c r="CR89">
        <v>0</v>
      </c>
      <c r="CS89">
        <v>0</v>
      </c>
      <c r="CT89">
        <v>364</v>
      </c>
      <c r="CU89">
        <v>0</v>
      </c>
      <c r="CV89">
        <v>0</v>
      </c>
      <c r="CW89">
        <v>9</v>
      </c>
      <c r="CX89">
        <v>0</v>
      </c>
      <c r="CY89">
        <v>275</v>
      </c>
      <c r="CZ89">
        <v>7</v>
      </c>
      <c r="DA89">
        <v>0</v>
      </c>
      <c r="DB89">
        <v>0</v>
      </c>
      <c r="DC89">
        <v>291</v>
      </c>
      <c r="DD89">
        <v>0</v>
      </c>
      <c r="DE89">
        <v>0</v>
      </c>
      <c r="DF89">
        <v>1069</v>
      </c>
      <c r="DG89">
        <v>72</v>
      </c>
      <c r="DH89">
        <v>0</v>
      </c>
      <c r="DI89">
        <v>0</v>
      </c>
      <c r="DJ89">
        <v>0</v>
      </c>
      <c r="DK89">
        <v>0</v>
      </c>
      <c r="DL89">
        <v>4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1145</v>
      </c>
      <c r="DT89">
        <v>1800</v>
      </c>
      <c r="DU89">
        <v>700</v>
      </c>
      <c r="DV89">
        <v>0</v>
      </c>
      <c r="DW89">
        <v>0</v>
      </c>
      <c r="DX89">
        <v>0</v>
      </c>
      <c r="DY89">
        <v>4600</v>
      </c>
      <c r="DZ89">
        <v>3450</v>
      </c>
      <c r="EA89">
        <v>805</v>
      </c>
      <c r="EB89">
        <v>2070</v>
      </c>
      <c r="EC89">
        <v>575</v>
      </c>
      <c r="ED89">
        <v>2875</v>
      </c>
      <c r="EE89">
        <v>8625</v>
      </c>
      <c r="EF89">
        <v>0</v>
      </c>
      <c r="EG89">
        <v>0</v>
      </c>
      <c r="EH89">
        <v>1.5</v>
      </c>
      <c r="EI89">
        <v>8.6</v>
      </c>
      <c r="EJ89">
        <v>2.5</v>
      </c>
      <c r="EK89">
        <v>13.5</v>
      </c>
    </row>
    <row r="90" spans="1:141" x14ac:dyDescent="0.25">
      <c r="A90" t="str">
        <f>[1]ingredient!B89</f>
        <v>Dinkel-Vollkorn Fusilli</v>
      </c>
      <c r="B90" t="s">
        <v>215</v>
      </c>
      <c r="C90" s="7">
        <f>_xlfn.XLOOKUP(A90,[1]ingredient!$B$2:$B$521,[1]ingredient!$A$2:$A$521)</f>
        <v>88</v>
      </c>
      <c r="D90">
        <v>337</v>
      </c>
      <c r="E90">
        <v>2.1</v>
      </c>
      <c r="F90">
        <v>13</v>
      </c>
      <c r="G90">
        <v>63</v>
      </c>
      <c r="H90">
        <v>12</v>
      </c>
      <c r="I90">
        <v>2</v>
      </c>
      <c r="J90">
        <v>1E-3</v>
      </c>
      <c r="K90">
        <v>11</v>
      </c>
      <c r="L90">
        <v>0</v>
      </c>
      <c r="M90">
        <v>0</v>
      </c>
      <c r="N90">
        <v>0</v>
      </c>
      <c r="O90">
        <v>0</v>
      </c>
      <c r="P90">
        <v>670</v>
      </c>
      <c r="Q90">
        <v>110</v>
      </c>
      <c r="R90">
        <v>3100</v>
      </c>
      <c r="S90">
        <v>5333</v>
      </c>
      <c r="T90">
        <v>800</v>
      </c>
      <c r="U90">
        <v>200</v>
      </c>
      <c r="V90">
        <v>1</v>
      </c>
      <c r="W90">
        <v>40</v>
      </c>
      <c r="X90">
        <v>0</v>
      </c>
      <c r="Y90">
        <v>0</v>
      </c>
      <c r="Z90">
        <v>0</v>
      </c>
      <c r="AA90">
        <v>250</v>
      </c>
      <c r="AB90">
        <v>0</v>
      </c>
      <c r="AC90">
        <v>5</v>
      </c>
      <c r="AD90">
        <v>390</v>
      </c>
      <c r="AE90">
        <v>34</v>
      </c>
      <c r="AF90">
        <v>120</v>
      </c>
      <c r="AG90">
        <v>370</v>
      </c>
      <c r="AH90">
        <v>190</v>
      </c>
      <c r="AI90">
        <v>22</v>
      </c>
      <c r="AJ90">
        <v>3900</v>
      </c>
      <c r="AK90">
        <v>3000</v>
      </c>
      <c r="AL90">
        <v>510</v>
      </c>
      <c r="AM90">
        <v>264</v>
      </c>
      <c r="AN90">
        <v>40</v>
      </c>
      <c r="AO90">
        <v>2</v>
      </c>
      <c r="AP90">
        <v>0</v>
      </c>
      <c r="AQ90">
        <v>0</v>
      </c>
      <c r="AR90">
        <v>0</v>
      </c>
      <c r="AS90">
        <v>0</v>
      </c>
      <c r="AT90">
        <v>61</v>
      </c>
      <c r="AU90">
        <v>61</v>
      </c>
      <c r="AV90">
        <v>0</v>
      </c>
      <c r="AW90">
        <v>122</v>
      </c>
      <c r="AX90">
        <v>606</v>
      </c>
      <c r="AY90">
        <v>0</v>
      </c>
      <c r="AZ90">
        <v>0</v>
      </c>
      <c r="BA90">
        <v>606</v>
      </c>
      <c r="BB90">
        <v>364</v>
      </c>
      <c r="BC90">
        <v>0</v>
      </c>
      <c r="BD90">
        <v>0</v>
      </c>
      <c r="BE90">
        <v>59508</v>
      </c>
      <c r="BF90">
        <v>59508</v>
      </c>
      <c r="BG90">
        <f t="shared" si="13"/>
        <v>58.012820512820518</v>
      </c>
      <c r="BH90">
        <v>523</v>
      </c>
      <c r="BI90">
        <v>898</v>
      </c>
      <c r="BJ90">
        <v>362</v>
      </c>
      <c r="BK90">
        <v>201</v>
      </c>
      <c r="BL90">
        <v>268</v>
      </c>
      <c r="BM90">
        <v>616</v>
      </c>
      <c r="BN90">
        <v>402</v>
      </c>
      <c r="BO90">
        <v>389</v>
      </c>
      <c r="BP90">
        <v>134</v>
      </c>
      <c r="BQ90">
        <v>603</v>
      </c>
      <c r="BR90">
        <v>603</v>
      </c>
      <c r="BS90">
        <v>255</v>
      </c>
      <c r="BT90">
        <v>5254</v>
      </c>
      <c r="BU90">
        <v>469</v>
      </c>
      <c r="BV90">
        <v>657</v>
      </c>
      <c r="BW90">
        <v>4059</v>
      </c>
      <c r="BX90">
        <v>616</v>
      </c>
      <c r="BY90">
        <v>1528</v>
      </c>
      <c r="BZ90">
        <v>683</v>
      </c>
      <c r="CA90">
        <v>8012</v>
      </c>
      <c r="CB90">
        <v>80</v>
      </c>
      <c r="CC90">
        <v>33</v>
      </c>
      <c r="CD90">
        <v>72</v>
      </c>
      <c r="CE90">
        <v>1073</v>
      </c>
      <c r="CF90">
        <v>14.9</v>
      </c>
      <c r="CG90">
        <v>0</v>
      </c>
      <c r="CH90">
        <v>0</v>
      </c>
      <c r="CI90">
        <v>0</v>
      </c>
      <c r="CJ90">
        <v>0</v>
      </c>
      <c r="CK90">
        <v>2</v>
      </c>
      <c r="CL90">
        <v>4</v>
      </c>
      <c r="CM90">
        <v>2</v>
      </c>
      <c r="CN90">
        <v>324</v>
      </c>
      <c r="CO90">
        <v>0</v>
      </c>
      <c r="CP90">
        <v>18</v>
      </c>
      <c r="CQ90">
        <v>14</v>
      </c>
      <c r="CR90">
        <v>0</v>
      </c>
      <c r="CS90">
        <v>0</v>
      </c>
      <c r="CT90">
        <v>364</v>
      </c>
      <c r="CU90">
        <v>0</v>
      </c>
      <c r="CV90">
        <v>0</v>
      </c>
      <c r="CW90">
        <v>9</v>
      </c>
      <c r="CX90">
        <v>0</v>
      </c>
      <c r="CY90">
        <v>275</v>
      </c>
      <c r="CZ90">
        <v>7</v>
      </c>
      <c r="DA90">
        <v>0</v>
      </c>
      <c r="DB90">
        <v>0</v>
      </c>
      <c r="DC90">
        <v>291</v>
      </c>
      <c r="DD90">
        <v>0</v>
      </c>
      <c r="DE90">
        <v>0</v>
      </c>
      <c r="DF90">
        <v>1069</v>
      </c>
      <c r="DG90">
        <v>72</v>
      </c>
      <c r="DH90">
        <v>0</v>
      </c>
      <c r="DI90">
        <v>0</v>
      </c>
      <c r="DJ90">
        <v>0</v>
      </c>
      <c r="DK90">
        <v>0</v>
      </c>
      <c r="DL90">
        <v>4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1145</v>
      </c>
      <c r="DT90">
        <v>1800</v>
      </c>
      <c r="DU90">
        <v>700</v>
      </c>
      <c r="DV90">
        <v>0</v>
      </c>
      <c r="DW90">
        <v>0</v>
      </c>
      <c r="DX90">
        <v>0</v>
      </c>
      <c r="DY90">
        <v>4600</v>
      </c>
      <c r="DZ90">
        <v>3450</v>
      </c>
      <c r="EA90">
        <v>805</v>
      </c>
      <c r="EB90">
        <v>2070</v>
      </c>
      <c r="EC90">
        <v>575</v>
      </c>
      <c r="ED90">
        <v>2875</v>
      </c>
      <c r="EE90">
        <v>8625</v>
      </c>
      <c r="EF90">
        <v>0</v>
      </c>
      <c r="EG90">
        <v>0</v>
      </c>
      <c r="EH90">
        <v>1.5</v>
      </c>
      <c r="EI90">
        <v>8.6</v>
      </c>
      <c r="EJ90">
        <v>2.5</v>
      </c>
      <c r="EK90">
        <v>13.5</v>
      </c>
    </row>
    <row r="91" spans="1:141" x14ac:dyDescent="0.25">
      <c r="A91" t="str">
        <f>[1]ingredient!B90</f>
        <v>Dinkel-Vollkorn Linguine</v>
      </c>
      <c r="B91" t="s">
        <v>215</v>
      </c>
      <c r="C91" s="7">
        <f>_xlfn.XLOOKUP(A91,[1]ingredient!$B$2:$B$521,[1]ingredient!$A$2:$A$521)</f>
        <v>89</v>
      </c>
      <c r="D91">
        <v>337</v>
      </c>
      <c r="E91">
        <v>2.1</v>
      </c>
      <c r="F91">
        <v>13</v>
      </c>
      <c r="G91">
        <v>63</v>
      </c>
      <c r="H91">
        <v>12</v>
      </c>
      <c r="I91">
        <v>2</v>
      </c>
      <c r="J91">
        <v>1E-3</v>
      </c>
      <c r="K91">
        <v>11</v>
      </c>
      <c r="L91">
        <v>0</v>
      </c>
      <c r="M91">
        <v>0</v>
      </c>
      <c r="N91">
        <v>0</v>
      </c>
      <c r="O91">
        <v>0</v>
      </c>
      <c r="P91">
        <v>670</v>
      </c>
      <c r="Q91">
        <v>110</v>
      </c>
      <c r="R91">
        <v>3100</v>
      </c>
      <c r="S91">
        <v>5333</v>
      </c>
      <c r="T91">
        <v>800</v>
      </c>
      <c r="U91">
        <v>200</v>
      </c>
      <c r="V91">
        <v>1</v>
      </c>
      <c r="W91">
        <v>40</v>
      </c>
      <c r="X91">
        <v>0</v>
      </c>
      <c r="Y91">
        <v>0</v>
      </c>
      <c r="Z91">
        <v>0</v>
      </c>
      <c r="AA91">
        <v>250</v>
      </c>
      <c r="AB91">
        <v>0</v>
      </c>
      <c r="AC91">
        <v>5</v>
      </c>
      <c r="AD91">
        <v>390</v>
      </c>
      <c r="AE91">
        <v>34</v>
      </c>
      <c r="AF91">
        <v>120</v>
      </c>
      <c r="AG91">
        <v>370</v>
      </c>
      <c r="AH91">
        <v>190</v>
      </c>
      <c r="AI91">
        <v>22</v>
      </c>
      <c r="AJ91">
        <v>3900</v>
      </c>
      <c r="AK91">
        <v>3000</v>
      </c>
      <c r="AL91">
        <v>510</v>
      </c>
      <c r="AM91">
        <v>264</v>
      </c>
      <c r="AN91">
        <v>40</v>
      </c>
      <c r="AO91">
        <v>2</v>
      </c>
      <c r="AP91">
        <v>0</v>
      </c>
      <c r="AQ91">
        <v>0</v>
      </c>
      <c r="AR91">
        <v>0</v>
      </c>
      <c r="AS91">
        <v>0</v>
      </c>
      <c r="AT91">
        <v>61</v>
      </c>
      <c r="AU91">
        <v>61</v>
      </c>
      <c r="AV91">
        <v>0</v>
      </c>
      <c r="AW91">
        <v>122</v>
      </c>
      <c r="AX91">
        <v>606</v>
      </c>
      <c r="AY91">
        <v>0</v>
      </c>
      <c r="AZ91">
        <v>0</v>
      </c>
      <c r="BA91">
        <v>606</v>
      </c>
      <c r="BB91">
        <v>364</v>
      </c>
      <c r="BC91">
        <v>0</v>
      </c>
      <c r="BD91">
        <v>0</v>
      </c>
      <c r="BE91">
        <v>59508</v>
      </c>
      <c r="BF91">
        <v>59508</v>
      </c>
      <c r="BG91">
        <f t="shared" si="13"/>
        <v>58.012820512820518</v>
      </c>
      <c r="BH91">
        <v>523</v>
      </c>
      <c r="BI91">
        <v>898</v>
      </c>
      <c r="BJ91">
        <v>362</v>
      </c>
      <c r="BK91">
        <v>201</v>
      </c>
      <c r="BL91">
        <v>268</v>
      </c>
      <c r="BM91">
        <v>616</v>
      </c>
      <c r="BN91">
        <v>402</v>
      </c>
      <c r="BO91">
        <v>389</v>
      </c>
      <c r="BP91">
        <v>134</v>
      </c>
      <c r="BQ91">
        <v>603</v>
      </c>
      <c r="BR91">
        <v>603</v>
      </c>
      <c r="BS91">
        <v>255</v>
      </c>
      <c r="BT91">
        <v>5254</v>
      </c>
      <c r="BU91">
        <v>469</v>
      </c>
      <c r="BV91">
        <v>657</v>
      </c>
      <c r="BW91">
        <v>4059</v>
      </c>
      <c r="BX91">
        <v>616</v>
      </c>
      <c r="BY91">
        <v>1528</v>
      </c>
      <c r="BZ91">
        <v>683</v>
      </c>
      <c r="CA91">
        <v>8012</v>
      </c>
      <c r="CB91">
        <v>80</v>
      </c>
      <c r="CC91">
        <v>33</v>
      </c>
      <c r="CD91">
        <v>72</v>
      </c>
      <c r="CE91">
        <v>1073</v>
      </c>
      <c r="CF91">
        <v>14.9</v>
      </c>
      <c r="CG91">
        <v>0</v>
      </c>
      <c r="CH91">
        <v>0</v>
      </c>
      <c r="CI91">
        <v>0</v>
      </c>
      <c r="CJ91">
        <v>0</v>
      </c>
      <c r="CK91">
        <v>2</v>
      </c>
      <c r="CL91">
        <v>4</v>
      </c>
      <c r="CM91">
        <v>2</v>
      </c>
      <c r="CN91">
        <v>324</v>
      </c>
      <c r="CO91">
        <v>0</v>
      </c>
      <c r="CP91">
        <v>18</v>
      </c>
      <c r="CQ91">
        <v>14</v>
      </c>
      <c r="CR91">
        <v>0</v>
      </c>
      <c r="CS91">
        <v>0</v>
      </c>
      <c r="CT91">
        <v>364</v>
      </c>
      <c r="CU91">
        <v>0</v>
      </c>
      <c r="CV91">
        <v>0</v>
      </c>
      <c r="CW91">
        <v>9</v>
      </c>
      <c r="CX91">
        <v>0</v>
      </c>
      <c r="CY91">
        <v>275</v>
      </c>
      <c r="CZ91">
        <v>7</v>
      </c>
      <c r="DA91">
        <v>0</v>
      </c>
      <c r="DB91">
        <v>0</v>
      </c>
      <c r="DC91">
        <v>291</v>
      </c>
      <c r="DD91">
        <v>0</v>
      </c>
      <c r="DE91">
        <v>0</v>
      </c>
      <c r="DF91">
        <v>1069</v>
      </c>
      <c r="DG91">
        <v>72</v>
      </c>
      <c r="DH91">
        <v>0</v>
      </c>
      <c r="DI91">
        <v>0</v>
      </c>
      <c r="DJ91">
        <v>0</v>
      </c>
      <c r="DK91">
        <v>0</v>
      </c>
      <c r="DL91">
        <v>4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1145</v>
      </c>
      <c r="DT91">
        <v>1800</v>
      </c>
      <c r="DU91">
        <v>700</v>
      </c>
      <c r="DV91">
        <v>0</v>
      </c>
      <c r="DW91">
        <v>0</v>
      </c>
      <c r="DX91">
        <v>0</v>
      </c>
      <c r="DY91">
        <v>4600</v>
      </c>
      <c r="DZ91">
        <v>3450</v>
      </c>
      <c r="EA91">
        <v>805</v>
      </c>
      <c r="EB91">
        <v>2070</v>
      </c>
      <c r="EC91">
        <v>575</v>
      </c>
      <c r="ED91">
        <v>2875</v>
      </c>
      <c r="EE91">
        <v>8625</v>
      </c>
      <c r="EF91">
        <v>0</v>
      </c>
      <c r="EG91">
        <v>0</v>
      </c>
      <c r="EH91">
        <v>1.5</v>
      </c>
      <c r="EI91">
        <v>8.6</v>
      </c>
      <c r="EJ91">
        <v>2.5</v>
      </c>
      <c r="EK91">
        <v>13.5</v>
      </c>
    </row>
    <row r="92" spans="1:141" x14ac:dyDescent="0.25">
      <c r="A92" t="str">
        <f>[1]ingredient!B91</f>
        <v>Dinkel-Vollkorn Penne</v>
      </c>
      <c r="B92" t="s">
        <v>215</v>
      </c>
      <c r="C92" s="7">
        <f>_xlfn.XLOOKUP(A92,[1]ingredient!$B$2:$B$521,[1]ingredient!$A$2:$A$521)</f>
        <v>90</v>
      </c>
      <c r="D92">
        <v>337</v>
      </c>
      <c r="E92">
        <v>2.1</v>
      </c>
      <c r="F92">
        <v>13</v>
      </c>
      <c r="G92">
        <v>63</v>
      </c>
      <c r="H92">
        <v>12</v>
      </c>
      <c r="I92">
        <v>2</v>
      </c>
      <c r="J92">
        <v>1E-3</v>
      </c>
      <c r="K92">
        <v>11</v>
      </c>
      <c r="L92">
        <v>0</v>
      </c>
      <c r="M92">
        <v>0</v>
      </c>
      <c r="N92">
        <v>0</v>
      </c>
      <c r="O92">
        <v>0</v>
      </c>
      <c r="P92">
        <v>670</v>
      </c>
      <c r="Q92">
        <v>110</v>
      </c>
      <c r="R92">
        <v>3100</v>
      </c>
      <c r="S92">
        <v>5333</v>
      </c>
      <c r="T92">
        <v>800</v>
      </c>
      <c r="U92">
        <v>200</v>
      </c>
      <c r="V92">
        <v>1</v>
      </c>
      <c r="W92">
        <v>40</v>
      </c>
      <c r="X92">
        <v>0</v>
      </c>
      <c r="Y92">
        <v>0</v>
      </c>
      <c r="Z92">
        <v>0</v>
      </c>
      <c r="AA92">
        <v>250</v>
      </c>
      <c r="AB92">
        <v>0</v>
      </c>
      <c r="AC92">
        <v>5</v>
      </c>
      <c r="AD92">
        <v>390</v>
      </c>
      <c r="AE92">
        <v>34</v>
      </c>
      <c r="AF92">
        <v>120</v>
      </c>
      <c r="AG92">
        <v>370</v>
      </c>
      <c r="AH92">
        <v>190</v>
      </c>
      <c r="AI92">
        <v>22</v>
      </c>
      <c r="AJ92">
        <v>3900</v>
      </c>
      <c r="AK92">
        <v>3000</v>
      </c>
      <c r="AL92">
        <v>510</v>
      </c>
      <c r="AM92">
        <v>264</v>
      </c>
      <c r="AN92">
        <v>40</v>
      </c>
      <c r="AO92">
        <v>2</v>
      </c>
      <c r="AP92">
        <v>0</v>
      </c>
      <c r="AQ92">
        <v>0</v>
      </c>
      <c r="AR92">
        <v>0</v>
      </c>
      <c r="AS92">
        <v>0</v>
      </c>
      <c r="AT92">
        <v>61</v>
      </c>
      <c r="AU92">
        <v>61</v>
      </c>
      <c r="AV92">
        <v>0</v>
      </c>
      <c r="AW92">
        <v>122</v>
      </c>
      <c r="AX92">
        <v>606</v>
      </c>
      <c r="AY92">
        <v>0</v>
      </c>
      <c r="AZ92">
        <v>0</v>
      </c>
      <c r="BA92">
        <v>606</v>
      </c>
      <c r="BB92">
        <v>364</v>
      </c>
      <c r="BC92">
        <v>0</v>
      </c>
      <c r="BD92">
        <v>0</v>
      </c>
      <c r="BE92">
        <v>59508</v>
      </c>
      <c r="BF92">
        <v>59508</v>
      </c>
      <c r="BG92">
        <f t="shared" si="13"/>
        <v>58.012820512820518</v>
      </c>
      <c r="BH92">
        <v>523</v>
      </c>
      <c r="BI92">
        <v>898</v>
      </c>
      <c r="BJ92">
        <v>362</v>
      </c>
      <c r="BK92">
        <v>201</v>
      </c>
      <c r="BL92">
        <v>268</v>
      </c>
      <c r="BM92">
        <v>616</v>
      </c>
      <c r="BN92">
        <v>402</v>
      </c>
      <c r="BO92">
        <v>389</v>
      </c>
      <c r="BP92">
        <v>134</v>
      </c>
      <c r="BQ92">
        <v>603</v>
      </c>
      <c r="BR92">
        <v>603</v>
      </c>
      <c r="BS92">
        <v>255</v>
      </c>
      <c r="BT92">
        <v>5254</v>
      </c>
      <c r="BU92">
        <v>469</v>
      </c>
      <c r="BV92">
        <v>657</v>
      </c>
      <c r="BW92">
        <v>4059</v>
      </c>
      <c r="BX92">
        <v>616</v>
      </c>
      <c r="BY92">
        <v>1528</v>
      </c>
      <c r="BZ92">
        <v>683</v>
      </c>
      <c r="CA92">
        <v>8012</v>
      </c>
      <c r="CB92">
        <v>80</v>
      </c>
      <c r="CC92">
        <v>33</v>
      </c>
      <c r="CD92">
        <v>72</v>
      </c>
      <c r="CE92">
        <v>1073</v>
      </c>
      <c r="CF92">
        <v>14.9</v>
      </c>
      <c r="CG92">
        <v>0</v>
      </c>
      <c r="CH92">
        <v>0</v>
      </c>
      <c r="CI92">
        <v>0</v>
      </c>
      <c r="CJ92">
        <v>0</v>
      </c>
      <c r="CK92">
        <v>2</v>
      </c>
      <c r="CL92">
        <v>4</v>
      </c>
      <c r="CM92">
        <v>2</v>
      </c>
      <c r="CN92">
        <v>324</v>
      </c>
      <c r="CO92">
        <v>0</v>
      </c>
      <c r="CP92">
        <v>18</v>
      </c>
      <c r="CQ92">
        <v>14</v>
      </c>
      <c r="CR92">
        <v>0</v>
      </c>
      <c r="CS92">
        <v>0</v>
      </c>
      <c r="CT92">
        <v>364</v>
      </c>
      <c r="CU92">
        <v>0</v>
      </c>
      <c r="CV92">
        <v>0</v>
      </c>
      <c r="CW92">
        <v>9</v>
      </c>
      <c r="CX92">
        <v>0</v>
      </c>
      <c r="CY92">
        <v>275</v>
      </c>
      <c r="CZ92">
        <v>7</v>
      </c>
      <c r="DA92">
        <v>0</v>
      </c>
      <c r="DB92">
        <v>0</v>
      </c>
      <c r="DC92">
        <v>291</v>
      </c>
      <c r="DD92">
        <v>0</v>
      </c>
      <c r="DE92">
        <v>0</v>
      </c>
      <c r="DF92">
        <v>1069</v>
      </c>
      <c r="DG92">
        <v>72</v>
      </c>
      <c r="DH92">
        <v>0</v>
      </c>
      <c r="DI92">
        <v>0</v>
      </c>
      <c r="DJ92">
        <v>0</v>
      </c>
      <c r="DK92">
        <v>0</v>
      </c>
      <c r="DL92">
        <v>4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1145</v>
      </c>
      <c r="DT92">
        <v>1800</v>
      </c>
      <c r="DU92">
        <v>700</v>
      </c>
      <c r="DV92">
        <v>0</v>
      </c>
      <c r="DW92">
        <v>0</v>
      </c>
      <c r="DX92">
        <v>0</v>
      </c>
      <c r="DY92">
        <v>4600</v>
      </c>
      <c r="DZ92">
        <v>3450</v>
      </c>
      <c r="EA92">
        <v>805</v>
      </c>
      <c r="EB92">
        <v>2070</v>
      </c>
      <c r="EC92">
        <v>575</v>
      </c>
      <c r="ED92">
        <v>2875</v>
      </c>
      <c r="EE92">
        <v>8625</v>
      </c>
      <c r="EF92">
        <v>0</v>
      </c>
      <c r="EG92">
        <v>0</v>
      </c>
      <c r="EH92">
        <v>1.5</v>
      </c>
      <c r="EI92">
        <v>8.6</v>
      </c>
      <c r="EJ92">
        <v>2.5</v>
      </c>
      <c r="EK92">
        <v>13.5</v>
      </c>
    </row>
    <row r="93" spans="1:141" x14ac:dyDescent="0.25">
      <c r="A93" t="str">
        <f>[1]ingredient!B92</f>
        <v>Dinkel-Vollkorn Pipette Rigate</v>
      </c>
      <c r="B93" t="s">
        <v>215</v>
      </c>
      <c r="C93" s="7">
        <f>_xlfn.XLOOKUP(A93,[1]ingredient!$B$2:$B$521,[1]ingredient!$A$2:$A$521)</f>
        <v>91</v>
      </c>
      <c r="D93">
        <v>337</v>
      </c>
      <c r="E93">
        <v>2.1</v>
      </c>
      <c r="F93">
        <v>13</v>
      </c>
      <c r="G93">
        <v>63</v>
      </c>
      <c r="H93">
        <v>12</v>
      </c>
      <c r="I93">
        <v>2</v>
      </c>
      <c r="J93">
        <v>1E-3</v>
      </c>
      <c r="K93">
        <v>11</v>
      </c>
      <c r="L93">
        <v>0</v>
      </c>
      <c r="M93">
        <v>0</v>
      </c>
      <c r="N93">
        <v>0</v>
      </c>
      <c r="O93">
        <v>0</v>
      </c>
      <c r="P93">
        <v>670</v>
      </c>
      <c r="Q93">
        <v>110</v>
      </c>
      <c r="R93">
        <v>3100</v>
      </c>
      <c r="S93">
        <v>5333</v>
      </c>
      <c r="T93">
        <v>800</v>
      </c>
      <c r="U93">
        <v>200</v>
      </c>
      <c r="V93">
        <v>1</v>
      </c>
      <c r="W93">
        <v>40</v>
      </c>
      <c r="X93">
        <v>0</v>
      </c>
      <c r="Y93">
        <v>0</v>
      </c>
      <c r="Z93">
        <v>0</v>
      </c>
      <c r="AA93">
        <v>250</v>
      </c>
      <c r="AB93">
        <v>0</v>
      </c>
      <c r="AC93">
        <v>5</v>
      </c>
      <c r="AD93">
        <v>390</v>
      </c>
      <c r="AE93">
        <v>34</v>
      </c>
      <c r="AF93">
        <v>120</v>
      </c>
      <c r="AG93">
        <v>370</v>
      </c>
      <c r="AH93">
        <v>190</v>
      </c>
      <c r="AI93">
        <v>22</v>
      </c>
      <c r="AJ93">
        <v>3900</v>
      </c>
      <c r="AK93">
        <v>3000</v>
      </c>
      <c r="AL93">
        <v>510</v>
      </c>
      <c r="AM93">
        <v>264</v>
      </c>
      <c r="AN93">
        <v>40</v>
      </c>
      <c r="AO93">
        <v>2</v>
      </c>
      <c r="AP93">
        <v>0</v>
      </c>
      <c r="AQ93">
        <v>0</v>
      </c>
      <c r="AR93">
        <v>0</v>
      </c>
      <c r="AS93">
        <v>0</v>
      </c>
      <c r="AT93">
        <v>61</v>
      </c>
      <c r="AU93">
        <v>61</v>
      </c>
      <c r="AV93">
        <v>0</v>
      </c>
      <c r="AW93">
        <v>122</v>
      </c>
      <c r="AX93">
        <v>606</v>
      </c>
      <c r="AY93">
        <v>0</v>
      </c>
      <c r="AZ93">
        <v>0</v>
      </c>
      <c r="BA93">
        <v>606</v>
      </c>
      <c r="BB93">
        <v>364</v>
      </c>
      <c r="BC93">
        <v>0</v>
      </c>
      <c r="BD93">
        <v>0</v>
      </c>
      <c r="BE93">
        <v>59508</v>
      </c>
      <c r="BF93">
        <v>59508</v>
      </c>
      <c r="BG93">
        <f t="shared" si="13"/>
        <v>58.012820512820518</v>
      </c>
      <c r="BH93">
        <v>523</v>
      </c>
      <c r="BI93">
        <v>898</v>
      </c>
      <c r="BJ93">
        <v>362</v>
      </c>
      <c r="BK93">
        <v>201</v>
      </c>
      <c r="BL93">
        <v>268</v>
      </c>
      <c r="BM93">
        <v>616</v>
      </c>
      <c r="BN93">
        <v>402</v>
      </c>
      <c r="BO93">
        <v>389</v>
      </c>
      <c r="BP93">
        <v>134</v>
      </c>
      <c r="BQ93">
        <v>603</v>
      </c>
      <c r="BR93">
        <v>603</v>
      </c>
      <c r="BS93">
        <v>255</v>
      </c>
      <c r="BT93">
        <v>5254</v>
      </c>
      <c r="BU93">
        <v>469</v>
      </c>
      <c r="BV93">
        <v>657</v>
      </c>
      <c r="BW93">
        <v>4059</v>
      </c>
      <c r="BX93">
        <v>616</v>
      </c>
      <c r="BY93">
        <v>1528</v>
      </c>
      <c r="BZ93">
        <v>683</v>
      </c>
      <c r="CA93">
        <v>8012</v>
      </c>
      <c r="CB93">
        <v>80</v>
      </c>
      <c r="CC93">
        <v>33</v>
      </c>
      <c r="CD93">
        <v>72</v>
      </c>
      <c r="CE93">
        <v>1073</v>
      </c>
      <c r="CF93">
        <v>14.9</v>
      </c>
      <c r="CG93">
        <v>0</v>
      </c>
      <c r="CH93">
        <v>0</v>
      </c>
      <c r="CI93">
        <v>0</v>
      </c>
      <c r="CJ93">
        <v>0</v>
      </c>
      <c r="CK93">
        <v>2</v>
      </c>
      <c r="CL93">
        <v>4</v>
      </c>
      <c r="CM93">
        <v>2</v>
      </c>
      <c r="CN93">
        <v>324</v>
      </c>
      <c r="CO93">
        <v>0</v>
      </c>
      <c r="CP93">
        <v>18</v>
      </c>
      <c r="CQ93">
        <v>14</v>
      </c>
      <c r="CR93">
        <v>0</v>
      </c>
      <c r="CS93">
        <v>0</v>
      </c>
      <c r="CT93">
        <v>364</v>
      </c>
      <c r="CU93">
        <v>0</v>
      </c>
      <c r="CV93">
        <v>0</v>
      </c>
      <c r="CW93">
        <v>9</v>
      </c>
      <c r="CX93">
        <v>0</v>
      </c>
      <c r="CY93">
        <v>275</v>
      </c>
      <c r="CZ93">
        <v>7</v>
      </c>
      <c r="DA93">
        <v>0</v>
      </c>
      <c r="DB93">
        <v>0</v>
      </c>
      <c r="DC93">
        <v>291</v>
      </c>
      <c r="DD93">
        <v>0</v>
      </c>
      <c r="DE93">
        <v>0</v>
      </c>
      <c r="DF93">
        <v>1069</v>
      </c>
      <c r="DG93">
        <v>72</v>
      </c>
      <c r="DH93">
        <v>0</v>
      </c>
      <c r="DI93">
        <v>0</v>
      </c>
      <c r="DJ93">
        <v>0</v>
      </c>
      <c r="DK93">
        <v>0</v>
      </c>
      <c r="DL93">
        <v>4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1145</v>
      </c>
      <c r="DT93">
        <v>1800</v>
      </c>
      <c r="DU93">
        <v>700</v>
      </c>
      <c r="DV93">
        <v>0</v>
      </c>
      <c r="DW93">
        <v>0</v>
      </c>
      <c r="DX93">
        <v>0</v>
      </c>
      <c r="DY93">
        <v>4600</v>
      </c>
      <c r="DZ93">
        <v>3450</v>
      </c>
      <c r="EA93">
        <v>805</v>
      </c>
      <c r="EB93">
        <v>2070</v>
      </c>
      <c r="EC93">
        <v>575</v>
      </c>
      <c r="ED93">
        <v>2875</v>
      </c>
      <c r="EE93">
        <v>8625</v>
      </c>
      <c r="EF93">
        <v>0</v>
      </c>
      <c r="EG93">
        <v>0</v>
      </c>
      <c r="EH93">
        <v>1.5</v>
      </c>
      <c r="EI93">
        <v>8.6</v>
      </c>
      <c r="EJ93">
        <v>2.5</v>
      </c>
      <c r="EK93">
        <v>13.5</v>
      </c>
    </row>
    <row r="94" spans="1:141" x14ac:dyDescent="0.25">
      <c r="A94" t="str">
        <f>[1]ingredient!B93</f>
        <v>Drachenfrucht</v>
      </c>
      <c r="C94" s="7">
        <f>_xlfn.XLOOKUP(A94,[1]ingredient!$B$2:$B$521,[1]ingredient!$A$2:$A$521)</f>
        <v>92</v>
      </c>
      <c r="D94">
        <v>48</v>
      </c>
      <c r="E94">
        <v>0.4</v>
      </c>
      <c r="F94">
        <v>1</v>
      </c>
      <c r="G94">
        <v>7.1</v>
      </c>
      <c r="H94">
        <v>0.5</v>
      </c>
      <c r="I94">
        <v>6.9</v>
      </c>
      <c r="J94">
        <v>0</v>
      </c>
      <c r="L94">
        <v>0</v>
      </c>
      <c r="P94">
        <v>0</v>
      </c>
      <c r="Q94">
        <v>0</v>
      </c>
      <c r="T94">
        <v>0</v>
      </c>
      <c r="U94">
        <v>0.1</v>
      </c>
      <c r="Y94">
        <v>3000</v>
      </c>
      <c r="AD94">
        <v>240</v>
      </c>
      <c r="AE94">
        <v>54</v>
      </c>
      <c r="AF94">
        <v>20</v>
      </c>
      <c r="AG94">
        <v>32</v>
      </c>
      <c r="AH94">
        <v>13</v>
      </c>
      <c r="AI94">
        <v>18</v>
      </c>
      <c r="AJ94">
        <v>0.6</v>
      </c>
      <c r="AK94">
        <v>0.3</v>
      </c>
      <c r="AL94">
        <v>0.1</v>
      </c>
      <c r="AM94">
        <v>0.1</v>
      </c>
      <c r="BG94">
        <f t="shared" si="13"/>
        <v>0</v>
      </c>
    </row>
    <row r="95" spans="1:141" x14ac:dyDescent="0.25">
      <c r="A95" t="str">
        <f>[1]ingredient!B94</f>
        <v>Edamame</v>
      </c>
      <c r="B95" t="s">
        <v>216</v>
      </c>
      <c r="C95" s="7">
        <f>_xlfn.XLOOKUP(A95,[1]ingredient!$B$2:$B$521,[1]ingredient!$A$2:$A$521)</f>
        <v>93</v>
      </c>
      <c r="D95">
        <v>147</v>
      </c>
      <c r="E95">
        <v>6</v>
      </c>
      <c r="F95">
        <v>12</v>
      </c>
      <c r="G95">
        <v>9</v>
      </c>
      <c r="H95">
        <v>5</v>
      </c>
      <c r="I95">
        <v>3</v>
      </c>
      <c r="J95">
        <v>1</v>
      </c>
      <c r="K95">
        <v>67</v>
      </c>
      <c r="L95">
        <v>0</v>
      </c>
      <c r="M95">
        <v>25</v>
      </c>
      <c r="N95">
        <v>0</v>
      </c>
      <c r="O95">
        <v>300</v>
      </c>
      <c r="P95">
        <v>200</v>
      </c>
      <c r="Q95">
        <v>100</v>
      </c>
      <c r="R95">
        <v>100</v>
      </c>
      <c r="S95">
        <v>2500</v>
      </c>
      <c r="T95">
        <v>400</v>
      </c>
      <c r="U95">
        <v>100</v>
      </c>
      <c r="V95">
        <v>2</v>
      </c>
      <c r="W95">
        <v>260</v>
      </c>
      <c r="X95">
        <v>0</v>
      </c>
      <c r="Y95">
        <v>15000</v>
      </c>
      <c r="Z95">
        <v>0</v>
      </c>
      <c r="AA95">
        <v>0</v>
      </c>
      <c r="AB95">
        <v>33</v>
      </c>
      <c r="AC95">
        <v>2</v>
      </c>
      <c r="AD95">
        <v>490</v>
      </c>
      <c r="AE95">
        <v>76</v>
      </c>
      <c r="AF95">
        <v>72</v>
      </c>
      <c r="AG95">
        <v>170</v>
      </c>
      <c r="AH95">
        <v>26</v>
      </c>
      <c r="AI95">
        <v>504</v>
      </c>
      <c r="AJ95">
        <v>2500</v>
      </c>
      <c r="AK95">
        <v>1300</v>
      </c>
      <c r="AL95">
        <v>400</v>
      </c>
      <c r="AM95">
        <v>700</v>
      </c>
      <c r="AN95">
        <v>0</v>
      </c>
      <c r="AO95">
        <v>3</v>
      </c>
      <c r="AP95">
        <v>0</v>
      </c>
      <c r="AQ95">
        <v>0</v>
      </c>
      <c r="AR95">
        <v>0</v>
      </c>
      <c r="AS95">
        <v>0</v>
      </c>
      <c r="AT95">
        <v>1239</v>
      </c>
      <c r="AU95">
        <v>1605</v>
      </c>
      <c r="AV95">
        <v>0</v>
      </c>
      <c r="AW95">
        <v>2844</v>
      </c>
      <c r="AX95">
        <v>600</v>
      </c>
      <c r="AY95">
        <v>0</v>
      </c>
      <c r="AZ95">
        <v>0</v>
      </c>
      <c r="BA95">
        <v>551</v>
      </c>
      <c r="BB95">
        <v>1836</v>
      </c>
      <c r="BC95">
        <v>0</v>
      </c>
      <c r="BD95">
        <v>0</v>
      </c>
      <c r="BE95">
        <v>3669</v>
      </c>
      <c r="BF95">
        <v>0</v>
      </c>
      <c r="BG95">
        <f t="shared" si="13"/>
        <v>77.173913043478265</v>
      </c>
      <c r="BH95">
        <v>535</v>
      </c>
      <c r="BI95">
        <v>841</v>
      </c>
      <c r="BJ95">
        <v>712</v>
      </c>
      <c r="BK95">
        <v>118</v>
      </c>
      <c r="BL95">
        <v>95</v>
      </c>
      <c r="BM95">
        <v>545</v>
      </c>
      <c r="BN95">
        <v>415</v>
      </c>
      <c r="BO95">
        <v>461</v>
      </c>
      <c r="BP95">
        <v>141</v>
      </c>
      <c r="BQ95">
        <v>535</v>
      </c>
      <c r="BR95">
        <v>949</v>
      </c>
      <c r="BS95">
        <v>308</v>
      </c>
      <c r="BT95">
        <v>5656</v>
      </c>
      <c r="BU95">
        <v>523</v>
      </c>
      <c r="BV95">
        <v>1363</v>
      </c>
      <c r="BW95">
        <v>2252</v>
      </c>
      <c r="BX95">
        <v>498</v>
      </c>
      <c r="BY95">
        <v>545</v>
      </c>
      <c r="BZ95">
        <v>663</v>
      </c>
      <c r="CA95">
        <v>5844</v>
      </c>
      <c r="CB95">
        <v>45</v>
      </c>
      <c r="CC95">
        <v>15</v>
      </c>
      <c r="CD95">
        <v>300</v>
      </c>
      <c r="CE95">
        <v>2300</v>
      </c>
      <c r="CF95">
        <v>7.67</v>
      </c>
      <c r="CG95">
        <v>0</v>
      </c>
      <c r="CH95">
        <v>0</v>
      </c>
      <c r="CI95">
        <v>0</v>
      </c>
      <c r="CJ95">
        <v>0</v>
      </c>
      <c r="CK95">
        <v>5</v>
      </c>
      <c r="CL95">
        <v>11</v>
      </c>
      <c r="CM95">
        <v>0</v>
      </c>
      <c r="CN95">
        <v>544</v>
      </c>
      <c r="CO95">
        <v>5</v>
      </c>
      <c r="CP95">
        <v>214</v>
      </c>
      <c r="CQ95">
        <v>16</v>
      </c>
      <c r="CR95">
        <v>11</v>
      </c>
      <c r="CS95">
        <v>5</v>
      </c>
      <c r="CT95">
        <v>800</v>
      </c>
      <c r="CU95">
        <v>0</v>
      </c>
      <c r="CV95">
        <v>0</v>
      </c>
      <c r="CW95">
        <v>9</v>
      </c>
      <c r="CX95">
        <v>0</v>
      </c>
      <c r="CY95">
        <v>1171</v>
      </c>
      <c r="CZ95">
        <v>9</v>
      </c>
      <c r="DA95">
        <v>0</v>
      </c>
      <c r="DB95">
        <v>0</v>
      </c>
      <c r="DC95">
        <v>1200</v>
      </c>
      <c r="DD95">
        <v>0</v>
      </c>
      <c r="DE95">
        <v>0</v>
      </c>
      <c r="DF95">
        <v>2300</v>
      </c>
      <c r="DG95">
        <v>300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2700</v>
      </c>
      <c r="DT95">
        <v>4670</v>
      </c>
      <c r="DU95">
        <v>1430</v>
      </c>
      <c r="DV95">
        <v>0</v>
      </c>
      <c r="DW95">
        <v>0</v>
      </c>
      <c r="DX95">
        <v>0</v>
      </c>
      <c r="DY95">
        <v>598</v>
      </c>
      <c r="DZ95">
        <v>1609</v>
      </c>
      <c r="EA95">
        <v>598</v>
      </c>
      <c r="EB95">
        <v>1701</v>
      </c>
      <c r="EC95">
        <v>93</v>
      </c>
      <c r="ED95">
        <v>2301</v>
      </c>
      <c r="EE95">
        <v>2301</v>
      </c>
      <c r="EF95">
        <v>0</v>
      </c>
      <c r="EG95">
        <v>267</v>
      </c>
      <c r="EH95">
        <v>1.3</v>
      </c>
      <c r="EI95">
        <v>2.2999999999999998</v>
      </c>
      <c r="EJ95">
        <v>6.1</v>
      </c>
      <c r="EK95">
        <v>11.6</v>
      </c>
    </row>
    <row r="96" spans="1:141" x14ac:dyDescent="0.25">
      <c r="A96" t="str">
        <f>[1]ingredient!B95</f>
        <v>Einkorn</v>
      </c>
      <c r="B96" t="s">
        <v>217</v>
      </c>
      <c r="C96" s="7">
        <f>_xlfn.XLOOKUP(A96,[1]ingredient!$B$2:$B$521,[1]ingredient!$A$2:$A$521)</f>
        <v>94</v>
      </c>
      <c r="D96">
        <v>337</v>
      </c>
      <c r="E96">
        <v>3</v>
      </c>
      <c r="F96">
        <v>12</v>
      </c>
      <c r="G96">
        <v>61</v>
      </c>
      <c r="H96">
        <v>9</v>
      </c>
      <c r="I96">
        <v>3</v>
      </c>
      <c r="J96">
        <v>0.06</v>
      </c>
      <c r="K96">
        <v>15</v>
      </c>
      <c r="L96">
        <v>0</v>
      </c>
      <c r="M96">
        <v>0</v>
      </c>
      <c r="N96">
        <v>0</v>
      </c>
      <c r="O96">
        <v>0</v>
      </c>
      <c r="P96">
        <v>100</v>
      </c>
      <c r="Q96">
        <v>0</v>
      </c>
      <c r="R96">
        <v>800</v>
      </c>
      <c r="S96">
        <v>3000</v>
      </c>
      <c r="T96">
        <v>200</v>
      </c>
      <c r="U96">
        <v>200</v>
      </c>
      <c r="V96">
        <v>2</v>
      </c>
      <c r="W96">
        <v>11</v>
      </c>
      <c r="X96">
        <v>0</v>
      </c>
      <c r="Y96">
        <v>0</v>
      </c>
      <c r="Z96">
        <v>0</v>
      </c>
      <c r="AA96">
        <v>0</v>
      </c>
      <c r="AB96">
        <v>0</v>
      </c>
      <c r="AC96">
        <v>7</v>
      </c>
      <c r="AD96">
        <v>120</v>
      </c>
      <c r="AE96">
        <v>14</v>
      </c>
      <c r="AF96">
        <v>17</v>
      </c>
      <c r="AG96">
        <v>95</v>
      </c>
      <c r="AH96">
        <v>100</v>
      </c>
      <c r="AI96">
        <v>52</v>
      </c>
      <c r="AJ96">
        <v>1200</v>
      </c>
      <c r="AK96">
        <v>1200</v>
      </c>
      <c r="AL96">
        <v>200</v>
      </c>
      <c r="AM96">
        <v>600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687</v>
      </c>
      <c r="AU96">
        <v>100</v>
      </c>
      <c r="AV96">
        <v>0</v>
      </c>
      <c r="AW96">
        <v>787</v>
      </c>
      <c r="AX96">
        <v>2200</v>
      </c>
      <c r="AY96">
        <v>0</v>
      </c>
      <c r="AZ96">
        <v>0</v>
      </c>
      <c r="BA96">
        <v>2213</v>
      </c>
      <c r="BB96">
        <v>600</v>
      </c>
      <c r="BC96">
        <v>50</v>
      </c>
      <c r="BD96">
        <v>0</v>
      </c>
      <c r="BE96">
        <v>57000</v>
      </c>
      <c r="BF96">
        <v>0</v>
      </c>
      <c r="BG96">
        <f t="shared" si="13"/>
        <v>43.576388888888893</v>
      </c>
      <c r="BH96">
        <v>472</v>
      </c>
      <c r="BI96">
        <v>878</v>
      </c>
      <c r="BJ96">
        <v>251</v>
      </c>
      <c r="BK96">
        <v>183</v>
      </c>
      <c r="BL96">
        <v>264</v>
      </c>
      <c r="BM96">
        <v>610</v>
      </c>
      <c r="BN96">
        <v>326</v>
      </c>
      <c r="BO96">
        <v>338</v>
      </c>
      <c r="BP96">
        <v>130</v>
      </c>
      <c r="BQ96">
        <v>530</v>
      </c>
      <c r="BR96">
        <v>449</v>
      </c>
      <c r="BS96">
        <v>240</v>
      </c>
      <c r="BT96">
        <v>4671</v>
      </c>
      <c r="BU96">
        <v>382</v>
      </c>
      <c r="BV96">
        <v>525</v>
      </c>
      <c r="BW96">
        <v>4231</v>
      </c>
      <c r="BX96">
        <v>457</v>
      </c>
      <c r="BY96">
        <v>1490</v>
      </c>
      <c r="BZ96">
        <v>644</v>
      </c>
      <c r="CA96">
        <v>7730</v>
      </c>
      <c r="CB96">
        <v>40</v>
      </c>
      <c r="CC96">
        <v>17</v>
      </c>
      <c r="CD96">
        <v>0</v>
      </c>
      <c r="CE96">
        <v>602</v>
      </c>
      <c r="CG96">
        <v>0</v>
      </c>
      <c r="CH96">
        <v>0</v>
      </c>
      <c r="CI96">
        <v>0</v>
      </c>
      <c r="CJ96">
        <v>0</v>
      </c>
      <c r="CK96">
        <v>2</v>
      </c>
      <c r="CL96">
        <v>14</v>
      </c>
      <c r="CM96">
        <v>1</v>
      </c>
      <c r="CN96">
        <v>1167</v>
      </c>
      <c r="CO96">
        <v>0</v>
      </c>
      <c r="CP96">
        <v>110</v>
      </c>
      <c r="CQ96">
        <v>8</v>
      </c>
      <c r="CR96">
        <v>0</v>
      </c>
      <c r="CS96">
        <v>0</v>
      </c>
      <c r="CT96">
        <v>1300</v>
      </c>
      <c r="CU96">
        <v>0</v>
      </c>
      <c r="CV96">
        <v>0</v>
      </c>
      <c r="CW96">
        <v>8</v>
      </c>
      <c r="CX96">
        <v>0</v>
      </c>
      <c r="CY96">
        <v>848</v>
      </c>
      <c r="CZ96">
        <v>7</v>
      </c>
      <c r="DA96">
        <v>0</v>
      </c>
      <c r="DB96">
        <v>0</v>
      </c>
      <c r="DC96">
        <v>900</v>
      </c>
      <c r="DD96">
        <v>0</v>
      </c>
      <c r="DE96">
        <v>0</v>
      </c>
      <c r="DF96">
        <v>600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2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600</v>
      </c>
      <c r="DT96">
        <v>2810</v>
      </c>
      <c r="DU96">
        <v>191</v>
      </c>
      <c r="DV96">
        <v>0</v>
      </c>
      <c r="DW96">
        <v>0</v>
      </c>
      <c r="DX96">
        <v>0</v>
      </c>
      <c r="DY96">
        <v>1000</v>
      </c>
      <c r="DZ96">
        <v>2400</v>
      </c>
      <c r="EA96">
        <v>200</v>
      </c>
      <c r="EB96">
        <v>400</v>
      </c>
      <c r="EC96">
        <v>0</v>
      </c>
      <c r="ED96">
        <v>4040</v>
      </c>
      <c r="EE96">
        <v>4960</v>
      </c>
      <c r="EF96">
        <v>0</v>
      </c>
      <c r="EG96">
        <v>0</v>
      </c>
      <c r="EH96">
        <v>0.4</v>
      </c>
      <c r="EI96">
        <v>5</v>
      </c>
      <c r="EJ96">
        <v>3</v>
      </c>
      <c r="EK96">
        <v>12.5</v>
      </c>
    </row>
    <row r="97" spans="1:141" x14ac:dyDescent="0.25">
      <c r="A97" t="str">
        <f>[1]ingredient!B96</f>
        <v>Eisbergsalat</v>
      </c>
      <c r="B97" t="s">
        <v>218</v>
      </c>
      <c r="C97" s="7">
        <f>_xlfn.XLOOKUP(A97,[1]ingredient!$B$2:$B$521,[1]ingredient!$A$2:$A$521)</f>
        <v>95</v>
      </c>
      <c r="D97">
        <v>13</v>
      </c>
      <c r="E97">
        <v>0.2</v>
      </c>
      <c r="F97">
        <v>1</v>
      </c>
      <c r="G97">
        <v>2</v>
      </c>
      <c r="H97">
        <v>2</v>
      </c>
      <c r="I97">
        <v>2</v>
      </c>
      <c r="J97">
        <v>0.05</v>
      </c>
      <c r="K97">
        <v>95</v>
      </c>
      <c r="L97">
        <v>600</v>
      </c>
      <c r="M97">
        <v>300</v>
      </c>
      <c r="N97">
        <v>0</v>
      </c>
      <c r="O97">
        <v>3600</v>
      </c>
      <c r="P97">
        <v>46</v>
      </c>
      <c r="Q97">
        <v>30</v>
      </c>
      <c r="R97">
        <v>200</v>
      </c>
      <c r="S97">
        <v>383</v>
      </c>
      <c r="T97">
        <v>46</v>
      </c>
      <c r="U97">
        <v>30</v>
      </c>
      <c r="V97">
        <v>1</v>
      </c>
      <c r="W97">
        <v>53</v>
      </c>
      <c r="X97">
        <v>0</v>
      </c>
      <c r="Y97">
        <v>3900</v>
      </c>
      <c r="Z97">
        <v>0</v>
      </c>
      <c r="AA97">
        <v>570</v>
      </c>
      <c r="AB97">
        <v>112</v>
      </c>
      <c r="AC97">
        <v>12</v>
      </c>
      <c r="AD97">
        <v>160</v>
      </c>
      <c r="AE97">
        <v>19</v>
      </c>
      <c r="AF97">
        <v>7</v>
      </c>
      <c r="AG97">
        <v>20</v>
      </c>
      <c r="AH97">
        <v>16</v>
      </c>
      <c r="AI97">
        <v>42</v>
      </c>
      <c r="AJ97">
        <v>500</v>
      </c>
      <c r="AK97">
        <v>220</v>
      </c>
      <c r="AL97">
        <v>28</v>
      </c>
      <c r="AM97">
        <v>151</v>
      </c>
      <c r="AN97">
        <v>100</v>
      </c>
      <c r="AO97">
        <v>2</v>
      </c>
      <c r="AP97">
        <v>0</v>
      </c>
      <c r="AQ97">
        <v>0</v>
      </c>
      <c r="AR97">
        <v>0</v>
      </c>
      <c r="AS97">
        <v>0</v>
      </c>
      <c r="AT97">
        <v>628</v>
      </c>
      <c r="AU97">
        <v>628</v>
      </c>
      <c r="AV97">
        <v>0</v>
      </c>
      <c r="AW97">
        <v>1256</v>
      </c>
      <c r="AX97">
        <v>298</v>
      </c>
      <c r="AY97">
        <v>0</v>
      </c>
      <c r="AZ97">
        <v>0</v>
      </c>
      <c r="BA97">
        <v>298</v>
      </c>
      <c r="BB97">
        <v>0</v>
      </c>
      <c r="BC97">
        <v>0</v>
      </c>
      <c r="BD97">
        <v>0</v>
      </c>
      <c r="BE97">
        <v>16</v>
      </c>
      <c r="BF97">
        <v>16</v>
      </c>
      <c r="BG97">
        <f t="shared" si="13"/>
        <v>82.608695652173907</v>
      </c>
      <c r="BH97">
        <v>65</v>
      </c>
      <c r="BI97">
        <v>68</v>
      </c>
      <c r="BJ97">
        <v>50</v>
      </c>
      <c r="BK97">
        <v>12</v>
      </c>
      <c r="BL97">
        <v>7</v>
      </c>
      <c r="BM97">
        <v>45</v>
      </c>
      <c r="BN97">
        <v>28</v>
      </c>
      <c r="BO97">
        <v>38</v>
      </c>
      <c r="BP97">
        <v>11</v>
      </c>
      <c r="BQ97">
        <v>50</v>
      </c>
      <c r="BR97">
        <v>48</v>
      </c>
      <c r="BS97">
        <v>16</v>
      </c>
      <c r="BT97">
        <v>438</v>
      </c>
      <c r="BU97">
        <v>43</v>
      </c>
      <c r="BV97">
        <v>110</v>
      </c>
      <c r="BW97">
        <v>122</v>
      </c>
      <c r="BX97">
        <v>40</v>
      </c>
      <c r="BY97">
        <v>52</v>
      </c>
      <c r="BZ97">
        <v>35</v>
      </c>
      <c r="CA97">
        <v>402</v>
      </c>
      <c r="CB97">
        <v>11</v>
      </c>
      <c r="CC97">
        <v>5</v>
      </c>
      <c r="CD97">
        <v>84</v>
      </c>
      <c r="CE97">
        <v>35</v>
      </c>
      <c r="CF97">
        <v>0.42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27</v>
      </c>
      <c r="CO97">
        <v>0</v>
      </c>
      <c r="CP97">
        <v>4</v>
      </c>
      <c r="CQ97">
        <v>0</v>
      </c>
      <c r="CR97">
        <v>0</v>
      </c>
      <c r="CS97">
        <v>0</v>
      </c>
      <c r="CT97">
        <v>31</v>
      </c>
      <c r="CU97">
        <v>0</v>
      </c>
      <c r="CV97">
        <v>0</v>
      </c>
      <c r="CW97">
        <v>3</v>
      </c>
      <c r="CX97">
        <v>0</v>
      </c>
      <c r="CY97">
        <v>7</v>
      </c>
      <c r="CZ97">
        <v>0</v>
      </c>
      <c r="DA97">
        <v>0</v>
      </c>
      <c r="DB97">
        <v>0</v>
      </c>
      <c r="DC97">
        <v>10</v>
      </c>
      <c r="DD97">
        <v>0</v>
      </c>
      <c r="DE97">
        <v>0</v>
      </c>
      <c r="DF97">
        <v>35</v>
      </c>
      <c r="DG97">
        <v>84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119</v>
      </c>
      <c r="DT97">
        <v>160</v>
      </c>
      <c r="DU97">
        <v>40</v>
      </c>
      <c r="DV97">
        <v>0</v>
      </c>
      <c r="DW97">
        <v>0</v>
      </c>
      <c r="DX97">
        <v>0</v>
      </c>
      <c r="DY97">
        <v>306</v>
      </c>
      <c r="DZ97">
        <v>216</v>
      </c>
      <c r="EA97">
        <v>648</v>
      </c>
      <c r="EB97">
        <v>576</v>
      </c>
      <c r="EC97">
        <v>54</v>
      </c>
      <c r="ED97">
        <v>414</v>
      </c>
      <c r="EE97">
        <v>1386</v>
      </c>
      <c r="EF97">
        <v>0</v>
      </c>
      <c r="EG97">
        <v>0.3</v>
      </c>
      <c r="EH97">
        <v>0.5</v>
      </c>
      <c r="EI97">
        <v>1.4</v>
      </c>
      <c r="EJ97">
        <v>0.2</v>
      </c>
      <c r="EK97">
        <v>0.9</v>
      </c>
    </row>
    <row r="98" spans="1:141" x14ac:dyDescent="0.25">
      <c r="A98" t="str">
        <f>[1]ingredient!B97</f>
        <v>Emmer</v>
      </c>
      <c r="B98" t="s">
        <v>219</v>
      </c>
      <c r="C98" s="7">
        <f>_xlfn.XLOOKUP(A98,[1]ingredient!$B$2:$B$521,[1]ingredient!$A$2:$A$521)</f>
        <v>96</v>
      </c>
      <c r="D98">
        <v>341</v>
      </c>
      <c r="E98">
        <v>3</v>
      </c>
      <c r="F98">
        <v>13</v>
      </c>
      <c r="G98">
        <v>62</v>
      </c>
      <c r="H98">
        <v>8</v>
      </c>
      <c r="I98">
        <v>1</v>
      </c>
      <c r="J98">
        <v>0.06</v>
      </c>
      <c r="K98">
        <v>13</v>
      </c>
      <c r="L98">
        <v>0</v>
      </c>
      <c r="M98">
        <v>0</v>
      </c>
      <c r="N98">
        <v>0</v>
      </c>
      <c r="O98">
        <v>0</v>
      </c>
      <c r="P98">
        <v>500</v>
      </c>
      <c r="Q98">
        <v>100</v>
      </c>
      <c r="R98">
        <v>5100</v>
      </c>
      <c r="S98">
        <v>7400</v>
      </c>
      <c r="T98">
        <v>1200</v>
      </c>
      <c r="U98">
        <v>300</v>
      </c>
      <c r="V98">
        <v>6</v>
      </c>
      <c r="W98">
        <v>87</v>
      </c>
      <c r="X98">
        <v>0</v>
      </c>
      <c r="Y98">
        <v>0</v>
      </c>
      <c r="Z98">
        <v>0</v>
      </c>
      <c r="AA98">
        <v>0</v>
      </c>
      <c r="AB98">
        <v>0</v>
      </c>
      <c r="AC98">
        <v>8</v>
      </c>
      <c r="AD98">
        <v>380</v>
      </c>
      <c r="AE98">
        <v>33</v>
      </c>
      <c r="AF98">
        <v>97</v>
      </c>
      <c r="AG98">
        <v>342</v>
      </c>
      <c r="AH98">
        <v>140</v>
      </c>
      <c r="AI98">
        <v>55</v>
      </c>
      <c r="AJ98">
        <v>3200</v>
      </c>
      <c r="AK98">
        <v>2600</v>
      </c>
      <c r="AL98">
        <v>400</v>
      </c>
      <c r="AM98">
        <v>3100</v>
      </c>
      <c r="AN98">
        <v>100</v>
      </c>
      <c r="AO98">
        <v>7</v>
      </c>
      <c r="AP98">
        <v>0</v>
      </c>
      <c r="AQ98">
        <v>0</v>
      </c>
      <c r="AR98">
        <v>0</v>
      </c>
      <c r="AS98">
        <v>0</v>
      </c>
      <c r="AT98">
        <v>64</v>
      </c>
      <c r="AU98">
        <v>44</v>
      </c>
      <c r="AV98">
        <v>0</v>
      </c>
      <c r="AW98">
        <v>108</v>
      </c>
      <c r="AX98">
        <v>600</v>
      </c>
      <c r="AY98">
        <v>0</v>
      </c>
      <c r="AZ98">
        <v>0</v>
      </c>
      <c r="BA98">
        <v>631</v>
      </c>
      <c r="BB98">
        <v>376</v>
      </c>
      <c r="BC98">
        <v>170</v>
      </c>
      <c r="BD98">
        <v>0</v>
      </c>
      <c r="BE98">
        <v>61186</v>
      </c>
      <c r="BF98">
        <v>0</v>
      </c>
      <c r="BG98">
        <f t="shared" si="13"/>
        <v>55.769230769230774</v>
      </c>
      <c r="BH98">
        <v>493</v>
      </c>
      <c r="BI98">
        <v>841</v>
      </c>
      <c r="BJ98">
        <v>348</v>
      </c>
      <c r="BK98">
        <v>202</v>
      </c>
      <c r="BL98">
        <v>265</v>
      </c>
      <c r="BM98">
        <v>586</v>
      </c>
      <c r="BN98">
        <v>375</v>
      </c>
      <c r="BO98">
        <v>393</v>
      </c>
      <c r="BP98">
        <v>138</v>
      </c>
      <c r="BQ98">
        <v>567</v>
      </c>
      <c r="BR98">
        <v>567</v>
      </c>
      <c r="BS98">
        <v>257</v>
      </c>
      <c r="BT98">
        <v>5031</v>
      </c>
      <c r="BU98">
        <v>467</v>
      </c>
      <c r="BV98">
        <v>640</v>
      </c>
      <c r="BW98">
        <v>3730</v>
      </c>
      <c r="BX98">
        <v>658</v>
      </c>
      <c r="BY98">
        <v>1426</v>
      </c>
      <c r="BZ98">
        <v>650</v>
      </c>
      <c r="CA98">
        <v>7569</v>
      </c>
      <c r="CB98">
        <v>51</v>
      </c>
      <c r="CC98">
        <v>21</v>
      </c>
      <c r="CD98">
        <v>100</v>
      </c>
      <c r="CE98">
        <v>1205</v>
      </c>
      <c r="CF98">
        <v>12.05</v>
      </c>
      <c r="CG98">
        <v>0</v>
      </c>
      <c r="CH98">
        <v>0</v>
      </c>
      <c r="CI98">
        <v>0</v>
      </c>
      <c r="CJ98">
        <v>0</v>
      </c>
      <c r="CK98">
        <v>2</v>
      </c>
      <c r="CL98">
        <v>2</v>
      </c>
      <c r="CM98">
        <v>2</v>
      </c>
      <c r="CN98">
        <v>434</v>
      </c>
      <c r="CO98">
        <v>0</v>
      </c>
      <c r="CP98">
        <v>20</v>
      </c>
      <c r="CQ98">
        <v>17</v>
      </c>
      <c r="CR98">
        <v>0</v>
      </c>
      <c r="CS98">
        <v>0</v>
      </c>
      <c r="CT98">
        <v>500</v>
      </c>
      <c r="CU98">
        <v>0</v>
      </c>
      <c r="CV98">
        <v>0</v>
      </c>
      <c r="CW98">
        <v>12</v>
      </c>
      <c r="CX98">
        <v>0</v>
      </c>
      <c r="CY98">
        <v>269</v>
      </c>
      <c r="CZ98">
        <v>9</v>
      </c>
      <c r="DA98">
        <v>0</v>
      </c>
      <c r="DB98">
        <v>0</v>
      </c>
      <c r="DC98">
        <v>300</v>
      </c>
      <c r="DD98">
        <v>0</v>
      </c>
      <c r="DE98">
        <v>0</v>
      </c>
      <c r="DF98">
        <v>1200</v>
      </c>
      <c r="DG98">
        <v>100</v>
      </c>
      <c r="DH98">
        <v>0</v>
      </c>
      <c r="DI98">
        <v>0</v>
      </c>
      <c r="DJ98">
        <v>0</v>
      </c>
      <c r="DK98">
        <v>0</v>
      </c>
      <c r="DL98">
        <v>5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1200</v>
      </c>
      <c r="DT98">
        <v>2014</v>
      </c>
      <c r="DU98">
        <v>786</v>
      </c>
      <c r="DV98">
        <v>0</v>
      </c>
      <c r="DW98">
        <v>0</v>
      </c>
      <c r="DX98">
        <v>0</v>
      </c>
      <c r="DY98">
        <v>3065</v>
      </c>
      <c r="DZ98">
        <v>2299</v>
      </c>
      <c r="EA98">
        <v>536</v>
      </c>
      <c r="EB98">
        <v>1618</v>
      </c>
      <c r="EC98">
        <v>383</v>
      </c>
      <c r="ED98">
        <v>1722</v>
      </c>
      <c r="EE98">
        <v>6178</v>
      </c>
      <c r="EF98">
        <v>0</v>
      </c>
      <c r="EG98">
        <v>0</v>
      </c>
      <c r="EH98">
        <v>1.1000000000000001</v>
      </c>
      <c r="EI98">
        <v>6.2</v>
      </c>
      <c r="EJ98">
        <v>2.8</v>
      </c>
      <c r="EK98">
        <v>12.8</v>
      </c>
    </row>
    <row r="99" spans="1:141" x14ac:dyDescent="0.25">
      <c r="A99" t="str">
        <f>[1]ingredient!B98</f>
        <v>Emmer-Vollkorn Fusilli</v>
      </c>
      <c r="B99" t="s">
        <v>215</v>
      </c>
      <c r="C99" s="7">
        <f>_xlfn.XLOOKUP(A99,[1]ingredient!$B$2:$B$521,[1]ingredient!$A$2:$A$521)</f>
        <v>97</v>
      </c>
      <c r="D99">
        <v>344</v>
      </c>
      <c r="E99">
        <v>2.9</v>
      </c>
      <c r="F99">
        <v>11.5</v>
      </c>
      <c r="G99">
        <v>65</v>
      </c>
      <c r="H99">
        <v>5.8</v>
      </c>
      <c r="I99">
        <v>3.5</v>
      </c>
      <c r="J99">
        <v>0.01</v>
      </c>
      <c r="K99">
        <v>11</v>
      </c>
      <c r="L99">
        <v>0</v>
      </c>
      <c r="M99">
        <v>0</v>
      </c>
      <c r="N99">
        <v>0</v>
      </c>
      <c r="O99">
        <v>0</v>
      </c>
      <c r="P99">
        <v>670</v>
      </c>
      <c r="Q99">
        <v>110</v>
      </c>
      <c r="R99">
        <v>3100</v>
      </c>
      <c r="S99">
        <v>5333</v>
      </c>
      <c r="T99">
        <v>800</v>
      </c>
      <c r="U99">
        <v>200</v>
      </c>
      <c r="V99">
        <v>1</v>
      </c>
      <c r="W99">
        <v>40</v>
      </c>
      <c r="X99">
        <v>0</v>
      </c>
      <c r="Y99">
        <v>0</v>
      </c>
      <c r="Z99">
        <v>0</v>
      </c>
      <c r="AA99">
        <v>250</v>
      </c>
      <c r="AB99">
        <v>0</v>
      </c>
      <c r="AC99">
        <v>5</v>
      </c>
      <c r="AD99">
        <v>390</v>
      </c>
      <c r="AE99">
        <v>34</v>
      </c>
      <c r="AF99">
        <v>120</v>
      </c>
      <c r="AG99">
        <v>370</v>
      </c>
      <c r="AH99">
        <v>190</v>
      </c>
      <c r="AI99">
        <v>22</v>
      </c>
      <c r="AJ99">
        <v>3900</v>
      </c>
      <c r="AK99">
        <v>3000</v>
      </c>
      <c r="AL99">
        <v>510</v>
      </c>
      <c r="AM99">
        <v>264</v>
      </c>
      <c r="AN99">
        <v>40</v>
      </c>
      <c r="AO99">
        <v>2</v>
      </c>
      <c r="AP99">
        <v>0</v>
      </c>
      <c r="AQ99">
        <v>0</v>
      </c>
      <c r="AR99">
        <v>0</v>
      </c>
      <c r="AS99">
        <v>0</v>
      </c>
      <c r="AT99">
        <v>61</v>
      </c>
      <c r="AU99">
        <v>61</v>
      </c>
      <c r="AV99">
        <v>0</v>
      </c>
      <c r="AW99">
        <v>122</v>
      </c>
      <c r="AX99">
        <v>606</v>
      </c>
      <c r="AY99">
        <v>0</v>
      </c>
      <c r="AZ99">
        <v>0</v>
      </c>
      <c r="BA99">
        <v>606</v>
      </c>
      <c r="BB99">
        <v>364</v>
      </c>
      <c r="BC99">
        <v>0</v>
      </c>
      <c r="BD99">
        <v>0</v>
      </c>
      <c r="BE99">
        <v>59508</v>
      </c>
      <c r="BF99">
        <v>59508</v>
      </c>
      <c r="BG99">
        <f t="shared" si="13"/>
        <v>65.579710144927532</v>
      </c>
      <c r="BH99">
        <v>523</v>
      </c>
      <c r="BI99">
        <v>898</v>
      </c>
      <c r="BJ99">
        <v>362</v>
      </c>
      <c r="BK99">
        <v>201</v>
      </c>
      <c r="BL99">
        <v>268</v>
      </c>
      <c r="BM99">
        <v>616</v>
      </c>
      <c r="BN99">
        <v>402</v>
      </c>
      <c r="BO99">
        <v>389</v>
      </c>
      <c r="BP99">
        <v>134</v>
      </c>
      <c r="BQ99">
        <v>603</v>
      </c>
      <c r="BR99">
        <v>603</v>
      </c>
      <c r="BS99">
        <v>255</v>
      </c>
      <c r="BT99">
        <v>5254</v>
      </c>
      <c r="BU99">
        <v>469</v>
      </c>
      <c r="BV99">
        <v>657</v>
      </c>
      <c r="BW99">
        <v>4059</v>
      </c>
      <c r="BX99">
        <v>616</v>
      </c>
      <c r="BY99">
        <v>1528</v>
      </c>
      <c r="BZ99">
        <v>683</v>
      </c>
      <c r="CA99">
        <v>8012</v>
      </c>
      <c r="CB99">
        <v>80</v>
      </c>
      <c r="CC99">
        <v>33</v>
      </c>
      <c r="CD99">
        <v>72</v>
      </c>
      <c r="CE99">
        <v>1073</v>
      </c>
      <c r="CF99">
        <v>14.9</v>
      </c>
      <c r="CG99">
        <v>0</v>
      </c>
      <c r="CH99">
        <v>0</v>
      </c>
      <c r="CI99">
        <v>0</v>
      </c>
      <c r="CJ99">
        <v>0</v>
      </c>
      <c r="CK99">
        <v>2</v>
      </c>
      <c r="CL99">
        <v>4</v>
      </c>
      <c r="CM99">
        <v>2</v>
      </c>
      <c r="CN99">
        <v>324</v>
      </c>
      <c r="CO99">
        <v>0</v>
      </c>
      <c r="CP99">
        <v>18</v>
      </c>
      <c r="CQ99">
        <v>14</v>
      </c>
      <c r="CR99">
        <v>0</v>
      </c>
      <c r="CS99">
        <v>0</v>
      </c>
      <c r="CT99">
        <v>364</v>
      </c>
      <c r="CU99">
        <v>0</v>
      </c>
      <c r="CV99">
        <v>0</v>
      </c>
      <c r="CW99">
        <v>9</v>
      </c>
      <c r="CX99">
        <v>0</v>
      </c>
      <c r="CY99">
        <v>275</v>
      </c>
      <c r="CZ99">
        <v>7</v>
      </c>
      <c r="DA99">
        <v>0</v>
      </c>
      <c r="DB99">
        <v>0</v>
      </c>
      <c r="DC99">
        <v>291</v>
      </c>
      <c r="DD99">
        <v>0</v>
      </c>
      <c r="DE99">
        <v>0</v>
      </c>
      <c r="DF99">
        <v>1069</v>
      </c>
      <c r="DG99">
        <v>72</v>
      </c>
      <c r="DH99">
        <v>0</v>
      </c>
      <c r="DI99">
        <v>0</v>
      </c>
      <c r="DJ99">
        <v>0</v>
      </c>
      <c r="DK99">
        <v>0</v>
      </c>
      <c r="DL99">
        <v>4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1145</v>
      </c>
      <c r="DT99">
        <v>1800</v>
      </c>
      <c r="DU99">
        <v>700</v>
      </c>
      <c r="DV99">
        <v>0</v>
      </c>
      <c r="DW99">
        <v>0</v>
      </c>
      <c r="DX99">
        <v>0</v>
      </c>
      <c r="DY99">
        <v>4600</v>
      </c>
      <c r="DZ99">
        <v>3450</v>
      </c>
      <c r="EA99">
        <v>805</v>
      </c>
      <c r="EB99">
        <v>2070</v>
      </c>
      <c r="EC99">
        <v>575</v>
      </c>
      <c r="ED99">
        <v>2875</v>
      </c>
      <c r="EE99">
        <v>8625</v>
      </c>
      <c r="EF99">
        <v>0</v>
      </c>
      <c r="EG99">
        <v>0</v>
      </c>
      <c r="EH99">
        <v>1.5</v>
      </c>
      <c r="EI99">
        <v>8.6</v>
      </c>
      <c r="EJ99">
        <v>2.5</v>
      </c>
      <c r="EK99">
        <v>13.5</v>
      </c>
    </row>
    <row r="100" spans="1:141" x14ac:dyDescent="0.25">
      <c r="A100" t="str">
        <f>[1]ingredient!B99</f>
        <v>Emmer-Vollkorn Penne</v>
      </c>
      <c r="B100" t="s">
        <v>215</v>
      </c>
      <c r="C100" s="7">
        <f>_xlfn.XLOOKUP(A100,[1]ingredient!$B$2:$B$521,[1]ingredient!$A$2:$A$521)</f>
        <v>98</v>
      </c>
      <c r="D100">
        <v>344</v>
      </c>
      <c r="E100">
        <v>2.9</v>
      </c>
      <c r="F100">
        <v>11.5</v>
      </c>
      <c r="G100">
        <v>65</v>
      </c>
      <c r="H100">
        <v>5.8</v>
      </c>
      <c r="I100">
        <v>3.5</v>
      </c>
      <c r="J100">
        <v>0.01</v>
      </c>
      <c r="K100">
        <v>11</v>
      </c>
      <c r="L100">
        <v>0</v>
      </c>
      <c r="M100">
        <v>0</v>
      </c>
      <c r="N100">
        <v>0</v>
      </c>
      <c r="O100">
        <v>0</v>
      </c>
      <c r="P100">
        <v>670</v>
      </c>
      <c r="Q100">
        <v>110</v>
      </c>
      <c r="R100">
        <v>3100</v>
      </c>
      <c r="S100">
        <v>5333</v>
      </c>
      <c r="T100">
        <v>800</v>
      </c>
      <c r="U100">
        <v>200</v>
      </c>
      <c r="V100">
        <v>1</v>
      </c>
      <c r="W100">
        <v>40</v>
      </c>
      <c r="X100">
        <v>0</v>
      </c>
      <c r="Y100">
        <v>0</v>
      </c>
      <c r="Z100">
        <v>0</v>
      </c>
      <c r="AA100">
        <v>250</v>
      </c>
      <c r="AB100">
        <v>0</v>
      </c>
      <c r="AC100">
        <v>5</v>
      </c>
      <c r="AD100">
        <v>390</v>
      </c>
      <c r="AE100">
        <v>34</v>
      </c>
      <c r="AF100">
        <v>120</v>
      </c>
      <c r="AG100">
        <v>370</v>
      </c>
      <c r="AH100">
        <v>190</v>
      </c>
      <c r="AI100">
        <v>22</v>
      </c>
      <c r="AJ100">
        <v>3900</v>
      </c>
      <c r="AK100">
        <v>3000</v>
      </c>
      <c r="AL100">
        <v>510</v>
      </c>
      <c r="AM100">
        <v>264</v>
      </c>
      <c r="AN100">
        <v>40</v>
      </c>
      <c r="AO100">
        <v>2</v>
      </c>
      <c r="AP100">
        <v>0</v>
      </c>
      <c r="AQ100">
        <v>0</v>
      </c>
      <c r="AR100">
        <v>0</v>
      </c>
      <c r="AS100">
        <v>0</v>
      </c>
      <c r="AT100">
        <v>61</v>
      </c>
      <c r="AU100">
        <v>61</v>
      </c>
      <c r="AV100">
        <v>0</v>
      </c>
      <c r="AW100">
        <v>122</v>
      </c>
      <c r="AX100">
        <v>606</v>
      </c>
      <c r="AY100">
        <v>0</v>
      </c>
      <c r="AZ100">
        <v>0</v>
      </c>
      <c r="BA100">
        <v>606</v>
      </c>
      <c r="BB100">
        <v>364</v>
      </c>
      <c r="BC100">
        <v>0</v>
      </c>
      <c r="BD100">
        <v>0</v>
      </c>
      <c r="BE100">
        <v>59508</v>
      </c>
      <c r="BF100">
        <v>59508</v>
      </c>
      <c r="BG100">
        <f t="shared" si="13"/>
        <v>65.579710144927532</v>
      </c>
      <c r="BH100">
        <v>523</v>
      </c>
      <c r="BI100">
        <v>898</v>
      </c>
      <c r="BJ100">
        <v>362</v>
      </c>
      <c r="BK100">
        <v>201</v>
      </c>
      <c r="BL100">
        <v>268</v>
      </c>
      <c r="BM100">
        <v>616</v>
      </c>
      <c r="BN100">
        <v>402</v>
      </c>
      <c r="BO100">
        <v>389</v>
      </c>
      <c r="BP100">
        <v>134</v>
      </c>
      <c r="BQ100">
        <v>603</v>
      </c>
      <c r="BR100">
        <v>603</v>
      </c>
      <c r="BS100">
        <v>255</v>
      </c>
      <c r="BT100">
        <v>5254</v>
      </c>
      <c r="BU100">
        <v>469</v>
      </c>
      <c r="BV100">
        <v>657</v>
      </c>
      <c r="BW100">
        <v>4059</v>
      </c>
      <c r="BX100">
        <v>616</v>
      </c>
      <c r="BY100">
        <v>1528</v>
      </c>
      <c r="BZ100">
        <v>683</v>
      </c>
      <c r="CA100">
        <v>8012</v>
      </c>
      <c r="CB100">
        <v>80</v>
      </c>
      <c r="CC100">
        <v>33</v>
      </c>
      <c r="CD100">
        <v>72</v>
      </c>
      <c r="CE100">
        <v>1073</v>
      </c>
      <c r="CF100">
        <v>14.9</v>
      </c>
      <c r="CG100">
        <v>0</v>
      </c>
      <c r="CH100">
        <v>0</v>
      </c>
      <c r="CI100">
        <v>0</v>
      </c>
      <c r="CJ100">
        <v>0</v>
      </c>
      <c r="CK100">
        <v>2</v>
      </c>
      <c r="CL100">
        <v>4</v>
      </c>
      <c r="CM100">
        <v>2</v>
      </c>
      <c r="CN100">
        <v>324</v>
      </c>
      <c r="CO100">
        <v>0</v>
      </c>
      <c r="CP100">
        <v>18</v>
      </c>
      <c r="CQ100">
        <v>14</v>
      </c>
      <c r="CR100">
        <v>0</v>
      </c>
      <c r="CS100">
        <v>0</v>
      </c>
      <c r="CT100">
        <v>364</v>
      </c>
      <c r="CU100">
        <v>0</v>
      </c>
      <c r="CV100">
        <v>0</v>
      </c>
      <c r="CW100">
        <v>9</v>
      </c>
      <c r="CX100">
        <v>0</v>
      </c>
      <c r="CY100">
        <v>275</v>
      </c>
      <c r="CZ100">
        <v>7</v>
      </c>
      <c r="DA100">
        <v>0</v>
      </c>
      <c r="DB100">
        <v>0</v>
      </c>
      <c r="DC100">
        <v>291</v>
      </c>
      <c r="DD100">
        <v>0</v>
      </c>
      <c r="DE100">
        <v>0</v>
      </c>
      <c r="DF100">
        <v>1069</v>
      </c>
      <c r="DG100">
        <v>72</v>
      </c>
      <c r="DH100">
        <v>0</v>
      </c>
      <c r="DI100">
        <v>0</v>
      </c>
      <c r="DJ100">
        <v>0</v>
      </c>
      <c r="DK100">
        <v>0</v>
      </c>
      <c r="DL100">
        <v>4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1145</v>
      </c>
      <c r="DT100">
        <v>1800</v>
      </c>
      <c r="DU100">
        <v>700</v>
      </c>
      <c r="DV100">
        <v>0</v>
      </c>
      <c r="DW100">
        <v>0</v>
      </c>
      <c r="DX100">
        <v>0</v>
      </c>
      <c r="DY100">
        <v>4600</v>
      </c>
      <c r="DZ100">
        <v>3450</v>
      </c>
      <c r="EA100">
        <v>805</v>
      </c>
      <c r="EB100">
        <v>2070</v>
      </c>
      <c r="EC100">
        <v>575</v>
      </c>
      <c r="ED100">
        <v>2875</v>
      </c>
      <c r="EE100">
        <v>8625</v>
      </c>
      <c r="EF100">
        <v>0</v>
      </c>
      <c r="EG100">
        <v>0</v>
      </c>
      <c r="EH100">
        <v>1.5</v>
      </c>
      <c r="EI100">
        <v>8.6</v>
      </c>
      <c r="EJ100">
        <v>2.5</v>
      </c>
      <c r="EK100">
        <v>13.5</v>
      </c>
    </row>
    <row r="101" spans="1:141" x14ac:dyDescent="0.25">
      <c r="A101" t="str">
        <f>[1]ingredient!B100</f>
        <v>Endivien-Salat</v>
      </c>
      <c r="B101" t="s">
        <v>170</v>
      </c>
      <c r="C101" s="7">
        <f>_xlfn.XLOOKUP(A101,[1]ingredient!$B$2:$B$521,[1]ingredient!$A$2:$A$521)</f>
        <v>99</v>
      </c>
      <c r="D101">
        <v>11</v>
      </c>
      <c r="E101">
        <v>0.2</v>
      </c>
      <c r="F101">
        <v>2</v>
      </c>
      <c r="G101">
        <v>0.3</v>
      </c>
      <c r="H101">
        <v>1</v>
      </c>
      <c r="I101">
        <v>0.28999999999999998</v>
      </c>
      <c r="J101">
        <v>0.12</v>
      </c>
      <c r="K101">
        <v>95</v>
      </c>
      <c r="L101">
        <v>280</v>
      </c>
      <c r="M101">
        <v>140</v>
      </c>
      <c r="N101">
        <v>0</v>
      </c>
      <c r="O101">
        <v>1681</v>
      </c>
      <c r="P101">
        <v>52</v>
      </c>
      <c r="Q101">
        <v>120</v>
      </c>
      <c r="R101">
        <v>410</v>
      </c>
      <c r="S101">
        <v>727</v>
      </c>
      <c r="T101">
        <v>900</v>
      </c>
      <c r="U101">
        <v>50</v>
      </c>
      <c r="V101">
        <v>1</v>
      </c>
      <c r="W101">
        <v>49</v>
      </c>
      <c r="X101">
        <v>0</v>
      </c>
      <c r="Y101">
        <v>10000</v>
      </c>
      <c r="Z101">
        <v>0</v>
      </c>
      <c r="AA101">
        <v>1000</v>
      </c>
      <c r="AB101">
        <v>200</v>
      </c>
      <c r="AC101">
        <v>53</v>
      </c>
      <c r="AD101">
        <v>346</v>
      </c>
      <c r="AE101">
        <v>54</v>
      </c>
      <c r="AF101">
        <v>10</v>
      </c>
      <c r="AG101">
        <v>54</v>
      </c>
      <c r="AH101">
        <v>26</v>
      </c>
      <c r="AI101">
        <v>71</v>
      </c>
      <c r="AJ101">
        <v>1400</v>
      </c>
      <c r="AK101">
        <v>355</v>
      </c>
      <c r="AL101">
        <v>44</v>
      </c>
      <c r="AM101">
        <v>153</v>
      </c>
      <c r="AN101">
        <v>62</v>
      </c>
      <c r="AO101">
        <v>6</v>
      </c>
      <c r="AP101">
        <v>0</v>
      </c>
      <c r="AQ101">
        <v>0</v>
      </c>
      <c r="AR101">
        <v>0</v>
      </c>
      <c r="AS101">
        <v>0</v>
      </c>
      <c r="AT101">
        <v>21</v>
      </c>
      <c r="AU101">
        <v>51</v>
      </c>
      <c r="AV101">
        <v>0</v>
      </c>
      <c r="AW101">
        <v>72</v>
      </c>
      <c r="AX101">
        <v>222</v>
      </c>
      <c r="AY101">
        <v>0</v>
      </c>
      <c r="AZ101">
        <v>0</v>
      </c>
      <c r="BA101">
        <v>222</v>
      </c>
      <c r="BB101">
        <v>0</v>
      </c>
      <c r="BC101">
        <v>0</v>
      </c>
      <c r="BD101">
        <v>0</v>
      </c>
      <c r="BE101">
        <v>6</v>
      </c>
      <c r="BF101">
        <v>6</v>
      </c>
      <c r="BG101">
        <f t="shared" si="13"/>
        <v>71.739130434782609</v>
      </c>
      <c r="BH101">
        <v>114</v>
      </c>
      <c r="BI101">
        <v>117</v>
      </c>
      <c r="BJ101">
        <v>88</v>
      </c>
      <c r="BK101">
        <v>21</v>
      </c>
      <c r="BL101">
        <v>12</v>
      </c>
      <c r="BM101">
        <v>79</v>
      </c>
      <c r="BN101">
        <v>49</v>
      </c>
      <c r="BO101">
        <v>67</v>
      </c>
      <c r="BP101">
        <v>19</v>
      </c>
      <c r="BQ101">
        <v>88</v>
      </c>
      <c r="BR101">
        <v>84</v>
      </c>
      <c r="BS101">
        <v>28</v>
      </c>
      <c r="BT101">
        <v>766</v>
      </c>
      <c r="BU101">
        <v>75</v>
      </c>
      <c r="BV101">
        <v>193</v>
      </c>
      <c r="BW101">
        <v>214</v>
      </c>
      <c r="BX101">
        <v>70</v>
      </c>
      <c r="BY101">
        <v>91</v>
      </c>
      <c r="BZ101">
        <v>61</v>
      </c>
      <c r="CA101">
        <v>704</v>
      </c>
      <c r="CB101">
        <v>11</v>
      </c>
      <c r="CC101">
        <v>5</v>
      </c>
      <c r="CD101">
        <v>16</v>
      </c>
      <c r="CE101">
        <v>86</v>
      </c>
      <c r="CF101">
        <v>5.38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3</v>
      </c>
      <c r="CM101">
        <v>0</v>
      </c>
      <c r="CN101">
        <v>48</v>
      </c>
      <c r="CO101">
        <v>0</v>
      </c>
      <c r="CP101">
        <v>2</v>
      </c>
      <c r="CQ101">
        <v>0</v>
      </c>
      <c r="CR101">
        <v>0</v>
      </c>
      <c r="CS101">
        <v>0</v>
      </c>
      <c r="CT101">
        <v>53</v>
      </c>
      <c r="CU101">
        <v>0</v>
      </c>
      <c r="CV101">
        <v>0</v>
      </c>
      <c r="CW101">
        <v>0</v>
      </c>
      <c r="CX101">
        <v>0</v>
      </c>
      <c r="CY101">
        <v>5</v>
      </c>
      <c r="CZ101">
        <v>0</v>
      </c>
      <c r="DA101">
        <v>0</v>
      </c>
      <c r="DB101">
        <v>0</v>
      </c>
      <c r="DC101">
        <v>5</v>
      </c>
      <c r="DD101">
        <v>0</v>
      </c>
      <c r="DE101">
        <v>0</v>
      </c>
      <c r="DF101">
        <v>86</v>
      </c>
      <c r="DG101">
        <v>16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102</v>
      </c>
      <c r="DT101">
        <v>160</v>
      </c>
      <c r="DU101">
        <v>40</v>
      </c>
      <c r="DV101">
        <v>0</v>
      </c>
      <c r="DW101">
        <v>0</v>
      </c>
      <c r="DX101">
        <v>0</v>
      </c>
      <c r="DY101">
        <v>207</v>
      </c>
      <c r="DZ101">
        <v>146</v>
      </c>
      <c r="EA101">
        <v>440</v>
      </c>
      <c r="EB101">
        <v>390</v>
      </c>
      <c r="EC101">
        <v>37</v>
      </c>
      <c r="ED101">
        <v>293</v>
      </c>
      <c r="EE101">
        <v>927</v>
      </c>
      <c r="EF101">
        <v>0</v>
      </c>
      <c r="EG101">
        <v>0.28000000000000003</v>
      </c>
      <c r="EH101">
        <v>0.9</v>
      </c>
      <c r="EI101">
        <v>0.9</v>
      </c>
      <c r="EJ101">
        <v>0.2</v>
      </c>
      <c r="EK101">
        <v>1.5</v>
      </c>
    </row>
    <row r="102" spans="1:141" x14ac:dyDescent="0.25">
      <c r="A102" t="str">
        <f>[1]ingredient!B101</f>
        <v>Enoki</v>
      </c>
      <c r="B102" t="s">
        <v>220</v>
      </c>
      <c r="C102" s="7">
        <f>_xlfn.XLOOKUP(A102,[1]ingredient!$B$2:$B$521,[1]ingredient!$A$2:$A$521)</f>
        <v>100</v>
      </c>
      <c r="D102">
        <v>15</v>
      </c>
      <c r="E102">
        <v>0.24</v>
      </c>
      <c r="F102">
        <v>3</v>
      </c>
      <c r="G102">
        <v>1</v>
      </c>
      <c r="H102">
        <v>2</v>
      </c>
      <c r="I102">
        <v>0.11</v>
      </c>
      <c r="J102">
        <v>0.08</v>
      </c>
      <c r="K102">
        <v>93</v>
      </c>
      <c r="L102">
        <v>2</v>
      </c>
      <c r="M102">
        <v>1</v>
      </c>
      <c r="N102">
        <v>0</v>
      </c>
      <c r="O102">
        <v>10</v>
      </c>
      <c r="P102">
        <v>100</v>
      </c>
      <c r="Q102">
        <v>440</v>
      </c>
      <c r="R102">
        <v>5200</v>
      </c>
      <c r="S102">
        <v>5567</v>
      </c>
      <c r="T102">
        <v>2100</v>
      </c>
      <c r="U102">
        <v>65</v>
      </c>
      <c r="V102">
        <v>16</v>
      </c>
      <c r="W102">
        <v>25</v>
      </c>
      <c r="X102">
        <v>0</v>
      </c>
      <c r="Y102">
        <v>4900</v>
      </c>
      <c r="Z102">
        <v>2</v>
      </c>
      <c r="AA102">
        <v>116</v>
      </c>
      <c r="AB102">
        <v>14</v>
      </c>
      <c r="AC102">
        <v>8</v>
      </c>
      <c r="AD102">
        <v>422</v>
      </c>
      <c r="AE102">
        <v>11</v>
      </c>
      <c r="AF102">
        <v>13</v>
      </c>
      <c r="AG102">
        <v>123</v>
      </c>
      <c r="AH102">
        <v>34</v>
      </c>
      <c r="AI102">
        <v>67</v>
      </c>
      <c r="AJ102">
        <v>1186</v>
      </c>
      <c r="AK102">
        <v>540</v>
      </c>
      <c r="AL102">
        <v>400</v>
      </c>
      <c r="AM102">
        <v>89</v>
      </c>
      <c r="AN102">
        <v>31</v>
      </c>
      <c r="AO102">
        <v>18</v>
      </c>
      <c r="AP102">
        <v>448</v>
      </c>
      <c r="AQ102">
        <v>0</v>
      </c>
      <c r="AR102">
        <v>0</v>
      </c>
      <c r="AS102">
        <v>448</v>
      </c>
      <c r="AT102">
        <v>67</v>
      </c>
      <c r="AU102">
        <v>28</v>
      </c>
      <c r="AV102">
        <v>0</v>
      </c>
      <c r="AW102">
        <v>95</v>
      </c>
      <c r="AX102">
        <v>17</v>
      </c>
      <c r="AY102">
        <v>0</v>
      </c>
      <c r="AZ102">
        <v>0</v>
      </c>
      <c r="BA102">
        <v>17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f t="shared" si="13"/>
        <v>59.420289855072461</v>
      </c>
      <c r="BH102">
        <v>110</v>
      </c>
      <c r="BI102">
        <v>118</v>
      </c>
      <c r="BJ102">
        <v>170</v>
      </c>
      <c r="BK102">
        <v>25</v>
      </c>
      <c r="BL102">
        <v>16</v>
      </c>
      <c r="BM102">
        <v>74</v>
      </c>
      <c r="BN102">
        <v>66</v>
      </c>
      <c r="BO102">
        <v>85</v>
      </c>
      <c r="BP102">
        <v>22</v>
      </c>
      <c r="BQ102">
        <v>88</v>
      </c>
      <c r="BR102">
        <v>190</v>
      </c>
      <c r="BS102">
        <v>55</v>
      </c>
      <c r="BT102">
        <v>1019</v>
      </c>
      <c r="BU102">
        <v>137</v>
      </c>
      <c r="BV102">
        <v>126</v>
      </c>
      <c r="BW102">
        <v>192</v>
      </c>
      <c r="BX102">
        <v>74</v>
      </c>
      <c r="BY102">
        <v>151</v>
      </c>
      <c r="BZ102">
        <v>82</v>
      </c>
      <c r="CA102">
        <v>762</v>
      </c>
      <c r="CB102">
        <v>60</v>
      </c>
      <c r="CC102">
        <v>25</v>
      </c>
      <c r="CD102">
        <v>106</v>
      </c>
      <c r="CE102">
        <v>25</v>
      </c>
      <c r="CF102">
        <v>0.24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53</v>
      </c>
      <c r="CO102">
        <v>0</v>
      </c>
      <c r="CP102">
        <v>4</v>
      </c>
      <c r="CQ102">
        <v>0</v>
      </c>
      <c r="CR102">
        <v>0</v>
      </c>
      <c r="CS102">
        <v>0</v>
      </c>
      <c r="CT102">
        <v>58</v>
      </c>
      <c r="CU102">
        <v>0</v>
      </c>
      <c r="CV102">
        <v>0</v>
      </c>
      <c r="CW102">
        <v>1</v>
      </c>
      <c r="CX102">
        <v>0</v>
      </c>
      <c r="CY102">
        <v>2</v>
      </c>
      <c r="CZ102">
        <v>0</v>
      </c>
      <c r="DA102">
        <v>0</v>
      </c>
      <c r="DB102">
        <v>0</v>
      </c>
      <c r="DC102">
        <v>3</v>
      </c>
      <c r="DD102">
        <v>0</v>
      </c>
      <c r="DE102">
        <v>0</v>
      </c>
      <c r="DF102">
        <v>25</v>
      </c>
      <c r="DG102">
        <v>106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131</v>
      </c>
      <c r="DT102">
        <v>192</v>
      </c>
      <c r="DU102">
        <v>48</v>
      </c>
      <c r="DV102">
        <v>0</v>
      </c>
      <c r="DW102">
        <v>0</v>
      </c>
      <c r="DX102">
        <v>0</v>
      </c>
      <c r="DY102">
        <v>0</v>
      </c>
      <c r="DZ102">
        <v>832</v>
      </c>
      <c r="EA102">
        <v>20</v>
      </c>
      <c r="EB102">
        <v>1158</v>
      </c>
      <c r="EC102">
        <v>20</v>
      </c>
      <c r="ED102">
        <v>386</v>
      </c>
      <c r="EE102">
        <v>1644</v>
      </c>
      <c r="EF102">
        <v>0</v>
      </c>
      <c r="EG102">
        <v>0.13</v>
      </c>
      <c r="EH102">
        <v>1</v>
      </c>
      <c r="EI102">
        <v>1.6</v>
      </c>
      <c r="EJ102">
        <v>0.2</v>
      </c>
      <c r="EK102">
        <v>2</v>
      </c>
    </row>
    <row r="103" spans="1:141" x14ac:dyDescent="0.25">
      <c r="A103" t="str">
        <f>[1]ingredient!B102</f>
        <v>Erbsen gelb</v>
      </c>
      <c r="B103" t="s">
        <v>221</v>
      </c>
      <c r="C103" s="7">
        <f>_xlfn.XLOOKUP(A103,[1]ingredient!$B$2:$B$521,[1]ingredient!$A$2:$A$521)</f>
        <v>101</v>
      </c>
      <c r="D103">
        <v>276</v>
      </c>
      <c r="E103">
        <v>1</v>
      </c>
      <c r="F103">
        <v>23</v>
      </c>
      <c r="G103">
        <v>41</v>
      </c>
      <c r="H103">
        <v>17</v>
      </c>
      <c r="I103">
        <v>3</v>
      </c>
      <c r="J103">
        <v>0.08</v>
      </c>
      <c r="K103">
        <v>14</v>
      </c>
      <c r="L103">
        <v>13</v>
      </c>
      <c r="M103">
        <v>7</v>
      </c>
      <c r="N103">
        <v>0</v>
      </c>
      <c r="O103">
        <v>80</v>
      </c>
      <c r="P103">
        <v>800</v>
      </c>
      <c r="Q103">
        <v>274</v>
      </c>
      <c r="R103">
        <v>2670</v>
      </c>
      <c r="S103">
        <v>8503</v>
      </c>
      <c r="T103">
        <v>1986</v>
      </c>
      <c r="U103">
        <v>118</v>
      </c>
      <c r="V103">
        <v>19</v>
      </c>
      <c r="W103">
        <v>151</v>
      </c>
      <c r="X103">
        <v>0</v>
      </c>
      <c r="Y103">
        <v>1600</v>
      </c>
      <c r="Z103">
        <v>0</v>
      </c>
      <c r="AA103">
        <v>205</v>
      </c>
      <c r="AB103">
        <v>81</v>
      </c>
      <c r="AC103">
        <v>24</v>
      </c>
      <c r="AD103">
        <v>992</v>
      </c>
      <c r="AE103">
        <v>50</v>
      </c>
      <c r="AF103">
        <v>118</v>
      </c>
      <c r="AG103">
        <v>348</v>
      </c>
      <c r="AH103">
        <v>145</v>
      </c>
      <c r="AI103">
        <v>55</v>
      </c>
      <c r="AJ103">
        <v>5160</v>
      </c>
      <c r="AK103">
        <v>3323</v>
      </c>
      <c r="AL103">
        <v>655</v>
      </c>
      <c r="AM103">
        <v>1196</v>
      </c>
      <c r="AN103">
        <v>40</v>
      </c>
      <c r="AO103">
        <v>14</v>
      </c>
      <c r="AP103">
        <v>0</v>
      </c>
      <c r="AQ103">
        <v>0</v>
      </c>
      <c r="AR103">
        <v>0</v>
      </c>
      <c r="AS103">
        <v>0</v>
      </c>
      <c r="AT103">
        <v>280</v>
      </c>
      <c r="AU103">
        <v>206</v>
      </c>
      <c r="AV103">
        <v>0</v>
      </c>
      <c r="AW103">
        <v>486</v>
      </c>
      <c r="AX103">
        <v>2795</v>
      </c>
      <c r="AY103">
        <v>0</v>
      </c>
      <c r="AZ103">
        <v>0</v>
      </c>
      <c r="BA103">
        <v>2795</v>
      </c>
      <c r="BB103">
        <v>1962</v>
      </c>
      <c r="BC103">
        <v>0</v>
      </c>
      <c r="BD103">
        <v>0</v>
      </c>
      <c r="BE103">
        <v>35105</v>
      </c>
      <c r="BF103">
        <v>35105</v>
      </c>
      <c r="BG103">
        <f t="shared" si="13"/>
        <v>151.22873345935727</v>
      </c>
      <c r="BH103">
        <v>1880</v>
      </c>
      <c r="BI103">
        <v>2340</v>
      </c>
      <c r="BJ103">
        <v>2130</v>
      </c>
      <c r="BK103">
        <v>350</v>
      </c>
      <c r="BL103">
        <v>450</v>
      </c>
      <c r="BM103">
        <v>1390</v>
      </c>
      <c r="BN103">
        <v>1220</v>
      </c>
      <c r="BO103">
        <v>1570</v>
      </c>
      <c r="BP103">
        <v>350</v>
      </c>
      <c r="BQ103">
        <v>1820</v>
      </c>
      <c r="BR103">
        <v>3710</v>
      </c>
      <c r="BS103">
        <v>770</v>
      </c>
      <c r="BT103">
        <v>17980</v>
      </c>
      <c r="BU103">
        <v>480</v>
      </c>
      <c r="BV103">
        <v>1920</v>
      </c>
      <c r="BW103">
        <v>3460</v>
      </c>
      <c r="BX103">
        <v>590</v>
      </c>
      <c r="BY103">
        <v>490</v>
      </c>
      <c r="BZ103">
        <v>980</v>
      </c>
      <c r="CA103">
        <v>7920</v>
      </c>
      <c r="CB103">
        <v>95</v>
      </c>
      <c r="CC103">
        <v>32</v>
      </c>
      <c r="CD103">
        <v>160</v>
      </c>
      <c r="CE103">
        <v>640</v>
      </c>
      <c r="CF103">
        <v>4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24</v>
      </c>
      <c r="CM103">
        <v>0</v>
      </c>
      <c r="CN103">
        <v>230</v>
      </c>
      <c r="CO103">
        <v>0</v>
      </c>
      <c r="CP103">
        <v>30</v>
      </c>
      <c r="CQ103">
        <v>0</v>
      </c>
      <c r="CR103">
        <v>0</v>
      </c>
      <c r="CS103">
        <v>0</v>
      </c>
      <c r="CT103">
        <v>284</v>
      </c>
      <c r="CU103">
        <v>0</v>
      </c>
      <c r="CV103">
        <v>0</v>
      </c>
      <c r="CW103">
        <v>27</v>
      </c>
      <c r="CX103">
        <v>0</v>
      </c>
      <c r="CY103">
        <v>110</v>
      </c>
      <c r="CZ103">
        <v>6</v>
      </c>
      <c r="DA103">
        <v>0</v>
      </c>
      <c r="DB103">
        <v>0</v>
      </c>
      <c r="DC103">
        <v>143</v>
      </c>
      <c r="DD103">
        <v>0</v>
      </c>
      <c r="DE103">
        <v>0</v>
      </c>
      <c r="DF103">
        <v>640</v>
      </c>
      <c r="DG103">
        <v>160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800</v>
      </c>
      <c r="DT103">
        <v>1227</v>
      </c>
      <c r="DU103">
        <v>253</v>
      </c>
      <c r="DV103">
        <v>0</v>
      </c>
      <c r="DW103">
        <v>0</v>
      </c>
      <c r="DX103">
        <v>0</v>
      </c>
      <c r="DY103">
        <v>2571</v>
      </c>
      <c r="DZ103">
        <v>5660</v>
      </c>
      <c r="EA103">
        <v>857</v>
      </c>
      <c r="EB103">
        <v>2430</v>
      </c>
      <c r="EC103">
        <v>342</v>
      </c>
      <c r="ED103">
        <v>5100</v>
      </c>
      <c r="EE103">
        <v>11600</v>
      </c>
      <c r="EF103">
        <v>0</v>
      </c>
      <c r="EG103">
        <v>1</v>
      </c>
      <c r="EH103">
        <v>2.7</v>
      </c>
      <c r="EI103">
        <v>11.6</v>
      </c>
      <c r="EJ103">
        <v>1.4</v>
      </c>
      <c r="EK103">
        <v>26.2</v>
      </c>
    </row>
    <row r="104" spans="1:141" x14ac:dyDescent="0.25">
      <c r="A104" t="str">
        <f>[1]ingredient!B103</f>
        <v>Erbsen grün</v>
      </c>
      <c r="B104" t="s">
        <v>221</v>
      </c>
      <c r="C104" s="7">
        <f>_xlfn.XLOOKUP(A104,[1]ingredient!$B$2:$B$521,[1]ingredient!$A$2:$A$521)</f>
        <v>102</v>
      </c>
      <c r="D104">
        <v>276</v>
      </c>
      <c r="E104">
        <v>1</v>
      </c>
      <c r="F104">
        <v>23</v>
      </c>
      <c r="G104">
        <v>41</v>
      </c>
      <c r="H104">
        <v>17</v>
      </c>
      <c r="I104">
        <v>3</v>
      </c>
      <c r="J104">
        <v>0.08</v>
      </c>
      <c r="K104">
        <v>14</v>
      </c>
      <c r="L104">
        <v>13</v>
      </c>
      <c r="M104">
        <v>7</v>
      </c>
      <c r="N104">
        <v>0</v>
      </c>
      <c r="O104">
        <v>80</v>
      </c>
      <c r="P104">
        <v>800</v>
      </c>
      <c r="Q104">
        <v>274</v>
      </c>
      <c r="R104">
        <v>2670</v>
      </c>
      <c r="S104">
        <v>8503</v>
      </c>
      <c r="T104">
        <v>1986</v>
      </c>
      <c r="U104">
        <v>118</v>
      </c>
      <c r="V104">
        <v>19</v>
      </c>
      <c r="W104">
        <v>151</v>
      </c>
      <c r="X104">
        <v>0</v>
      </c>
      <c r="Y104">
        <v>1600</v>
      </c>
      <c r="Z104">
        <v>0</v>
      </c>
      <c r="AA104">
        <v>205</v>
      </c>
      <c r="AB104">
        <v>81</v>
      </c>
      <c r="AC104">
        <v>24</v>
      </c>
      <c r="AD104">
        <v>992</v>
      </c>
      <c r="AE104">
        <v>50</v>
      </c>
      <c r="AF104">
        <v>118</v>
      </c>
      <c r="AG104">
        <v>348</v>
      </c>
      <c r="AH104">
        <v>145</v>
      </c>
      <c r="AI104">
        <v>55</v>
      </c>
      <c r="AJ104">
        <v>5160</v>
      </c>
      <c r="AK104">
        <v>3323</v>
      </c>
      <c r="AL104">
        <v>655</v>
      </c>
      <c r="AM104">
        <v>1196</v>
      </c>
      <c r="AN104">
        <v>40</v>
      </c>
      <c r="AO104">
        <v>14</v>
      </c>
      <c r="AP104">
        <v>0</v>
      </c>
      <c r="AQ104">
        <v>0</v>
      </c>
      <c r="AR104">
        <v>0</v>
      </c>
      <c r="AS104">
        <v>0</v>
      </c>
      <c r="AT104">
        <v>280</v>
      </c>
      <c r="AU104">
        <v>206</v>
      </c>
      <c r="AV104">
        <v>0</v>
      </c>
      <c r="AW104">
        <v>486</v>
      </c>
      <c r="AX104">
        <v>2795</v>
      </c>
      <c r="AY104">
        <v>0</v>
      </c>
      <c r="AZ104">
        <v>0</v>
      </c>
      <c r="BA104">
        <v>2795</v>
      </c>
      <c r="BB104">
        <v>1962</v>
      </c>
      <c r="BC104">
        <v>0</v>
      </c>
      <c r="BD104">
        <v>0</v>
      </c>
      <c r="BE104">
        <v>35105</v>
      </c>
      <c r="BF104">
        <v>35105</v>
      </c>
      <c r="BG104">
        <f t="shared" si="13"/>
        <v>151.22873345935727</v>
      </c>
      <c r="BH104">
        <v>1880</v>
      </c>
      <c r="BI104">
        <v>2340</v>
      </c>
      <c r="BJ104">
        <v>2130</v>
      </c>
      <c r="BK104">
        <v>350</v>
      </c>
      <c r="BL104">
        <v>450</v>
      </c>
      <c r="BM104">
        <v>1390</v>
      </c>
      <c r="BN104">
        <v>1220</v>
      </c>
      <c r="BO104">
        <v>1570</v>
      </c>
      <c r="BP104">
        <v>350</v>
      </c>
      <c r="BQ104">
        <v>1820</v>
      </c>
      <c r="BR104">
        <v>3710</v>
      </c>
      <c r="BS104">
        <v>770</v>
      </c>
      <c r="BT104">
        <v>17980</v>
      </c>
      <c r="BU104">
        <v>480</v>
      </c>
      <c r="BV104">
        <v>1920</v>
      </c>
      <c r="BW104">
        <v>3460</v>
      </c>
      <c r="BX104">
        <v>590</v>
      </c>
      <c r="BY104">
        <v>490</v>
      </c>
      <c r="BZ104">
        <v>980</v>
      </c>
      <c r="CA104">
        <v>7920</v>
      </c>
      <c r="CB104">
        <v>95</v>
      </c>
      <c r="CC104">
        <v>32</v>
      </c>
      <c r="CD104">
        <v>160</v>
      </c>
      <c r="CE104">
        <v>640</v>
      </c>
      <c r="CF104">
        <v>4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24</v>
      </c>
      <c r="CM104">
        <v>0</v>
      </c>
      <c r="CN104">
        <v>230</v>
      </c>
      <c r="CO104">
        <v>0</v>
      </c>
      <c r="CP104">
        <v>30</v>
      </c>
      <c r="CQ104">
        <v>0</v>
      </c>
      <c r="CR104">
        <v>0</v>
      </c>
      <c r="CS104">
        <v>0</v>
      </c>
      <c r="CT104">
        <v>284</v>
      </c>
      <c r="CU104">
        <v>0</v>
      </c>
      <c r="CV104">
        <v>0</v>
      </c>
      <c r="CW104">
        <v>27</v>
      </c>
      <c r="CX104">
        <v>0</v>
      </c>
      <c r="CY104">
        <v>110</v>
      </c>
      <c r="CZ104">
        <v>6</v>
      </c>
      <c r="DA104">
        <v>0</v>
      </c>
      <c r="DB104">
        <v>0</v>
      </c>
      <c r="DC104">
        <v>143</v>
      </c>
      <c r="DD104">
        <v>0</v>
      </c>
      <c r="DE104">
        <v>0</v>
      </c>
      <c r="DF104">
        <v>640</v>
      </c>
      <c r="DG104">
        <v>160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800</v>
      </c>
      <c r="DT104">
        <v>1227</v>
      </c>
      <c r="DU104">
        <v>253</v>
      </c>
      <c r="DV104">
        <v>0</v>
      </c>
      <c r="DW104">
        <v>0</v>
      </c>
      <c r="DX104">
        <v>0</v>
      </c>
      <c r="DY104">
        <v>2571</v>
      </c>
      <c r="DZ104">
        <v>5660</v>
      </c>
      <c r="EA104">
        <v>857</v>
      </c>
      <c r="EB104">
        <v>2430</v>
      </c>
      <c r="EC104">
        <v>342</v>
      </c>
      <c r="ED104">
        <v>5100</v>
      </c>
      <c r="EE104">
        <v>11600</v>
      </c>
      <c r="EF104">
        <v>0</v>
      </c>
      <c r="EG104">
        <v>1</v>
      </c>
      <c r="EH104">
        <v>2.7</v>
      </c>
      <c r="EI104">
        <v>11.6</v>
      </c>
      <c r="EJ104">
        <v>1.4</v>
      </c>
      <c r="EK104">
        <v>26.2</v>
      </c>
    </row>
    <row r="105" spans="1:141" x14ac:dyDescent="0.25">
      <c r="A105" t="str">
        <f>[1]ingredient!B104</f>
        <v>Erbsen grün, gefroren</v>
      </c>
      <c r="B105" t="s">
        <v>222</v>
      </c>
      <c r="C105" s="7">
        <f>_xlfn.XLOOKUP(A105,[1]ingredient!$B$2:$B$521,[1]ingredient!$A$2:$A$521)</f>
        <v>103</v>
      </c>
      <c r="D105">
        <v>86</v>
      </c>
      <c r="E105">
        <v>1</v>
      </c>
      <c r="F105">
        <v>7</v>
      </c>
      <c r="G105">
        <v>13</v>
      </c>
      <c r="H105">
        <v>5</v>
      </c>
      <c r="I105">
        <v>1</v>
      </c>
      <c r="J105">
        <v>0.04</v>
      </c>
      <c r="K105">
        <v>73</v>
      </c>
      <c r="L105">
        <v>73</v>
      </c>
      <c r="M105">
        <v>36</v>
      </c>
      <c r="N105">
        <v>0</v>
      </c>
      <c r="O105">
        <v>436</v>
      </c>
      <c r="P105">
        <v>277</v>
      </c>
      <c r="Q105">
        <v>157</v>
      </c>
      <c r="R105">
        <v>2331</v>
      </c>
      <c r="S105">
        <v>3931</v>
      </c>
      <c r="T105">
        <v>744</v>
      </c>
      <c r="U105">
        <v>148</v>
      </c>
      <c r="V105">
        <v>5</v>
      </c>
      <c r="W105">
        <v>121</v>
      </c>
      <c r="X105">
        <v>0</v>
      </c>
      <c r="Y105">
        <v>17684</v>
      </c>
      <c r="Z105">
        <v>0</v>
      </c>
      <c r="AA105">
        <v>69</v>
      </c>
      <c r="AB105">
        <v>39</v>
      </c>
      <c r="AC105">
        <v>2</v>
      </c>
      <c r="AD105">
        <v>247</v>
      </c>
      <c r="AE105">
        <v>25</v>
      </c>
      <c r="AF105">
        <v>35</v>
      </c>
      <c r="AG105">
        <v>116</v>
      </c>
      <c r="AH105">
        <v>49</v>
      </c>
      <c r="AI105">
        <v>39</v>
      </c>
      <c r="AJ105">
        <v>1545</v>
      </c>
      <c r="AK105">
        <v>942</v>
      </c>
      <c r="AL105">
        <v>241</v>
      </c>
      <c r="AM105">
        <v>345</v>
      </c>
      <c r="AN105">
        <v>26</v>
      </c>
      <c r="AO105">
        <v>4</v>
      </c>
      <c r="AP105">
        <v>0</v>
      </c>
      <c r="AQ105">
        <v>0</v>
      </c>
      <c r="AR105">
        <v>0</v>
      </c>
      <c r="AS105">
        <v>0</v>
      </c>
      <c r="AT105">
        <v>86</v>
      </c>
      <c r="AU105">
        <v>64</v>
      </c>
      <c r="AV105">
        <v>0</v>
      </c>
      <c r="AW105">
        <v>150</v>
      </c>
      <c r="AX105">
        <v>1132</v>
      </c>
      <c r="AY105">
        <v>0</v>
      </c>
      <c r="AZ105">
        <v>0</v>
      </c>
      <c r="BA105">
        <v>1132</v>
      </c>
      <c r="BB105">
        <v>606</v>
      </c>
      <c r="BC105">
        <v>0</v>
      </c>
      <c r="BD105">
        <v>0</v>
      </c>
      <c r="BE105">
        <v>10828</v>
      </c>
      <c r="BF105">
        <v>10828</v>
      </c>
      <c r="BG105">
        <f t="shared" si="13"/>
        <v>136.64596273291926</v>
      </c>
      <c r="BH105">
        <v>519</v>
      </c>
      <c r="BI105">
        <v>644</v>
      </c>
      <c r="BJ105">
        <v>586</v>
      </c>
      <c r="BK105">
        <v>96</v>
      </c>
      <c r="BL105">
        <v>124</v>
      </c>
      <c r="BM105">
        <v>384</v>
      </c>
      <c r="BN105">
        <v>336</v>
      </c>
      <c r="BO105">
        <v>433</v>
      </c>
      <c r="BP105">
        <v>96</v>
      </c>
      <c r="BQ105">
        <v>500</v>
      </c>
      <c r="BR105">
        <v>1019</v>
      </c>
      <c r="BS105">
        <v>211</v>
      </c>
      <c r="BT105">
        <v>4948</v>
      </c>
      <c r="BU105">
        <v>134</v>
      </c>
      <c r="BV105">
        <v>529</v>
      </c>
      <c r="BW105">
        <v>951</v>
      </c>
      <c r="BX105">
        <v>163</v>
      </c>
      <c r="BY105">
        <v>134</v>
      </c>
      <c r="BZ105">
        <v>269</v>
      </c>
      <c r="CA105">
        <v>2180</v>
      </c>
      <c r="CB105">
        <v>91</v>
      </c>
      <c r="CC105">
        <v>30</v>
      </c>
      <c r="CD105">
        <v>47</v>
      </c>
      <c r="CE105">
        <v>234</v>
      </c>
      <c r="CF105">
        <v>4.9800000000000004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9</v>
      </c>
      <c r="CM105">
        <v>0</v>
      </c>
      <c r="CN105">
        <v>88</v>
      </c>
      <c r="CO105">
        <v>0</v>
      </c>
      <c r="CP105">
        <v>6</v>
      </c>
      <c r="CQ105">
        <v>0</v>
      </c>
      <c r="CR105">
        <v>0</v>
      </c>
      <c r="CS105">
        <v>0</v>
      </c>
      <c r="CT105">
        <v>103</v>
      </c>
      <c r="CU105">
        <v>0</v>
      </c>
      <c r="CV105">
        <v>0</v>
      </c>
      <c r="CW105">
        <v>10</v>
      </c>
      <c r="CX105">
        <v>0</v>
      </c>
      <c r="CY105">
        <v>35</v>
      </c>
      <c r="CZ105">
        <v>2</v>
      </c>
      <c r="DA105">
        <v>0</v>
      </c>
      <c r="DB105">
        <v>0</v>
      </c>
      <c r="DC105">
        <v>47</v>
      </c>
      <c r="DD105">
        <v>0</v>
      </c>
      <c r="DE105">
        <v>0</v>
      </c>
      <c r="DF105">
        <v>234</v>
      </c>
      <c r="DG105">
        <v>47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281</v>
      </c>
      <c r="DT105">
        <v>431</v>
      </c>
      <c r="DU105">
        <v>91</v>
      </c>
      <c r="DV105">
        <v>0</v>
      </c>
      <c r="DW105">
        <v>0</v>
      </c>
      <c r="DX105">
        <v>0</v>
      </c>
      <c r="DY105">
        <v>843</v>
      </c>
      <c r="DZ105">
        <v>1855</v>
      </c>
      <c r="EA105">
        <v>281</v>
      </c>
      <c r="EB105">
        <v>2349</v>
      </c>
      <c r="EC105">
        <v>113</v>
      </c>
      <c r="ED105">
        <v>283</v>
      </c>
      <c r="EE105">
        <v>4342</v>
      </c>
      <c r="EF105">
        <v>0</v>
      </c>
      <c r="EG105">
        <v>0.31</v>
      </c>
      <c r="EH105">
        <v>1</v>
      </c>
      <c r="EI105">
        <v>4.3</v>
      </c>
      <c r="EJ105">
        <v>0.5</v>
      </c>
      <c r="EK105">
        <v>7.4</v>
      </c>
    </row>
    <row r="106" spans="1:141" x14ac:dyDescent="0.25">
      <c r="A106" t="str">
        <f>[1]ingredient!B105</f>
        <v>Erbsen grün, gekocht</v>
      </c>
      <c r="B106" t="s">
        <v>223</v>
      </c>
      <c r="C106" s="7">
        <f>_xlfn.XLOOKUP(A106,[1]ingredient!$B$2:$B$521,[1]ingredient!$A$2:$A$521)</f>
        <v>104</v>
      </c>
      <c r="D106">
        <v>51</v>
      </c>
      <c r="E106">
        <v>1</v>
      </c>
      <c r="F106">
        <v>5</v>
      </c>
      <c r="G106">
        <v>6</v>
      </c>
      <c r="H106">
        <v>6</v>
      </c>
      <c r="I106">
        <v>4</v>
      </c>
      <c r="J106">
        <v>1</v>
      </c>
      <c r="K106">
        <v>80</v>
      </c>
      <c r="L106">
        <v>62</v>
      </c>
      <c r="M106">
        <v>31</v>
      </c>
      <c r="N106">
        <v>0</v>
      </c>
      <c r="O106">
        <v>370</v>
      </c>
      <c r="P106">
        <v>103</v>
      </c>
      <c r="Q106">
        <v>61</v>
      </c>
      <c r="R106">
        <v>905</v>
      </c>
      <c r="S106">
        <v>2022</v>
      </c>
      <c r="T106">
        <v>122</v>
      </c>
      <c r="U106">
        <v>47</v>
      </c>
      <c r="V106">
        <v>2</v>
      </c>
      <c r="W106">
        <v>9</v>
      </c>
      <c r="X106">
        <v>0</v>
      </c>
      <c r="Y106">
        <v>6964</v>
      </c>
      <c r="Z106">
        <v>0</v>
      </c>
      <c r="AA106">
        <v>65</v>
      </c>
      <c r="AB106">
        <v>38</v>
      </c>
      <c r="AC106">
        <v>238</v>
      </c>
      <c r="AD106">
        <v>154</v>
      </c>
      <c r="AE106">
        <v>30</v>
      </c>
      <c r="AF106">
        <v>25</v>
      </c>
      <c r="AG106">
        <v>88</v>
      </c>
      <c r="AH106">
        <v>44</v>
      </c>
      <c r="AI106">
        <v>513</v>
      </c>
      <c r="AJ106">
        <v>1937</v>
      </c>
      <c r="AK106">
        <v>874</v>
      </c>
      <c r="AL106">
        <v>195</v>
      </c>
      <c r="AM106">
        <v>285</v>
      </c>
      <c r="AN106">
        <v>31</v>
      </c>
      <c r="AO106">
        <v>3</v>
      </c>
      <c r="AP106">
        <v>0</v>
      </c>
      <c r="AQ106">
        <v>0</v>
      </c>
      <c r="AR106">
        <v>0</v>
      </c>
      <c r="AS106">
        <v>0</v>
      </c>
      <c r="AT106">
        <v>42</v>
      </c>
      <c r="AU106">
        <v>42</v>
      </c>
      <c r="AV106">
        <v>0</v>
      </c>
      <c r="AW106">
        <v>84</v>
      </c>
      <c r="AX106">
        <v>3707</v>
      </c>
      <c r="AY106">
        <v>0</v>
      </c>
      <c r="AZ106">
        <v>0</v>
      </c>
      <c r="BA106">
        <v>3707</v>
      </c>
      <c r="BB106">
        <v>276</v>
      </c>
      <c r="BC106">
        <v>0</v>
      </c>
      <c r="BD106">
        <v>0</v>
      </c>
      <c r="BE106">
        <v>1994</v>
      </c>
      <c r="BF106">
        <v>1994</v>
      </c>
      <c r="BG106">
        <f t="shared" si="13"/>
        <v>95.652173913043484</v>
      </c>
      <c r="BH106">
        <v>261</v>
      </c>
      <c r="BI106">
        <v>430</v>
      </c>
      <c r="BJ106">
        <v>430</v>
      </c>
      <c r="BK106">
        <v>56</v>
      </c>
      <c r="BL106">
        <v>54</v>
      </c>
      <c r="BM106">
        <v>243</v>
      </c>
      <c r="BN106">
        <v>186</v>
      </c>
      <c r="BO106">
        <v>281</v>
      </c>
      <c r="BP106">
        <v>67</v>
      </c>
      <c r="BQ106">
        <v>299</v>
      </c>
      <c r="BR106">
        <v>635</v>
      </c>
      <c r="BS106">
        <v>119</v>
      </c>
      <c r="BT106">
        <v>3061</v>
      </c>
      <c r="BU106">
        <v>127</v>
      </c>
      <c r="BV106">
        <v>501</v>
      </c>
      <c r="BW106">
        <v>899</v>
      </c>
      <c r="BX106">
        <v>155</v>
      </c>
      <c r="BY106">
        <v>127</v>
      </c>
      <c r="BZ106">
        <v>255</v>
      </c>
      <c r="CA106">
        <v>2064</v>
      </c>
      <c r="CB106">
        <v>87</v>
      </c>
      <c r="CC106">
        <v>29</v>
      </c>
      <c r="CD106">
        <v>46</v>
      </c>
      <c r="CE106">
        <v>226</v>
      </c>
      <c r="CF106">
        <v>4.91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9</v>
      </c>
      <c r="CM106">
        <v>0</v>
      </c>
      <c r="CN106">
        <v>84</v>
      </c>
      <c r="CO106">
        <v>0</v>
      </c>
      <c r="CP106">
        <v>4</v>
      </c>
      <c r="CQ106">
        <v>0</v>
      </c>
      <c r="CR106">
        <v>0</v>
      </c>
      <c r="CS106">
        <v>0</v>
      </c>
      <c r="CT106">
        <v>97</v>
      </c>
      <c r="CU106">
        <v>0</v>
      </c>
      <c r="CV106">
        <v>0</v>
      </c>
      <c r="CW106">
        <v>10</v>
      </c>
      <c r="CX106">
        <v>0</v>
      </c>
      <c r="CY106">
        <v>33</v>
      </c>
      <c r="CZ106">
        <v>1</v>
      </c>
      <c r="DA106">
        <v>0</v>
      </c>
      <c r="DB106">
        <v>0</v>
      </c>
      <c r="DC106">
        <v>44</v>
      </c>
      <c r="DD106">
        <v>0</v>
      </c>
      <c r="DE106">
        <v>0</v>
      </c>
      <c r="DF106">
        <v>226</v>
      </c>
      <c r="DG106">
        <v>46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272</v>
      </c>
      <c r="DT106">
        <v>413</v>
      </c>
      <c r="DU106">
        <v>87</v>
      </c>
      <c r="DV106">
        <v>0</v>
      </c>
      <c r="DW106">
        <v>0</v>
      </c>
      <c r="DX106">
        <v>0</v>
      </c>
      <c r="DY106">
        <v>970</v>
      </c>
      <c r="DZ106">
        <v>2133</v>
      </c>
      <c r="EA106">
        <v>322</v>
      </c>
      <c r="EB106">
        <v>2701</v>
      </c>
      <c r="EC106">
        <v>130</v>
      </c>
      <c r="ED106">
        <v>384</v>
      </c>
      <c r="EE106">
        <v>5872</v>
      </c>
      <c r="EF106">
        <v>0</v>
      </c>
      <c r="EG106">
        <v>0.28999999999999998</v>
      </c>
      <c r="EH106">
        <v>1.5</v>
      </c>
      <c r="EI106">
        <v>5.9</v>
      </c>
      <c r="EJ106">
        <v>0.5</v>
      </c>
      <c r="EK106">
        <v>5.4</v>
      </c>
    </row>
    <row r="107" spans="1:141" x14ac:dyDescent="0.25">
      <c r="A107" t="str">
        <f>[1]ingredient!B106</f>
        <v>Erbsenmilch</v>
      </c>
      <c r="C107" s="7">
        <f>_xlfn.XLOOKUP(A107,[1]ingredient!$B$2:$B$521,[1]ingredient!$A$2:$A$521)</f>
        <v>105</v>
      </c>
      <c r="D107">
        <f t="shared" ref="D107:BF107" si="14">IFERROR(D104*(D385/D380),0)</f>
        <v>23.071207430340557</v>
      </c>
      <c r="E107">
        <f t="shared" si="14"/>
        <v>5.5555555555555552E-2</v>
      </c>
      <c r="F107">
        <f t="shared" si="14"/>
        <v>2.0294117647058827</v>
      </c>
      <c r="G107">
        <f t="shared" si="14"/>
        <v>13.666666666666666</v>
      </c>
      <c r="H107">
        <f t="shared" si="14"/>
        <v>0.77272727272727271</v>
      </c>
      <c r="I107">
        <f t="shared" si="14"/>
        <v>1</v>
      </c>
      <c r="J107">
        <f t="shared" si="14"/>
        <v>0.16</v>
      </c>
      <c r="K107">
        <f t="shared" si="14"/>
        <v>130.20000000000002</v>
      </c>
      <c r="L107">
        <f t="shared" si="14"/>
        <v>0</v>
      </c>
      <c r="M107">
        <f t="shared" si="14"/>
        <v>0</v>
      </c>
      <c r="N107">
        <f t="shared" si="14"/>
        <v>0</v>
      </c>
      <c r="O107">
        <f t="shared" si="14"/>
        <v>0</v>
      </c>
      <c r="P107">
        <f t="shared" si="14"/>
        <v>49.230769230769234</v>
      </c>
      <c r="Q107">
        <f t="shared" si="14"/>
        <v>16.606060606060606</v>
      </c>
      <c r="R107">
        <f t="shared" si="14"/>
        <v>52.542168674698793</v>
      </c>
      <c r="S107">
        <f t="shared" si="14"/>
        <v>767.41224619963862</v>
      </c>
      <c r="T107">
        <f t="shared" si="14"/>
        <v>0</v>
      </c>
      <c r="U107">
        <f t="shared" si="14"/>
        <v>5.9</v>
      </c>
      <c r="V107">
        <f t="shared" si="14"/>
        <v>0.6333333333333333</v>
      </c>
      <c r="W107">
        <f t="shared" si="14"/>
        <v>22.65</v>
      </c>
      <c r="X107">
        <f t="shared" si="14"/>
        <v>0</v>
      </c>
      <c r="Y107">
        <f t="shared" si="14"/>
        <v>0</v>
      </c>
      <c r="Z107">
        <f t="shared" si="14"/>
        <v>0</v>
      </c>
      <c r="AA107">
        <f t="shared" si="14"/>
        <v>771.953125</v>
      </c>
      <c r="AB107">
        <f t="shared" si="14"/>
        <v>0</v>
      </c>
      <c r="AC107">
        <f t="shared" si="14"/>
        <v>114</v>
      </c>
      <c r="AD107">
        <f t="shared" si="14"/>
        <v>93.688888888888883</v>
      </c>
      <c r="AE107">
        <f t="shared" si="14"/>
        <v>3.25</v>
      </c>
      <c r="AF107">
        <f t="shared" si="14"/>
        <v>11.263636363636364</v>
      </c>
      <c r="AG107">
        <f t="shared" si="14"/>
        <v>32.901818181818179</v>
      </c>
      <c r="AH107">
        <f t="shared" si="14"/>
        <v>0</v>
      </c>
      <c r="AI107">
        <f t="shared" si="14"/>
        <v>0</v>
      </c>
      <c r="AJ107">
        <f t="shared" si="14"/>
        <v>442.95180722891564</v>
      </c>
      <c r="AK107">
        <f t="shared" si="14"/>
        <v>0</v>
      </c>
      <c r="AL107">
        <f t="shared" si="14"/>
        <v>62.225000000000001</v>
      </c>
      <c r="AM107">
        <f t="shared" si="14"/>
        <v>90.913653136531366</v>
      </c>
      <c r="AN107">
        <f t="shared" si="14"/>
        <v>7</v>
      </c>
      <c r="AO107">
        <f t="shared" si="14"/>
        <v>4.6666666666666661</v>
      </c>
      <c r="AP107">
        <f t="shared" si="14"/>
        <v>0</v>
      </c>
      <c r="AQ107">
        <f t="shared" si="14"/>
        <v>0</v>
      </c>
      <c r="AR107">
        <f t="shared" si="14"/>
        <v>0</v>
      </c>
      <c r="AS107">
        <f t="shared" si="14"/>
        <v>0</v>
      </c>
      <c r="AT107">
        <f t="shared" si="14"/>
        <v>0</v>
      </c>
      <c r="AU107">
        <f t="shared" si="14"/>
        <v>0</v>
      </c>
      <c r="AV107">
        <f t="shared" si="14"/>
        <v>0</v>
      </c>
      <c r="AW107">
        <f t="shared" si="14"/>
        <v>0</v>
      </c>
      <c r="AX107">
        <f t="shared" si="14"/>
        <v>727.13987473903967</v>
      </c>
      <c r="AY107">
        <f t="shared" si="14"/>
        <v>0</v>
      </c>
      <c r="AZ107">
        <f t="shared" si="14"/>
        <v>0</v>
      </c>
      <c r="BA107">
        <f t="shared" si="14"/>
        <v>727.13987473903967</v>
      </c>
      <c r="BB107">
        <f t="shared" si="14"/>
        <v>0</v>
      </c>
      <c r="BC107">
        <f t="shared" si="14"/>
        <v>0</v>
      </c>
      <c r="BD107">
        <f t="shared" si="14"/>
        <v>0</v>
      </c>
      <c r="BE107">
        <f t="shared" si="14"/>
        <v>0</v>
      </c>
      <c r="BF107">
        <f t="shared" si="14"/>
        <v>0</v>
      </c>
      <c r="BG107">
        <f t="shared" si="13"/>
        <v>87.011116949765565</v>
      </c>
      <c r="BH107">
        <f t="shared" ref="BH107:DS107" si="15">IFERROR(BH104*(BH385/BH380),0)</f>
        <v>186.15006150061501</v>
      </c>
      <c r="BI107">
        <f t="shared" si="15"/>
        <v>227.23498888065234</v>
      </c>
      <c r="BJ107">
        <f t="shared" si="15"/>
        <v>243.02013422818791</v>
      </c>
      <c r="BK107">
        <f t="shared" si="15"/>
        <v>0</v>
      </c>
      <c r="BL107">
        <f t="shared" si="15"/>
        <v>40.613718411552348</v>
      </c>
      <c r="BM107">
        <f t="shared" si="15"/>
        <v>134.68415417558887</v>
      </c>
      <c r="BN107">
        <f t="shared" si="15"/>
        <v>125.52721088435375</v>
      </c>
      <c r="BO107">
        <f t="shared" si="15"/>
        <v>145.04231311706627</v>
      </c>
      <c r="BP107">
        <f t="shared" si="15"/>
        <v>40.481927710843372</v>
      </c>
      <c r="BQ107">
        <f t="shared" si="15"/>
        <v>187.48192771084337</v>
      </c>
      <c r="BR107">
        <f t="shared" si="15"/>
        <v>391.67155425219943</v>
      </c>
      <c r="BS107">
        <f t="shared" si="15"/>
        <v>88.027638190954775</v>
      </c>
      <c r="BT107">
        <f t="shared" si="15"/>
        <v>1777.0624378255018</v>
      </c>
      <c r="BU107">
        <f t="shared" si="15"/>
        <v>51.114245416078987</v>
      </c>
      <c r="BV107">
        <f t="shared" si="15"/>
        <v>207.76669224865694</v>
      </c>
      <c r="BW107">
        <f t="shared" si="15"/>
        <v>373.81772231874902</v>
      </c>
      <c r="BX107">
        <f t="shared" si="15"/>
        <v>64.371387283236984</v>
      </c>
      <c r="BY107">
        <f t="shared" si="15"/>
        <v>48.358778625954201</v>
      </c>
      <c r="BZ107">
        <f t="shared" si="15"/>
        <v>100.55555555555556</v>
      </c>
      <c r="CA107">
        <f t="shared" si="15"/>
        <v>842.92788461538464</v>
      </c>
      <c r="CB107">
        <f t="shared" si="15"/>
        <v>0</v>
      </c>
      <c r="CC107">
        <f t="shared" si="15"/>
        <v>0</v>
      </c>
      <c r="CD107">
        <f t="shared" si="15"/>
        <v>8.7751371115173669</v>
      </c>
      <c r="CE107">
        <f t="shared" si="15"/>
        <v>25.94781108475307</v>
      </c>
      <c r="CF107">
        <f t="shared" si="15"/>
        <v>2.9575471698113205</v>
      </c>
      <c r="CG107">
        <f t="shared" si="15"/>
        <v>0</v>
      </c>
      <c r="CH107">
        <f t="shared" si="15"/>
        <v>0</v>
      </c>
      <c r="CI107">
        <f t="shared" si="15"/>
        <v>0</v>
      </c>
      <c r="CJ107">
        <f t="shared" si="15"/>
        <v>0</v>
      </c>
      <c r="CK107">
        <f t="shared" si="15"/>
        <v>0</v>
      </c>
      <c r="CL107">
        <f t="shared" si="15"/>
        <v>0.70588235294117641</v>
      </c>
      <c r="CM107">
        <f t="shared" si="15"/>
        <v>0</v>
      </c>
      <c r="CN107">
        <f t="shared" si="15"/>
        <v>10.088839533592449</v>
      </c>
      <c r="CO107">
        <f t="shared" si="15"/>
        <v>0</v>
      </c>
      <c r="CP107">
        <f t="shared" si="15"/>
        <v>1.4356435643564358</v>
      </c>
      <c r="CQ107">
        <f t="shared" si="15"/>
        <v>0</v>
      </c>
      <c r="CR107">
        <f t="shared" si="15"/>
        <v>0</v>
      </c>
      <c r="CS107">
        <f t="shared" si="15"/>
        <v>0</v>
      </c>
      <c r="CT107">
        <f t="shared" si="15"/>
        <v>13.047128712871286</v>
      </c>
      <c r="CU107">
        <f t="shared" si="15"/>
        <v>0</v>
      </c>
      <c r="CV107">
        <f t="shared" si="15"/>
        <v>0</v>
      </c>
      <c r="CW107">
        <f t="shared" si="15"/>
        <v>0.79411764705882348</v>
      </c>
      <c r="CX107">
        <f t="shared" si="15"/>
        <v>0</v>
      </c>
      <c r="CY107">
        <f t="shared" si="15"/>
        <v>4.1193181818181817</v>
      </c>
      <c r="CZ107">
        <f t="shared" si="15"/>
        <v>0.1764705882352941</v>
      </c>
      <c r="DA107">
        <f t="shared" si="15"/>
        <v>0</v>
      </c>
      <c r="DB107">
        <f t="shared" si="15"/>
        <v>0</v>
      </c>
      <c r="DC107">
        <f t="shared" si="15"/>
        <v>5.3352791878172585</v>
      </c>
      <c r="DD107">
        <f t="shared" si="15"/>
        <v>0</v>
      </c>
      <c r="DE107">
        <f t="shared" si="15"/>
        <v>0</v>
      </c>
      <c r="DF107">
        <f t="shared" si="15"/>
        <v>25.94781108475307</v>
      </c>
      <c r="DG107">
        <f t="shared" si="15"/>
        <v>8.7751371115173669</v>
      </c>
      <c r="DH107">
        <f t="shared" si="15"/>
        <v>0</v>
      </c>
      <c r="DI107">
        <f t="shared" si="15"/>
        <v>0</v>
      </c>
      <c r="DJ107">
        <f t="shared" si="15"/>
        <v>0</v>
      </c>
      <c r="DK107">
        <f t="shared" si="15"/>
        <v>0</v>
      </c>
      <c r="DL107">
        <f t="shared" si="15"/>
        <v>0</v>
      </c>
      <c r="DM107">
        <f t="shared" si="15"/>
        <v>0</v>
      </c>
      <c r="DN107">
        <f t="shared" si="15"/>
        <v>0</v>
      </c>
      <c r="DO107">
        <f t="shared" si="15"/>
        <v>0</v>
      </c>
      <c r="DP107">
        <f t="shared" si="15"/>
        <v>0</v>
      </c>
      <c r="DQ107">
        <f t="shared" si="15"/>
        <v>0</v>
      </c>
      <c r="DR107">
        <f t="shared" si="15"/>
        <v>0</v>
      </c>
      <c r="DS107">
        <f t="shared" si="15"/>
        <v>33.641975308641975</v>
      </c>
      <c r="DT107">
        <f t="shared" ref="DT107:EK107" si="16">IFERROR(DT104*(DT385/DT380),0)</f>
        <v>50.951880235252183</v>
      </c>
      <c r="DU107">
        <f t="shared" si="16"/>
        <v>0.19968429360694553</v>
      </c>
      <c r="DV107">
        <f t="shared" si="16"/>
        <v>0</v>
      </c>
      <c r="DW107">
        <f t="shared" si="16"/>
        <v>0</v>
      </c>
      <c r="DX107">
        <f t="shared" si="16"/>
        <v>0</v>
      </c>
      <c r="DY107">
        <f t="shared" si="16"/>
        <v>0</v>
      </c>
      <c r="DZ107">
        <f t="shared" si="16"/>
        <v>0</v>
      </c>
      <c r="EA107">
        <f t="shared" si="16"/>
        <v>0</v>
      </c>
      <c r="EB107">
        <f t="shared" si="16"/>
        <v>0</v>
      </c>
      <c r="EC107">
        <f t="shared" si="16"/>
        <v>0</v>
      </c>
      <c r="ED107">
        <f t="shared" si="16"/>
        <v>0</v>
      </c>
      <c r="EE107">
        <f t="shared" si="16"/>
        <v>1162.1129326047358</v>
      </c>
      <c r="EF107">
        <f t="shared" si="16"/>
        <v>0</v>
      </c>
      <c r="EG107">
        <f t="shared" si="16"/>
        <v>0</v>
      </c>
      <c r="EH107">
        <f t="shared" si="16"/>
        <v>0.34468085106382979</v>
      </c>
      <c r="EI107">
        <f t="shared" si="16"/>
        <v>1.1599999999999999</v>
      </c>
      <c r="EJ107">
        <f t="shared" si="16"/>
        <v>5.4143646408839764E-2</v>
      </c>
      <c r="EK107">
        <f t="shared" si="16"/>
        <v>2.6579710144927535</v>
      </c>
    </row>
    <row r="108" spans="1:141" x14ac:dyDescent="0.25">
      <c r="A108" t="str">
        <f>[1]ingredient!B107</f>
        <v>Erbsennudeln</v>
      </c>
      <c r="B108" s="8" t="s">
        <v>224</v>
      </c>
      <c r="C108" s="7">
        <f>_xlfn.XLOOKUP(A108,[1]ingredient!$B$2:$B$521,[1]ingredient!$A$2:$A$521)</f>
        <v>106</v>
      </c>
      <c r="D108">
        <v>306</v>
      </c>
      <c r="E108">
        <v>2</v>
      </c>
      <c r="F108">
        <v>25</v>
      </c>
      <c r="G108">
        <v>45</v>
      </c>
      <c r="H108">
        <v>19</v>
      </c>
      <c r="I108">
        <v>5</v>
      </c>
      <c r="J108">
        <v>0.15</v>
      </c>
      <c r="K108">
        <v>4</v>
      </c>
      <c r="L108">
        <v>165</v>
      </c>
      <c r="M108">
        <v>82</v>
      </c>
      <c r="N108">
        <v>0</v>
      </c>
      <c r="O108">
        <v>979</v>
      </c>
      <c r="P108">
        <v>987</v>
      </c>
      <c r="Q108">
        <v>588</v>
      </c>
      <c r="R108">
        <v>7822</v>
      </c>
      <c r="S108">
        <v>13522</v>
      </c>
      <c r="T108">
        <v>2227</v>
      </c>
      <c r="U108">
        <v>495</v>
      </c>
      <c r="V108">
        <v>17</v>
      </c>
      <c r="W108">
        <v>307</v>
      </c>
      <c r="X108">
        <v>0</v>
      </c>
      <c r="Y108">
        <v>38673</v>
      </c>
      <c r="Z108">
        <v>0</v>
      </c>
      <c r="AA108">
        <v>219</v>
      </c>
      <c r="AB108">
        <v>138</v>
      </c>
      <c r="AC108">
        <v>8</v>
      </c>
      <c r="AD108">
        <v>829</v>
      </c>
      <c r="AE108">
        <v>92</v>
      </c>
      <c r="AF108">
        <v>123</v>
      </c>
      <c r="AG108">
        <v>411</v>
      </c>
      <c r="AH108">
        <v>173</v>
      </c>
      <c r="AI108">
        <v>138</v>
      </c>
      <c r="AJ108">
        <v>5184</v>
      </c>
      <c r="AK108">
        <v>3348</v>
      </c>
      <c r="AL108">
        <v>856</v>
      </c>
      <c r="AM108">
        <v>1225</v>
      </c>
      <c r="AN108">
        <v>92</v>
      </c>
      <c r="AO108">
        <v>15</v>
      </c>
      <c r="AP108">
        <v>0</v>
      </c>
      <c r="AQ108">
        <v>0</v>
      </c>
      <c r="AR108">
        <v>0</v>
      </c>
      <c r="AS108">
        <v>0</v>
      </c>
      <c r="AT108">
        <v>307</v>
      </c>
      <c r="AU108">
        <v>227</v>
      </c>
      <c r="AV108">
        <v>0</v>
      </c>
      <c r="AW108">
        <v>534</v>
      </c>
      <c r="AX108">
        <v>4020</v>
      </c>
      <c r="AY108">
        <v>0</v>
      </c>
      <c r="AZ108">
        <v>0</v>
      </c>
      <c r="BA108">
        <v>4020</v>
      </c>
      <c r="BB108">
        <v>2150</v>
      </c>
      <c r="BC108">
        <v>0</v>
      </c>
      <c r="BD108">
        <v>0</v>
      </c>
      <c r="BE108">
        <v>38485</v>
      </c>
      <c r="BF108">
        <v>38485</v>
      </c>
      <c r="BG108">
        <f t="shared" si="13"/>
        <v>136.86956521739131</v>
      </c>
      <c r="BH108">
        <v>1843</v>
      </c>
      <c r="BI108">
        <v>2289</v>
      </c>
      <c r="BJ108">
        <v>2081</v>
      </c>
      <c r="BK108">
        <v>342</v>
      </c>
      <c r="BL108">
        <v>445</v>
      </c>
      <c r="BM108">
        <v>1367</v>
      </c>
      <c r="BN108">
        <v>1194</v>
      </c>
      <c r="BO108">
        <v>1536</v>
      </c>
      <c r="BP108">
        <v>342</v>
      </c>
      <c r="BQ108">
        <v>1774</v>
      </c>
      <c r="BR108">
        <v>3621</v>
      </c>
      <c r="BS108">
        <v>753</v>
      </c>
      <c r="BT108">
        <v>17587</v>
      </c>
      <c r="BU108">
        <v>476</v>
      </c>
      <c r="BV108">
        <v>1878</v>
      </c>
      <c r="BW108">
        <v>3379</v>
      </c>
      <c r="BX108">
        <v>580</v>
      </c>
      <c r="BY108">
        <v>476</v>
      </c>
      <c r="BZ108">
        <v>956</v>
      </c>
      <c r="CA108">
        <v>7745</v>
      </c>
      <c r="CB108">
        <v>326</v>
      </c>
      <c r="CC108">
        <v>109</v>
      </c>
      <c r="CD108">
        <v>169</v>
      </c>
      <c r="CE108">
        <v>829</v>
      </c>
      <c r="CF108">
        <v>4.91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31</v>
      </c>
      <c r="CM108">
        <v>0</v>
      </c>
      <c r="CN108">
        <v>315</v>
      </c>
      <c r="CO108">
        <v>0</v>
      </c>
      <c r="CP108">
        <v>19</v>
      </c>
      <c r="CQ108">
        <v>0</v>
      </c>
      <c r="CR108">
        <v>0</v>
      </c>
      <c r="CS108">
        <v>0</v>
      </c>
      <c r="CT108">
        <v>365</v>
      </c>
      <c r="CU108">
        <v>0</v>
      </c>
      <c r="CV108">
        <v>0</v>
      </c>
      <c r="CW108">
        <v>35</v>
      </c>
      <c r="CX108">
        <v>0</v>
      </c>
      <c r="CY108">
        <v>123</v>
      </c>
      <c r="CZ108">
        <v>8</v>
      </c>
      <c r="DA108">
        <v>0</v>
      </c>
      <c r="DB108">
        <v>0</v>
      </c>
      <c r="DC108">
        <v>166</v>
      </c>
      <c r="DD108">
        <v>0</v>
      </c>
      <c r="DE108">
        <v>0</v>
      </c>
      <c r="DF108">
        <v>829</v>
      </c>
      <c r="DG108">
        <v>169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998</v>
      </c>
      <c r="DT108">
        <v>1529</v>
      </c>
      <c r="DU108">
        <v>326</v>
      </c>
      <c r="DV108">
        <v>0</v>
      </c>
      <c r="DW108">
        <v>0</v>
      </c>
      <c r="DX108">
        <v>0</v>
      </c>
      <c r="DY108">
        <v>2995</v>
      </c>
      <c r="DZ108">
        <v>6593</v>
      </c>
      <c r="EA108">
        <v>998</v>
      </c>
      <c r="EB108">
        <v>8352</v>
      </c>
      <c r="EC108">
        <v>399</v>
      </c>
      <c r="ED108">
        <v>1006</v>
      </c>
      <c r="EE108">
        <v>15429</v>
      </c>
      <c r="EF108">
        <v>0</v>
      </c>
      <c r="EG108">
        <v>1</v>
      </c>
      <c r="EH108">
        <v>3.2</v>
      </c>
      <c r="EI108">
        <v>15.4</v>
      </c>
      <c r="EJ108">
        <v>1.9</v>
      </c>
      <c r="EK108">
        <v>26.3</v>
      </c>
    </row>
    <row r="109" spans="1:141" x14ac:dyDescent="0.25">
      <c r="A109" t="str">
        <f>[1]ingredient!B108</f>
        <v>Erbsen-Sprossen</v>
      </c>
      <c r="B109" t="s">
        <v>225</v>
      </c>
      <c r="C109" s="7">
        <f>_xlfn.XLOOKUP(A109,[1]ingredient!$B$2:$B$521,[1]ingredient!$A$2:$A$521)</f>
        <v>107</v>
      </c>
      <c r="D109">
        <v>32</v>
      </c>
      <c r="E109">
        <v>0.34</v>
      </c>
      <c r="F109">
        <v>5</v>
      </c>
      <c r="G109">
        <v>2</v>
      </c>
      <c r="H109">
        <v>2</v>
      </c>
      <c r="I109">
        <v>1</v>
      </c>
      <c r="J109">
        <v>0.04</v>
      </c>
      <c r="K109">
        <v>90</v>
      </c>
      <c r="L109">
        <v>17</v>
      </c>
      <c r="M109">
        <v>9</v>
      </c>
      <c r="N109">
        <v>0</v>
      </c>
      <c r="O109">
        <v>102</v>
      </c>
      <c r="P109">
        <v>170</v>
      </c>
      <c r="Q109">
        <v>150</v>
      </c>
      <c r="R109">
        <v>940</v>
      </c>
      <c r="S109">
        <v>1623</v>
      </c>
      <c r="T109">
        <v>1140</v>
      </c>
      <c r="U109">
        <v>220</v>
      </c>
      <c r="V109">
        <v>6</v>
      </c>
      <c r="W109">
        <v>92</v>
      </c>
      <c r="X109">
        <v>0</v>
      </c>
      <c r="Y109">
        <v>22000</v>
      </c>
      <c r="Z109">
        <v>0</v>
      </c>
      <c r="AA109">
        <v>90</v>
      </c>
      <c r="AB109">
        <v>7</v>
      </c>
      <c r="AC109">
        <v>20</v>
      </c>
      <c r="AD109">
        <v>173</v>
      </c>
      <c r="AE109">
        <v>56</v>
      </c>
      <c r="AF109">
        <v>18</v>
      </c>
      <c r="AG109">
        <v>94</v>
      </c>
      <c r="AH109">
        <v>50</v>
      </c>
      <c r="AI109">
        <v>20</v>
      </c>
      <c r="AJ109">
        <v>980</v>
      </c>
      <c r="AK109">
        <v>630</v>
      </c>
      <c r="AL109">
        <v>190</v>
      </c>
      <c r="AM109">
        <v>110</v>
      </c>
      <c r="AN109">
        <v>10</v>
      </c>
      <c r="AO109">
        <v>5</v>
      </c>
      <c r="AP109">
        <v>0</v>
      </c>
      <c r="AQ109">
        <v>0</v>
      </c>
      <c r="AR109">
        <v>0</v>
      </c>
      <c r="AS109">
        <v>0</v>
      </c>
      <c r="AT109">
        <v>443</v>
      </c>
      <c r="AU109">
        <v>444</v>
      </c>
      <c r="AV109">
        <v>0</v>
      </c>
      <c r="AW109">
        <v>887</v>
      </c>
      <c r="AX109">
        <v>37</v>
      </c>
      <c r="AY109">
        <v>0</v>
      </c>
      <c r="AZ109">
        <v>0</v>
      </c>
      <c r="BA109">
        <v>37</v>
      </c>
      <c r="BB109">
        <v>93</v>
      </c>
      <c r="BC109">
        <v>0</v>
      </c>
      <c r="BD109">
        <v>0</v>
      </c>
      <c r="BE109">
        <v>833</v>
      </c>
      <c r="BF109">
        <v>833</v>
      </c>
      <c r="BG109">
        <f t="shared" si="13"/>
        <v>61.5</v>
      </c>
      <c r="BH109">
        <v>103</v>
      </c>
      <c r="BI109">
        <v>216</v>
      </c>
      <c r="BJ109">
        <v>221</v>
      </c>
      <c r="BK109">
        <v>395</v>
      </c>
      <c r="BL109">
        <v>87</v>
      </c>
      <c r="BM109">
        <v>144</v>
      </c>
      <c r="BN109">
        <v>72</v>
      </c>
      <c r="BO109">
        <v>108</v>
      </c>
      <c r="BP109">
        <v>41</v>
      </c>
      <c r="BQ109">
        <v>123</v>
      </c>
      <c r="BR109">
        <v>278</v>
      </c>
      <c r="BS109">
        <v>93</v>
      </c>
      <c r="BT109">
        <v>1881</v>
      </c>
      <c r="BU109">
        <v>139</v>
      </c>
      <c r="BV109">
        <v>386</v>
      </c>
      <c r="BW109">
        <v>591</v>
      </c>
      <c r="BX109">
        <v>118</v>
      </c>
      <c r="BY109">
        <v>159</v>
      </c>
      <c r="BZ109">
        <v>170</v>
      </c>
      <c r="CA109">
        <v>1563</v>
      </c>
      <c r="CB109">
        <v>12</v>
      </c>
      <c r="CC109">
        <v>5</v>
      </c>
      <c r="CD109">
        <v>32</v>
      </c>
      <c r="CE109">
        <v>141</v>
      </c>
      <c r="CF109">
        <v>4.41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60</v>
      </c>
      <c r="CO109">
        <v>0</v>
      </c>
      <c r="CP109">
        <v>6</v>
      </c>
      <c r="CQ109">
        <v>0</v>
      </c>
      <c r="CR109">
        <v>0</v>
      </c>
      <c r="CS109">
        <v>0</v>
      </c>
      <c r="CT109">
        <v>66</v>
      </c>
      <c r="CU109">
        <v>0</v>
      </c>
      <c r="CV109">
        <v>0</v>
      </c>
      <c r="CW109">
        <v>0</v>
      </c>
      <c r="CX109">
        <v>0</v>
      </c>
      <c r="CY109">
        <v>33</v>
      </c>
      <c r="CZ109">
        <v>0</v>
      </c>
      <c r="DA109">
        <v>0</v>
      </c>
      <c r="DB109">
        <v>0</v>
      </c>
      <c r="DC109">
        <v>33</v>
      </c>
      <c r="DD109">
        <v>0</v>
      </c>
      <c r="DE109">
        <v>0</v>
      </c>
      <c r="DF109">
        <v>141</v>
      </c>
      <c r="DG109">
        <v>32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173</v>
      </c>
      <c r="DT109">
        <v>272</v>
      </c>
      <c r="DU109">
        <v>68</v>
      </c>
      <c r="DV109">
        <v>0</v>
      </c>
      <c r="DW109">
        <v>0</v>
      </c>
      <c r="DX109">
        <v>0</v>
      </c>
      <c r="DY109">
        <v>278</v>
      </c>
      <c r="DZ109">
        <v>749</v>
      </c>
      <c r="EA109">
        <v>278</v>
      </c>
      <c r="EB109">
        <v>792</v>
      </c>
      <c r="EC109">
        <v>43</v>
      </c>
      <c r="ED109">
        <v>1070</v>
      </c>
      <c r="EE109">
        <v>1070</v>
      </c>
      <c r="EF109">
        <v>0</v>
      </c>
      <c r="EG109">
        <v>0.3</v>
      </c>
      <c r="EH109">
        <v>0.5</v>
      </c>
      <c r="EI109">
        <v>1.1000000000000001</v>
      </c>
      <c r="EJ109">
        <v>0.3</v>
      </c>
      <c r="EK109">
        <v>3.5</v>
      </c>
    </row>
    <row r="110" spans="1:141" x14ac:dyDescent="0.25">
      <c r="A110" t="str">
        <f>[1]ingredient!B109</f>
        <v>Erdbeeren</v>
      </c>
      <c r="B110" t="s">
        <v>226</v>
      </c>
      <c r="C110" s="7">
        <f>_xlfn.XLOOKUP(A110,[1]ingredient!$B$2:$B$521,[1]ingredient!$A$2:$A$521)</f>
        <v>108</v>
      </c>
      <c r="D110">
        <v>32</v>
      </c>
      <c r="E110">
        <v>0.4</v>
      </c>
      <c r="F110">
        <v>1</v>
      </c>
      <c r="G110">
        <v>6</v>
      </c>
      <c r="H110">
        <v>2</v>
      </c>
      <c r="I110">
        <v>5</v>
      </c>
      <c r="J110">
        <v>0.02</v>
      </c>
      <c r="K110">
        <v>90</v>
      </c>
      <c r="L110">
        <v>8</v>
      </c>
      <c r="M110">
        <v>4</v>
      </c>
      <c r="N110">
        <v>0</v>
      </c>
      <c r="O110">
        <v>50</v>
      </c>
      <c r="P110">
        <v>30</v>
      </c>
      <c r="Q110">
        <v>50</v>
      </c>
      <c r="R110">
        <v>500</v>
      </c>
      <c r="S110">
        <v>733</v>
      </c>
      <c r="T110">
        <v>300</v>
      </c>
      <c r="U110">
        <v>60</v>
      </c>
      <c r="V110">
        <v>4</v>
      </c>
      <c r="W110">
        <v>16</v>
      </c>
      <c r="X110">
        <v>0</v>
      </c>
      <c r="Y110">
        <v>65000</v>
      </c>
      <c r="Z110">
        <v>0</v>
      </c>
      <c r="AA110">
        <v>120</v>
      </c>
      <c r="AB110">
        <v>13</v>
      </c>
      <c r="AC110">
        <v>3</v>
      </c>
      <c r="AD110">
        <v>145</v>
      </c>
      <c r="AE110">
        <v>25</v>
      </c>
      <c r="AF110">
        <v>15</v>
      </c>
      <c r="AG110">
        <v>25</v>
      </c>
      <c r="AH110">
        <v>13</v>
      </c>
      <c r="AI110">
        <v>14</v>
      </c>
      <c r="AJ110">
        <v>960</v>
      </c>
      <c r="AK110">
        <v>120</v>
      </c>
      <c r="AL110">
        <v>120</v>
      </c>
      <c r="AM110">
        <v>225</v>
      </c>
      <c r="AN110">
        <v>24</v>
      </c>
      <c r="AO110">
        <v>1</v>
      </c>
      <c r="AP110">
        <v>0</v>
      </c>
      <c r="AQ110">
        <v>33</v>
      </c>
      <c r="AR110">
        <v>28</v>
      </c>
      <c r="AS110">
        <v>61</v>
      </c>
      <c r="AT110">
        <v>2156</v>
      </c>
      <c r="AU110">
        <v>2281</v>
      </c>
      <c r="AV110">
        <v>0</v>
      </c>
      <c r="AW110">
        <v>4454</v>
      </c>
      <c r="AX110">
        <v>985</v>
      </c>
      <c r="AY110">
        <v>0</v>
      </c>
      <c r="AZ110">
        <v>0</v>
      </c>
      <c r="BA110">
        <v>985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f t="shared" si="13"/>
        <v>34.782608695652172</v>
      </c>
      <c r="BH110">
        <v>18</v>
      </c>
      <c r="BI110">
        <v>43</v>
      </c>
      <c r="BJ110">
        <v>33</v>
      </c>
      <c r="BK110">
        <v>1</v>
      </c>
      <c r="BL110">
        <v>7</v>
      </c>
      <c r="BM110">
        <v>24</v>
      </c>
      <c r="BN110">
        <v>28</v>
      </c>
      <c r="BO110">
        <v>26</v>
      </c>
      <c r="BP110">
        <v>14</v>
      </c>
      <c r="BQ110">
        <v>24</v>
      </c>
      <c r="BR110">
        <v>36</v>
      </c>
      <c r="BS110">
        <v>16</v>
      </c>
      <c r="BT110">
        <v>270</v>
      </c>
      <c r="BU110">
        <v>43</v>
      </c>
      <c r="BV110">
        <v>187</v>
      </c>
      <c r="BW110">
        <v>123</v>
      </c>
      <c r="BX110">
        <v>33</v>
      </c>
      <c r="BY110">
        <v>26</v>
      </c>
      <c r="BZ110">
        <v>32</v>
      </c>
      <c r="CA110">
        <v>444</v>
      </c>
      <c r="CB110">
        <v>25</v>
      </c>
      <c r="CC110">
        <v>10</v>
      </c>
      <c r="CD110">
        <v>98</v>
      </c>
      <c r="CE110">
        <v>135</v>
      </c>
      <c r="CF110">
        <v>1.38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18</v>
      </c>
      <c r="CO110">
        <v>0</v>
      </c>
      <c r="CP110">
        <v>5</v>
      </c>
      <c r="CQ110">
        <v>0</v>
      </c>
      <c r="CR110">
        <v>0</v>
      </c>
      <c r="CS110">
        <v>0</v>
      </c>
      <c r="CT110">
        <v>23</v>
      </c>
      <c r="CU110">
        <v>0</v>
      </c>
      <c r="CV110">
        <v>0</v>
      </c>
      <c r="CW110">
        <v>1</v>
      </c>
      <c r="CX110">
        <v>0</v>
      </c>
      <c r="CY110">
        <v>63</v>
      </c>
      <c r="CZ110">
        <v>0</v>
      </c>
      <c r="DA110">
        <v>0</v>
      </c>
      <c r="DB110">
        <v>0</v>
      </c>
      <c r="DC110">
        <v>64</v>
      </c>
      <c r="DD110">
        <v>0</v>
      </c>
      <c r="DE110">
        <v>0</v>
      </c>
      <c r="DF110">
        <v>135</v>
      </c>
      <c r="DG110">
        <v>98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233</v>
      </c>
      <c r="DT110">
        <v>320</v>
      </c>
      <c r="DU110">
        <v>80</v>
      </c>
      <c r="DV110">
        <v>0</v>
      </c>
      <c r="DW110">
        <v>0</v>
      </c>
      <c r="DX110">
        <v>0</v>
      </c>
      <c r="DY110">
        <v>456</v>
      </c>
      <c r="DZ110">
        <v>304</v>
      </c>
      <c r="EA110">
        <v>810</v>
      </c>
      <c r="EB110">
        <v>330</v>
      </c>
      <c r="EC110">
        <v>100</v>
      </c>
      <c r="ED110">
        <v>712</v>
      </c>
      <c r="EE110">
        <v>1288</v>
      </c>
      <c r="EF110">
        <v>0</v>
      </c>
      <c r="EG110">
        <v>1</v>
      </c>
      <c r="EH110">
        <v>0.5</v>
      </c>
      <c r="EI110">
        <v>1.3</v>
      </c>
      <c r="EJ110">
        <v>0.4</v>
      </c>
      <c r="EK110">
        <v>0.8</v>
      </c>
    </row>
    <row r="111" spans="1:141" x14ac:dyDescent="0.25">
      <c r="A111" t="str">
        <f>[1]ingredient!B110</f>
        <v>Erdbeeren, gefroren</v>
      </c>
      <c r="B111" t="s">
        <v>227</v>
      </c>
      <c r="C111" s="7">
        <f>_xlfn.XLOOKUP(A111,[1]ingredient!$B$2:$B$521,[1]ingredient!$A$2:$A$521)</f>
        <v>109</v>
      </c>
      <c r="D111">
        <v>34</v>
      </c>
      <c r="E111">
        <v>0.42</v>
      </c>
      <c r="F111">
        <v>1</v>
      </c>
      <c r="G111">
        <v>6</v>
      </c>
      <c r="H111">
        <v>2</v>
      </c>
      <c r="I111">
        <v>6</v>
      </c>
      <c r="J111">
        <v>0.02</v>
      </c>
      <c r="K111">
        <v>89</v>
      </c>
      <c r="L111">
        <v>8</v>
      </c>
      <c r="M111">
        <v>4</v>
      </c>
      <c r="N111">
        <v>0</v>
      </c>
      <c r="O111">
        <v>47</v>
      </c>
      <c r="P111">
        <v>28</v>
      </c>
      <c r="Q111">
        <v>47</v>
      </c>
      <c r="R111">
        <v>471</v>
      </c>
      <c r="S111">
        <v>721</v>
      </c>
      <c r="T111">
        <v>283</v>
      </c>
      <c r="U111">
        <v>57</v>
      </c>
      <c r="V111">
        <v>4</v>
      </c>
      <c r="W111">
        <v>15</v>
      </c>
      <c r="X111">
        <v>0</v>
      </c>
      <c r="Y111">
        <v>54445</v>
      </c>
      <c r="Z111">
        <v>0</v>
      </c>
      <c r="AA111">
        <v>113</v>
      </c>
      <c r="AB111">
        <v>12</v>
      </c>
      <c r="AC111">
        <v>3</v>
      </c>
      <c r="AD111">
        <v>152</v>
      </c>
      <c r="AE111">
        <v>26</v>
      </c>
      <c r="AF111">
        <v>16</v>
      </c>
      <c r="AG111">
        <v>26</v>
      </c>
      <c r="AH111">
        <v>14</v>
      </c>
      <c r="AI111">
        <v>15</v>
      </c>
      <c r="AJ111">
        <v>1005</v>
      </c>
      <c r="AK111">
        <v>126</v>
      </c>
      <c r="AL111">
        <v>126</v>
      </c>
      <c r="AM111">
        <v>236</v>
      </c>
      <c r="AN111">
        <v>25</v>
      </c>
      <c r="AO111">
        <v>1</v>
      </c>
      <c r="AP111">
        <v>0</v>
      </c>
      <c r="AQ111">
        <v>35</v>
      </c>
      <c r="AR111">
        <v>29</v>
      </c>
      <c r="AS111">
        <v>64</v>
      </c>
      <c r="AT111">
        <v>2257</v>
      </c>
      <c r="AU111">
        <v>2389</v>
      </c>
      <c r="AV111">
        <v>0</v>
      </c>
      <c r="AW111">
        <v>4664</v>
      </c>
      <c r="AX111">
        <v>1031</v>
      </c>
      <c r="AY111">
        <v>0</v>
      </c>
      <c r="AZ111">
        <v>0</v>
      </c>
      <c r="BA111">
        <v>1031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f t="shared" si="13"/>
        <v>34.782608695652172</v>
      </c>
      <c r="BH111">
        <v>19</v>
      </c>
      <c r="BI111">
        <v>45</v>
      </c>
      <c r="BJ111">
        <v>35</v>
      </c>
      <c r="BK111">
        <v>1</v>
      </c>
      <c r="BL111">
        <v>7</v>
      </c>
      <c r="BM111">
        <v>25</v>
      </c>
      <c r="BN111">
        <v>29</v>
      </c>
      <c r="BO111">
        <v>27</v>
      </c>
      <c r="BP111">
        <v>15</v>
      </c>
      <c r="BQ111">
        <v>25</v>
      </c>
      <c r="BR111">
        <v>38</v>
      </c>
      <c r="BS111">
        <v>17</v>
      </c>
      <c r="BT111">
        <v>283</v>
      </c>
      <c r="BU111">
        <v>45</v>
      </c>
      <c r="BV111">
        <v>195</v>
      </c>
      <c r="BW111">
        <v>129</v>
      </c>
      <c r="BX111">
        <v>35</v>
      </c>
      <c r="BY111">
        <v>27</v>
      </c>
      <c r="BZ111">
        <v>34</v>
      </c>
      <c r="CA111">
        <v>465</v>
      </c>
      <c r="CB111">
        <v>26</v>
      </c>
      <c r="CC111">
        <v>11</v>
      </c>
      <c r="CD111">
        <v>103</v>
      </c>
      <c r="CE111">
        <v>141</v>
      </c>
      <c r="CF111">
        <v>1.37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19</v>
      </c>
      <c r="CO111">
        <v>0</v>
      </c>
      <c r="CP111">
        <v>5</v>
      </c>
      <c r="CQ111">
        <v>0</v>
      </c>
      <c r="CR111">
        <v>0</v>
      </c>
      <c r="CS111">
        <v>0</v>
      </c>
      <c r="CT111">
        <v>24</v>
      </c>
      <c r="CU111">
        <v>0</v>
      </c>
      <c r="CV111">
        <v>0</v>
      </c>
      <c r="CW111">
        <v>1</v>
      </c>
      <c r="CX111">
        <v>0</v>
      </c>
      <c r="CY111">
        <v>66</v>
      </c>
      <c r="CZ111">
        <v>0</v>
      </c>
      <c r="DA111">
        <v>0</v>
      </c>
      <c r="DB111">
        <v>0</v>
      </c>
      <c r="DC111">
        <v>67</v>
      </c>
      <c r="DD111">
        <v>0</v>
      </c>
      <c r="DE111">
        <v>0</v>
      </c>
      <c r="DF111">
        <v>141</v>
      </c>
      <c r="DG111">
        <v>103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244</v>
      </c>
      <c r="DT111">
        <v>335</v>
      </c>
      <c r="DU111">
        <v>84</v>
      </c>
      <c r="DV111">
        <v>0</v>
      </c>
      <c r="DW111">
        <v>0</v>
      </c>
      <c r="DX111">
        <v>0</v>
      </c>
      <c r="DY111">
        <v>477</v>
      </c>
      <c r="DZ111">
        <v>318</v>
      </c>
      <c r="EA111">
        <v>848</v>
      </c>
      <c r="EB111">
        <v>346</v>
      </c>
      <c r="EC111">
        <v>105</v>
      </c>
      <c r="ED111">
        <v>745</v>
      </c>
      <c r="EE111">
        <v>1349</v>
      </c>
      <c r="EF111">
        <v>0</v>
      </c>
      <c r="EG111">
        <v>1</v>
      </c>
      <c r="EH111">
        <v>0.5</v>
      </c>
      <c r="EI111">
        <v>1.3</v>
      </c>
      <c r="EJ111">
        <v>0.4</v>
      </c>
      <c r="EK111">
        <v>0.8</v>
      </c>
    </row>
    <row r="112" spans="1:141" x14ac:dyDescent="0.25">
      <c r="A112" t="str">
        <f>[1]ingredient!B111</f>
        <v>Erdmandeln</v>
      </c>
      <c r="B112" t="s">
        <v>228</v>
      </c>
      <c r="C112" s="7">
        <f>_xlfn.XLOOKUP(A112,[1]ingredient!$B$2:$B$521,[1]ingredient!$A$2:$A$521)</f>
        <v>110</v>
      </c>
      <c r="D112">
        <v>451</v>
      </c>
      <c r="E112">
        <v>23</v>
      </c>
      <c r="F112">
        <v>5</v>
      </c>
      <c r="G112">
        <v>48</v>
      </c>
      <c r="H112">
        <v>16</v>
      </c>
      <c r="I112">
        <v>20</v>
      </c>
      <c r="J112">
        <v>0.04</v>
      </c>
      <c r="K112">
        <v>7</v>
      </c>
      <c r="L112">
        <v>0</v>
      </c>
      <c r="M112">
        <v>100</v>
      </c>
      <c r="N112">
        <v>100</v>
      </c>
      <c r="O112">
        <v>0</v>
      </c>
      <c r="P112">
        <v>100</v>
      </c>
      <c r="Q112">
        <v>100</v>
      </c>
      <c r="R112">
        <v>2100</v>
      </c>
      <c r="S112">
        <v>2700</v>
      </c>
      <c r="T112">
        <v>300</v>
      </c>
      <c r="U112">
        <v>0</v>
      </c>
      <c r="V112">
        <v>0</v>
      </c>
      <c r="W112">
        <v>23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24</v>
      </c>
      <c r="AD112">
        <v>920</v>
      </c>
      <c r="AE112">
        <v>43</v>
      </c>
      <c r="AF112">
        <v>110</v>
      </c>
      <c r="AG112">
        <v>177</v>
      </c>
      <c r="AH112">
        <v>77</v>
      </c>
      <c r="AI112">
        <v>20</v>
      </c>
      <c r="AJ112">
        <v>2600</v>
      </c>
      <c r="AK112">
        <v>1600</v>
      </c>
      <c r="AL112">
        <v>500</v>
      </c>
      <c r="AM112">
        <v>900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20000</v>
      </c>
      <c r="AY112">
        <v>0</v>
      </c>
      <c r="AZ112">
        <v>0</v>
      </c>
      <c r="BA112">
        <v>20000</v>
      </c>
      <c r="BB112">
        <v>13000</v>
      </c>
      <c r="BC112">
        <v>0</v>
      </c>
      <c r="BD112">
        <v>0</v>
      </c>
      <c r="BE112">
        <v>15000</v>
      </c>
      <c r="BF112">
        <v>0</v>
      </c>
      <c r="BG112">
        <f t="shared" si="13"/>
        <v>48.75</v>
      </c>
      <c r="BH112">
        <v>178</v>
      </c>
      <c r="BI112">
        <v>296</v>
      </c>
      <c r="BJ112">
        <v>117</v>
      </c>
      <c r="BK112">
        <v>55</v>
      </c>
      <c r="BL112">
        <v>77</v>
      </c>
      <c r="BM112">
        <v>235</v>
      </c>
      <c r="BN112">
        <v>125</v>
      </c>
      <c r="BO112">
        <v>124</v>
      </c>
      <c r="BP112">
        <v>35</v>
      </c>
      <c r="BQ112">
        <v>231</v>
      </c>
      <c r="BR112">
        <v>557</v>
      </c>
      <c r="BS112">
        <v>105</v>
      </c>
      <c r="BT112">
        <v>2134</v>
      </c>
      <c r="BU112">
        <v>196</v>
      </c>
      <c r="BV112">
        <v>489</v>
      </c>
      <c r="BW112">
        <v>1192</v>
      </c>
      <c r="BX112">
        <v>259</v>
      </c>
      <c r="BY112">
        <v>249</v>
      </c>
      <c r="BZ112">
        <v>181</v>
      </c>
      <c r="CA112">
        <v>2566</v>
      </c>
      <c r="CB112">
        <v>21</v>
      </c>
      <c r="CC112">
        <v>9</v>
      </c>
      <c r="CD112">
        <v>0</v>
      </c>
      <c r="CE112">
        <v>2800</v>
      </c>
      <c r="CG112">
        <v>0</v>
      </c>
      <c r="CH112">
        <v>0</v>
      </c>
      <c r="CI112">
        <v>0</v>
      </c>
      <c r="CJ112">
        <v>24</v>
      </c>
      <c r="CK112">
        <v>44</v>
      </c>
      <c r="CL112">
        <v>44</v>
      </c>
      <c r="CM112">
        <v>0</v>
      </c>
      <c r="CN112">
        <v>3094</v>
      </c>
      <c r="CO112">
        <v>0</v>
      </c>
      <c r="CP112">
        <v>1503</v>
      </c>
      <c r="CQ112">
        <v>186</v>
      </c>
      <c r="CR112">
        <v>44</v>
      </c>
      <c r="CS112">
        <v>62</v>
      </c>
      <c r="CT112">
        <v>5000</v>
      </c>
      <c r="CU112">
        <v>0</v>
      </c>
      <c r="CV112">
        <v>0</v>
      </c>
      <c r="CW112">
        <v>45</v>
      </c>
      <c r="CX112">
        <v>0</v>
      </c>
      <c r="CY112">
        <v>14746</v>
      </c>
      <c r="CZ112">
        <v>45</v>
      </c>
      <c r="DA112">
        <v>164</v>
      </c>
      <c r="DB112">
        <v>0</v>
      </c>
      <c r="DC112">
        <v>15000</v>
      </c>
      <c r="DD112">
        <v>0</v>
      </c>
      <c r="DE112">
        <v>0</v>
      </c>
      <c r="DF112">
        <v>2800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2800</v>
      </c>
      <c r="DT112">
        <v>22776</v>
      </c>
      <c r="DU112">
        <v>200</v>
      </c>
      <c r="DV112">
        <v>0</v>
      </c>
      <c r="DW112">
        <v>0</v>
      </c>
      <c r="DX112">
        <v>24</v>
      </c>
      <c r="DY112">
        <v>2782</v>
      </c>
      <c r="DZ112">
        <v>12242</v>
      </c>
      <c r="EA112">
        <v>371</v>
      </c>
      <c r="EB112">
        <v>2782</v>
      </c>
      <c r="EC112">
        <v>371</v>
      </c>
      <c r="ED112">
        <v>5388</v>
      </c>
      <c r="EE112">
        <v>10612</v>
      </c>
      <c r="EF112">
        <v>0</v>
      </c>
      <c r="EG112">
        <v>400</v>
      </c>
      <c r="EH112">
        <v>1.4</v>
      </c>
      <c r="EI112">
        <v>10.6</v>
      </c>
      <c r="EJ112">
        <v>23</v>
      </c>
      <c r="EK112">
        <v>4.8</v>
      </c>
    </row>
    <row r="113" spans="1:141" x14ac:dyDescent="0.25">
      <c r="A113" t="str">
        <f>[1]ingredient!B112</f>
        <v>Erdnüsse</v>
      </c>
      <c r="B113" t="s">
        <v>229</v>
      </c>
      <c r="C113" s="7">
        <f>_xlfn.XLOOKUP(A113,[1]ingredient!$B$2:$B$521,[1]ingredient!$A$2:$A$521)</f>
        <v>111</v>
      </c>
      <c r="D113">
        <v>576</v>
      </c>
      <c r="E113">
        <v>48</v>
      </c>
      <c r="F113">
        <v>30</v>
      </c>
      <c r="G113">
        <v>7</v>
      </c>
      <c r="H113">
        <v>12</v>
      </c>
      <c r="I113">
        <v>3</v>
      </c>
      <c r="J113">
        <v>0.02</v>
      </c>
      <c r="K113">
        <v>1</v>
      </c>
      <c r="L113">
        <v>0</v>
      </c>
      <c r="M113">
        <v>0.17</v>
      </c>
      <c r="N113">
        <v>0</v>
      </c>
      <c r="O113">
        <v>2</v>
      </c>
      <c r="P113">
        <v>900</v>
      </c>
      <c r="Q113">
        <v>155</v>
      </c>
      <c r="R113">
        <v>15400</v>
      </c>
      <c r="S113">
        <v>20833</v>
      </c>
      <c r="T113">
        <v>2900</v>
      </c>
      <c r="U113">
        <v>440</v>
      </c>
      <c r="V113">
        <v>34</v>
      </c>
      <c r="W113">
        <v>169</v>
      </c>
      <c r="X113">
        <v>0</v>
      </c>
      <c r="Y113">
        <v>0</v>
      </c>
      <c r="Z113">
        <v>0</v>
      </c>
      <c r="AA113">
        <v>10027</v>
      </c>
      <c r="AB113">
        <v>0</v>
      </c>
      <c r="AC113">
        <v>11</v>
      </c>
      <c r="AD113">
        <v>660</v>
      </c>
      <c r="AE113">
        <v>41</v>
      </c>
      <c r="AF113">
        <v>160</v>
      </c>
      <c r="AG113">
        <v>340</v>
      </c>
      <c r="AH113">
        <v>380</v>
      </c>
      <c r="AI113">
        <v>7</v>
      </c>
      <c r="AJ113">
        <v>1813</v>
      </c>
      <c r="AK113">
        <v>2829</v>
      </c>
      <c r="AL113">
        <v>767</v>
      </c>
      <c r="AM113">
        <v>1604</v>
      </c>
      <c r="AN113">
        <v>130</v>
      </c>
      <c r="AO113">
        <v>13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2635</v>
      </c>
      <c r="AY113">
        <v>0</v>
      </c>
      <c r="AZ113">
        <v>0</v>
      </c>
      <c r="BA113">
        <v>2635</v>
      </c>
      <c r="BB113">
        <v>0</v>
      </c>
      <c r="BC113">
        <v>0</v>
      </c>
      <c r="BD113">
        <v>0</v>
      </c>
      <c r="BE113">
        <v>4845</v>
      </c>
      <c r="BF113">
        <v>4845</v>
      </c>
      <c r="BG113">
        <f t="shared" si="13"/>
        <v>77.708333333333329</v>
      </c>
      <c r="BH113">
        <v>1251</v>
      </c>
      <c r="BI113">
        <v>2065</v>
      </c>
      <c r="BJ113">
        <v>1119</v>
      </c>
      <c r="BK113">
        <v>315</v>
      </c>
      <c r="BL113">
        <v>437</v>
      </c>
      <c r="BM113">
        <v>1567</v>
      </c>
      <c r="BN113">
        <v>1211</v>
      </c>
      <c r="BO113">
        <v>865</v>
      </c>
      <c r="BP113">
        <v>326</v>
      </c>
      <c r="BQ113">
        <v>1475</v>
      </c>
      <c r="BR113">
        <v>3520</v>
      </c>
      <c r="BS113">
        <v>722</v>
      </c>
      <c r="BT113">
        <v>14873</v>
      </c>
      <c r="BU113">
        <v>824</v>
      </c>
      <c r="BV113">
        <v>3367</v>
      </c>
      <c r="BW113">
        <v>5727</v>
      </c>
      <c r="BX113">
        <v>1668</v>
      </c>
      <c r="BY113">
        <v>1455</v>
      </c>
      <c r="BZ113">
        <v>1862</v>
      </c>
      <c r="CA113">
        <v>14903</v>
      </c>
      <c r="CB113">
        <v>74</v>
      </c>
      <c r="CC113">
        <v>31</v>
      </c>
      <c r="CD113">
        <v>528</v>
      </c>
      <c r="CE113">
        <v>13836</v>
      </c>
      <c r="CF113">
        <v>26.2</v>
      </c>
      <c r="CG113">
        <v>0</v>
      </c>
      <c r="CH113">
        <v>0</v>
      </c>
      <c r="CI113">
        <v>0</v>
      </c>
      <c r="CJ113">
        <v>0</v>
      </c>
      <c r="CK113">
        <v>46</v>
      </c>
      <c r="CL113">
        <v>229</v>
      </c>
      <c r="CM113">
        <v>0</v>
      </c>
      <c r="CN113">
        <v>5077</v>
      </c>
      <c r="CO113">
        <v>46</v>
      </c>
      <c r="CP113">
        <v>1294</v>
      </c>
      <c r="CQ113">
        <v>557</v>
      </c>
      <c r="CR113">
        <v>1328</v>
      </c>
      <c r="CS113">
        <v>504</v>
      </c>
      <c r="CT113">
        <v>9081</v>
      </c>
      <c r="CU113">
        <v>0</v>
      </c>
      <c r="CV113">
        <v>0</v>
      </c>
      <c r="CW113">
        <v>0</v>
      </c>
      <c r="CX113">
        <v>0</v>
      </c>
      <c r="CY113">
        <v>22001</v>
      </c>
      <c r="CZ113">
        <v>504</v>
      </c>
      <c r="DA113">
        <v>46</v>
      </c>
      <c r="DB113">
        <v>0</v>
      </c>
      <c r="DC113">
        <v>22551</v>
      </c>
      <c r="DD113">
        <v>0</v>
      </c>
      <c r="DE113">
        <v>0</v>
      </c>
      <c r="DF113">
        <v>13836</v>
      </c>
      <c r="DG113">
        <v>528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14364</v>
      </c>
      <c r="DT113">
        <v>45996</v>
      </c>
      <c r="DU113">
        <v>2106</v>
      </c>
      <c r="DV113">
        <v>0</v>
      </c>
      <c r="DW113">
        <v>0</v>
      </c>
      <c r="DX113">
        <v>0</v>
      </c>
      <c r="DY113">
        <v>2896</v>
      </c>
      <c r="DZ113">
        <v>2172</v>
      </c>
      <c r="EA113">
        <v>3620</v>
      </c>
      <c r="EB113">
        <v>1603</v>
      </c>
      <c r="EC113">
        <v>1448</v>
      </c>
      <c r="ED113">
        <v>1210</v>
      </c>
      <c r="EE113">
        <v>10528</v>
      </c>
      <c r="EF113">
        <v>0</v>
      </c>
      <c r="EG113">
        <v>0</v>
      </c>
      <c r="EH113">
        <v>2.2000000000000002</v>
      </c>
      <c r="EI113">
        <v>10.5</v>
      </c>
      <c r="EJ113">
        <v>48.1</v>
      </c>
      <c r="EK113">
        <v>30</v>
      </c>
    </row>
    <row r="114" spans="1:141" x14ac:dyDescent="0.25">
      <c r="A114" t="str">
        <f>[1]ingredient!B113</f>
        <v>Erdnussmus</v>
      </c>
      <c r="B114" t="s">
        <v>230</v>
      </c>
      <c r="C114" s="7">
        <f>_xlfn.XLOOKUP(A114,[1]ingredient!$B$2:$B$521,[1]ingredient!$A$2:$A$521)</f>
        <v>112</v>
      </c>
      <c r="D114">
        <v>578</v>
      </c>
      <c r="E114">
        <v>49</v>
      </c>
      <c r="F114">
        <v>26</v>
      </c>
      <c r="G114">
        <v>11</v>
      </c>
      <c r="H114">
        <v>8</v>
      </c>
      <c r="I114">
        <v>4</v>
      </c>
      <c r="J114">
        <v>0.04</v>
      </c>
      <c r="K114">
        <v>3</v>
      </c>
      <c r="L114">
        <v>0</v>
      </c>
      <c r="M114">
        <v>0</v>
      </c>
      <c r="N114">
        <v>0</v>
      </c>
      <c r="O114">
        <v>0</v>
      </c>
      <c r="P114">
        <v>130</v>
      </c>
      <c r="Q114">
        <v>100</v>
      </c>
      <c r="R114">
        <v>13100</v>
      </c>
      <c r="S114">
        <v>17933</v>
      </c>
      <c r="T114">
        <v>920</v>
      </c>
      <c r="U114">
        <v>400</v>
      </c>
      <c r="V114">
        <v>17</v>
      </c>
      <c r="W114">
        <v>85</v>
      </c>
      <c r="X114">
        <v>0</v>
      </c>
      <c r="Y114">
        <v>0</v>
      </c>
      <c r="Z114">
        <v>0</v>
      </c>
      <c r="AA114">
        <v>7300</v>
      </c>
      <c r="AB114">
        <v>0</v>
      </c>
      <c r="AC114">
        <v>17</v>
      </c>
      <c r="AD114">
        <v>720</v>
      </c>
      <c r="AE114">
        <v>35</v>
      </c>
      <c r="AF114">
        <v>158</v>
      </c>
      <c r="AG114">
        <v>320</v>
      </c>
      <c r="AH114">
        <v>384</v>
      </c>
      <c r="AI114">
        <v>26</v>
      </c>
      <c r="AJ114">
        <v>1800</v>
      </c>
      <c r="AK114">
        <v>2600</v>
      </c>
      <c r="AL114">
        <v>530</v>
      </c>
      <c r="AM114">
        <v>1750</v>
      </c>
      <c r="AN114">
        <v>131</v>
      </c>
      <c r="AO114">
        <v>13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4244</v>
      </c>
      <c r="AY114">
        <v>0</v>
      </c>
      <c r="AZ114">
        <v>0</v>
      </c>
      <c r="BA114">
        <v>4244</v>
      </c>
      <c r="BB114">
        <v>0</v>
      </c>
      <c r="BC114">
        <v>0</v>
      </c>
      <c r="BD114">
        <v>0</v>
      </c>
      <c r="BE114">
        <v>6367</v>
      </c>
      <c r="BF114">
        <v>6367</v>
      </c>
      <c r="BG114">
        <f t="shared" si="13"/>
        <v>82.53205128205127</v>
      </c>
      <c r="BH114">
        <v>1082</v>
      </c>
      <c r="BI114">
        <v>1822</v>
      </c>
      <c r="BJ114">
        <v>1030</v>
      </c>
      <c r="BK114">
        <v>264</v>
      </c>
      <c r="BL114">
        <v>396</v>
      </c>
      <c r="BM114">
        <v>1426</v>
      </c>
      <c r="BN114">
        <v>1110</v>
      </c>
      <c r="BO114">
        <v>740</v>
      </c>
      <c r="BP114">
        <v>290</v>
      </c>
      <c r="BQ114">
        <v>1267</v>
      </c>
      <c r="BR114">
        <v>3302</v>
      </c>
      <c r="BS114">
        <v>660</v>
      </c>
      <c r="BT114">
        <v>13389</v>
      </c>
      <c r="BU114">
        <v>660</v>
      </c>
      <c r="BV114">
        <v>2984</v>
      </c>
      <c r="BW114">
        <v>5150</v>
      </c>
      <c r="BX114">
        <v>1294</v>
      </c>
      <c r="BY114">
        <v>1241</v>
      </c>
      <c r="BZ114">
        <v>1558</v>
      </c>
      <c r="CA114">
        <v>12887</v>
      </c>
      <c r="CB114">
        <v>71</v>
      </c>
      <c r="CC114">
        <v>30</v>
      </c>
      <c r="CD114">
        <v>371</v>
      </c>
      <c r="CE114">
        <v>13495</v>
      </c>
      <c r="CF114">
        <v>36.369999999999997</v>
      </c>
      <c r="CG114">
        <v>0</v>
      </c>
      <c r="CH114">
        <v>0</v>
      </c>
      <c r="CI114">
        <v>0</v>
      </c>
      <c r="CJ114">
        <v>0</v>
      </c>
      <c r="CK114">
        <v>46</v>
      </c>
      <c r="CL114">
        <v>232</v>
      </c>
      <c r="CM114">
        <v>0</v>
      </c>
      <c r="CN114">
        <v>4869</v>
      </c>
      <c r="CO114">
        <v>46</v>
      </c>
      <c r="CP114">
        <v>1252</v>
      </c>
      <c r="CQ114">
        <v>556</v>
      </c>
      <c r="CR114">
        <v>1345</v>
      </c>
      <c r="CS114">
        <v>510</v>
      </c>
      <c r="CT114">
        <v>8856</v>
      </c>
      <c r="CU114">
        <v>0</v>
      </c>
      <c r="CV114">
        <v>0</v>
      </c>
      <c r="CW114">
        <v>232</v>
      </c>
      <c r="CX114">
        <v>0</v>
      </c>
      <c r="CY114">
        <v>22863</v>
      </c>
      <c r="CZ114">
        <v>510</v>
      </c>
      <c r="DA114">
        <v>46</v>
      </c>
      <c r="DB114">
        <v>0</v>
      </c>
      <c r="DC114">
        <v>23651</v>
      </c>
      <c r="DD114">
        <v>0</v>
      </c>
      <c r="DE114">
        <v>0</v>
      </c>
      <c r="DF114">
        <v>13495</v>
      </c>
      <c r="DG114">
        <v>371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13866</v>
      </c>
      <c r="DT114">
        <v>46373</v>
      </c>
      <c r="DU114">
        <v>2134</v>
      </c>
      <c r="DV114">
        <v>0</v>
      </c>
      <c r="DW114">
        <v>0</v>
      </c>
      <c r="DX114">
        <v>0</v>
      </c>
      <c r="DY114">
        <v>1617</v>
      </c>
      <c r="DZ114">
        <v>1213</v>
      </c>
      <c r="EA114">
        <v>2022</v>
      </c>
      <c r="EB114">
        <v>2426</v>
      </c>
      <c r="EC114">
        <v>809</v>
      </c>
      <c r="ED114">
        <v>4043</v>
      </c>
      <c r="EE114">
        <v>4043</v>
      </c>
      <c r="EF114">
        <v>0</v>
      </c>
      <c r="EG114">
        <v>0</v>
      </c>
      <c r="EH114">
        <v>3.3</v>
      </c>
      <c r="EI114">
        <v>4</v>
      </c>
      <c r="EJ114">
        <v>48.5</v>
      </c>
      <c r="EK114">
        <v>26.5</v>
      </c>
    </row>
    <row r="115" spans="1:141" x14ac:dyDescent="0.25">
      <c r="A115" t="str">
        <f>[1]ingredient!B114</f>
        <v>Estragon</v>
      </c>
      <c r="B115" t="s">
        <v>231</v>
      </c>
      <c r="C115" s="7">
        <f>_xlfn.XLOOKUP(A115,[1]ingredient!$B$2:$B$521,[1]ingredient!$A$2:$A$521)</f>
        <v>113</v>
      </c>
      <c r="D115">
        <v>49</v>
      </c>
      <c r="E115">
        <v>1</v>
      </c>
      <c r="F115">
        <v>3</v>
      </c>
      <c r="G115">
        <v>6</v>
      </c>
      <c r="H115">
        <v>5</v>
      </c>
      <c r="I115">
        <v>6</v>
      </c>
      <c r="J115">
        <v>0.04</v>
      </c>
      <c r="K115">
        <v>83</v>
      </c>
      <c r="L115">
        <v>63</v>
      </c>
      <c r="M115">
        <v>31</v>
      </c>
      <c r="N115">
        <v>0</v>
      </c>
      <c r="O115">
        <v>375</v>
      </c>
      <c r="P115">
        <v>150</v>
      </c>
      <c r="Q115">
        <v>234</v>
      </c>
      <c r="R115">
        <v>1561</v>
      </c>
      <c r="S115">
        <v>2128</v>
      </c>
      <c r="T115">
        <v>200</v>
      </c>
      <c r="U115">
        <v>180</v>
      </c>
      <c r="V115">
        <v>2</v>
      </c>
      <c r="W115">
        <v>50</v>
      </c>
      <c r="X115">
        <v>0</v>
      </c>
      <c r="Y115">
        <v>2000</v>
      </c>
      <c r="Z115">
        <v>0</v>
      </c>
      <c r="AA115">
        <v>1000</v>
      </c>
      <c r="AB115">
        <v>300</v>
      </c>
      <c r="AC115">
        <v>9</v>
      </c>
      <c r="AD115">
        <v>450</v>
      </c>
      <c r="AE115">
        <v>170</v>
      </c>
      <c r="AF115">
        <v>51</v>
      </c>
      <c r="AG115">
        <v>46</v>
      </c>
      <c r="AH115">
        <v>17</v>
      </c>
      <c r="AI115">
        <v>35</v>
      </c>
      <c r="AJ115">
        <v>5632</v>
      </c>
      <c r="AK115">
        <v>600</v>
      </c>
      <c r="AL115">
        <v>105</v>
      </c>
      <c r="AM115">
        <v>523</v>
      </c>
      <c r="AN115">
        <v>70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2520</v>
      </c>
      <c r="AU115">
        <v>2520</v>
      </c>
      <c r="AV115">
        <v>0</v>
      </c>
      <c r="AW115">
        <v>5040</v>
      </c>
      <c r="AX115">
        <v>1197</v>
      </c>
      <c r="AY115">
        <v>0</v>
      </c>
      <c r="AZ115">
        <v>0</v>
      </c>
      <c r="BA115">
        <v>1197</v>
      </c>
      <c r="BB115">
        <v>0</v>
      </c>
      <c r="BC115">
        <v>0</v>
      </c>
      <c r="BD115">
        <v>0</v>
      </c>
      <c r="BE115">
        <v>63</v>
      </c>
      <c r="BF115">
        <v>63</v>
      </c>
      <c r="BG115">
        <f t="shared" si="13"/>
        <v>106.25</v>
      </c>
      <c r="BH115">
        <v>136</v>
      </c>
      <c r="BI115">
        <v>204</v>
      </c>
      <c r="BJ115">
        <v>170</v>
      </c>
      <c r="BK115">
        <v>41</v>
      </c>
      <c r="BL115">
        <v>34</v>
      </c>
      <c r="BM115">
        <v>102</v>
      </c>
      <c r="BN115">
        <v>68</v>
      </c>
      <c r="BO115">
        <v>119</v>
      </c>
      <c r="BP115">
        <v>34</v>
      </c>
      <c r="BQ115">
        <v>136</v>
      </c>
      <c r="BR115">
        <v>136</v>
      </c>
      <c r="BS115">
        <v>51</v>
      </c>
      <c r="BT115">
        <v>1231</v>
      </c>
      <c r="BU115">
        <v>170</v>
      </c>
      <c r="BV115">
        <v>340</v>
      </c>
      <c r="BW115">
        <v>510</v>
      </c>
      <c r="BX115">
        <v>95</v>
      </c>
      <c r="BY115">
        <v>136</v>
      </c>
      <c r="BZ115">
        <v>102</v>
      </c>
      <c r="CA115">
        <v>1353</v>
      </c>
      <c r="CB115">
        <v>15</v>
      </c>
      <c r="CC115">
        <v>6</v>
      </c>
      <c r="CD115">
        <v>264</v>
      </c>
      <c r="CE115">
        <v>352</v>
      </c>
      <c r="CF115">
        <v>1.33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4</v>
      </c>
      <c r="CM115">
        <v>0</v>
      </c>
      <c r="CN115">
        <v>172</v>
      </c>
      <c r="CO115">
        <v>0</v>
      </c>
      <c r="CP115">
        <v>26</v>
      </c>
      <c r="CQ115">
        <v>0</v>
      </c>
      <c r="CR115">
        <v>0</v>
      </c>
      <c r="CS115">
        <v>0</v>
      </c>
      <c r="CT115">
        <v>202</v>
      </c>
      <c r="CU115">
        <v>0</v>
      </c>
      <c r="CV115">
        <v>0</v>
      </c>
      <c r="CW115">
        <v>9</v>
      </c>
      <c r="CX115">
        <v>0</v>
      </c>
      <c r="CY115">
        <v>53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352</v>
      </c>
      <c r="DG115">
        <v>264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616</v>
      </c>
      <c r="DT115">
        <v>880</v>
      </c>
      <c r="DU115">
        <v>220</v>
      </c>
      <c r="DV115">
        <v>0</v>
      </c>
      <c r="DW115">
        <v>0</v>
      </c>
      <c r="DX115">
        <v>0</v>
      </c>
      <c r="DY115">
        <v>795</v>
      </c>
      <c r="DZ115">
        <v>1060</v>
      </c>
      <c r="EA115">
        <v>1431</v>
      </c>
      <c r="EB115">
        <v>1855</v>
      </c>
      <c r="EC115">
        <v>159</v>
      </c>
      <c r="ED115">
        <v>1590</v>
      </c>
      <c r="EE115">
        <v>3710</v>
      </c>
      <c r="EF115">
        <v>0</v>
      </c>
      <c r="EG115">
        <v>0.11</v>
      </c>
      <c r="EH115">
        <v>0.9</v>
      </c>
      <c r="EI115">
        <v>3.7</v>
      </c>
      <c r="EJ115">
        <v>1.1000000000000001</v>
      </c>
      <c r="EK115">
        <v>2.6</v>
      </c>
    </row>
    <row r="116" spans="1:141" x14ac:dyDescent="0.25">
      <c r="A116" t="str">
        <f>[1]ingredient!B115</f>
        <v>Estragon, getrocknet</v>
      </c>
      <c r="B116" t="s">
        <v>232</v>
      </c>
      <c r="C116" s="7">
        <f>_xlfn.XLOOKUP(A116,[1]ingredient!$B$2:$B$521,[1]ingredient!$A$2:$A$521)</f>
        <v>114</v>
      </c>
      <c r="D116">
        <v>332</v>
      </c>
      <c r="E116">
        <v>7</v>
      </c>
      <c r="F116">
        <v>23</v>
      </c>
      <c r="G116">
        <v>43</v>
      </c>
      <c r="H116">
        <v>7</v>
      </c>
      <c r="I116">
        <v>42</v>
      </c>
      <c r="J116">
        <v>0.26</v>
      </c>
      <c r="K116">
        <v>9</v>
      </c>
      <c r="L116">
        <v>417</v>
      </c>
      <c r="M116">
        <v>208</v>
      </c>
      <c r="N116">
        <v>0</v>
      </c>
      <c r="O116">
        <v>2500</v>
      </c>
      <c r="P116">
        <v>250</v>
      </c>
      <c r="Q116">
        <v>1340</v>
      </c>
      <c r="R116">
        <v>8950</v>
      </c>
      <c r="S116">
        <v>12750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60000</v>
      </c>
      <c r="Z116">
        <v>0</v>
      </c>
      <c r="AA116">
        <v>0</v>
      </c>
      <c r="AB116">
        <v>0</v>
      </c>
      <c r="AC116">
        <v>62</v>
      </c>
      <c r="AD116">
        <v>3020</v>
      </c>
      <c r="AE116">
        <v>1139</v>
      </c>
      <c r="AF116">
        <v>347</v>
      </c>
      <c r="AG116">
        <v>313</v>
      </c>
      <c r="AH116">
        <v>100</v>
      </c>
      <c r="AI116">
        <v>200</v>
      </c>
      <c r="AJ116">
        <v>32300</v>
      </c>
      <c r="AK116">
        <v>3900</v>
      </c>
      <c r="AL116">
        <v>600</v>
      </c>
      <c r="AM116">
        <v>3000</v>
      </c>
      <c r="AN116">
        <v>400</v>
      </c>
      <c r="AO116">
        <v>5</v>
      </c>
      <c r="AP116">
        <v>0</v>
      </c>
      <c r="AQ116">
        <v>0</v>
      </c>
      <c r="AR116">
        <v>0</v>
      </c>
      <c r="AS116">
        <v>0</v>
      </c>
      <c r="AT116">
        <v>17120</v>
      </c>
      <c r="AU116">
        <v>17120</v>
      </c>
      <c r="AV116">
        <v>0</v>
      </c>
      <c r="AW116">
        <v>34240</v>
      </c>
      <c r="AX116">
        <v>8132</v>
      </c>
      <c r="AY116">
        <v>0</v>
      </c>
      <c r="AZ116">
        <v>0</v>
      </c>
      <c r="BA116">
        <v>8132</v>
      </c>
      <c r="BB116">
        <v>0</v>
      </c>
      <c r="BC116">
        <v>0</v>
      </c>
      <c r="BD116">
        <v>0</v>
      </c>
      <c r="BE116">
        <v>428</v>
      </c>
      <c r="BF116">
        <v>428</v>
      </c>
      <c r="BG116">
        <f t="shared" si="13"/>
        <v>92.934782608695656</v>
      </c>
      <c r="BH116">
        <v>912</v>
      </c>
      <c r="BI116">
        <v>1368</v>
      </c>
      <c r="BJ116">
        <v>1140</v>
      </c>
      <c r="BK116">
        <v>274</v>
      </c>
      <c r="BL116">
        <v>228</v>
      </c>
      <c r="BM116">
        <v>684</v>
      </c>
      <c r="BN116">
        <v>456</v>
      </c>
      <c r="BO116">
        <v>798</v>
      </c>
      <c r="BP116">
        <v>228</v>
      </c>
      <c r="BQ116">
        <v>912</v>
      </c>
      <c r="BR116">
        <v>912</v>
      </c>
      <c r="BS116">
        <v>342</v>
      </c>
      <c r="BT116">
        <v>8254</v>
      </c>
      <c r="BU116">
        <v>1140</v>
      </c>
      <c r="BV116">
        <v>2280</v>
      </c>
      <c r="BW116">
        <v>3420</v>
      </c>
      <c r="BX116">
        <v>638</v>
      </c>
      <c r="BY116">
        <v>912</v>
      </c>
      <c r="BZ116">
        <v>684</v>
      </c>
      <c r="CA116">
        <v>9074</v>
      </c>
      <c r="CB116">
        <v>341</v>
      </c>
      <c r="CC116">
        <v>142</v>
      </c>
      <c r="CD116">
        <v>1728</v>
      </c>
      <c r="CE116">
        <v>2304</v>
      </c>
      <c r="CF116">
        <v>1.33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29</v>
      </c>
      <c r="CM116">
        <v>0</v>
      </c>
      <c r="CN116">
        <v>1123</v>
      </c>
      <c r="CO116">
        <v>0</v>
      </c>
      <c r="CP116">
        <v>173</v>
      </c>
      <c r="CQ116">
        <v>0</v>
      </c>
      <c r="CR116">
        <v>0</v>
      </c>
      <c r="CS116">
        <v>0</v>
      </c>
      <c r="CT116">
        <v>1325</v>
      </c>
      <c r="CU116">
        <v>0</v>
      </c>
      <c r="CV116">
        <v>0</v>
      </c>
      <c r="CW116">
        <v>58</v>
      </c>
      <c r="CX116">
        <v>0</v>
      </c>
      <c r="CY116">
        <v>346</v>
      </c>
      <c r="CZ116">
        <v>0</v>
      </c>
      <c r="DA116">
        <v>0</v>
      </c>
      <c r="DB116">
        <v>0</v>
      </c>
      <c r="DC116">
        <v>404</v>
      </c>
      <c r="DD116">
        <v>0</v>
      </c>
      <c r="DE116">
        <v>0</v>
      </c>
      <c r="DF116">
        <v>2304</v>
      </c>
      <c r="DG116">
        <v>1728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4032</v>
      </c>
      <c r="DT116">
        <v>5761</v>
      </c>
      <c r="DU116">
        <v>1440</v>
      </c>
      <c r="DV116">
        <v>0</v>
      </c>
      <c r="DW116">
        <v>0</v>
      </c>
      <c r="DX116">
        <v>0</v>
      </c>
      <c r="DY116">
        <v>1110</v>
      </c>
      <c r="DZ116">
        <v>1480</v>
      </c>
      <c r="EA116">
        <v>1998</v>
      </c>
      <c r="EB116">
        <v>2590</v>
      </c>
      <c r="EC116">
        <v>222</v>
      </c>
      <c r="ED116">
        <v>2220</v>
      </c>
      <c r="EE116">
        <v>5180</v>
      </c>
      <c r="EF116">
        <v>0</v>
      </c>
      <c r="EG116">
        <v>1</v>
      </c>
      <c r="EH116">
        <v>9.9</v>
      </c>
      <c r="EI116">
        <v>5.2</v>
      </c>
      <c r="EJ116">
        <v>7.2</v>
      </c>
      <c r="EK116">
        <v>18.5</v>
      </c>
    </row>
    <row r="117" spans="1:141" x14ac:dyDescent="0.25">
      <c r="A117" t="str">
        <f>[1]ingredient!B116</f>
        <v>Feigen</v>
      </c>
      <c r="B117" t="s">
        <v>233</v>
      </c>
      <c r="C117" s="7">
        <f>_xlfn.XLOOKUP(A117,[1]ingredient!$B$2:$B$521,[1]ingredient!$A$2:$A$521)</f>
        <v>115</v>
      </c>
      <c r="D117">
        <v>63</v>
      </c>
      <c r="E117">
        <v>1</v>
      </c>
      <c r="F117">
        <v>1</v>
      </c>
      <c r="G117">
        <v>13</v>
      </c>
      <c r="H117">
        <v>2</v>
      </c>
      <c r="I117">
        <v>13</v>
      </c>
      <c r="J117">
        <v>0.02</v>
      </c>
      <c r="K117">
        <v>82</v>
      </c>
      <c r="L117">
        <v>8</v>
      </c>
      <c r="M117">
        <v>4</v>
      </c>
      <c r="N117">
        <v>0</v>
      </c>
      <c r="O117">
        <v>48</v>
      </c>
      <c r="P117">
        <v>46</v>
      </c>
      <c r="Q117">
        <v>50</v>
      </c>
      <c r="R117">
        <v>420</v>
      </c>
      <c r="S117">
        <v>587</v>
      </c>
      <c r="T117">
        <v>300</v>
      </c>
      <c r="U117">
        <v>110</v>
      </c>
      <c r="V117">
        <v>5</v>
      </c>
      <c r="W117">
        <v>7</v>
      </c>
      <c r="X117">
        <v>0</v>
      </c>
      <c r="Y117">
        <v>2740</v>
      </c>
      <c r="Z117">
        <v>0</v>
      </c>
      <c r="AA117">
        <v>501</v>
      </c>
      <c r="AB117">
        <v>10</v>
      </c>
      <c r="AC117">
        <v>2</v>
      </c>
      <c r="AD117">
        <v>240</v>
      </c>
      <c r="AE117">
        <v>54</v>
      </c>
      <c r="AF117">
        <v>20</v>
      </c>
      <c r="AG117">
        <v>32</v>
      </c>
      <c r="AH117">
        <v>13</v>
      </c>
      <c r="AI117">
        <v>18</v>
      </c>
      <c r="AJ117">
        <v>600</v>
      </c>
      <c r="AK117">
        <v>250</v>
      </c>
      <c r="AL117">
        <v>70</v>
      </c>
      <c r="AM117">
        <v>130</v>
      </c>
      <c r="AN117">
        <v>20</v>
      </c>
      <c r="AO117">
        <v>2</v>
      </c>
      <c r="AP117">
        <v>0</v>
      </c>
      <c r="AQ117">
        <v>0</v>
      </c>
      <c r="AR117">
        <v>0</v>
      </c>
      <c r="AS117">
        <v>0</v>
      </c>
      <c r="AT117">
        <v>6992</v>
      </c>
      <c r="AU117">
        <v>5508</v>
      </c>
      <c r="AV117">
        <v>0</v>
      </c>
      <c r="AW117">
        <v>12500</v>
      </c>
      <c r="AX117">
        <v>400</v>
      </c>
      <c r="AY117">
        <v>0</v>
      </c>
      <c r="AZ117">
        <v>0</v>
      </c>
      <c r="BA117">
        <v>400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f t="shared" si="13"/>
        <v>93.442622950819683</v>
      </c>
      <c r="BH117">
        <v>40</v>
      </c>
      <c r="BI117">
        <v>57</v>
      </c>
      <c r="BJ117">
        <v>52</v>
      </c>
      <c r="BK117">
        <v>10</v>
      </c>
      <c r="BL117">
        <v>21</v>
      </c>
      <c r="BM117">
        <v>31</v>
      </c>
      <c r="BN117">
        <v>56</v>
      </c>
      <c r="BO117">
        <v>42</v>
      </c>
      <c r="BP117">
        <v>10</v>
      </c>
      <c r="BQ117">
        <v>48</v>
      </c>
      <c r="BR117">
        <v>30</v>
      </c>
      <c r="BS117">
        <v>20</v>
      </c>
      <c r="BT117">
        <v>417</v>
      </c>
      <c r="BU117">
        <v>78</v>
      </c>
      <c r="BV117">
        <v>305</v>
      </c>
      <c r="BW117">
        <v>125</v>
      </c>
      <c r="BX117">
        <v>43</v>
      </c>
      <c r="BY117">
        <v>85</v>
      </c>
      <c r="BZ117">
        <v>64</v>
      </c>
      <c r="CA117">
        <v>700</v>
      </c>
      <c r="CB117">
        <v>15</v>
      </c>
      <c r="CC117">
        <v>6</v>
      </c>
      <c r="CD117">
        <v>0</v>
      </c>
      <c r="CE117">
        <v>214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3</v>
      </c>
      <c r="CM117">
        <v>0</v>
      </c>
      <c r="CN117">
        <v>68</v>
      </c>
      <c r="CO117">
        <v>0</v>
      </c>
      <c r="CP117">
        <v>18</v>
      </c>
      <c r="CQ117">
        <v>0</v>
      </c>
      <c r="CR117">
        <v>0</v>
      </c>
      <c r="CS117">
        <v>0</v>
      </c>
      <c r="CT117">
        <v>89</v>
      </c>
      <c r="CU117">
        <v>0</v>
      </c>
      <c r="CV117">
        <v>0</v>
      </c>
      <c r="CW117">
        <v>0</v>
      </c>
      <c r="CX117">
        <v>0</v>
      </c>
      <c r="CY117">
        <v>97</v>
      </c>
      <c r="CZ117">
        <v>0</v>
      </c>
      <c r="DA117">
        <v>0</v>
      </c>
      <c r="DB117">
        <v>0</v>
      </c>
      <c r="DC117">
        <v>97</v>
      </c>
      <c r="DD117">
        <v>0</v>
      </c>
      <c r="DE117">
        <v>0</v>
      </c>
      <c r="DF117">
        <v>214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214</v>
      </c>
      <c r="DT117">
        <v>400</v>
      </c>
      <c r="DU117">
        <v>100</v>
      </c>
      <c r="DV117">
        <v>0</v>
      </c>
      <c r="DW117">
        <v>0</v>
      </c>
      <c r="DX117">
        <v>0</v>
      </c>
      <c r="DY117">
        <v>306</v>
      </c>
      <c r="DZ117">
        <v>408</v>
      </c>
      <c r="EA117">
        <v>408</v>
      </c>
      <c r="EB117">
        <v>408</v>
      </c>
      <c r="EC117">
        <v>510</v>
      </c>
      <c r="ED117">
        <v>636</v>
      </c>
      <c r="EE117">
        <v>1404</v>
      </c>
      <c r="EF117">
        <v>0</v>
      </c>
      <c r="EG117">
        <v>0.3</v>
      </c>
      <c r="EH117">
        <v>0.7</v>
      </c>
      <c r="EI117">
        <v>1.4</v>
      </c>
      <c r="EJ117">
        <v>0.5</v>
      </c>
      <c r="EK117">
        <v>1.2</v>
      </c>
    </row>
    <row r="118" spans="1:141" x14ac:dyDescent="0.25">
      <c r="A118" t="str">
        <f>[1]ingredient!B117</f>
        <v>Feldsalat</v>
      </c>
      <c r="B118" t="s">
        <v>234</v>
      </c>
      <c r="C118" s="7">
        <f>_xlfn.XLOOKUP(A118,[1]ingredient!$B$2:$B$521,[1]ingredient!$A$2:$A$521)</f>
        <v>116</v>
      </c>
      <c r="D118">
        <v>15</v>
      </c>
      <c r="E118">
        <v>0.36</v>
      </c>
      <c r="F118">
        <v>2</v>
      </c>
      <c r="G118">
        <v>1</v>
      </c>
      <c r="H118">
        <v>2</v>
      </c>
      <c r="I118">
        <v>1</v>
      </c>
      <c r="J118">
        <v>7.0000000000000007E-2</v>
      </c>
      <c r="K118">
        <v>94</v>
      </c>
      <c r="L118">
        <v>650</v>
      </c>
      <c r="M118">
        <v>325</v>
      </c>
      <c r="N118">
        <v>0</v>
      </c>
      <c r="O118">
        <v>3900</v>
      </c>
      <c r="P118">
        <v>65</v>
      </c>
      <c r="Q118">
        <v>80</v>
      </c>
      <c r="R118">
        <v>380</v>
      </c>
      <c r="S118">
        <v>713</v>
      </c>
      <c r="T118">
        <v>200</v>
      </c>
      <c r="U118">
        <v>250</v>
      </c>
      <c r="V118">
        <v>1</v>
      </c>
      <c r="W118">
        <v>145</v>
      </c>
      <c r="X118">
        <v>0</v>
      </c>
      <c r="Y118">
        <v>35000</v>
      </c>
      <c r="Z118">
        <v>0</v>
      </c>
      <c r="AA118">
        <v>600</v>
      </c>
      <c r="AB118">
        <v>0</v>
      </c>
      <c r="AC118">
        <v>4</v>
      </c>
      <c r="AD118">
        <v>421</v>
      </c>
      <c r="AE118">
        <v>35</v>
      </c>
      <c r="AF118">
        <v>13</v>
      </c>
      <c r="AG118">
        <v>49</v>
      </c>
      <c r="AH118">
        <v>57</v>
      </c>
      <c r="AI118">
        <v>70</v>
      </c>
      <c r="AJ118">
        <v>2000</v>
      </c>
      <c r="AK118">
        <v>310</v>
      </c>
      <c r="AL118">
        <v>110</v>
      </c>
      <c r="AM118">
        <v>200</v>
      </c>
      <c r="AN118">
        <v>100</v>
      </c>
      <c r="AO118">
        <v>35</v>
      </c>
      <c r="AP118">
        <v>0</v>
      </c>
      <c r="AQ118">
        <v>0</v>
      </c>
      <c r="AR118">
        <v>0</v>
      </c>
      <c r="AS118">
        <v>0</v>
      </c>
      <c r="AT118">
        <v>391</v>
      </c>
      <c r="AU118">
        <v>228</v>
      </c>
      <c r="AV118">
        <v>0</v>
      </c>
      <c r="AW118">
        <v>619</v>
      </c>
      <c r="AX118">
        <v>181</v>
      </c>
      <c r="AY118">
        <v>0</v>
      </c>
      <c r="AZ118">
        <v>0</v>
      </c>
      <c r="BA118">
        <v>181</v>
      </c>
      <c r="BB118">
        <v>0</v>
      </c>
      <c r="BC118">
        <v>0</v>
      </c>
      <c r="BD118">
        <v>0</v>
      </c>
      <c r="BE118">
        <v>8</v>
      </c>
      <c r="BF118">
        <v>8</v>
      </c>
      <c r="BG118">
        <f t="shared" si="13"/>
        <v>56.521739130434781</v>
      </c>
      <c r="BH118">
        <v>130</v>
      </c>
      <c r="BI118">
        <v>140</v>
      </c>
      <c r="BJ118">
        <v>110</v>
      </c>
      <c r="BK118">
        <v>11</v>
      </c>
      <c r="BL118">
        <v>15</v>
      </c>
      <c r="BM118">
        <v>96</v>
      </c>
      <c r="BN118">
        <v>62</v>
      </c>
      <c r="BO118">
        <v>85</v>
      </c>
      <c r="BP118">
        <v>20</v>
      </c>
      <c r="BQ118">
        <v>110</v>
      </c>
      <c r="BR118">
        <v>88</v>
      </c>
      <c r="BS118">
        <v>35</v>
      </c>
      <c r="BT118">
        <v>902</v>
      </c>
      <c r="BU118">
        <v>94</v>
      </c>
      <c r="BV118">
        <v>241</v>
      </c>
      <c r="BW118">
        <v>267</v>
      </c>
      <c r="BX118">
        <v>88</v>
      </c>
      <c r="BY118">
        <v>114</v>
      </c>
      <c r="BZ118">
        <v>76</v>
      </c>
      <c r="CA118">
        <v>880</v>
      </c>
      <c r="CB118">
        <v>34</v>
      </c>
      <c r="CC118">
        <v>14</v>
      </c>
      <c r="CD118">
        <v>144</v>
      </c>
      <c r="CE118">
        <v>63</v>
      </c>
      <c r="CF118">
        <v>0.44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6</v>
      </c>
      <c r="CM118">
        <v>0</v>
      </c>
      <c r="CN118">
        <v>58</v>
      </c>
      <c r="CO118">
        <v>0</v>
      </c>
      <c r="CP118">
        <v>4</v>
      </c>
      <c r="CQ118">
        <v>0</v>
      </c>
      <c r="CR118">
        <v>0</v>
      </c>
      <c r="CS118">
        <v>0</v>
      </c>
      <c r="CT118">
        <v>68</v>
      </c>
      <c r="CU118">
        <v>0</v>
      </c>
      <c r="CV118">
        <v>0</v>
      </c>
      <c r="CW118">
        <v>3</v>
      </c>
      <c r="CX118">
        <v>0</v>
      </c>
      <c r="CY118">
        <v>10</v>
      </c>
      <c r="CZ118">
        <v>0</v>
      </c>
      <c r="DA118">
        <v>0</v>
      </c>
      <c r="DB118">
        <v>0</v>
      </c>
      <c r="DC118">
        <v>13</v>
      </c>
      <c r="DD118">
        <v>0</v>
      </c>
      <c r="DE118">
        <v>0</v>
      </c>
      <c r="DF118">
        <v>63</v>
      </c>
      <c r="DG118">
        <v>144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207</v>
      </c>
      <c r="DT118">
        <v>288</v>
      </c>
      <c r="DU118">
        <v>72</v>
      </c>
      <c r="DV118">
        <v>0</v>
      </c>
      <c r="DW118">
        <v>0</v>
      </c>
      <c r="DX118">
        <v>0</v>
      </c>
      <c r="DY118">
        <v>216</v>
      </c>
      <c r="DZ118">
        <v>180</v>
      </c>
      <c r="EA118">
        <v>486</v>
      </c>
      <c r="EB118">
        <v>900</v>
      </c>
      <c r="EC118">
        <v>18</v>
      </c>
      <c r="ED118">
        <v>150</v>
      </c>
      <c r="EE118">
        <v>1370</v>
      </c>
      <c r="EF118">
        <v>0</v>
      </c>
      <c r="EG118">
        <v>0.3</v>
      </c>
      <c r="EH118">
        <v>0.8</v>
      </c>
      <c r="EI118">
        <v>1.4</v>
      </c>
      <c r="EJ118">
        <v>0.4</v>
      </c>
      <c r="EK118">
        <v>1.9</v>
      </c>
    </row>
    <row r="119" spans="1:141" x14ac:dyDescent="0.25">
      <c r="A119" t="str">
        <f>[1]ingredient!B118</f>
        <v>Felsenbirnen</v>
      </c>
      <c r="C119" s="7">
        <f>_xlfn.XLOOKUP(A119,[1]ingredient!$B$2:$B$521,[1]ingredient!$A$2:$A$521)</f>
        <v>117</v>
      </c>
      <c r="D119">
        <v>90</v>
      </c>
      <c r="E119">
        <v>1</v>
      </c>
      <c r="F119">
        <v>1</v>
      </c>
      <c r="G119">
        <v>20</v>
      </c>
      <c r="I119">
        <v>18</v>
      </c>
      <c r="J119">
        <v>0</v>
      </c>
      <c r="L119">
        <v>50</v>
      </c>
      <c r="M119">
        <v>25</v>
      </c>
      <c r="Y119">
        <v>23000</v>
      </c>
      <c r="AA119">
        <v>1000</v>
      </c>
      <c r="BG119">
        <f t="shared" si="13"/>
        <v>0</v>
      </c>
    </row>
    <row r="120" spans="1:141" x14ac:dyDescent="0.25">
      <c r="A120" t="str">
        <f>[1]ingredient!B119</f>
        <v>Fenchel</v>
      </c>
      <c r="B120" t="s">
        <v>235</v>
      </c>
      <c r="C120" s="7">
        <f>_xlfn.XLOOKUP(A120,[1]ingredient!$B$2:$B$521,[1]ingredient!$A$2:$A$521)</f>
        <v>118</v>
      </c>
      <c r="D120">
        <v>19</v>
      </c>
      <c r="E120">
        <v>0.2</v>
      </c>
      <c r="F120">
        <v>1</v>
      </c>
      <c r="G120">
        <v>3</v>
      </c>
      <c r="H120">
        <v>2</v>
      </c>
      <c r="I120">
        <v>3</v>
      </c>
      <c r="J120">
        <v>0.03</v>
      </c>
      <c r="K120">
        <v>92</v>
      </c>
      <c r="L120">
        <v>23</v>
      </c>
      <c r="M120">
        <v>12</v>
      </c>
      <c r="N120">
        <v>0</v>
      </c>
      <c r="O120">
        <v>140</v>
      </c>
      <c r="P120">
        <v>33</v>
      </c>
      <c r="Q120">
        <v>110</v>
      </c>
      <c r="R120">
        <v>200</v>
      </c>
      <c r="S120">
        <v>500</v>
      </c>
      <c r="T120">
        <v>0</v>
      </c>
      <c r="U120">
        <v>59</v>
      </c>
      <c r="V120">
        <v>0</v>
      </c>
      <c r="W120">
        <v>37</v>
      </c>
      <c r="X120">
        <v>0</v>
      </c>
      <c r="Y120">
        <v>9000</v>
      </c>
      <c r="Z120">
        <v>0</v>
      </c>
      <c r="AA120">
        <v>0</v>
      </c>
      <c r="AB120">
        <v>0</v>
      </c>
      <c r="AC120">
        <v>27</v>
      </c>
      <c r="AD120">
        <v>395</v>
      </c>
      <c r="AE120">
        <v>38</v>
      </c>
      <c r="AF120">
        <v>12</v>
      </c>
      <c r="AG120">
        <v>51</v>
      </c>
      <c r="AH120">
        <v>0</v>
      </c>
      <c r="AI120">
        <v>0</v>
      </c>
      <c r="AJ120">
        <v>0</v>
      </c>
      <c r="AK120">
        <v>220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134</v>
      </c>
      <c r="AR120">
        <v>0</v>
      </c>
      <c r="AS120">
        <v>134</v>
      </c>
      <c r="AT120">
        <v>1346</v>
      </c>
      <c r="AU120">
        <v>1147</v>
      </c>
      <c r="AV120">
        <v>0</v>
      </c>
      <c r="AW120">
        <v>2493</v>
      </c>
      <c r="AX120">
        <v>373</v>
      </c>
      <c r="AY120">
        <v>0</v>
      </c>
      <c r="AZ120">
        <v>0</v>
      </c>
      <c r="BA120">
        <v>373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f t="shared" si="13"/>
        <v>173.91304347826087</v>
      </c>
      <c r="BH120">
        <v>74</v>
      </c>
      <c r="BI120">
        <v>111</v>
      </c>
      <c r="BJ120">
        <v>92</v>
      </c>
      <c r="BK120">
        <v>22</v>
      </c>
      <c r="BL120">
        <v>18</v>
      </c>
      <c r="BM120">
        <v>55</v>
      </c>
      <c r="BN120">
        <v>37</v>
      </c>
      <c r="BO120">
        <v>64</v>
      </c>
      <c r="BP120">
        <v>18</v>
      </c>
      <c r="BQ120">
        <v>74</v>
      </c>
      <c r="BR120">
        <v>74</v>
      </c>
      <c r="BS120">
        <v>28</v>
      </c>
      <c r="BT120">
        <v>667</v>
      </c>
      <c r="BU120">
        <v>92</v>
      </c>
      <c r="BV120">
        <v>184</v>
      </c>
      <c r="BW120">
        <v>276</v>
      </c>
      <c r="BX120">
        <v>51</v>
      </c>
      <c r="BY120">
        <v>74</v>
      </c>
      <c r="BZ120">
        <v>55</v>
      </c>
      <c r="CA120">
        <v>732</v>
      </c>
      <c r="CB120">
        <v>0</v>
      </c>
      <c r="CC120">
        <v>0</v>
      </c>
      <c r="CD120">
        <v>29</v>
      </c>
      <c r="CE120">
        <v>80</v>
      </c>
      <c r="CF120">
        <v>2.76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1</v>
      </c>
      <c r="CM120">
        <v>0</v>
      </c>
      <c r="CN120">
        <v>38</v>
      </c>
      <c r="CO120">
        <v>0</v>
      </c>
      <c r="CP120">
        <v>3</v>
      </c>
      <c r="CQ120">
        <v>0</v>
      </c>
      <c r="CR120">
        <v>0</v>
      </c>
      <c r="CS120">
        <v>0</v>
      </c>
      <c r="CT120">
        <v>43</v>
      </c>
      <c r="CU120">
        <v>0</v>
      </c>
      <c r="CV120">
        <v>0</v>
      </c>
      <c r="CW120">
        <v>0</v>
      </c>
      <c r="CX120">
        <v>0</v>
      </c>
      <c r="CY120">
        <v>8</v>
      </c>
      <c r="CZ120">
        <v>0</v>
      </c>
      <c r="DA120">
        <v>0</v>
      </c>
      <c r="DB120">
        <v>0</v>
      </c>
      <c r="DC120">
        <v>8</v>
      </c>
      <c r="DD120">
        <v>0</v>
      </c>
      <c r="DE120">
        <v>0</v>
      </c>
      <c r="DF120">
        <v>80</v>
      </c>
      <c r="DG120">
        <v>29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109</v>
      </c>
      <c r="DT120">
        <v>160</v>
      </c>
      <c r="DU120">
        <v>40</v>
      </c>
      <c r="DV120">
        <v>0</v>
      </c>
      <c r="DW120">
        <v>0</v>
      </c>
      <c r="DX120">
        <v>0</v>
      </c>
      <c r="DY120">
        <v>100</v>
      </c>
      <c r="DZ120">
        <v>700</v>
      </c>
      <c r="EA120">
        <v>560</v>
      </c>
      <c r="EB120">
        <v>600</v>
      </c>
      <c r="EC120">
        <v>40</v>
      </c>
      <c r="ED120">
        <v>500</v>
      </c>
      <c r="EE120">
        <v>1500</v>
      </c>
      <c r="EF120">
        <v>0</v>
      </c>
      <c r="EG120">
        <v>0</v>
      </c>
      <c r="EH120">
        <v>1</v>
      </c>
      <c r="EI120">
        <v>1.5</v>
      </c>
      <c r="EJ120">
        <v>0.2</v>
      </c>
      <c r="EK120">
        <v>1.4</v>
      </c>
    </row>
    <row r="121" spans="1:141" x14ac:dyDescent="0.25">
      <c r="A121" t="str">
        <f>[1]ingredient!B120</f>
        <v>Fenchelsamen</v>
      </c>
      <c r="B121" t="s">
        <v>236</v>
      </c>
      <c r="C121" s="7">
        <f>_xlfn.XLOOKUP(A121,[1]ingredient!$B$2:$B$521,[1]ingredient!$A$2:$A$521)</f>
        <v>119</v>
      </c>
      <c r="D121">
        <v>365</v>
      </c>
      <c r="E121">
        <v>16</v>
      </c>
      <c r="F121">
        <v>17</v>
      </c>
      <c r="G121">
        <v>38</v>
      </c>
      <c r="H121">
        <v>17</v>
      </c>
      <c r="I121">
        <v>37</v>
      </c>
      <c r="J121">
        <v>0.15</v>
      </c>
      <c r="K121">
        <v>4</v>
      </c>
      <c r="L121">
        <v>14</v>
      </c>
      <c r="M121">
        <v>7</v>
      </c>
      <c r="N121">
        <v>0</v>
      </c>
      <c r="O121">
        <v>82</v>
      </c>
      <c r="P121">
        <v>375</v>
      </c>
      <c r="Q121">
        <v>362</v>
      </c>
      <c r="R121">
        <v>6266</v>
      </c>
      <c r="S121">
        <v>10833</v>
      </c>
      <c r="T121">
        <v>243</v>
      </c>
      <c r="U121">
        <v>103</v>
      </c>
      <c r="V121">
        <v>2</v>
      </c>
      <c r="W121">
        <v>11</v>
      </c>
      <c r="X121">
        <v>0</v>
      </c>
      <c r="Y121">
        <v>2974</v>
      </c>
      <c r="Z121">
        <v>0</v>
      </c>
      <c r="AA121">
        <v>779</v>
      </c>
      <c r="AB121">
        <v>324</v>
      </c>
      <c r="AC121">
        <v>81</v>
      </c>
      <c r="AD121">
        <v>1557</v>
      </c>
      <c r="AE121">
        <v>1163</v>
      </c>
      <c r="AF121">
        <v>375</v>
      </c>
      <c r="AG121">
        <v>474</v>
      </c>
      <c r="AH121">
        <v>48</v>
      </c>
      <c r="AI121">
        <v>68</v>
      </c>
      <c r="AJ121">
        <v>17039</v>
      </c>
      <c r="AK121">
        <v>3601</v>
      </c>
      <c r="AL121">
        <v>1041</v>
      </c>
      <c r="AM121">
        <v>1460</v>
      </c>
      <c r="AN121">
        <v>68</v>
      </c>
      <c r="AO121">
        <v>3</v>
      </c>
      <c r="AP121">
        <v>0</v>
      </c>
      <c r="AQ121">
        <v>0</v>
      </c>
      <c r="AR121">
        <v>0</v>
      </c>
      <c r="AS121">
        <v>0</v>
      </c>
      <c r="AT121">
        <v>15039</v>
      </c>
      <c r="AU121">
        <v>15037</v>
      </c>
      <c r="AV121">
        <v>0</v>
      </c>
      <c r="AW121">
        <v>30076</v>
      </c>
      <c r="AX121">
        <v>7143</v>
      </c>
      <c r="AY121">
        <v>0</v>
      </c>
      <c r="AZ121">
        <v>0</v>
      </c>
      <c r="BA121">
        <v>7143</v>
      </c>
      <c r="BB121">
        <v>0</v>
      </c>
      <c r="BC121">
        <v>0</v>
      </c>
      <c r="BD121">
        <v>0</v>
      </c>
      <c r="BE121">
        <v>376</v>
      </c>
      <c r="BF121">
        <v>376</v>
      </c>
      <c r="BG121">
        <f t="shared" si="13"/>
        <v>100.49019607843137</v>
      </c>
      <c r="BH121">
        <v>752</v>
      </c>
      <c r="BI121">
        <v>1060</v>
      </c>
      <c r="BJ121">
        <v>820</v>
      </c>
      <c r="BK121">
        <v>324</v>
      </c>
      <c r="BL121">
        <v>239</v>
      </c>
      <c r="BM121">
        <v>683</v>
      </c>
      <c r="BN121">
        <v>444</v>
      </c>
      <c r="BO121">
        <v>648</v>
      </c>
      <c r="BP121">
        <v>274</v>
      </c>
      <c r="BQ121">
        <v>975</v>
      </c>
      <c r="BR121">
        <v>734</v>
      </c>
      <c r="BS121">
        <v>342</v>
      </c>
      <c r="BT121">
        <v>7295</v>
      </c>
      <c r="BU121">
        <v>854</v>
      </c>
      <c r="BV121">
        <v>1982</v>
      </c>
      <c r="BW121">
        <v>3177</v>
      </c>
      <c r="BX121">
        <v>1179</v>
      </c>
      <c r="BY121">
        <v>957</v>
      </c>
      <c r="BZ121">
        <v>957</v>
      </c>
      <c r="CA121">
        <v>9106</v>
      </c>
      <c r="CB121">
        <v>76</v>
      </c>
      <c r="CC121">
        <v>32</v>
      </c>
      <c r="CD121">
        <v>0</v>
      </c>
      <c r="CE121">
        <v>1832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523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523</v>
      </c>
      <c r="CU121">
        <v>0</v>
      </c>
      <c r="CV121">
        <v>0</v>
      </c>
      <c r="CW121">
        <v>0</v>
      </c>
      <c r="CX121">
        <v>0</v>
      </c>
      <c r="CY121">
        <v>10727</v>
      </c>
      <c r="CZ121">
        <v>0</v>
      </c>
      <c r="DA121">
        <v>0</v>
      </c>
      <c r="DB121">
        <v>0</v>
      </c>
      <c r="DC121">
        <v>10727</v>
      </c>
      <c r="DD121">
        <v>0</v>
      </c>
      <c r="DE121">
        <v>0</v>
      </c>
      <c r="DF121">
        <v>1832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1832</v>
      </c>
      <c r="DT121">
        <v>13082</v>
      </c>
      <c r="DU121">
        <v>3028</v>
      </c>
      <c r="DV121">
        <v>0</v>
      </c>
      <c r="DW121">
        <v>0</v>
      </c>
      <c r="DX121">
        <v>0</v>
      </c>
      <c r="DY121">
        <v>2546</v>
      </c>
      <c r="DZ121">
        <v>3395</v>
      </c>
      <c r="EA121">
        <v>4583</v>
      </c>
      <c r="EB121">
        <v>5942</v>
      </c>
      <c r="EC121">
        <v>509</v>
      </c>
      <c r="ED121">
        <v>5092</v>
      </c>
      <c r="EE121">
        <v>11883</v>
      </c>
      <c r="EF121">
        <v>0</v>
      </c>
      <c r="EG121">
        <v>0.27</v>
      </c>
      <c r="EH121">
        <v>8</v>
      </c>
      <c r="EI121">
        <v>11.9</v>
      </c>
      <c r="EJ121">
        <v>16.100000000000001</v>
      </c>
      <c r="EK121">
        <v>16.7</v>
      </c>
    </row>
    <row r="122" spans="1:141" x14ac:dyDescent="0.25">
      <c r="A122" t="str">
        <f>[1]ingredient!B121</f>
        <v>Flohsamenschalen</v>
      </c>
      <c r="B122" t="s">
        <v>237</v>
      </c>
      <c r="C122" s="7">
        <f>_xlfn.XLOOKUP(A122,[1]ingredient!$B$2:$B$521,[1]ingredient!$A$2:$A$521)</f>
        <v>120</v>
      </c>
      <c r="D122">
        <v>201</v>
      </c>
      <c r="E122">
        <v>0.3</v>
      </c>
      <c r="F122">
        <v>1</v>
      </c>
      <c r="G122">
        <v>8</v>
      </c>
      <c r="H122">
        <v>81</v>
      </c>
      <c r="I122">
        <v>0.2</v>
      </c>
      <c r="J122">
        <v>0.08</v>
      </c>
      <c r="K122">
        <v>7</v>
      </c>
      <c r="L122">
        <v>0</v>
      </c>
      <c r="M122">
        <v>0</v>
      </c>
      <c r="N122">
        <v>0</v>
      </c>
      <c r="O122">
        <v>0</v>
      </c>
      <c r="P122">
        <v>400</v>
      </c>
      <c r="Q122">
        <v>200</v>
      </c>
      <c r="R122">
        <v>2800</v>
      </c>
      <c r="S122">
        <v>3100</v>
      </c>
      <c r="T122">
        <v>0</v>
      </c>
      <c r="U122">
        <v>400</v>
      </c>
      <c r="V122">
        <v>13</v>
      </c>
      <c r="W122">
        <v>57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61</v>
      </c>
      <c r="AD122">
        <v>847</v>
      </c>
      <c r="AE122">
        <v>239</v>
      </c>
      <c r="AF122">
        <v>374</v>
      </c>
      <c r="AG122">
        <v>618</v>
      </c>
      <c r="AH122">
        <v>255</v>
      </c>
      <c r="AI122">
        <v>19</v>
      </c>
      <c r="AJ122">
        <v>7800</v>
      </c>
      <c r="AK122">
        <v>4800</v>
      </c>
      <c r="AL122">
        <v>1400</v>
      </c>
      <c r="AM122">
        <v>2600</v>
      </c>
      <c r="AN122">
        <v>100</v>
      </c>
      <c r="AO122">
        <v>2</v>
      </c>
      <c r="AP122">
        <v>0</v>
      </c>
      <c r="AQ122">
        <v>0</v>
      </c>
      <c r="AR122">
        <v>0</v>
      </c>
      <c r="AS122">
        <v>0</v>
      </c>
      <c r="AT122">
        <v>100</v>
      </c>
      <c r="AU122">
        <v>0</v>
      </c>
      <c r="AV122">
        <v>0</v>
      </c>
      <c r="AW122">
        <v>100</v>
      </c>
      <c r="AX122">
        <v>100</v>
      </c>
      <c r="AY122">
        <v>0</v>
      </c>
      <c r="AZ122">
        <v>0</v>
      </c>
      <c r="BA122">
        <v>100</v>
      </c>
      <c r="BB122">
        <v>8000</v>
      </c>
      <c r="BC122">
        <v>0</v>
      </c>
      <c r="BD122">
        <v>0</v>
      </c>
      <c r="BE122">
        <v>0</v>
      </c>
      <c r="BF122">
        <v>0</v>
      </c>
      <c r="BG122">
        <f t="shared" si="13"/>
        <v>97.916666666666657</v>
      </c>
      <c r="BH122">
        <v>49</v>
      </c>
      <c r="BI122">
        <v>70</v>
      </c>
      <c r="BJ122">
        <v>47</v>
      </c>
      <c r="BK122">
        <v>23</v>
      </c>
      <c r="BL122">
        <v>22</v>
      </c>
      <c r="BM122">
        <v>57</v>
      </c>
      <c r="BN122">
        <v>31</v>
      </c>
      <c r="BO122">
        <v>45</v>
      </c>
      <c r="BP122">
        <v>20</v>
      </c>
      <c r="BQ122">
        <v>59</v>
      </c>
      <c r="BR122">
        <v>115</v>
      </c>
      <c r="BS122">
        <v>27</v>
      </c>
      <c r="BT122">
        <v>565</v>
      </c>
      <c r="BU122">
        <v>55</v>
      </c>
      <c r="BV122">
        <v>115</v>
      </c>
      <c r="BW122">
        <v>243</v>
      </c>
      <c r="BX122">
        <v>71</v>
      </c>
      <c r="BY122">
        <v>44</v>
      </c>
      <c r="BZ122">
        <v>57</v>
      </c>
      <c r="CA122">
        <v>585</v>
      </c>
      <c r="CB122">
        <v>0</v>
      </c>
      <c r="CC122">
        <v>0</v>
      </c>
      <c r="CD122">
        <v>100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0.4</v>
      </c>
      <c r="CM122">
        <v>0</v>
      </c>
      <c r="CN122">
        <v>44</v>
      </c>
      <c r="CO122">
        <v>0.4</v>
      </c>
      <c r="CP122">
        <v>33</v>
      </c>
      <c r="CQ122">
        <v>1</v>
      </c>
      <c r="CR122">
        <v>1</v>
      </c>
      <c r="CS122">
        <v>1</v>
      </c>
      <c r="CT122">
        <v>100</v>
      </c>
      <c r="CU122">
        <v>0</v>
      </c>
      <c r="CV122">
        <v>0</v>
      </c>
      <c r="CW122">
        <v>0.2</v>
      </c>
      <c r="CX122">
        <v>0.2</v>
      </c>
      <c r="CY122">
        <v>89</v>
      </c>
      <c r="CZ122">
        <v>1</v>
      </c>
      <c r="DA122">
        <v>0</v>
      </c>
      <c r="DB122">
        <v>0</v>
      </c>
      <c r="DC122">
        <v>100</v>
      </c>
      <c r="DD122">
        <v>0</v>
      </c>
      <c r="DE122">
        <v>0</v>
      </c>
      <c r="DF122">
        <v>0</v>
      </c>
      <c r="DG122">
        <v>100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100</v>
      </c>
      <c r="DT122">
        <v>300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40600</v>
      </c>
      <c r="EE122">
        <v>40200</v>
      </c>
      <c r="EF122">
        <v>0</v>
      </c>
      <c r="EG122">
        <v>0</v>
      </c>
      <c r="EH122">
        <v>2.4</v>
      </c>
      <c r="EI122">
        <v>40.200000000000003</v>
      </c>
      <c r="EJ122">
        <v>0.3</v>
      </c>
      <c r="EK122">
        <v>1.2</v>
      </c>
    </row>
    <row r="123" spans="1:141" x14ac:dyDescent="0.25">
      <c r="A123" t="str">
        <f>[1]ingredient!B122</f>
        <v>Frisee-Salat</v>
      </c>
      <c r="B123" t="s">
        <v>170</v>
      </c>
      <c r="C123" s="7">
        <f>_xlfn.XLOOKUP(A123,[1]ingredient!$B$2:$B$521,[1]ingredient!$A$2:$A$521)</f>
        <v>121</v>
      </c>
      <c r="D123">
        <v>11</v>
      </c>
      <c r="E123">
        <v>0.2</v>
      </c>
      <c r="F123">
        <v>2</v>
      </c>
      <c r="G123">
        <v>0.3</v>
      </c>
      <c r="H123">
        <v>1</v>
      </c>
      <c r="I123">
        <v>0.28999999999999998</v>
      </c>
      <c r="J123">
        <v>0.12</v>
      </c>
      <c r="K123">
        <v>95</v>
      </c>
      <c r="L123">
        <v>280</v>
      </c>
      <c r="M123">
        <v>140</v>
      </c>
      <c r="N123">
        <v>0</v>
      </c>
      <c r="O123">
        <v>1681</v>
      </c>
      <c r="P123">
        <v>52</v>
      </c>
      <c r="Q123">
        <v>120</v>
      </c>
      <c r="R123">
        <v>410</v>
      </c>
      <c r="S123">
        <v>727</v>
      </c>
      <c r="T123">
        <v>900</v>
      </c>
      <c r="U123">
        <v>50</v>
      </c>
      <c r="V123">
        <v>1</v>
      </c>
      <c r="W123">
        <v>49</v>
      </c>
      <c r="X123">
        <v>0</v>
      </c>
      <c r="Y123">
        <v>10000</v>
      </c>
      <c r="Z123">
        <v>0</v>
      </c>
      <c r="AA123">
        <v>1000</v>
      </c>
      <c r="AB123">
        <v>200</v>
      </c>
      <c r="AC123">
        <v>53</v>
      </c>
      <c r="AD123">
        <v>346</v>
      </c>
      <c r="AE123">
        <v>54</v>
      </c>
      <c r="AF123">
        <v>10</v>
      </c>
      <c r="AG123">
        <v>54</v>
      </c>
      <c r="AH123">
        <v>26</v>
      </c>
      <c r="AI123">
        <v>71</v>
      </c>
      <c r="AJ123">
        <v>1400</v>
      </c>
      <c r="AK123">
        <v>355</v>
      </c>
      <c r="AL123">
        <v>44</v>
      </c>
      <c r="AM123">
        <v>153</v>
      </c>
      <c r="AN123">
        <v>62</v>
      </c>
      <c r="AO123">
        <v>6</v>
      </c>
      <c r="AP123">
        <v>0</v>
      </c>
      <c r="AQ123">
        <v>0</v>
      </c>
      <c r="AR123">
        <v>0</v>
      </c>
      <c r="AS123">
        <v>0</v>
      </c>
      <c r="AT123">
        <v>21</v>
      </c>
      <c r="AU123">
        <v>51</v>
      </c>
      <c r="AV123">
        <v>0</v>
      </c>
      <c r="AW123">
        <v>72</v>
      </c>
      <c r="AX123">
        <v>222</v>
      </c>
      <c r="AY123">
        <v>0</v>
      </c>
      <c r="AZ123">
        <v>0</v>
      </c>
      <c r="BA123">
        <v>222</v>
      </c>
      <c r="BB123">
        <v>0</v>
      </c>
      <c r="BC123">
        <v>0</v>
      </c>
      <c r="BD123">
        <v>0</v>
      </c>
      <c r="BE123">
        <v>6</v>
      </c>
      <c r="BF123">
        <v>6</v>
      </c>
      <c r="BG123">
        <f t="shared" si="13"/>
        <v>71.739130434782609</v>
      </c>
      <c r="BH123">
        <v>114</v>
      </c>
      <c r="BI123">
        <v>117</v>
      </c>
      <c r="BJ123">
        <v>88</v>
      </c>
      <c r="BK123">
        <v>21</v>
      </c>
      <c r="BL123">
        <v>12</v>
      </c>
      <c r="BM123">
        <v>79</v>
      </c>
      <c r="BN123">
        <v>49</v>
      </c>
      <c r="BO123">
        <v>67</v>
      </c>
      <c r="BP123">
        <v>19</v>
      </c>
      <c r="BQ123">
        <v>88</v>
      </c>
      <c r="BR123">
        <v>84</v>
      </c>
      <c r="BS123">
        <v>28</v>
      </c>
      <c r="BT123">
        <v>766</v>
      </c>
      <c r="BU123">
        <v>75</v>
      </c>
      <c r="BV123">
        <v>193</v>
      </c>
      <c r="BW123">
        <v>214</v>
      </c>
      <c r="BX123">
        <v>70</v>
      </c>
      <c r="BY123">
        <v>91</v>
      </c>
      <c r="BZ123">
        <v>61</v>
      </c>
      <c r="CA123">
        <v>704</v>
      </c>
      <c r="CB123">
        <v>11</v>
      </c>
      <c r="CC123">
        <v>5</v>
      </c>
      <c r="CD123">
        <v>16</v>
      </c>
      <c r="CE123">
        <v>86</v>
      </c>
      <c r="CF123">
        <v>5.38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3</v>
      </c>
      <c r="CM123">
        <v>0</v>
      </c>
      <c r="CN123">
        <v>48</v>
      </c>
      <c r="CO123">
        <v>0</v>
      </c>
      <c r="CP123">
        <v>2</v>
      </c>
      <c r="CQ123">
        <v>0</v>
      </c>
      <c r="CR123">
        <v>0</v>
      </c>
      <c r="CS123">
        <v>0</v>
      </c>
      <c r="CT123">
        <v>53</v>
      </c>
      <c r="CU123">
        <v>0</v>
      </c>
      <c r="CV123">
        <v>0</v>
      </c>
      <c r="CW123">
        <v>0</v>
      </c>
      <c r="CX123">
        <v>0</v>
      </c>
      <c r="CY123">
        <v>5</v>
      </c>
      <c r="CZ123">
        <v>0</v>
      </c>
      <c r="DA123">
        <v>0</v>
      </c>
      <c r="DB123">
        <v>0</v>
      </c>
      <c r="DC123">
        <v>5</v>
      </c>
      <c r="DD123">
        <v>0</v>
      </c>
      <c r="DE123">
        <v>0</v>
      </c>
      <c r="DF123">
        <v>86</v>
      </c>
      <c r="DG123">
        <v>16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102</v>
      </c>
      <c r="DT123">
        <v>160</v>
      </c>
      <c r="DU123">
        <v>40</v>
      </c>
      <c r="DV123">
        <v>0</v>
      </c>
      <c r="DW123">
        <v>0</v>
      </c>
      <c r="DX123">
        <v>0</v>
      </c>
      <c r="DY123">
        <v>207</v>
      </c>
      <c r="DZ123">
        <v>146</v>
      </c>
      <c r="EA123">
        <v>440</v>
      </c>
      <c r="EB123">
        <v>390</v>
      </c>
      <c r="EC123">
        <v>37</v>
      </c>
      <c r="ED123">
        <v>293</v>
      </c>
      <c r="EE123">
        <v>927</v>
      </c>
      <c r="EF123">
        <v>0</v>
      </c>
      <c r="EG123">
        <v>0.28000000000000003</v>
      </c>
      <c r="EH123">
        <v>0.9</v>
      </c>
      <c r="EI123">
        <v>0.9</v>
      </c>
      <c r="EJ123">
        <v>0.2</v>
      </c>
      <c r="EK123">
        <v>1.5</v>
      </c>
    </row>
    <row r="124" spans="1:141" x14ac:dyDescent="0.25">
      <c r="A124" t="str">
        <f>[1]ingredient!B123</f>
        <v>Frühlingszwiebeln</v>
      </c>
      <c r="B124" t="s">
        <v>238</v>
      </c>
      <c r="C124" s="7">
        <f>_xlfn.XLOOKUP(A124,[1]ingredient!$B$2:$B$521,[1]ingredient!$A$2:$A$521)</f>
        <v>122</v>
      </c>
      <c r="D124">
        <v>42</v>
      </c>
      <c r="E124">
        <v>0.3</v>
      </c>
      <c r="F124">
        <v>1</v>
      </c>
      <c r="G124">
        <v>9</v>
      </c>
      <c r="H124">
        <v>3</v>
      </c>
      <c r="I124">
        <v>7</v>
      </c>
      <c r="J124">
        <v>0.05</v>
      </c>
      <c r="K124">
        <v>87</v>
      </c>
      <c r="L124">
        <v>200</v>
      </c>
      <c r="M124">
        <v>100</v>
      </c>
      <c r="N124">
        <v>0</v>
      </c>
      <c r="O124">
        <v>1200</v>
      </c>
      <c r="P124">
        <v>130</v>
      </c>
      <c r="Q124">
        <v>60</v>
      </c>
      <c r="R124">
        <v>700</v>
      </c>
      <c r="S124">
        <v>1017</v>
      </c>
      <c r="T124">
        <v>110</v>
      </c>
      <c r="U124">
        <v>200</v>
      </c>
      <c r="V124">
        <v>1</v>
      </c>
      <c r="W124">
        <v>17</v>
      </c>
      <c r="X124">
        <v>0</v>
      </c>
      <c r="Y124">
        <v>25000</v>
      </c>
      <c r="Z124">
        <v>0</v>
      </c>
      <c r="AA124">
        <v>250</v>
      </c>
      <c r="AB124">
        <v>0</v>
      </c>
      <c r="AC124">
        <v>13</v>
      </c>
      <c r="AD124">
        <v>230</v>
      </c>
      <c r="AE124">
        <v>140</v>
      </c>
      <c r="AF124">
        <v>11</v>
      </c>
      <c r="AG124">
        <v>24</v>
      </c>
      <c r="AH124">
        <v>50</v>
      </c>
      <c r="AI124">
        <v>36</v>
      </c>
      <c r="AJ124">
        <v>1200</v>
      </c>
      <c r="AK124">
        <v>1000</v>
      </c>
      <c r="AL124">
        <v>80</v>
      </c>
      <c r="AM124">
        <v>230</v>
      </c>
      <c r="AN124">
        <v>40</v>
      </c>
      <c r="AO124">
        <v>2</v>
      </c>
      <c r="AP124">
        <v>0</v>
      </c>
      <c r="AQ124">
        <v>0</v>
      </c>
      <c r="AR124">
        <v>0</v>
      </c>
      <c r="AS124">
        <v>0</v>
      </c>
      <c r="AT124">
        <v>2975</v>
      </c>
      <c r="AU124">
        <v>1870</v>
      </c>
      <c r="AV124">
        <v>0</v>
      </c>
      <c r="AW124">
        <v>4845</v>
      </c>
      <c r="AX124">
        <v>1700</v>
      </c>
      <c r="AY124">
        <v>0</v>
      </c>
      <c r="AZ124">
        <v>0</v>
      </c>
      <c r="BA124">
        <v>1700</v>
      </c>
      <c r="BB124">
        <v>1955</v>
      </c>
      <c r="BC124">
        <v>0</v>
      </c>
      <c r="BD124">
        <v>0</v>
      </c>
      <c r="BE124">
        <v>0</v>
      </c>
      <c r="BF124">
        <v>0</v>
      </c>
      <c r="BG124">
        <f t="shared" si="13"/>
        <v>55.737704918032783</v>
      </c>
      <c r="BH124">
        <v>23</v>
      </c>
      <c r="BI124">
        <v>34</v>
      </c>
      <c r="BJ124">
        <v>57</v>
      </c>
      <c r="BK124">
        <v>13</v>
      </c>
      <c r="BL124">
        <v>21</v>
      </c>
      <c r="BM124">
        <v>34</v>
      </c>
      <c r="BN124">
        <v>39</v>
      </c>
      <c r="BO124">
        <v>20</v>
      </c>
      <c r="BP124">
        <v>19</v>
      </c>
      <c r="BQ124">
        <v>26</v>
      </c>
      <c r="BR124">
        <v>167</v>
      </c>
      <c r="BS124">
        <v>14</v>
      </c>
      <c r="BT124">
        <v>467</v>
      </c>
      <c r="BU124">
        <v>34</v>
      </c>
      <c r="BV124">
        <v>70</v>
      </c>
      <c r="BW124">
        <v>200</v>
      </c>
      <c r="BX124">
        <v>53</v>
      </c>
      <c r="BY124">
        <v>40</v>
      </c>
      <c r="BZ124">
        <v>36</v>
      </c>
      <c r="CA124">
        <v>433</v>
      </c>
      <c r="CB124">
        <v>15</v>
      </c>
      <c r="CC124">
        <v>6</v>
      </c>
      <c r="CD124">
        <v>11</v>
      </c>
      <c r="CE124">
        <v>120</v>
      </c>
      <c r="CF124">
        <v>10.91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65</v>
      </c>
      <c r="CO124">
        <v>0</v>
      </c>
      <c r="CP124">
        <v>5</v>
      </c>
      <c r="CQ124">
        <v>0</v>
      </c>
      <c r="CR124">
        <v>0</v>
      </c>
      <c r="CS124">
        <v>0</v>
      </c>
      <c r="CT124">
        <v>71</v>
      </c>
      <c r="CU124">
        <v>0</v>
      </c>
      <c r="CV124">
        <v>0</v>
      </c>
      <c r="CW124">
        <v>0</v>
      </c>
      <c r="CX124">
        <v>0</v>
      </c>
      <c r="CY124">
        <v>38</v>
      </c>
      <c r="CZ124">
        <v>0</v>
      </c>
      <c r="DA124">
        <v>0</v>
      </c>
      <c r="DB124">
        <v>0</v>
      </c>
      <c r="DC124">
        <v>38</v>
      </c>
      <c r="DD124">
        <v>0</v>
      </c>
      <c r="DE124">
        <v>0</v>
      </c>
      <c r="DF124">
        <v>120</v>
      </c>
      <c r="DG124">
        <v>11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131</v>
      </c>
      <c r="DT124">
        <v>240</v>
      </c>
      <c r="DU124">
        <v>60</v>
      </c>
      <c r="DV124">
        <v>0</v>
      </c>
      <c r="DW124">
        <v>0</v>
      </c>
      <c r="DX124">
        <v>0</v>
      </c>
      <c r="DY124">
        <v>140</v>
      </c>
      <c r="DZ124">
        <v>1008</v>
      </c>
      <c r="EA124">
        <v>784</v>
      </c>
      <c r="EB124">
        <v>812</v>
      </c>
      <c r="EC124">
        <v>56</v>
      </c>
      <c r="ED124">
        <v>1372</v>
      </c>
      <c r="EE124">
        <v>1428</v>
      </c>
      <c r="EF124">
        <v>0</v>
      </c>
      <c r="EG124">
        <v>0.2</v>
      </c>
      <c r="EH124">
        <v>0.7</v>
      </c>
      <c r="EI124">
        <v>1.4</v>
      </c>
      <c r="EJ124">
        <v>0.3</v>
      </c>
      <c r="EK124">
        <v>0.9</v>
      </c>
    </row>
    <row r="125" spans="1:141" x14ac:dyDescent="0.25">
      <c r="A125" t="str">
        <f>[1]ingredient!B124</f>
        <v>Garam Massala</v>
      </c>
      <c r="B125" t="s">
        <v>239</v>
      </c>
      <c r="C125" s="7">
        <f>_xlfn.XLOOKUP(A125,[1]ingredient!$B$2:$B$521,[1]ingredient!$A$2:$A$521)</f>
        <v>123</v>
      </c>
      <c r="D125">
        <v>380</v>
      </c>
      <c r="E125">
        <v>16</v>
      </c>
      <c r="F125">
        <v>11</v>
      </c>
      <c r="G125">
        <v>40</v>
      </c>
      <c r="H125">
        <v>18</v>
      </c>
      <c r="I125">
        <v>32</v>
      </c>
      <c r="J125">
        <v>0.24</v>
      </c>
      <c r="K125">
        <v>11</v>
      </c>
      <c r="L125">
        <v>100</v>
      </c>
      <c r="M125">
        <v>50</v>
      </c>
      <c r="N125">
        <v>0</v>
      </c>
      <c r="O125">
        <v>600</v>
      </c>
      <c r="P125">
        <v>200</v>
      </c>
      <c r="Q125">
        <v>200</v>
      </c>
      <c r="R125">
        <v>3000</v>
      </c>
      <c r="S125">
        <v>5300</v>
      </c>
      <c r="T125">
        <v>600</v>
      </c>
      <c r="U125">
        <v>400</v>
      </c>
      <c r="V125">
        <v>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40</v>
      </c>
      <c r="AD125">
        <v>2335</v>
      </c>
      <c r="AE125">
        <v>1149</v>
      </c>
      <c r="AF125">
        <v>40</v>
      </c>
      <c r="AG125">
        <v>493</v>
      </c>
      <c r="AH125">
        <v>278</v>
      </c>
      <c r="AI125">
        <v>198</v>
      </c>
      <c r="AJ125">
        <v>45900</v>
      </c>
      <c r="AK125">
        <v>8100</v>
      </c>
      <c r="AL125">
        <v>1700</v>
      </c>
      <c r="AM125">
        <v>15200</v>
      </c>
      <c r="AN125">
        <v>500</v>
      </c>
      <c r="AO125">
        <v>12</v>
      </c>
      <c r="AP125">
        <v>0</v>
      </c>
      <c r="AQ125">
        <v>0</v>
      </c>
      <c r="AR125">
        <v>0</v>
      </c>
      <c r="AS125">
        <v>0</v>
      </c>
      <c r="AT125">
        <v>13410</v>
      </c>
      <c r="AU125">
        <v>12374</v>
      </c>
      <c r="AV125">
        <v>0</v>
      </c>
      <c r="AW125">
        <v>25784</v>
      </c>
      <c r="AX125">
        <v>6400</v>
      </c>
      <c r="AY125">
        <v>0</v>
      </c>
      <c r="AZ125">
        <v>0</v>
      </c>
      <c r="BA125">
        <v>6416</v>
      </c>
      <c r="BB125">
        <v>7000</v>
      </c>
      <c r="BC125">
        <v>0</v>
      </c>
      <c r="BD125">
        <v>0</v>
      </c>
      <c r="BE125">
        <v>500</v>
      </c>
      <c r="BF125">
        <v>0</v>
      </c>
      <c r="BG125">
        <f t="shared" si="13"/>
        <v>110.41666666666667</v>
      </c>
      <c r="BH125">
        <v>498</v>
      </c>
      <c r="BI125">
        <v>782</v>
      </c>
      <c r="BJ125">
        <v>583</v>
      </c>
      <c r="BK125">
        <v>176</v>
      </c>
      <c r="BL125">
        <v>211</v>
      </c>
      <c r="BM125">
        <v>458</v>
      </c>
      <c r="BN125">
        <v>298</v>
      </c>
      <c r="BO125">
        <v>403</v>
      </c>
      <c r="BP125">
        <v>138</v>
      </c>
      <c r="BQ125">
        <v>635</v>
      </c>
      <c r="BR125">
        <v>789</v>
      </c>
      <c r="BS125">
        <v>266</v>
      </c>
      <c r="BT125">
        <v>5238</v>
      </c>
      <c r="BU125">
        <v>574</v>
      </c>
      <c r="BV125">
        <v>1670</v>
      </c>
      <c r="BW125">
        <v>2112</v>
      </c>
      <c r="BX125">
        <v>525</v>
      </c>
      <c r="BY125">
        <v>501</v>
      </c>
      <c r="BZ125">
        <v>481</v>
      </c>
      <c r="CA125">
        <v>5862</v>
      </c>
      <c r="CB125">
        <v>76</v>
      </c>
      <c r="CC125">
        <v>25</v>
      </c>
      <c r="CD125">
        <v>300</v>
      </c>
      <c r="CE125">
        <v>2400</v>
      </c>
      <c r="CF125">
        <v>8</v>
      </c>
      <c r="CG125">
        <v>0</v>
      </c>
      <c r="CH125">
        <v>0</v>
      </c>
      <c r="CI125">
        <v>7</v>
      </c>
      <c r="CJ125">
        <v>14</v>
      </c>
      <c r="CK125">
        <v>131</v>
      </c>
      <c r="CL125">
        <v>1806</v>
      </c>
      <c r="CM125">
        <v>0</v>
      </c>
      <c r="CN125">
        <v>981</v>
      </c>
      <c r="CO125">
        <v>0</v>
      </c>
      <c r="CP125">
        <v>262</v>
      </c>
      <c r="CQ125">
        <v>0</v>
      </c>
      <c r="CR125">
        <v>0</v>
      </c>
      <c r="CS125">
        <v>0</v>
      </c>
      <c r="CT125">
        <v>3200</v>
      </c>
      <c r="CU125">
        <v>0</v>
      </c>
      <c r="CV125">
        <v>0</v>
      </c>
      <c r="CW125">
        <v>370</v>
      </c>
      <c r="CX125">
        <v>0</v>
      </c>
      <c r="CY125">
        <v>5568</v>
      </c>
      <c r="CZ125">
        <v>13</v>
      </c>
      <c r="DA125">
        <v>0</v>
      </c>
      <c r="DB125">
        <v>0</v>
      </c>
      <c r="DC125">
        <v>6000</v>
      </c>
      <c r="DD125">
        <v>0</v>
      </c>
      <c r="DE125">
        <v>0</v>
      </c>
      <c r="DF125">
        <v>2400</v>
      </c>
      <c r="DG125">
        <v>300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2700</v>
      </c>
      <c r="DT125">
        <v>11810</v>
      </c>
      <c r="DU125">
        <v>3769</v>
      </c>
      <c r="DV125">
        <v>0</v>
      </c>
      <c r="DW125">
        <v>0</v>
      </c>
      <c r="DX125">
        <v>21</v>
      </c>
      <c r="DY125">
        <v>3411</v>
      </c>
      <c r="DZ125">
        <v>4024</v>
      </c>
      <c r="EA125">
        <v>3968</v>
      </c>
      <c r="EB125">
        <v>4908</v>
      </c>
      <c r="EC125">
        <v>2090</v>
      </c>
      <c r="ED125">
        <v>5655</v>
      </c>
      <c r="EE125">
        <v>12745</v>
      </c>
      <c r="EF125">
        <v>0</v>
      </c>
      <c r="EG125">
        <v>0</v>
      </c>
      <c r="EH125">
        <v>4.5999999999999996</v>
      </c>
      <c r="EI125">
        <v>12.7</v>
      </c>
      <c r="EJ125">
        <v>15.6</v>
      </c>
      <c r="EK125">
        <v>11.3</v>
      </c>
    </row>
    <row r="126" spans="1:141" x14ac:dyDescent="0.25">
      <c r="A126" t="str">
        <f>[1]ingredient!B125</f>
        <v>Gelbe Beete</v>
      </c>
      <c r="B126" t="s">
        <v>240</v>
      </c>
      <c r="C126" s="7">
        <f>_xlfn.XLOOKUP(A126,[1]ingredient!$B$2:$B$521,[1]ingredient!$A$2:$A$521)</f>
        <v>124</v>
      </c>
      <c r="D126">
        <v>42</v>
      </c>
      <c r="E126">
        <v>0.1</v>
      </c>
      <c r="F126">
        <v>2</v>
      </c>
      <c r="G126">
        <v>8</v>
      </c>
      <c r="H126">
        <v>3</v>
      </c>
      <c r="I126">
        <v>8</v>
      </c>
      <c r="J126">
        <v>0.14000000000000001</v>
      </c>
      <c r="K126">
        <v>86</v>
      </c>
      <c r="L126">
        <v>2</v>
      </c>
      <c r="M126">
        <v>1</v>
      </c>
      <c r="N126">
        <v>0</v>
      </c>
      <c r="O126">
        <v>11</v>
      </c>
      <c r="P126">
        <v>22</v>
      </c>
      <c r="Q126">
        <v>42</v>
      </c>
      <c r="R126">
        <v>230</v>
      </c>
      <c r="S126">
        <v>430</v>
      </c>
      <c r="T126">
        <v>130</v>
      </c>
      <c r="U126">
        <v>50</v>
      </c>
      <c r="V126">
        <v>0.1</v>
      </c>
      <c r="W126">
        <v>93</v>
      </c>
      <c r="X126">
        <v>0</v>
      </c>
      <c r="Y126">
        <v>10000</v>
      </c>
      <c r="Z126">
        <v>0</v>
      </c>
      <c r="AA126">
        <v>47</v>
      </c>
      <c r="AB126">
        <v>5</v>
      </c>
      <c r="AC126">
        <v>58</v>
      </c>
      <c r="AD126">
        <v>336</v>
      </c>
      <c r="AE126">
        <v>29</v>
      </c>
      <c r="AF126">
        <v>25</v>
      </c>
      <c r="AG126">
        <v>45</v>
      </c>
      <c r="AH126">
        <v>16</v>
      </c>
      <c r="AI126">
        <v>82</v>
      </c>
      <c r="AJ126">
        <v>930</v>
      </c>
      <c r="AK126">
        <v>344</v>
      </c>
      <c r="AL126">
        <v>80</v>
      </c>
      <c r="AM126">
        <v>155</v>
      </c>
      <c r="AN126">
        <v>20</v>
      </c>
      <c r="AO126">
        <v>0.4</v>
      </c>
      <c r="AP126">
        <v>0</v>
      </c>
      <c r="AQ126">
        <v>0</v>
      </c>
      <c r="AR126">
        <v>0</v>
      </c>
      <c r="AS126">
        <v>0</v>
      </c>
      <c r="AT126">
        <v>335</v>
      </c>
      <c r="AU126">
        <v>335</v>
      </c>
      <c r="AV126">
        <v>0</v>
      </c>
      <c r="AW126">
        <v>670</v>
      </c>
      <c r="AX126">
        <v>7710</v>
      </c>
      <c r="AY126">
        <v>0</v>
      </c>
      <c r="AZ126">
        <v>0</v>
      </c>
      <c r="BA126">
        <v>7710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f t="shared" si="13"/>
        <v>47.5</v>
      </c>
      <c r="BH126">
        <v>38</v>
      </c>
      <c r="BI126">
        <v>61</v>
      </c>
      <c r="BJ126">
        <v>80</v>
      </c>
      <c r="BK126">
        <v>28</v>
      </c>
      <c r="BL126">
        <v>17</v>
      </c>
      <c r="BM126">
        <v>46</v>
      </c>
      <c r="BN126">
        <v>54</v>
      </c>
      <c r="BO126">
        <v>44</v>
      </c>
      <c r="BP126">
        <v>12</v>
      </c>
      <c r="BQ126">
        <v>38</v>
      </c>
      <c r="BR126">
        <v>31</v>
      </c>
      <c r="BS126">
        <v>18</v>
      </c>
      <c r="BT126">
        <v>467</v>
      </c>
      <c r="BU126">
        <v>35</v>
      </c>
      <c r="BV126">
        <v>110</v>
      </c>
      <c r="BW126">
        <v>398</v>
      </c>
      <c r="BX126">
        <v>31</v>
      </c>
      <c r="BY126">
        <v>38</v>
      </c>
      <c r="BZ126">
        <v>38</v>
      </c>
      <c r="CA126">
        <v>650</v>
      </c>
      <c r="CB126">
        <v>20</v>
      </c>
      <c r="CC126">
        <v>8</v>
      </c>
      <c r="CD126">
        <v>8</v>
      </c>
      <c r="CE126">
        <v>42</v>
      </c>
      <c r="CF126">
        <v>5.25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19</v>
      </c>
      <c r="CO126">
        <v>0</v>
      </c>
      <c r="CP126">
        <v>1</v>
      </c>
      <c r="CQ126">
        <v>0</v>
      </c>
      <c r="CR126">
        <v>0</v>
      </c>
      <c r="CS126">
        <v>0</v>
      </c>
      <c r="CT126">
        <v>20</v>
      </c>
      <c r="CU126">
        <v>0</v>
      </c>
      <c r="CV126">
        <v>0</v>
      </c>
      <c r="CW126">
        <v>0</v>
      </c>
      <c r="CX126">
        <v>0</v>
      </c>
      <c r="CY126">
        <v>10</v>
      </c>
      <c r="CZ126">
        <v>0</v>
      </c>
      <c r="DA126">
        <v>0</v>
      </c>
      <c r="DB126">
        <v>0</v>
      </c>
      <c r="DC126">
        <v>10</v>
      </c>
      <c r="DD126">
        <v>0</v>
      </c>
      <c r="DE126">
        <v>0</v>
      </c>
      <c r="DF126">
        <v>42</v>
      </c>
      <c r="DG126">
        <v>8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50</v>
      </c>
      <c r="DT126">
        <v>80</v>
      </c>
      <c r="DU126">
        <v>20</v>
      </c>
      <c r="DV126">
        <v>0</v>
      </c>
      <c r="DW126">
        <v>0</v>
      </c>
      <c r="DX126">
        <v>0</v>
      </c>
      <c r="DY126">
        <v>1000</v>
      </c>
      <c r="DZ126">
        <v>500</v>
      </c>
      <c r="EA126">
        <v>225</v>
      </c>
      <c r="EB126">
        <v>750</v>
      </c>
      <c r="EC126">
        <v>25</v>
      </c>
      <c r="ED126">
        <v>625</v>
      </c>
      <c r="EE126">
        <v>1875</v>
      </c>
      <c r="EF126">
        <v>0</v>
      </c>
      <c r="EG126">
        <v>0.23</v>
      </c>
      <c r="EH126">
        <v>1</v>
      </c>
      <c r="EI126">
        <v>1.9</v>
      </c>
      <c r="EJ126">
        <v>0.1</v>
      </c>
      <c r="EK126">
        <v>1.2</v>
      </c>
    </row>
    <row r="127" spans="1:141" x14ac:dyDescent="0.25">
      <c r="A127" t="str">
        <f>[1]ingredient!B126</f>
        <v>Gelbe Linsennudeln</v>
      </c>
      <c r="B127" t="s">
        <v>241</v>
      </c>
      <c r="C127" s="7">
        <f>_xlfn.XLOOKUP(A127,[1]ingredient!$B$2:$B$521,[1]ingredient!$A$2:$A$521)</f>
        <v>125</v>
      </c>
      <c r="D127">
        <v>348</v>
      </c>
      <c r="E127">
        <v>2</v>
      </c>
      <c r="F127">
        <v>23</v>
      </c>
      <c r="G127">
        <v>56</v>
      </c>
      <c r="H127">
        <v>6</v>
      </c>
      <c r="I127">
        <v>2</v>
      </c>
      <c r="J127">
        <v>0.09</v>
      </c>
      <c r="K127">
        <v>9</v>
      </c>
      <c r="L127">
        <v>0</v>
      </c>
      <c r="M127">
        <v>8</v>
      </c>
      <c r="N127">
        <v>0</v>
      </c>
      <c r="O127">
        <v>100</v>
      </c>
      <c r="P127">
        <v>400</v>
      </c>
      <c r="Q127">
        <v>300</v>
      </c>
      <c r="R127">
        <v>2200</v>
      </c>
      <c r="S127">
        <v>5900</v>
      </c>
      <c r="T127">
        <v>1600</v>
      </c>
      <c r="U127">
        <v>600</v>
      </c>
      <c r="V127">
        <v>9</v>
      </c>
      <c r="W127">
        <v>132</v>
      </c>
      <c r="X127">
        <v>0</v>
      </c>
      <c r="Y127">
        <v>1000</v>
      </c>
      <c r="Z127">
        <v>0</v>
      </c>
      <c r="AA127">
        <v>0</v>
      </c>
      <c r="AB127">
        <v>22</v>
      </c>
      <c r="AC127">
        <v>4</v>
      </c>
      <c r="AD127">
        <v>840</v>
      </c>
      <c r="AE127">
        <v>71</v>
      </c>
      <c r="AF127">
        <v>129</v>
      </c>
      <c r="AG127">
        <v>411</v>
      </c>
      <c r="AH127">
        <v>120</v>
      </c>
      <c r="AI127">
        <v>84</v>
      </c>
      <c r="AJ127">
        <v>7500</v>
      </c>
      <c r="AK127">
        <v>3600</v>
      </c>
      <c r="AL127">
        <v>700</v>
      </c>
      <c r="AM127">
        <v>1400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2200</v>
      </c>
      <c r="AY127">
        <v>0</v>
      </c>
      <c r="AZ127">
        <v>0</v>
      </c>
      <c r="BA127">
        <v>2200</v>
      </c>
      <c r="BB127">
        <v>2800</v>
      </c>
      <c r="BC127">
        <v>2380</v>
      </c>
      <c r="BD127">
        <v>0</v>
      </c>
      <c r="BE127">
        <v>51000</v>
      </c>
      <c r="BF127">
        <v>0</v>
      </c>
      <c r="BG127">
        <f t="shared" si="13"/>
        <v>77.882797731568999</v>
      </c>
      <c r="BH127">
        <v>1089</v>
      </c>
      <c r="BI127">
        <v>1743</v>
      </c>
      <c r="BJ127">
        <v>1694</v>
      </c>
      <c r="BK127">
        <v>194</v>
      </c>
      <c r="BL127">
        <v>218</v>
      </c>
      <c r="BM127">
        <v>1211</v>
      </c>
      <c r="BN127">
        <v>774</v>
      </c>
      <c r="BO127">
        <v>968</v>
      </c>
      <c r="BP127">
        <v>218</v>
      </c>
      <c r="BQ127">
        <v>1308</v>
      </c>
      <c r="BR127">
        <v>1912</v>
      </c>
      <c r="BS127">
        <v>581</v>
      </c>
      <c r="BT127">
        <v>11911</v>
      </c>
      <c r="BU127">
        <v>1041</v>
      </c>
      <c r="BV127">
        <v>2784</v>
      </c>
      <c r="BW127">
        <v>3995</v>
      </c>
      <c r="BX127">
        <v>993</v>
      </c>
      <c r="BY127">
        <v>1017</v>
      </c>
      <c r="BZ127">
        <v>1259</v>
      </c>
      <c r="CA127">
        <v>11089</v>
      </c>
      <c r="CB127">
        <v>200</v>
      </c>
      <c r="CC127">
        <v>67</v>
      </c>
      <c r="CD127">
        <v>100</v>
      </c>
      <c r="CE127">
        <v>600</v>
      </c>
      <c r="CF127">
        <v>6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265</v>
      </c>
      <c r="CO127">
        <v>0</v>
      </c>
      <c r="CP127">
        <v>18</v>
      </c>
      <c r="CQ127">
        <v>18</v>
      </c>
      <c r="CR127">
        <v>0</v>
      </c>
      <c r="CS127">
        <v>0</v>
      </c>
      <c r="CT127">
        <v>300</v>
      </c>
      <c r="CU127">
        <v>0</v>
      </c>
      <c r="CV127">
        <v>0</v>
      </c>
      <c r="CW127">
        <v>0</v>
      </c>
      <c r="CX127">
        <v>0</v>
      </c>
      <c r="CY127">
        <v>267</v>
      </c>
      <c r="CZ127">
        <v>13</v>
      </c>
      <c r="DA127">
        <v>0</v>
      </c>
      <c r="DB127">
        <v>0</v>
      </c>
      <c r="DC127">
        <v>300</v>
      </c>
      <c r="DD127">
        <v>0</v>
      </c>
      <c r="DE127">
        <v>0</v>
      </c>
      <c r="DF127">
        <v>600</v>
      </c>
      <c r="DG127">
        <v>100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800</v>
      </c>
      <c r="DT127">
        <v>1331</v>
      </c>
      <c r="DU127">
        <v>369</v>
      </c>
      <c r="DV127">
        <v>0</v>
      </c>
      <c r="DW127">
        <v>0</v>
      </c>
      <c r="DX127">
        <v>0</v>
      </c>
      <c r="DY127">
        <v>767</v>
      </c>
      <c r="DZ127">
        <v>2065</v>
      </c>
      <c r="EA127">
        <v>767</v>
      </c>
      <c r="EB127">
        <v>2183</v>
      </c>
      <c r="EC127">
        <v>118</v>
      </c>
      <c r="ED127">
        <v>2360</v>
      </c>
      <c r="EE127">
        <v>3540</v>
      </c>
      <c r="EF127">
        <v>0</v>
      </c>
      <c r="EG127">
        <v>0</v>
      </c>
      <c r="EH127">
        <v>1.7</v>
      </c>
      <c r="EI127">
        <v>3.5</v>
      </c>
      <c r="EJ127">
        <v>1.7</v>
      </c>
      <c r="EK127">
        <v>23.6</v>
      </c>
    </row>
    <row r="128" spans="1:141" x14ac:dyDescent="0.25">
      <c r="A128" t="str">
        <f>[1]ingredient!B127</f>
        <v>Gerste</v>
      </c>
      <c r="B128" t="s">
        <v>242</v>
      </c>
      <c r="C128" s="7">
        <f>_xlfn.XLOOKUP(A128,[1]ingredient!$B$2:$B$521,[1]ingredient!$A$2:$A$521)</f>
        <v>126</v>
      </c>
      <c r="D128">
        <v>320</v>
      </c>
      <c r="E128">
        <v>2</v>
      </c>
      <c r="F128">
        <v>10</v>
      </c>
      <c r="G128">
        <v>64</v>
      </c>
      <c r="H128">
        <v>10</v>
      </c>
      <c r="I128">
        <v>2</v>
      </c>
      <c r="J128">
        <v>0.04</v>
      </c>
      <c r="K128">
        <v>11</v>
      </c>
      <c r="L128">
        <v>0</v>
      </c>
      <c r="M128">
        <v>0.08</v>
      </c>
      <c r="N128">
        <v>0</v>
      </c>
      <c r="O128">
        <v>1</v>
      </c>
      <c r="P128">
        <v>430</v>
      </c>
      <c r="Q128">
        <v>180</v>
      </c>
      <c r="R128">
        <v>4800</v>
      </c>
      <c r="S128">
        <v>7100</v>
      </c>
      <c r="T128">
        <v>680</v>
      </c>
      <c r="U128">
        <v>560</v>
      </c>
      <c r="V128">
        <v>10</v>
      </c>
      <c r="W128">
        <v>65</v>
      </c>
      <c r="X128">
        <v>0</v>
      </c>
      <c r="Y128">
        <v>0</v>
      </c>
      <c r="Z128">
        <v>0</v>
      </c>
      <c r="AA128">
        <v>674</v>
      </c>
      <c r="AB128">
        <v>1</v>
      </c>
      <c r="AC128">
        <v>18</v>
      </c>
      <c r="AD128">
        <v>444</v>
      </c>
      <c r="AE128">
        <v>38</v>
      </c>
      <c r="AF128">
        <v>114</v>
      </c>
      <c r="AG128">
        <v>342</v>
      </c>
      <c r="AH128">
        <v>120</v>
      </c>
      <c r="AI128">
        <v>23</v>
      </c>
      <c r="AJ128">
        <v>2800</v>
      </c>
      <c r="AK128">
        <v>2530</v>
      </c>
      <c r="AL128">
        <v>373</v>
      </c>
      <c r="AM128">
        <v>1650</v>
      </c>
      <c r="AN128">
        <v>120</v>
      </c>
      <c r="AO128">
        <v>7</v>
      </c>
      <c r="AP128">
        <v>0</v>
      </c>
      <c r="AQ128">
        <v>0</v>
      </c>
      <c r="AR128">
        <v>0</v>
      </c>
      <c r="AS128">
        <v>0</v>
      </c>
      <c r="AT128">
        <v>129</v>
      </c>
      <c r="AU128">
        <v>129</v>
      </c>
      <c r="AV128">
        <v>0</v>
      </c>
      <c r="AW128">
        <v>258</v>
      </c>
      <c r="AX128">
        <v>1093</v>
      </c>
      <c r="AY128">
        <v>643</v>
      </c>
      <c r="AZ128">
        <v>0</v>
      </c>
      <c r="BA128">
        <v>1736</v>
      </c>
      <c r="BB128">
        <v>322</v>
      </c>
      <c r="BC128">
        <v>250</v>
      </c>
      <c r="BD128">
        <v>0</v>
      </c>
      <c r="BE128">
        <v>61994</v>
      </c>
      <c r="BF128">
        <v>61994</v>
      </c>
      <c r="BG128">
        <f t="shared" si="13"/>
        <v>69.791666666666657</v>
      </c>
      <c r="BH128">
        <v>394</v>
      </c>
      <c r="BI128">
        <v>679</v>
      </c>
      <c r="BJ128">
        <v>335</v>
      </c>
      <c r="BK128">
        <v>157</v>
      </c>
      <c r="BL128">
        <v>138</v>
      </c>
      <c r="BM128">
        <v>512</v>
      </c>
      <c r="BN128">
        <v>364</v>
      </c>
      <c r="BO128">
        <v>335</v>
      </c>
      <c r="BP128">
        <v>138</v>
      </c>
      <c r="BQ128">
        <v>472</v>
      </c>
      <c r="BR128">
        <v>492</v>
      </c>
      <c r="BS128">
        <v>177</v>
      </c>
      <c r="BT128">
        <v>4193</v>
      </c>
      <c r="BU128">
        <v>433</v>
      </c>
      <c r="BV128">
        <v>571</v>
      </c>
      <c r="BW128">
        <v>2409</v>
      </c>
      <c r="BX128">
        <v>374</v>
      </c>
      <c r="BY128">
        <v>1171</v>
      </c>
      <c r="BZ128">
        <v>492</v>
      </c>
      <c r="CA128">
        <v>5450</v>
      </c>
      <c r="CB128">
        <v>108</v>
      </c>
      <c r="CC128">
        <v>45</v>
      </c>
      <c r="CD128">
        <v>83</v>
      </c>
      <c r="CE128">
        <v>854</v>
      </c>
      <c r="CF128">
        <v>10.29</v>
      </c>
      <c r="CG128">
        <v>0</v>
      </c>
      <c r="CH128">
        <v>0</v>
      </c>
      <c r="CI128">
        <v>0</v>
      </c>
      <c r="CJ128">
        <v>0</v>
      </c>
      <c r="CK128">
        <v>2</v>
      </c>
      <c r="CL128">
        <v>15</v>
      </c>
      <c r="CM128">
        <v>0</v>
      </c>
      <c r="CN128">
        <v>355</v>
      </c>
      <c r="CO128">
        <v>0</v>
      </c>
      <c r="CP128">
        <v>15</v>
      </c>
      <c r="CQ128">
        <v>0</v>
      </c>
      <c r="CR128">
        <v>0</v>
      </c>
      <c r="CS128">
        <v>0</v>
      </c>
      <c r="CT128">
        <v>387</v>
      </c>
      <c r="CU128">
        <v>0</v>
      </c>
      <c r="CV128">
        <v>0</v>
      </c>
      <c r="CW128">
        <v>12</v>
      </c>
      <c r="CX128">
        <v>0</v>
      </c>
      <c r="CY128">
        <v>174</v>
      </c>
      <c r="CZ128">
        <v>2</v>
      </c>
      <c r="DA128">
        <v>0</v>
      </c>
      <c r="DB128">
        <v>0</v>
      </c>
      <c r="DC128">
        <v>188</v>
      </c>
      <c r="DD128">
        <v>0</v>
      </c>
      <c r="DE128">
        <v>0</v>
      </c>
      <c r="DF128">
        <v>854</v>
      </c>
      <c r="DG128">
        <v>83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937</v>
      </c>
      <c r="DT128">
        <v>1512</v>
      </c>
      <c r="DU128">
        <v>588</v>
      </c>
      <c r="DV128">
        <v>0</v>
      </c>
      <c r="DW128">
        <v>0</v>
      </c>
      <c r="DX128">
        <v>0</v>
      </c>
      <c r="DY128">
        <v>3528</v>
      </c>
      <c r="DZ128">
        <v>4508</v>
      </c>
      <c r="EA128">
        <v>490</v>
      </c>
      <c r="EB128">
        <v>980</v>
      </c>
      <c r="EC128">
        <v>294</v>
      </c>
      <c r="ED128">
        <v>1960</v>
      </c>
      <c r="EE128">
        <v>7840</v>
      </c>
      <c r="EF128">
        <v>0</v>
      </c>
      <c r="EG128">
        <v>0</v>
      </c>
      <c r="EH128">
        <v>2.2000000000000002</v>
      </c>
      <c r="EI128">
        <v>7.8</v>
      </c>
      <c r="EJ128">
        <v>2.1</v>
      </c>
      <c r="EK128">
        <v>10</v>
      </c>
    </row>
    <row r="129" spans="1:141" x14ac:dyDescent="0.25">
      <c r="A129" t="str">
        <f>[1]ingredient!B128</f>
        <v>Gerstenflocken</v>
      </c>
      <c r="B129" t="s">
        <v>243</v>
      </c>
      <c r="C129" s="7">
        <f>_xlfn.XLOOKUP(A129,[1]ingredient!$B$2:$B$521,[1]ingredient!$A$2:$A$521)</f>
        <v>127</v>
      </c>
      <c r="D129">
        <v>314</v>
      </c>
      <c r="E129">
        <v>2</v>
      </c>
      <c r="F129">
        <v>8</v>
      </c>
      <c r="G129">
        <v>66</v>
      </c>
      <c r="H129">
        <v>10</v>
      </c>
      <c r="I129">
        <v>2</v>
      </c>
      <c r="J129">
        <v>0.02</v>
      </c>
      <c r="K129">
        <v>13</v>
      </c>
      <c r="L129">
        <v>0</v>
      </c>
      <c r="M129">
        <v>0</v>
      </c>
      <c r="N129">
        <v>0</v>
      </c>
      <c r="O129">
        <v>0</v>
      </c>
      <c r="P129">
        <v>200</v>
      </c>
      <c r="Q129">
        <v>80</v>
      </c>
      <c r="R129">
        <v>3100</v>
      </c>
      <c r="S129">
        <v>4933</v>
      </c>
      <c r="T129">
        <v>490</v>
      </c>
      <c r="U129">
        <v>290</v>
      </c>
      <c r="V129">
        <v>4</v>
      </c>
      <c r="W129">
        <v>19</v>
      </c>
      <c r="X129">
        <v>0</v>
      </c>
      <c r="Y129">
        <v>0</v>
      </c>
      <c r="Z129">
        <v>0</v>
      </c>
      <c r="AA129">
        <v>640</v>
      </c>
      <c r="AB129">
        <v>1</v>
      </c>
      <c r="AC129">
        <v>3</v>
      </c>
      <c r="AD129">
        <v>160</v>
      </c>
      <c r="AE129">
        <v>16</v>
      </c>
      <c r="AF129">
        <v>66</v>
      </c>
      <c r="AG129">
        <v>189</v>
      </c>
      <c r="AH129">
        <v>120</v>
      </c>
      <c r="AI129">
        <v>20</v>
      </c>
      <c r="AJ129">
        <v>2000</v>
      </c>
      <c r="AK129">
        <v>1280</v>
      </c>
      <c r="AL129">
        <v>120</v>
      </c>
      <c r="AM129">
        <v>1270</v>
      </c>
      <c r="AN129">
        <v>100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132</v>
      </c>
      <c r="AU129">
        <v>132</v>
      </c>
      <c r="AV129">
        <v>0</v>
      </c>
      <c r="AW129">
        <v>264</v>
      </c>
      <c r="AX129">
        <v>1124</v>
      </c>
      <c r="AY129">
        <v>661</v>
      </c>
      <c r="AZ129">
        <v>0</v>
      </c>
      <c r="BA129">
        <v>1785</v>
      </c>
      <c r="BB129">
        <v>331</v>
      </c>
      <c r="BC129">
        <v>0</v>
      </c>
      <c r="BD129">
        <v>0</v>
      </c>
      <c r="BE129">
        <v>63730</v>
      </c>
      <c r="BF129">
        <v>63730</v>
      </c>
      <c r="BG129">
        <f t="shared" si="13"/>
        <v>69.791666666666657</v>
      </c>
      <c r="BH129">
        <v>316</v>
      </c>
      <c r="BI129">
        <v>544</v>
      </c>
      <c r="BJ129">
        <v>268</v>
      </c>
      <c r="BK129">
        <v>126</v>
      </c>
      <c r="BL129">
        <v>110</v>
      </c>
      <c r="BM129">
        <v>410</v>
      </c>
      <c r="BN129">
        <v>292</v>
      </c>
      <c r="BO129">
        <v>268</v>
      </c>
      <c r="BP129">
        <v>110</v>
      </c>
      <c r="BQ129">
        <v>379</v>
      </c>
      <c r="BR129">
        <v>395</v>
      </c>
      <c r="BS129">
        <v>142</v>
      </c>
      <c r="BT129">
        <v>3360</v>
      </c>
      <c r="BU129">
        <v>347</v>
      </c>
      <c r="BV129">
        <v>458</v>
      </c>
      <c r="BW129">
        <v>1933</v>
      </c>
      <c r="BX129">
        <v>300</v>
      </c>
      <c r="BY129">
        <v>939</v>
      </c>
      <c r="BZ129">
        <v>395</v>
      </c>
      <c r="CA129">
        <v>4372</v>
      </c>
      <c r="CB129">
        <v>82</v>
      </c>
      <c r="CC129">
        <v>34</v>
      </c>
      <c r="CD129">
        <v>59</v>
      </c>
      <c r="CE129">
        <v>610</v>
      </c>
      <c r="CF129">
        <v>10.34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11</v>
      </c>
      <c r="CM129">
        <v>0</v>
      </c>
      <c r="CN129">
        <v>254</v>
      </c>
      <c r="CO129">
        <v>0</v>
      </c>
      <c r="CP129">
        <v>11</v>
      </c>
      <c r="CQ129">
        <v>0</v>
      </c>
      <c r="CR129">
        <v>0</v>
      </c>
      <c r="CS129">
        <v>0</v>
      </c>
      <c r="CT129">
        <v>277</v>
      </c>
      <c r="CU129">
        <v>0</v>
      </c>
      <c r="CV129">
        <v>0</v>
      </c>
      <c r="CW129">
        <v>9</v>
      </c>
      <c r="CX129">
        <v>0</v>
      </c>
      <c r="CY129">
        <v>124</v>
      </c>
      <c r="CZ129">
        <v>1</v>
      </c>
      <c r="DA129">
        <v>0</v>
      </c>
      <c r="DB129">
        <v>0</v>
      </c>
      <c r="DC129">
        <v>134</v>
      </c>
      <c r="DD129">
        <v>0</v>
      </c>
      <c r="DE129">
        <v>0</v>
      </c>
      <c r="DF129">
        <v>610</v>
      </c>
      <c r="DG129">
        <v>59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669</v>
      </c>
      <c r="DT129">
        <v>1080</v>
      </c>
      <c r="DU129">
        <v>420</v>
      </c>
      <c r="DV129">
        <v>0</v>
      </c>
      <c r="DW129">
        <v>0</v>
      </c>
      <c r="DX129">
        <v>0</v>
      </c>
      <c r="DY129">
        <v>3708</v>
      </c>
      <c r="DZ129">
        <v>4738</v>
      </c>
      <c r="EA129">
        <v>515</v>
      </c>
      <c r="EB129">
        <v>1030</v>
      </c>
      <c r="EC129">
        <v>309</v>
      </c>
      <c r="ED129">
        <v>2060</v>
      </c>
      <c r="EE129">
        <v>8240</v>
      </c>
      <c r="EF129">
        <v>0</v>
      </c>
      <c r="EG129">
        <v>0</v>
      </c>
      <c r="EH129">
        <v>1.2</v>
      </c>
      <c r="EI129">
        <v>8.1999999999999993</v>
      </c>
      <c r="EJ129">
        <v>1.5</v>
      </c>
      <c r="EK129">
        <v>8</v>
      </c>
    </row>
    <row r="130" spans="1:141" x14ac:dyDescent="0.25">
      <c r="A130" t="str">
        <f>[1]ingredient!B129</f>
        <v>Gewürzgurken</v>
      </c>
      <c r="B130" t="s">
        <v>244</v>
      </c>
      <c r="C130" s="7">
        <f>_xlfn.XLOOKUP(A130,[1]ingredient!$B$2:$B$521,[1]ingredient!$A$2:$A$521)</f>
        <v>128</v>
      </c>
      <c r="D130">
        <v>16</v>
      </c>
      <c r="E130">
        <v>0.18</v>
      </c>
      <c r="F130">
        <v>1</v>
      </c>
      <c r="G130">
        <v>2</v>
      </c>
      <c r="H130">
        <v>1</v>
      </c>
      <c r="I130">
        <v>2</v>
      </c>
      <c r="J130">
        <v>1</v>
      </c>
      <c r="K130">
        <v>94</v>
      </c>
      <c r="L130">
        <v>50</v>
      </c>
      <c r="M130">
        <v>25</v>
      </c>
      <c r="N130">
        <v>0</v>
      </c>
      <c r="O130">
        <v>300</v>
      </c>
      <c r="P130">
        <v>8</v>
      </c>
      <c r="Q130">
        <v>16</v>
      </c>
      <c r="R130">
        <v>104</v>
      </c>
      <c r="S130">
        <v>171</v>
      </c>
      <c r="T130">
        <v>142</v>
      </c>
      <c r="U130">
        <v>9</v>
      </c>
      <c r="V130">
        <v>0</v>
      </c>
      <c r="W130">
        <v>5</v>
      </c>
      <c r="X130">
        <v>0</v>
      </c>
      <c r="Y130">
        <v>1998</v>
      </c>
      <c r="Z130">
        <v>0</v>
      </c>
      <c r="AA130">
        <v>64</v>
      </c>
      <c r="AB130">
        <v>12</v>
      </c>
      <c r="AC130">
        <v>345</v>
      </c>
      <c r="AD130">
        <v>107</v>
      </c>
      <c r="AE130">
        <v>22</v>
      </c>
      <c r="AF130">
        <v>12</v>
      </c>
      <c r="AG130">
        <v>31</v>
      </c>
      <c r="AH130">
        <v>16</v>
      </c>
      <c r="AI130">
        <v>708</v>
      </c>
      <c r="AJ130">
        <v>512</v>
      </c>
      <c r="AK130">
        <v>182</v>
      </c>
      <c r="AL130">
        <v>106</v>
      </c>
      <c r="AM130">
        <v>199</v>
      </c>
      <c r="AN130">
        <v>26</v>
      </c>
      <c r="AO130">
        <v>3</v>
      </c>
      <c r="AP130">
        <v>43</v>
      </c>
      <c r="AQ130">
        <v>0</v>
      </c>
      <c r="AR130">
        <v>0</v>
      </c>
      <c r="AS130">
        <v>43</v>
      </c>
      <c r="AT130">
        <v>693</v>
      </c>
      <c r="AU130">
        <v>766</v>
      </c>
      <c r="AV130">
        <v>0</v>
      </c>
      <c r="AW130">
        <v>1459</v>
      </c>
      <c r="AX130">
        <v>318</v>
      </c>
      <c r="AY130">
        <v>0</v>
      </c>
      <c r="AZ130">
        <v>0</v>
      </c>
      <c r="BA130">
        <v>318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f t="shared" si="13"/>
        <v>34.782608695652172</v>
      </c>
      <c r="BH130">
        <v>18</v>
      </c>
      <c r="BI130">
        <v>24</v>
      </c>
      <c r="BJ130">
        <v>25</v>
      </c>
      <c r="BK130">
        <v>4</v>
      </c>
      <c r="BL130">
        <v>4</v>
      </c>
      <c r="BM130">
        <v>14</v>
      </c>
      <c r="BN130">
        <v>10</v>
      </c>
      <c r="BO130">
        <v>21</v>
      </c>
      <c r="BP130">
        <v>4</v>
      </c>
      <c r="BQ130">
        <v>20</v>
      </c>
      <c r="BR130">
        <v>42</v>
      </c>
      <c r="BS130">
        <v>8</v>
      </c>
      <c r="BT130">
        <v>194</v>
      </c>
      <c r="BU130">
        <v>20</v>
      </c>
      <c r="BV130">
        <v>34</v>
      </c>
      <c r="BW130">
        <v>160</v>
      </c>
      <c r="BX130">
        <v>21</v>
      </c>
      <c r="BY130">
        <v>18</v>
      </c>
      <c r="BZ130">
        <v>18</v>
      </c>
      <c r="CA130">
        <v>271</v>
      </c>
      <c r="CB130">
        <v>8</v>
      </c>
      <c r="CC130">
        <v>3</v>
      </c>
      <c r="CD130">
        <v>38</v>
      </c>
      <c r="CE130">
        <v>42</v>
      </c>
      <c r="CF130">
        <v>1.1100000000000001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</v>
      </c>
      <c r="CM130">
        <v>0</v>
      </c>
      <c r="CN130">
        <v>53</v>
      </c>
      <c r="CO130">
        <v>0</v>
      </c>
      <c r="CP130">
        <v>6</v>
      </c>
      <c r="CQ130">
        <v>0</v>
      </c>
      <c r="CR130">
        <v>0</v>
      </c>
      <c r="CS130">
        <v>0</v>
      </c>
      <c r="CT130">
        <v>60</v>
      </c>
      <c r="CU130">
        <v>0</v>
      </c>
      <c r="CV130">
        <v>0</v>
      </c>
      <c r="CW130">
        <v>0</v>
      </c>
      <c r="CX130">
        <v>0</v>
      </c>
      <c r="CY130">
        <v>4</v>
      </c>
      <c r="CZ130">
        <v>0</v>
      </c>
      <c r="DA130">
        <v>0</v>
      </c>
      <c r="DB130">
        <v>0</v>
      </c>
      <c r="DC130">
        <v>4</v>
      </c>
      <c r="DD130">
        <v>0</v>
      </c>
      <c r="DE130">
        <v>0</v>
      </c>
      <c r="DF130">
        <v>42</v>
      </c>
      <c r="DG130">
        <v>38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80</v>
      </c>
      <c r="DT130">
        <v>144</v>
      </c>
      <c r="DU130">
        <v>36</v>
      </c>
      <c r="DV130">
        <v>0</v>
      </c>
      <c r="DW130">
        <v>0</v>
      </c>
      <c r="DX130">
        <v>0</v>
      </c>
      <c r="DY130">
        <v>40</v>
      </c>
      <c r="DZ130">
        <v>89</v>
      </c>
      <c r="EA130">
        <v>146</v>
      </c>
      <c r="EB130">
        <v>213</v>
      </c>
      <c r="EC130">
        <v>14</v>
      </c>
      <c r="ED130">
        <v>101</v>
      </c>
      <c r="EE130">
        <v>401</v>
      </c>
      <c r="EF130">
        <v>0</v>
      </c>
      <c r="EG130">
        <v>2</v>
      </c>
      <c r="EH130">
        <v>1.6</v>
      </c>
      <c r="EI130">
        <v>0.4</v>
      </c>
      <c r="EJ130">
        <v>0.2</v>
      </c>
      <c r="EK130">
        <v>0.5</v>
      </c>
    </row>
    <row r="131" spans="1:141" x14ac:dyDescent="0.25">
      <c r="A131" t="str">
        <f>[1]ingredient!B130</f>
        <v>Goji-Beeren, getrocknet</v>
      </c>
      <c r="B131" t="s">
        <v>245</v>
      </c>
      <c r="C131" s="7">
        <f>_xlfn.XLOOKUP(A131,[1]ingredient!$B$2:$B$521,[1]ingredient!$A$2:$A$521)</f>
        <v>129</v>
      </c>
      <c r="D131">
        <v>325</v>
      </c>
      <c r="E131">
        <v>3</v>
      </c>
      <c r="F131">
        <v>12</v>
      </c>
      <c r="G131">
        <v>55</v>
      </c>
      <c r="H131">
        <v>11</v>
      </c>
      <c r="I131">
        <v>50</v>
      </c>
      <c r="J131">
        <v>0.48</v>
      </c>
      <c r="K131">
        <v>11</v>
      </c>
      <c r="L131">
        <v>0</v>
      </c>
      <c r="M131">
        <v>0</v>
      </c>
      <c r="N131">
        <v>0</v>
      </c>
      <c r="O131">
        <v>0</v>
      </c>
      <c r="P131">
        <v>200</v>
      </c>
      <c r="Q131">
        <v>100</v>
      </c>
      <c r="R131">
        <v>100</v>
      </c>
      <c r="S131">
        <v>100</v>
      </c>
      <c r="T131">
        <v>0</v>
      </c>
      <c r="U131">
        <v>100</v>
      </c>
      <c r="V131">
        <v>0</v>
      </c>
      <c r="W131">
        <v>0</v>
      </c>
      <c r="X131">
        <v>0</v>
      </c>
      <c r="Y131">
        <v>48400</v>
      </c>
      <c r="Z131">
        <v>0</v>
      </c>
      <c r="AA131">
        <v>0</v>
      </c>
      <c r="AB131">
        <v>0</v>
      </c>
      <c r="AC131">
        <v>480</v>
      </c>
      <c r="AD131">
        <v>800</v>
      </c>
      <c r="AE131">
        <v>100</v>
      </c>
      <c r="AF131">
        <v>11</v>
      </c>
      <c r="AG131">
        <v>18</v>
      </c>
      <c r="AH131">
        <v>0</v>
      </c>
      <c r="AI131">
        <v>0</v>
      </c>
      <c r="AJ131">
        <v>12200</v>
      </c>
      <c r="AK131">
        <v>4000</v>
      </c>
      <c r="AL131">
        <v>400</v>
      </c>
      <c r="AM131">
        <v>200</v>
      </c>
      <c r="AN131">
        <v>100</v>
      </c>
      <c r="AO131">
        <v>6</v>
      </c>
      <c r="AP131">
        <v>0</v>
      </c>
      <c r="AQ131">
        <v>5500</v>
      </c>
      <c r="AR131">
        <v>0</v>
      </c>
      <c r="AS131">
        <v>5500</v>
      </c>
      <c r="AT131">
        <v>21059</v>
      </c>
      <c r="AU131">
        <v>24214</v>
      </c>
      <c r="AV131">
        <v>0</v>
      </c>
      <c r="AW131">
        <v>45274</v>
      </c>
      <c r="AX131">
        <v>4200</v>
      </c>
      <c r="AY131">
        <v>0</v>
      </c>
      <c r="AZ131">
        <v>0</v>
      </c>
      <c r="BA131">
        <v>4227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f t="shared" si="13"/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7670</v>
      </c>
      <c r="BW131">
        <v>4130</v>
      </c>
      <c r="BX131">
        <v>0</v>
      </c>
      <c r="BY131">
        <v>0</v>
      </c>
      <c r="BZ131">
        <v>0</v>
      </c>
      <c r="CA131">
        <v>11800</v>
      </c>
      <c r="CB131">
        <v>0</v>
      </c>
      <c r="CC131">
        <v>0</v>
      </c>
      <c r="CD131">
        <v>2000</v>
      </c>
      <c r="CE131">
        <v>200</v>
      </c>
      <c r="CF131">
        <v>0.1</v>
      </c>
      <c r="CG131">
        <v>0</v>
      </c>
      <c r="CH131">
        <v>0</v>
      </c>
      <c r="CI131">
        <v>0</v>
      </c>
      <c r="CJ131">
        <v>100</v>
      </c>
      <c r="CK131">
        <v>100</v>
      </c>
      <c r="CL131">
        <v>100</v>
      </c>
      <c r="CM131">
        <v>0</v>
      </c>
      <c r="CN131">
        <v>0</v>
      </c>
      <c r="CO131">
        <v>0</v>
      </c>
      <c r="CP131">
        <v>200</v>
      </c>
      <c r="CQ131">
        <v>0</v>
      </c>
      <c r="CR131">
        <v>0</v>
      </c>
      <c r="CS131">
        <v>0</v>
      </c>
      <c r="CT131">
        <v>500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200</v>
      </c>
      <c r="DG131">
        <v>2000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2200</v>
      </c>
      <c r="DT131">
        <v>2600</v>
      </c>
      <c r="DU131">
        <v>0</v>
      </c>
      <c r="DV131">
        <v>0</v>
      </c>
      <c r="DW131">
        <v>0</v>
      </c>
      <c r="DX131">
        <v>100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11000</v>
      </c>
      <c r="EF131">
        <v>0</v>
      </c>
      <c r="EG131">
        <v>6770</v>
      </c>
      <c r="EH131">
        <v>1.4</v>
      </c>
      <c r="EI131">
        <v>11</v>
      </c>
      <c r="EJ131">
        <v>2.7</v>
      </c>
      <c r="EK131">
        <v>11.8</v>
      </c>
    </row>
    <row r="132" spans="1:141" x14ac:dyDescent="0.25">
      <c r="A132" t="str">
        <f>[1]ingredient!B131</f>
        <v>Granatapfel</v>
      </c>
      <c r="B132" t="s">
        <v>246</v>
      </c>
      <c r="C132" s="7">
        <f>_xlfn.XLOOKUP(A132,[1]ingredient!$B$2:$B$521,[1]ingredient!$A$2:$A$521)</f>
        <v>130</v>
      </c>
      <c r="D132">
        <v>78</v>
      </c>
      <c r="E132">
        <v>1</v>
      </c>
      <c r="F132">
        <v>1</v>
      </c>
      <c r="G132">
        <v>17</v>
      </c>
      <c r="H132">
        <v>2</v>
      </c>
      <c r="I132">
        <v>17</v>
      </c>
      <c r="J132">
        <v>0.05</v>
      </c>
      <c r="K132">
        <v>78</v>
      </c>
      <c r="L132">
        <v>7</v>
      </c>
      <c r="M132">
        <v>3</v>
      </c>
      <c r="N132">
        <v>0</v>
      </c>
      <c r="O132">
        <v>40</v>
      </c>
      <c r="P132">
        <v>50</v>
      </c>
      <c r="Q132">
        <v>20</v>
      </c>
      <c r="R132">
        <v>300</v>
      </c>
      <c r="S132">
        <v>417</v>
      </c>
      <c r="T132">
        <v>600</v>
      </c>
      <c r="U132">
        <v>105</v>
      </c>
      <c r="V132">
        <v>2</v>
      </c>
      <c r="W132">
        <v>7</v>
      </c>
      <c r="X132">
        <v>0</v>
      </c>
      <c r="Y132">
        <v>7000</v>
      </c>
      <c r="Z132">
        <v>0</v>
      </c>
      <c r="AA132">
        <v>200</v>
      </c>
      <c r="AB132">
        <v>10</v>
      </c>
      <c r="AC132">
        <v>7</v>
      </c>
      <c r="AD132">
        <v>290</v>
      </c>
      <c r="AE132">
        <v>8</v>
      </c>
      <c r="AF132">
        <v>3</v>
      </c>
      <c r="AG132">
        <v>17</v>
      </c>
      <c r="AH132">
        <v>15</v>
      </c>
      <c r="AI132">
        <v>40</v>
      </c>
      <c r="AJ132">
        <v>500</v>
      </c>
      <c r="AK132">
        <v>280</v>
      </c>
      <c r="AL132">
        <v>70</v>
      </c>
      <c r="AM132">
        <v>130</v>
      </c>
      <c r="AN132">
        <v>20</v>
      </c>
      <c r="AO132">
        <v>2</v>
      </c>
      <c r="AP132">
        <v>0</v>
      </c>
      <c r="AQ132">
        <v>0</v>
      </c>
      <c r="AR132">
        <v>0</v>
      </c>
      <c r="AS132">
        <v>0</v>
      </c>
      <c r="AT132">
        <v>9051</v>
      </c>
      <c r="AU132">
        <v>7365</v>
      </c>
      <c r="AV132">
        <v>0</v>
      </c>
      <c r="AW132">
        <v>16416</v>
      </c>
      <c r="AX132">
        <v>284</v>
      </c>
      <c r="AY132">
        <v>0</v>
      </c>
      <c r="AZ132">
        <v>0</v>
      </c>
      <c r="BA132">
        <v>284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f t="shared" si="13"/>
        <v>47.826086956521742</v>
      </c>
      <c r="BH132">
        <v>21</v>
      </c>
      <c r="BI132">
        <v>35</v>
      </c>
      <c r="BJ132">
        <v>35</v>
      </c>
      <c r="BK132">
        <v>7</v>
      </c>
      <c r="BL132">
        <v>4</v>
      </c>
      <c r="BM132">
        <v>18</v>
      </c>
      <c r="BN132">
        <v>14</v>
      </c>
      <c r="BO132">
        <v>21</v>
      </c>
      <c r="BP132">
        <v>7</v>
      </c>
      <c r="BQ132">
        <v>25</v>
      </c>
      <c r="BR132">
        <v>25</v>
      </c>
      <c r="BS132">
        <v>11</v>
      </c>
      <c r="BT132">
        <v>223</v>
      </c>
      <c r="BU132">
        <v>32</v>
      </c>
      <c r="BV132">
        <v>63</v>
      </c>
      <c r="BW132">
        <v>66</v>
      </c>
      <c r="BX132">
        <v>25</v>
      </c>
      <c r="BY132">
        <v>25</v>
      </c>
      <c r="BZ132">
        <v>28</v>
      </c>
      <c r="CA132">
        <v>239</v>
      </c>
      <c r="CB132">
        <v>15</v>
      </c>
      <c r="CC132">
        <v>6</v>
      </c>
      <c r="CD132">
        <v>46</v>
      </c>
      <c r="CE132">
        <v>192</v>
      </c>
      <c r="CF132">
        <v>4.17</v>
      </c>
      <c r="CG132">
        <v>0</v>
      </c>
      <c r="CH132">
        <v>0</v>
      </c>
      <c r="CI132">
        <v>0</v>
      </c>
      <c r="CJ132">
        <v>0</v>
      </c>
      <c r="CK132">
        <v>2</v>
      </c>
      <c r="CL132">
        <v>5</v>
      </c>
      <c r="CM132">
        <v>0</v>
      </c>
      <c r="CN132">
        <v>115</v>
      </c>
      <c r="CO132">
        <v>0</v>
      </c>
      <c r="CP132">
        <v>19</v>
      </c>
      <c r="CQ132">
        <v>0</v>
      </c>
      <c r="CR132">
        <v>0</v>
      </c>
      <c r="CS132">
        <v>0</v>
      </c>
      <c r="CT132">
        <v>141</v>
      </c>
      <c r="CU132">
        <v>0</v>
      </c>
      <c r="CV132">
        <v>0</v>
      </c>
      <c r="CW132">
        <v>5</v>
      </c>
      <c r="CX132">
        <v>0</v>
      </c>
      <c r="CY132">
        <v>96</v>
      </c>
      <c r="CZ132">
        <v>0</v>
      </c>
      <c r="DA132">
        <v>0</v>
      </c>
      <c r="DB132">
        <v>0</v>
      </c>
      <c r="DC132">
        <v>101</v>
      </c>
      <c r="DD132">
        <v>0</v>
      </c>
      <c r="DE132">
        <v>0</v>
      </c>
      <c r="DF132">
        <v>192</v>
      </c>
      <c r="DG132">
        <v>46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238</v>
      </c>
      <c r="DT132">
        <v>480</v>
      </c>
      <c r="DU132">
        <v>120</v>
      </c>
      <c r="DV132">
        <v>0</v>
      </c>
      <c r="DW132">
        <v>0</v>
      </c>
      <c r="DX132">
        <v>0</v>
      </c>
      <c r="DY132">
        <v>403</v>
      </c>
      <c r="DZ132">
        <v>448</v>
      </c>
      <c r="EA132">
        <v>448</v>
      </c>
      <c r="EB132">
        <v>448</v>
      </c>
      <c r="EC132">
        <v>493</v>
      </c>
      <c r="ED132">
        <v>260</v>
      </c>
      <c r="EE132">
        <v>1980</v>
      </c>
      <c r="EF132">
        <v>0</v>
      </c>
      <c r="EG132">
        <v>1</v>
      </c>
      <c r="EH132">
        <v>0.7</v>
      </c>
      <c r="EI132">
        <v>2</v>
      </c>
      <c r="EJ132">
        <v>0.6</v>
      </c>
      <c r="EK132">
        <v>0.5</v>
      </c>
    </row>
    <row r="133" spans="1:141" x14ac:dyDescent="0.25">
      <c r="A133" t="str">
        <f>[1]ingredient!B132</f>
        <v>Grapefruit rot</v>
      </c>
      <c r="B133" t="s">
        <v>247</v>
      </c>
      <c r="C133" s="7">
        <f>_xlfn.XLOOKUP(A133,[1]ingredient!$B$2:$B$521,[1]ingredient!$A$2:$A$521)</f>
        <v>131</v>
      </c>
      <c r="D133">
        <v>50</v>
      </c>
      <c r="E133">
        <v>0.15</v>
      </c>
      <c r="F133">
        <v>1</v>
      </c>
      <c r="G133">
        <v>9</v>
      </c>
      <c r="H133">
        <v>1</v>
      </c>
      <c r="I133">
        <v>9</v>
      </c>
      <c r="J133">
        <v>0</v>
      </c>
      <c r="K133">
        <v>86</v>
      </c>
      <c r="L133">
        <v>3</v>
      </c>
      <c r="M133">
        <v>1</v>
      </c>
      <c r="N133">
        <v>0</v>
      </c>
      <c r="O133">
        <v>15</v>
      </c>
      <c r="P133">
        <v>48</v>
      </c>
      <c r="Q133">
        <v>24</v>
      </c>
      <c r="R133">
        <v>240</v>
      </c>
      <c r="S133">
        <v>307</v>
      </c>
      <c r="T133">
        <v>250</v>
      </c>
      <c r="U133">
        <v>28</v>
      </c>
      <c r="V133">
        <v>0.4</v>
      </c>
      <c r="W133">
        <v>11</v>
      </c>
      <c r="X133">
        <v>0</v>
      </c>
      <c r="Y133">
        <v>44000</v>
      </c>
      <c r="Z133">
        <v>0</v>
      </c>
      <c r="AA133">
        <v>250</v>
      </c>
      <c r="AB133">
        <v>3</v>
      </c>
      <c r="AC133">
        <v>2</v>
      </c>
      <c r="AD133">
        <v>180</v>
      </c>
      <c r="AE133">
        <v>18</v>
      </c>
      <c r="AF133">
        <v>10</v>
      </c>
      <c r="AG133">
        <v>17</v>
      </c>
      <c r="AH133">
        <v>5</v>
      </c>
      <c r="AI133">
        <v>2</v>
      </c>
      <c r="AJ133">
        <v>340</v>
      </c>
      <c r="AK133">
        <v>170</v>
      </c>
      <c r="AL133">
        <v>40</v>
      </c>
      <c r="AM133">
        <v>13</v>
      </c>
      <c r="AN133">
        <v>24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2873</v>
      </c>
      <c r="AU133">
        <v>2533</v>
      </c>
      <c r="AV133">
        <v>0</v>
      </c>
      <c r="AW133">
        <v>5406</v>
      </c>
      <c r="AX133">
        <v>3544</v>
      </c>
      <c r="AY133">
        <v>0</v>
      </c>
      <c r="AZ133">
        <v>0</v>
      </c>
      <c r="BA133">
        <v>3544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f t="shared" si="13"/>
        <v>21.739130434782609</v>
      </c>
      <c r="BH133">
        <v>10</v>
      </c>
      <c r="BI133">
        <v>15</v>
      </c>
      <c r="BJ133">
        <v>19</v>
      </c>
      <c r="BK133">
        <v>3</v>
      </c>
      <c r="BL133">
        <v>2</v>
      </c>
      <c r="BM133">
        <v>10</v>
      </c>
      <c r="BN133">
        <v>7</v>
      </c>
      <c r="BO133">
        <v>11</v>
      </c>
      <c r="BP133">
        <v>4</v>
      </c>
      <c r="BQ133">
        <v>14</v>
      </c>
      <c r="BR133">
        <v>40</v>
      </c>
      <c r="BS133">
        <v>6</v>
      </c>
      <c r="BT133">
        <v>141</v>
      </c>
      <c r="BU133">
        <v>20</v>
      </c>
      <c r="BV133">
        <v>105</v>
      </c>
      <c r="BW133">
        <v>42</v>
      </c>
      <c r="BX133">
        <v>10</v>
      </c>
      <c r="BY133">
        <v>47</v>
      </c>
      <c r="BZ133">
        <v>26</v>
      </c>
      <c r="CA133">
        <v>250</v>
      </c>
      <c r="CB133">
        <v>15</v>
      </c>
      <c r="CC133">
        <v>6</v>
      </c>
      <c r="CD133">
        <v>12</v>
      </c>
      <c r="CE133">
        <v>46</v>
      </c>
      <c r="CF133">
        <v>3.83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29</v>
      </c>
      <c r="CO133">
        <v>0</v>
      </c>
      <c r="CP133">
        <v>2</v>
      </c>
      <c r="CQ133">
        <v>0</v>
      </c>
      <c r="CR133">
        <v>0</v>
      </c>
      <c r="CS133">
        <v>0</v>
      </c>
      <c r="CT133">
        <v>31</v>
      </c>
      <c r="CU133">
        <v>0</v>
      </c>
      <c r="CV133">
        <v>0</v>
      </c>
      <c r="CW133">
        <v>2</v>
      </c>
      <c r="CX133">
        <v>0</v>
      </c>
      <c r="CY133">
        <v>29</v>
      </c>
      <c r="CZ133">
        <v>0</v>
      </c>
      <c r="DA133">
        <v>0</v>
      </c>
      <c r="DB133">
        <v>0</v>
      </c>
      <c r="DC133">
        <v>31</v>
      </c>
      <c r="DD133">
        <v>0</v>
      </c>
      <c r="DE133">
        <v>0</v>
      </c>
      <c r="DF133">
        <v>46</v>
      </c>
      <c r="DG133">
        <v>12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58</v>
      </c>
      <c r="DT133">
        <v>120</v>
      </c>
      <c r="DU133">
        <v>30</v>
      </c>
      <c r="DV133">
        <v>0</v>
      </c>
      <c r="DW133">
        <v>0</v>
      </c>
      <c r="DX133">
        <v>0</v>
      </c>
      <c r="DY133">
        <v>174</v>
      </c>
      <c r="DZ133">
        <v>87</v>
      </c>
      <c r="EA133">
        <v>174</v>
      </c>
      <c r="EB133">
        <v>116</v>
      </c>
      <c r="EC133">
        <v>29</v>
      </c>
      <c r="ED133">
        <v>196</v>
      </c>
      <c r="EE133">
        <v>384</v>
      </c>
      <c r="EF133">
        <v>0</v>
      </c>
      <c r="EG133">
        <v>3</v>
      </c>
      <c r="EH133">
        <v>0.4</v>
      </c>
      <c r="EI133">
        <v>0.4</v>
      </c>
      <c r="EJ133">
        <v>0.2</v>
      </c>
      <c r="EK133">
        <v>0.4</v>
      </c>
    </row>
    <row r="134" spans="1:141" x14ac:dyDescent="0.25">
      <c r="A134" t="str">
        <f>[1]ingredient!B133</f>
        <v>Grapefruit weiß</v>
      </c>
      <c r="B134" t="s">
        <v>247</v>
      </c>
      <c r="C134" s="7">
        <f>_xlfn.XLOOKUP(A134,[1]ingredient!$B$2:$B$521,[1]ingredient!$A$2:$A$521)</f>
        <v>132</v>
      </c>
      <c r="D134">
        <v>50</v>
      </c>
      <c r="E134">
        <v>0.15</v>
      </c>
      <c r="F134">
        <v>1</v>
      </c>
      <c r="G134">
        <v>9</v>
      </c>
      <c r="H134">
        <v>1</v>
      </c>
      <c r="I134">
        <v>9</v>
      </c>
      <c r="J134">
        <v>0</v>
      </c>
      <c r="K134">
        <v>86</v>
      </c>
      <c r="L134">
        <v>3</v>
      </c>
      <c r="M134">
        <v>1</v>
      </c>
      <c r="N134">
        <v>0</v>
      </c>
      <c r="O134">
        <v>15</v>
      </c>
      <c r="P134">
        <v>48</v>
      </c>
      <c r="Q134">
        <v>24</v>
      </c>
      <c r="R134">
        <v>240</v>
      </c>
      <c r="S134">
        <v>307</v>
      </c>
      <c r="T134">
        <v>250</v>
      </c>
      <c r="U134">
        <v>28</v>
      </c>
      <c r="V134">
        <v>0.4</v>
      </c>
      <c r="W134">
        <v>11</v>
      </c>
      <c r="X134">
        <v>0</v>
      </c>
      <c r="Y134">
        <v>44000</v>
      </c>
      <c r="Z134">
        <v>0</v>
      </c>
      <c r="AA134">
        <v>250</v>
      </c>
      <c r="AB134">
        <v>3</v>
      </c>
      <c r="AC134">
        <v>2</v>
      </c>
      <c r="AD134">
        <v>180</v>
      </c>
      <c r="AE134">
        <v>18</v>
      </c>
      <c r="AF134">
        <v>10</v>
      </c>
      <c r="AG134">
        <v>17</v>
      </c>
      <c r="AH134">
        <v>5</v>
      </c>
      <c r="AI134">
        <v>2</v>
      </c>
      <c r="AJ134">
        <v>340</v>
      </c>
      <c r="AK134">
        <v>170</v>
      </c>
      <c r="AL134">
        <v>40</v>
      </c>
      <c r="AM134">
        <v>13</v>
      </c>
      <c r="AN134">
        <v>24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2873</v>
      </c>
      <c r="AU134">
        <v>2533</v>
      </c>
      <c r="AV134">
        <v>0</v>
      </c>
      <c r="AW134">
        <v>5406</v>
      </c>
      <c r="AX134">
        <v>3544</v>
      </c>
      <c r="AY134">
        <v>0</v>
      </c>
      <c r="AZ134">
        <v>0</v>
      </c>
      <c r="BA134">
        <v>3544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f t="shared" si="13"/>
        <v>21.739130434782609</v>
      </c>
      <c r="BH134">
        <v>10</v>
      </c>
      <c r="BI134">
        <v>15</v>
      </c>
      <c r="BJ134">
        <v>19</v>
      </c>
      <c r="BK134">
        <v>3</v>
      </c>
      <c r="BL134">
        <v>2</v>
      </c>
      <c r="BM134">
        <v>10</v>
      </c>
      <c r="BN134">
        <v>7</v>
      </c>
      <c r="BO134">
        <v>11</v>
      </c>
      <c r="BP134">
        <v>4</v>
      </c>
      <c r="BQ134">
        <v>14</v>
      </c>
      <c r="BR134">
        <v>40</v>
      </c>
      <c r="BS134">
        <v>6</v>
      </c>
      <c r="BT134">
        <v>141</v>
      </c>
      <c r="BU134">
        <v>20</v>
      </c>
      <c r="BV134">
        <v>105</v>
      </c>
      <c r="BW134">
        <v>42</v>
      </c>
      <c r="BX134">
        <v>10</v>
      </c>
      <c r="BY134">
        <v>47</v>
      </c>
      <c r="BZ134">
        <v>26</v>
      </c>
      <c r="CA134">
        <v>250</v>
      </c>
      <c r="CB134">
        <v>15</v>
      </c>
      <c r="CC134">
        <v>6</v>
      </c>
      <c r="CD134">
        <v>12</v>
      </c>
      <c r="CE134">
        <v>46</v>
      </c>
      <c r="CF134">
        <v>3.83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29</v>
      </c>
      <c r="CO134">
        <v>0</v>
      </c>
      <c r="CP134">
        <v>2</v>
      </c>
      <c r="CQ134">
        <v>0</v>
      </c>
      <c r="CR134">
        <v>0</v>
      </c>
      <c r="CS134">
        <v>0</v>
      </c>
      <c r="CT134">
        <v>31</v>
      </c>
      <c r="CU134">
        <v>0</v>
      </c>
      <c r="CV134">
        <v>0</v>
      </c>
      <c r="CW134">
        <v>2</v>
      </c>
      <c r="CX134">
        <v>0</v>
      </c>
      <c r="CY134">
        <v>29</v>
      </c>
      <c r="CZ134">
        <v>0</v>
      </c>
      <c r="DA134">
        <v>0</v>
      </c>
      <c r="DB134">
        <v>0</v>
      </c>
      <c r="DC134">
        <v>31</v>
      </c>
      <c r="DD134">
        <v>0</v>
      </c>
      <c r="DE134">
        <v>0</v>
      </c>
      <c r="DF134">
        <v>46</v>
      </c>
      <c r="DG134">
        <v>12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58</v>
      </c>
      <c r="DT134">
        <v>120</v>
      </c>
      <c r="DU134">
        <v>30</v>
      </c>
      <c r="DV134">
        <v>0</v>
      </c>
      <c r="DW134">
        <v>0</v>
      </c>
      <c r="DX134">
        <v>0</v>
      </c>
      <c r="DY134">
        <v>174</v>
      </c>
      <c r="DZ134">
        <v>87</v>
      </c>
      <c r="EA134">
        <v>174</v>
      </c>
      <c r="EB134">
        <v>116</v>
      </c>
      <c r="EC134">
        <v>29</v>
      </c>
      <c r="ED134">
        <v>196</v>
      </c>
      <c r="EE134">
        <v>384</v>
      </c>
      <c r="EF134">
        <v>0</v>
      </c>
      <c r="EG134">
        <v>3</v>
      </c>
      <c r="EH134">
        <v>0.4</v>
      </c>
      <c r="EI134">
        <v>0.4</v>
      </c>
      <c r="EJ134">
        <v>0.2</v>
      </c>
      <c r="EK134">
        <v>0.4</v>
      </c>
    </row>
    <row r="135" spans="1:141" x14ac:dyDescent="0.25">
      <c r="A135" t="str">
        <f>[1]ingredient!B134</f>
        <v>Grünkern</v>
      </c>
      <c r="B135" t="s">
        <v>248</v>
      </c>
      <c r="C135" s="7">
        <f>_xlfn.XLOOKUP(A135,[1]ingredient!$B$2:$B$521,[1]ingredient!$A$2:$A$521)</f>
        <v>133</v>
      </c>
      <c r="D135">
        <v>324</v>
      </c>
      <c r="E135">
        <v>3</v>
      </c>
      <c r="F135">
        <v>11</v>
      </c>
      <c r="G135">
        <v>63</v>
      </c>
      <c r="H135">
        <v>9</v>
      </c>
      <c r="I135">
        <v>1</v>
      </c>
      <c r="J135">
        <v>0.02</v>
      </c>
      <c r="K135">
        <v>13</v>
      </c>
      <c r="L135">
        <v>0</v>
      </c>
      <c r="M135">
        <v>0</v>
      </c>
      <c r="N135">
        <v>0</v>
      </c>
      <c r="O135">
        <v>0</v>
      </c>
      <c r="P135">
        <v>300</v>
      </c>
      <c r="Q135">
        <v>100</v>
      </c>
      <c r="R135">
        <v>1500</v>
      </c>
      <c r="S135">
        <v>3300</v>
      </c>
      <c r="T135">
        <v>1200</v>
      </c>
      <c r="U135">
        <v>300</v>
      </c>
      <c r="V135">
        <v>6</v>
      </c>
      <c r="W135">
        <v>50</v>
      </c>
      <c r="X135">
        <v>0</v>
      </c>
      <c r="Y135">
        <v>0</v>
      </c>
      <c r="Z135">
        <v>0</v>
      </c>
      <c r="AA135">
        <v>300</v>
      </c>
      <c r="AB135">
        <v>30</v>
      </c>
      <c r="AC135">
        <v>3</v>
      </c>
      <c r="AD135">
        <v>447</v>
      </c>
      <c r="AE135">
        <v>22</v>
      </c>
      <c r="AF135">
        <v>130</v>
      </c>
      <c r="AG135">
        <v>411</v>
      </c>
      <c r="AH135">
        <v>140</v>
      </c>
      <c r="AI135">
        <v>20</v>
      </c>
      <c r="AJ135">
        <v>4200</v>
      </c>
      <c r="AK135">
        <v>3500</v>
      </c>
      <c r="AL135">
        <v>260</v>
      </c>
      <c r="AM135">
        <v>3000</v>
      </c>
      <c r="AN135">
        <v>60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63</v>
      </c>
      <c r="AU135">
        <v>63</v>
      </c>
      <c r="AV135">
        <v>0</v>
      </c>
      <c r="AW135">
        <v>126</v>
      </c>
      <c r="AX135">
        <v>633</v>
      </c>
      <c r="AY135">
        <v>0</v>
      </c>
      <c r="AZ135">
        <v>0</v>
      </c>
      <c r="BA135">
        <v>633</v>
      </c>
      <c r="BB135">
        <v>380</v>
      </c>
      <c r="BC135">
        <v>0</v>
      </c>
      <c r="BD135">
        <v>0</v>
      </c>
      <c r="BE135">
        <v>62111</v>
      </c>
      <c r="BF135">
        <v>62111</v>
      </c>
      <c r="BG135">
        <f t="shared" si="13"/>
        <v>55.113636363636367</v>
      </c>
      <c r="BH135">
        <v>420</v>
      </c>
      <c r="BI135">
        <v>721</v>
      </c>
      <c r="BJ135">
        <v>291</v>
      </c>
      <c r="BK135">
        <v>161</v>
      </c>
      <c r="BL135">
        <v>215</v>
      </c>
      <c r="BM135">
        <v>495</v>
      </c>
      <c r="BN135">
        <v>323</v>
      </c>
      <c r="BO135">
        <v>312</v>
      </c>
      <c r="BP135">
        <v>108</v>
      </c>
      <c r="BQ135">
        <v>484</v>
      </c>
      <c r="BR135">
        <v>484</v>
      </c>
      <c r="BS135">
        <v>204</v>
      </c>
      <c r="BT135">
        <v>4218</v>
      </c>
      <c r="BU135">
        <v>377</v>
      </c>
      <c r="BV135">
        <v>527</v>
      </c>
      <c r="BW135">
        <v>3259</v>
      </c>
      <c r="BX135">
        <v>495</v>
      </c>
      <c r="BY135">
        <v>1227</v>
      </c>
      <c r="BZ135">
        <v>549</v>
      </c>
      <c r="CA135">
        <v>6434</v>
      </c>
      <c r="CB135">
        <v>125</v>
      </c>
      <c r="CC135">
        <v>52</v>
      </c>
      <c r="CD135">
        <v>78</v>
      </c>
      <c r="CE135">
        <v>1158</v>
      </c>
      <c r="CF135">
        <v>14.85</v>
      </c>
      <c r="CG135">
        <v>0</v>
      </c>
      <c r="CH135">
        <v>0</v>
      </c>
      <c r="CI135">
        <v>0</v>
      </c>
      <c r="CJ135">
        <v>0</v>
      </c>
      <c r="CK135">
        <v>2</v>
      </c>
      <c r="CL135">
        <v>4</v>
      </c>
      <c r="CM135">
        <v>2</v>
      </c>
      <c r="CN135">
        <v>350</v>
      </c>
      <c r="CO135">
        <v>0</v>
      </c>
      <c r="CP135">
        <v>19</v>
      </c>
      <c r="CQ135">
        <v>16</v>
      </c>
      <c r="CR135">
        <v>0</v>
      </c>
      <c r="CS135">
        <v>0</v>
      </c>
      <c r="CT135">
        <v>393</v>
      </c>
      <c r="CU135">
        <v>0</v>
      </c>
      <c r="CV135">
        <v>0</v>
      </c>
      <c r="CW135">
        <v>10</v>
      </c>
      <c r="CX135">
        <v>0</v>
      </c>
      <c r="CY135">
        <v>297</v>
      </c>
      <c r="CZ135">
        <v>8</v>
      </c>
      <c r="DA135">
        <v>0</v>
      </c>
      <c r="DB135">
        <v>0</v>
      </c>
      <c r="DC135">
        <v>315</v>
      </c>
      <c r="DD135">
        <v>0</v>
      </c>
      <c r="DE135">
        <v>0</v>
      </c>
      <c r="DF135">
        <v>1154</v>
      </c>
      <c r="DG135">
        <v>78</v>
      </c>
      <c r="DH135">
        <v>0</v>
      </c>
      <c r="DI135">
        <v>0</v>
      </c>
      <c r="DJ135">
        <v>0</v>
      </c>
      <c r="DK135">
        <v>0</v>
      </c>
      <c r="DL135">
        <v>4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1236</v>
      </c>
      <c r="DT135">
        <v>1944</v>
      </c>
      <c r="DU135">
        <v>756</v>
      </c>
      <c r="DV135">
        <v>0</v>
      </c>
      <c r="DW135">
        <v>0</v>
      </c>
      <c r="DX135">
        <v>0</v>
      </c>
      <c r="DY135">
        <v>4136</v>
      </c>
      <c r="DZ135">
        <v>2640</v>
      </c>
      <c r="EA135">
        <v>528</v>
      </c>
      <c r="EB135">
        <v>1056</v>
      </c>
      <c r="EC135">
        <v>440</v>
      </c>
      <c r="ED135">
        <v>3300</v>
      </c>
      <c r="EE135">
        <v>5500</v>
      </c>
      <c r="EF135">
        <v>0</v>
      </c>
      <c r="EG135">
        <v>0</v>
      </c>
      <c r="EH135">
        <v>2</v>
      </c>
      <c r="EI135">
        <v>5.5</v>
      </c>
      <c r="EJ135">
        <v>2.7</v>
      </c>
      <c r="EK135">
        <v>11.1</v>
      </c>
    </row>
    <row r="136" spans="1:141" x14ac:dyDescent="0.25">
      <c r="A136" t="str">
        <f>[1]ingredient!B135</f>
        <v>Grünkernflocken</v>
      </c>
      <c r="B136" t="s">
        <v>249</v>
      </c>
      <c r="C136" s="7">
        <f>_xlfn.XLOOKUP(A136,[1]ingredient!$B$2:$B$521,[1]ingredient!$A$2:$A$521)</f>
        <v>134</v>
      </c>
      <c r="D136">
        <v>104</v>
      </c>
      <c r="E136">
        <v>1</v>
      </c>
      <c r="F136">
        <v>4</v>
      </c>
      <c r="G136">
        <v>20</v>
      </c>
      <c r="H136">
        <v>3</v>
      </c>
      <c r="I136">
        <v>0.24</v>
      </c>
      <c r="J136">
        <v>0.01</v>
      </c>
      <c r="K136">
        <v>71</v>
      </c>
      <c r="L136">
        <v>0</v>
      </c>
      <c r="M136">
        <v>0</v>
      </c>
      <c r="N136">
        <v>0</v>
      </c>
      <c r="O136">
        <v>0</v>
      </c>
      <c r="P136">
        <v>59</v>
      </c>
      <c r="Q136">
        <v>29</v>
      </c>
      <c r="R136">
        <v>441</v>
      </c>
      <c r="S136">
        <v>1074</v>
      </c>
      <c r="T136">
        <v>282</v>
      </c>
      <c r="U136">
        <v>65</v>
      </c>
      <c r="V136">
        <v>1</v>
      </c>
      <c r="W136">
        <v>14</v>
      </c>
      <c r="X136">
        <v>0</v>
      </c>
      <c r="Y136">
        <v>0</v>
      </c>
      <c r="Z136">
        <v>0</v>
      </c>
      <c r="AA136">
        <v>114</v>
      </c>
      <c r="AB136">
        <v>11</v>
      </c>
      <c r="AC136">
        <v>1</v>
      </c>
      <c r="AD136">
        <v>175</v>
      </c>
      <c r="AE136">
        <v>9</v>
      </c>
      <c r="AF136">
        <v>51</v>
      </c>
      <c r="AG136">
        <v>153</v>
      </c>
      <c r="AH136">
        <v>55</v>
      </c>
      <c r="AI136">
        <v>8</v>
      </c>
      <c r="AJ136">
        <v>1645</v>
      </c>
      <c r="AK136">
        <v>1302</v>
      </c>
      <c r="AL136">
        <v>102</v>
      </c>
      <c r="AM136">
        <v>1175</v>
      </c>
      <c r="AN136">
        <v>24</v>
      </c>
      <c r="AO136">
        <v>0.4</v>
      </c>
      <c r="AP136">
        <v>0</v>
      </c>
      <c r="AQ136">
        <v>0</v>
      </c>
      <c r="AR136">
        <v>0</v>
      </c>
      <c r="AS136">
        <v>0</v>
      </c>
      <c r="AT136">
        <v>20</v>
      </c>
      <c r="AU136">
        <v>20</v>
      </c>
      <c r="AV136">
        <v>0</v>
      </c>
      <c r="AW136">
        <v>40</v>
      </c>
      <c r="AX136">
        <v>198</v>
      </c>
      <c r="AY136">
        <v>0</v>
      </c>
      <c r="AZ136">
        <v>0</v>
      </c>
      <c r="BA136">
        <v>198</v>
      </c>
      <c r="BB136">
        <v>119</v>
      </c>
      <c r="BC136">
        <v>0</v>
      </c>
      <c r="BD136">
        <v>0</v>
      </c>
      <c r="BE136">
        <v>19464</v>
      </c>
      <c r="BF136">
        <v>19464</v>
      </c>
      <c r="BG136">
        <f t="shared" si="13"/>
        <v>53.645833333333336</v>
      </c>
      <c r="BH136">
        <v>148</v>
      </c>
      <c r="BI136">
        <v>254</v>
      </c>
      <c r="BJ136">
        <v>103</v>
      </c>
      <c r="BK136">
        <v>57</v>
      </c>
      <c r="BL136">
        <v>76</v>
      </c>
      <c r="BM136">
        <v>175</v>
      </c>
      <c r="BN136">
        <v>114</v>
      </c>
      <c r="BO136">
        <v>110</v>
      </c>
      <c r="BP136">
        <v>38</v>
      </c>
      <c r="BQ136">
        <v>171</v>
      </c>
      <c r="BR136">
        <v>171</v>
      </c>
      <c r="BS136">
        <v>72</v>
      </c>
      <c r="BT136">
        <v>1489</v>
      </c>
      <c r="BU136">
        <v>133</v>
      </c>
      <c r="BV136">
        <v>186</v>
      </c>
      <c r="BW136">
        <v>1145</v>
      </c>
      <c r="BX136">
        <v>175</v>
      </c>
      <c r="BY136">
        <v>433</v>
      </c>
      <c r="BZ136">
        <v>194</v>
      </c>
      <c r="CA136">
        <v>2266</v>
      </c>
      <c r="CB136">
        <v>49</v>
      </c>
      <c r="CC136">
        <v>20</v>
      </c>
      <c r="CD136">
        <v>27</v>
      </c>
      <c r="CE136">
        <v>407</v>
      </c>
      <c r="CF136">
        <v>15.07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1</v>
      </c>
      <c r="CM136">
        <v>1</v>
      </c>
      <c r="CN136">
        <v>123</v>
      </c>
      <c r="CO136">
        <v>0</v>
      </c>
      <c r="CP136">
        <v>7</v>
      </c>
      <c r="CQ136">
        <v>6</v>
      </c>
      <c r="CR136">
        <v>0</v>
      </c>
      <c r="CS136">
        <v>0</v>
      </c>
      <c r="CT136">
        <v>139</v>
      </c>
      <c r="CU136">
        <v>0</v>
      </c>
      <c r="CV136">
        <v>0</v>
      </c>
      <c r="CW136">
        <v>4</v>
      </c>
      <c r="CX136">
        <v>0</v>
      </c>
      <c r="CY136">
        <v>105</v>
      </c>
      <c r="CZ136">
        <v>3</v>
      </c>
      <c r="DA136">
        <v>0</v>
      </c>
      <c r="DB136">
        <v>0</v>
      </c>
      <c r="DC136">
        <v>112</v>
      </c>
      <c r="DD136">
        <v>0</v>
      </c>
      <c r="DE136">
        <v>0</v>
      </c>
      <c r="DF136">
        <v>406</v>
      </c>
      <c r="DG136">
        <v>27</v>
      </c>
      <c r="DH136">
        <v>0</v>
      </c>
      <c r="DI136">
        <v>0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434</v>
      </c>
      <c r="DT136">
        <v>685</v>
      </c>
      <c r="DU136">
        <v>267</v>
      </c>
      <c r="DV136">
        <v>0</v>
      </c>
      <c r="DW136">
        <v>0</v>
      </c>
      <c r="DX136">
        <v>0</v>
      </c>
      <c r="DY136">
        <v>1507</v>
      </c>
      <c r="DZ136">
        <v>962</v>
      </c>
      <c r="EA136">
        <v>192</v>
      </c>
      <c r="EB136">
        <v>385</v>
      </c>
      <c r="EC136">
        <v>160</v>
      </c>
      <c r="ED136">
        <v>1202</v>
      </c>
      <c r="EE136">
        <v>2004</v>
      </c>
      <c r="EF136">
        <v>0</v>
      </c>
      <c r="EG136">
        <v>0</v>
      </c>
      <c r="EH136">
        <v>0.7</v>
      </c>
      <c r="EI136">
        <v>2</v>
      </c>
      <c r="EJ136">
        <v>1</v>
      </c>
      <c r="EK136">
        <v>3.9</v>
      </c>
    </row>
    <row r="137" spans="1:141" x14ac:dyDescent="0.25">
      <c r="A137" t="str">
        <f>[1]ingredient!B136</f>
        <v>Grünkohl</v>
      </c>
      <c r="B137" t="s">
        <v>250</v>
      </c>
      <c r="C137" s="7">
        <f>_xlfn.XLOOKUP(A137,[1]ingredient!$B$2:$B$521,[1]ingredient!$A$2:$A$521)</f>
        <v>135</v>
      </c>
      <c r="D137">
        <v>37</v>
      </c>
      <c r="E137">
        <v>1</v>
      </c>
      <c r="F137">
        <v>4</v>
      </c>
      <c r="G137">
        <v>3</v>
      </c>
      <c r="H137">
        <v>4</v>
      </c>
      <c r="I137">
        <v>3</v>
      </c>
      <c r="J137">
        <v>0.1</v>
      </c>
      <c r="K137">
        <v>86</v>
      </c>
      <c r="L137">
        <v>862</v>
      </c>
      <c r="M137">
        <v>431</v>
      </c>
      <c r="N137">
        <v>0</v>
      </c>
      <c r="O137">
        <v>5169</v>
      </c>
      <c r="P137">
        <v>100</v>
      </c>
      <c r="Q137">
        <v>250</v>
      </c>
      <c r="R137">
        <v>2100</v>
      </c>
      <c r="S137">
        <v>3167</v>
      </c>
      <c r="T137">
        <v>0</v>
      </c>
      <c r="U137">
        <v>250</v>
      </c>
      <c r="V137">
        <v>1</v>
      </c>
      <c r="W137">
        <v>187</v>
      </c>
      <c r="X137">
        <v>0</v>
      </c>
      <c r="Y137">
        <v>105000</v>
      </c>
      <c r="Z137">
        <v>0</v>
      </c>
      <c r="AA137">
        <v>1700</v>
      </c>
      <c r="AB137">
        <v>817</v>
      </c>
      <c r="AC137">
        <v>35</v>
      </c>
      <c r="AD137">
        <v>451</v>
      </c>
      <c r="AE137">
        <v>212</v>
      </c>
      <c r="AF137">
        <v>31</v>
      </c>
      <c r="AG137">
        <v>87</v>
      </c>
      <c r="AH137">
        <v>110</v>
      </c>
      <c r="AI137">
        <v>60</v>
      </c>
      <c r="AJ137">
        <v>1900</v>
      </c>
      <c r="AK137">
        <v>330</v>
      </c>
      <c r="AL137">
        <v>56</v>
      </c>
      <c r="AM137">
        <v>550</v>
      </c>
      <c r="AN137">
        <v>20</v>
      </c>
      <c r="AO137">
        <v>5</v>
      </c>
      <c r="AP137">
        <v>0</v>
      </c>
      <c r="AQ137">
        <v>0</v>
      </c>
      <c r="AR137">
        <v>0</v>
      </c>
      <c r="AS137">
        <v>0</v>
      </c>
      <c r="AT137">
        <v>615</v>
      </c>
      <c r="AU137">
        <v>920</v>
      </c>
      <c r="AV137">
        <v>0</v>
      </c>
      <c r="AW137">
        <v>1535</v>
      </c>
      <c r="AX137">
        <v>1000</v>
      </c>
      <c r="AY137">
        <v>0</v>
      </c>
      <c r="AZ137">
        <v>0</v>
      </c>
      <c r="BA137">
        <v>1000</v>
      </c>
      <c r="BB137">
        <v>0</v>
      </c>
      <c r="BC137">
        <v>0</v>
      </c>
      <c r="BD137">
        <v>0</v>
      </c>
      <c r="BE137">
        <v>102</v>
      </c>
      <c r="BF137">
        <v>102</v>
      </c>
      <c r="BG137">
        <f t="shared" ref="BG137:BG200" si="17">IF($F137=0,"0",MIN(
BH137/(30*$F137),
BI137/(61*$F137),
BJ137/(48*$F137),
(BK137+BL137)/(23*$F137),
(BM137+BN137)/(41*$F137),
BO137/(25*$F137),
BP137/(6.6*$F137),
BQ137/(40*$F137),
BS137/(16*$F137)
)*100)</f>
        <v>102.45901639344261</v>
      </c>
      <c r="BH137">
        <v>140</v>
      </c>
      <c r="BI137">
        <v>250</v>
      </c>
      <c r="BJ137">
        <v>240</v>
      </c>
      <c r="BK137">
        <v>52</v>
      </c>
      <c r="BL137">
        <v>69</v>
      </c>
      <c r="BM137">
        <v>140</v>
      </c>
      <c r="BN137">
        <v>180</v>
      </c>
      <c r="BO137">
        <v>130</v>
      </c>
      <c r="BP137">
        <v>64</v>
      </c>
      <c r="BQ137">
        <v>230</v>
      </c>
      <c r="BR137">
        <v>300</v>
      </c>
      <c r="BS137">
        <v>100</v>
      </c>
      <c r="BT137">
        <v>1895</v>
      </c>
      <c r="BU137">
        <v>269</v>
      </c>
      <c r="BV137">
        <v>448</v>
      </c>
      <c r="BW137">
        <v>537</v>
      </c>
      <c r="BX137">
        <v>215</v>
      </c>
      <c r="BY137">
        <v>251</v>
      </c>
      <c r="BZ137">
        <v>197</v>
      </c>
      <c r="CA137">
        <v>1917</v>
      </c>
      <c r="CB137">
        <v>48</v>
      </c>
      <c r="CC137">
        <v>16</v>
      </c>
      <c r="CD137">
        <v>355</v>
      </c>
      <c r="CE137">
        <v>130</v>
      </c>
      <c r="CF137">
        <v>0.37</v>
      </c>
      <c r="CG137">
        <v>0</v>
      </c>
      <c r="CH137">
        <v>0</v>
      </c>
      <c r="CI137">
        <v>0</v>
      </c>
      <c r="CJ137">
        <v>0</v>
      </c>
      <c r="CK137">
        <v>4</v>
      </c>
      <c r="CL137">
        <v>1</v>
      </c>
      <c r="CM137">
        <v>0</v>
      </c>
      <c r="CN137">
        <v>95</v>
      </c>
      <c r="CO137">
        <v>0</v>
      </c>
      <c r="CP137">
        <v>9</v>
      </c>
      <c r="CQ137">
        <v>2</v>
      </c>
      <c r="CR137">
        <v>0</v>
      </c>
      <c r="CS137">
        <v>0</v>
      </c>
      <c r="CT137">
        <v>111</v>
      </c>
      <c r="CU137">
        <v>0</v>
      </c>
      <c r="CV137">
        <v>0</v>
      </c>
      <c r="CW137">
        <v>12</v>
      </c>
      <c r="CX137">
        <v>0</v>
      </c>
      <c r="CY137">
        <v>5</v>
      </c>
      <c r="CZ137">
        <v>2</v>
      </c>
      <c r="DA137">
        <v>0</v>
      </c>
      <c r="DB137">
        <v>0</v>
      </c>
      <c r="DC137">
        <v>19</v>
      </c>
      <c r="DD137">
        <v>0</v>
      </c>
      <c r="DE137">
        <v>0</v>
      </c>
      <c r="DF137">
        <v>130</v>
      </c>
      <c r="DG137">
        <v>355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485</v>
      </c>
      <c r="DT137">
        <v>614</v>
      </c>
      <c r="DU137">
        <v>180</v>
      </c>
      <c r="DV137">
        <v>0</v>
      </c>
      <c r="DW137">
        <v>0</v>
      </c>
      <c r="DX137">
        <v>0</v>
      </c>
      <c r="DY137">
        <v>882</v>
      </c>
      <c r="DZ137">
        <v>714</v>
      </c>
      <c r="EA137">
        <v>1050</v>
      </c>
      <c r="EB137">
        <v>1470</v>
      </c>
      <c r="EC137">
        <v>126</v>
      </c>
      <c r="ED137">
        <v>420</v>
      </c>
      <c r="EE137">
        <v>3780</v>
      </c>
      <c r="EF137">
        <v>0</v>
      </c>
      <c r="EG137">
        <v>0.44</v>
      </c>
      <c r="EH137">
        <v>1.7</v>
      </c>
      <c r="EI137">
        <v>3.8</v>
      </c>
      <c r="EJ137">
        <v>0.9</v>
      </c>
      <c r="EK137">
        <v>4</v>
      </c>
    </row>
    <row r="138" spans="1:141" x14ac:dyDescent="0.25">
      <c r="A138" t="str">
        <f>[1]ingredient!B137</f>
        <v>Grünkohl rot</v>
      </c>
      <c r="B138" t="s">
        <v>250</v>
      </c>
      <c r="C138" s="7">
        <f>_xlfn.XLOOKUP(A138,[1]ingredient!$B$2:$B$521,[1]ingredient!$A$2:$A$521)</f>
        <v>136</v>
      </c>
      <c r="D138">
        <v>37</v>
      </c>
      <c r="E138">
        <v>1</v>
      </c>
      <c r="F138">
        <v>4</v>
      </c>
      <c r="G138">
        <v>3</v>
      </c>
      <c r="H138">
        <v>4</v>
      </c>
      <c r="I138">
        <v>3</v>
      </c>
      <c r="J138">
        <v>0.1</v>
      </c>
      <c r="K138">
        <v>86</v>
      </c>
      <c r="L138">
        <v>862</v>
      </c>
      <c r="M138">
        <v>431</v>
      </c>
      <c r="N138">
        <v>0</v>
      </c>
      <c r="O138">
        <v>5169</v>
      </c>
      <c r="P138">
        <v>100</v>
      </c>
      <c r="Q138">
        <v>250</v>
      </c>
      <c r="R138">
        <v>2100</v>
      </c>
      <c r="S138">
        <v>3167</v>
      </c>
      <c r="T138">
        <v>0</v>
      </c>
      <c r="U138">
        <v>250</v>
      </c>
      <c r="V138">
        <v>1</v>
      </c>
      <c r="W138">
        <v>187</v>
      </c>
      <c r="X138">
        <v>0</v>
      </c>
      <c r="Y138">
        <v>105000</v>
      </c>
      <c r="Z138">
        <v>0</v>
      </c>
      <c r="AA138">
        <v>1700</v>
      </c>
      <c r="AB138">
        <v>817</v>
      </c>
      <c r="AC138">
        <v>35</v>
      </c>
      <c r="AD138">
        <v>451</v>
      </c>
      <c r="AE138">
        <v>212</v>
      </c>
      <c r="AF138">
        <v>31</v>
      </c>
      <c r="AG138">
        <v>87</v>
      </c>
      <c r="AH138">
        <v>110</v>
      </c>
      <c r="AI138">
        <v>60</v>
      </c>
      <c r="AJ138">
        <v>1900</v>
      </c>
      <c r="AK138">
        <v>330</v>
      </c>
      <c r="AL138">
        <v>56</v>
      </c>
      <c r="AM138">
        <v>550</v>
      </c>
      <c r="AN138">
        <v>20</v>
      </c>
      <c r="AO138">
        <v>5</v>
      </c>
      <c r="AP138">
        <v>0</v>
      </c>
      <c r="AQ138">
        <v>0</v>
      </c>
      <c r="AR138">
        <v>0</v>
      </c>
      <c r="AS138">
        <v>0</v>
      </c>
      <c r="AT138">
        <v>615</v>
      </c>
      <c r="AU138">
        <v>920</v>
      </c>
      <c r="AV138">
        <v>0</v>
      </c>
      <c r="AW138">
        <v>1535</v>
      </c>
      <c r="AX138">
        <v>1000</v>
      </c>
      <c r="AY138">
        <v>0</v>
      </c>
      <c r="AZ138">
        <v>0</v>
      </c>
      <c r="BA138">
        <v>1000</v>
      </c>
      <c r="BB138">
        <v>0</v>
      </c>
      <c r="BC138">
        <v>0</v>
      </c>
      <c r="BD138">
        <v>0</v>
      </c>
      <c r="BE138">
        <v>102</v>
      </c>
      <c r="BF138">
        <v>102</v>
      </c>
      <c r="BG138">
        <f t="shared" si="17"/>
        <v>102.45901639344261</v>
      </c>
      <c r="BH138">
        <v>140</v>
      </c>
      <c r="BI138">
        <v>250</v>
      </c>
      <c r="BJ138">
        <v>240</v>
      </c>
      <c r="BK138">
        <v>52</v>
      </c>
      <c r="BL138">
        <v>69</v>
      </c>
      <c r="BM138">
        <v>140</v>
      </c>
      <c r="BN138">
        <v>180</v>
      </c>
      <c r="BO138">
        <v>130</v>
      </c>
      <c r="BP138">
        <v>64</v>
      </c>
      <c r="BQ138">
        <v>230</v>
      </c>
      <c r="BR138">
        <v>300</v>
      </c>
      <c r="BS138">
        <v>100</v>
      </c>
      <c r="BT138">
        <v>1895</v>
      </c>
      <c r="BU138">
        <v>269</v>
      </c>
      <c r="BV138">
        <v>448</v>
      </c>
      <c r="BW138">
        <v>537</v>
      </c>
      <c r="BX138">
        <v>215</v>
      </c>
      <c r="BY138">
        <v>251</v>
      </c>
      <c r="BZ138">
        <v>197</v>
      </c>
      <c r="CA138">
        <v>1917</v>
      </c>
      <c r="CB138">
        <v>48</v>
      </c>
      <c r="CC138">
        <v>16</v>
      </c>
      <c r="CD138">
        <v>355</v>
      </c>
      <c r="CE138">
        <v>130</v>
      </c>
      <c r="CF138">
        <v>0.37</v>
      </c>
      <c r="CG138">
        <v>0</v>
      </c>
      <c r="CH138">
        <v>0</v>
      </c>
      <c r="CI138">
        <v>0</v>
      </c>
      <c r="CJ138">
        <v>0</v>
      </c>
      <c r="CK138">
        <v>4</v>
      </c>
      <c r="CL138">
        <v>1</v>
      </c>
      <c r="CM138">
        <v>0</v>
      </c>
      <c r="CN138">
        <v>95</v>
      </c>
      <c r="CO138">
        <v>0</v>
      </c>
      <c r="CP138">
        <v>9</v>
      </c>
      <c r="CQ138">
        <v>2</v>
      </c>
      <c r="CR138">
        <v>0</v>
      </c>
      <c r="CS138">
        <v>0</v>
      </c>
      <c r="CT138">
        <v>111</v>
      </c>
      <c r="CU138">
        <v>0</v>
      </c>
      <c r="CV138">
        <v>0</v>
      </c>
      <c r="CW138">
        <v>12</v>
      </c>
      <c r="CX138">
        <v>0</v>
      </c>
      <c r="CY138">
        <v>5</v>
      </c>
      <c r="CZ138">
        <v>2</v>
      </c>
      <c r="DA138">
        <v>0</v>
      </c>
      <c r="DB138">
        <v>0</v>
      </c>
      <c r="DC138">
        <v>19</v>
      </c>
      <c r="DD138">
        <v>0</v>
      </c>
      <c r="DE138">
        <v>0</v>
      </c>
      <c r="DF138">
        <v>130</v>
      </c>
      <c r="DG138">
        <v>355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485</v>
      </c>
      <c r="DT138">
        <v>614</v>
      </c>
      <c r="DU138">
        <v>180</v>
      </c>
      <c r="DV138">
        <v>0</v>
      </c>
      <c r="DW138">
        <v>0</v>
      </c>
      <c r="DX138">
        <v>0</v>
      </c>
      <c r="DY138">
        <v>882</v>
      </c>
      <c r="DZ138">
        <v>714</v>
      </c>
      <c r="EA138">
        <v>1050</v>
      </c>
      <c r="EB138">
        <v>1470</v>
      </c>
      <c r="EC138">
        <v>126</v>
      </c>
      <c r="ED138">
        <v>420</v>
      </c>
      <c r="EE138">
        <v>3780</v>
      </c>
      <c r="EF138">
        <v>0</v>
      </c>
      <c r="EG138">
        <v>0.44</v>
      </c>
      <c r="EH138">
        <v>1.7</v>
      </c>
      <c r="EI138">
        <v>3.8</v>
      </c>
      <c r="EJ138">
        <v>0.9</v>
      </c>
      <c r="EK138">
        <v>4</v>
      </c>
    </row>
    <row r="139" spans="1:141" x14ac:dyDescent="0.25">
      <c r="A139" t="str">
        <f>[1]ingredient!B138</f>
        <v>Grünkohl, gefroren</v>
      </c>
      <c r="B139" t="s">
        <v>251</v>
      </c>
      <c r="C139" s="7">
        <f>_xlfn.XLOOKUP(A139,[1]ingredient!$B$2:$B$521,[1]ingredient!$A$2:$A$521)</f>
        <v>137</v>
      </c>
      <c r="D139">
        <v>40</v>
      </c>
      <c r="E139">
        <v>1</v>
      </c>
      <c r="F139">
        <v>5</v>
      </c>
      <c r="G139">
        <v>3</v>
      </c>
      <c r="H139">
        <v>5</v>
      </c>
      <c r="I139">
        <v>3</v>
      </c>
      <c r="J139">
        <v>0.09</v>
      </c>
      <c r="K139">
        <v>85</v>
      </c>
      <c r="L139">
        <v>898</v>
      </c>
      <c r="M139">
        <v>449</v>
      </c>
      <c r="N139">
        <v>0</v>
      </c>
      <c r="O139">
        <v>5385</v>
      </c>
      <c r="P139">
        <v>88</v>
      </c>
      <c r="Q139">
        <v>247</v>
      </c>
      <c r="R139">
        <v>2072</v>
      </c>
      <c r="S139">
        <v>3389</v>
      </c>
      <c r="T139">
        <v>0</v>
      </c>
      <c r="U139">
        <v>219</v>
      </c>
      <c r="V139">
        <v>1</v>
      </c>
      <c r="W139">
        <v>144</v>
      </c>
      <c r="X139">
        <v>0</v>
      </c>
      <c r="Y139">
        <v>80596</v>
      </c>
      <c r="Z139">
        <v>0</v>
      </c>
      <c r="AA139">
        <v>1864</v>
      </c>
      <c r="AB139">
        <v>896</v>
      </c>
      <c r="AC139">
        <v>35</v>
      </c>
      <c r="AD139">
        <v>445</v>
      </c>
      <c r="AE139">
        <v>209</v>
      </c>
      <c r="AF139">
        <v>31</v>
      </c>
      <c r="AG139">
        <v>86</v>
      </c>
      <c r="AH139">
        <v>109</v>
      </c>
      <c r="AI139">
        <v>59</v>
      </c>
      <c r="AJ139">
        <v>1875</v>
      </c>
      <c r="AK139">
        <v>326</v>
      </c>
      <c r="AL139">
        <v>55</v>
      </c>
      <c r="AM139">
        <v>543</v>
      </c>
      <c r="AN139">
        <v>20</v>
      </c>
      <c r="AO139">
        <v>4</v>
      </c>
      <c r="AP139">
        <v>0</v>
      </c>
      <c r="AQ139">
        <v>0</v>
      </c>
      <c r="AR139">
        <v>0</v>
      </c>
      <c r="AS139">
        <v>0</v>
      </c>
      <c r="AT139">
        <v>617</v>
      </c>
      <c r="AU139">
        <v>923</v>
      </c>
      <c r="AV139">
        <v>0</v>
      </c>
      <c r="AW139">
        <v>1540</v>
      </c>
      <c r="AX139">
        <v>1004</v>
      </c>
      <c r="AY139">
        <v>0</v>
      </c>
      <c r="AZ139">
        <v>0</v>
      </c>
      <c r="BA139">
        <v>1004</v>
      </c>
      <c r="BB139">
        <v>0</v>
      </c>
      <c r="BC139">
        <v>0</v>
      </c>
      <c r="BD139">
        <v>0</v>
      </c>
      <c r="BE139">
        <v>102</v>
      </c>
      <c r="BF139">
        <v>102</v>
      </c>
      <c r="BG139">
        <f t="shared" si="17"/>
        <v>101.31147540983608</v>
      </c>
      <c r="BH139">
        <v>174</v>
      </c>
      <c r="BI139">
        <v>309</v>
      </c>
      <c r="BJ139">
        <v>297</v>
      </c>
      <c r="BK139">
        <v>64</v>
      </c>
      <c r="BL139">
        <v>86</v>
      </c>
      <c r="BM139">
        <v>174</v>
      </c>
      <c r="BN139">
        <v>222</v>
      </c>
      <c r="BO139">
        <v>161</v>
      </c>
      <c r="BP139">
        <v>79</v>
      </c>
      <c r="BQ139">
        <v>284</v>
      </c>
      <c r="BR139">
        <v>371</v>
      </c>
      <c r="BS139">
        <v>124</v>
      </c>
      <c r="BT139">
        <v>2345</v>
      </c>
      <c r="BU139">
        <v>333</v>
      </c>
      <c r="BV139">
        <v>554</v>
      </c>
      <c r="BW139">
        <v>664</v>
      </c>
      <c r="BX139">
        <v>266</v>
      </c>
      <c r="BY139">
        <v>310</v>
      </c>
      <c r="BZ139">
        <v>244</v>
      </c>
      <c r="CA139">
        <v>2371</v>
      </c>
      <c r="CB139">
        <v>53</v>
      </c>
      <c r="CC139">
        <v>18</v>
      </c>
      <c r="CD139">
        <v>442</v>
      </c>
      <c r="CE139">
        <v>162</v>
      </c>
      <c r="CF139">
        <v>0.37</v>
      </c>
      <c r="CG139">
        <v>0</v>
      </c>
      <c r="CH139">
        <v>0</v>
      </c>
      <c r="CI139">
        <v>0</v>
      </c>
      <c r="CJ139">
        <v>0</v>
      </c>
      <c r="CK139">
        <v>5</v>
      </c>
      <c r="CL139">
        <v>2</v>
      </c>
      <c r="CM139">
        <v>0</v>
      </c>
      <c r="CN139">
        <v>118</v>
      </c>
      <c r="CO139">
        <v>0</v>
      </c>
      <c r="CP139">
        <v>10</v>
      </c>
      <c r="CQ139">
        <v>2</v>
      </c>
      <c r="CR139">
        <v>0</v>
      </c>
      <c r="CS139">
        <v>0</v>
      </c>
      <c r="CT139">
        <v>137</v>
      </c>
      <c r="CU139">
        <v>0</v>
      </c>
      <c r="CV139">
        <v>0</v>
      </c>
      <c r="CW139">
        <v>15</v>
      </c>
      <c r="CX139">
        <v>0</v>
      </c>
      <c r="CY139">
        <v>6</v>
      </c>
      <c r="CZ139">
        <v>2</v>
      </c>
      <c r="DA139">
        <v>0</v>
      </c>
      <c r="DB139">
        <v>0</v>
      </c>
      <c r="DC139">
        <v>23</v>
      </c>
      <c r="DD139">
        <v>0</v>
      </c>
      <c r="DE139">
        <v>0</v>
      </c>
      <c r="DF139">
        <v>162</v>
      </c>
      <c r="DG139">
        <v>442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604</v>
      </c>
      <c r="DT139">
        <v>764</v>
      </c>
      <c r="DU139">
        <v>223</v>
      </c>
      <c r="DV139">
        <v>0</v>
      </c>
      <c r="DW139">
        <v>0</v>
      </c>
      <c r="DX139">
        <v>0</v>
      </c>
      <c r="DY139">
        <v>957</v>
      </c>
      <c r="DZ139">
        <v>775</v>
      </c>
      <c r="EA139">
        <v>1140</v>
      </c>
      <c r="EB139">
        <v>1596</v>
      </c>
      <c r="EC139">
        <v>137</v>
      </c>
      <c r="ED139">
        <v>461</v>
      </c>
      <c r="EE139">
        <v>4145</v>
      </c>
      <c r="EF139">
        <v>0</v>
      </c>
      <c r="EG139">
        <v>0.48</v>
      </c>
      <c r="EH139">
        <v>1.8</v>
      </c>
      <c r="EI139">
        <v>4.0999999999999996</v>
      </c>
      <c r="EJ139">
        <v>1</v>
      </c>
      <c r="EK139">
        <v>4.9000000000000004</v>
      </c>
    </row>
    <row r="140" spans="1:141" x14ac:dyDescent="0.25">
      <c r="A140" t="str">
        <f>[1]ingredient!B139</f>
        <v>Grünkohl-Sprossen</v>
      </c>
      <c r="B140" s="13" t="s">
        <v>252</v>
      </c>
      <c r="C140" s="7">
        <f>_xlfn.XLOOKUP(A140,[1]ingredient!$B$2:$B$521,[1]ingredient!$A$2:$A$521)</f>
        <v>138</v>
      </c>
      <c r="D140">
        <v>36</v>
      </c>
      <c r="E140">
        <v>0.34</v>
      </c>
      <c r="F140">
        <v>4</v>
      </c>
      <c r="G140">
        <v>3</v>
      </c>
      <c r="H140">
        <v>4</v>
      </c>
      <c r="I140">
        <v>3</v>
      </c>
      <c r="J140">
        <v>0.05</v>
      </c>
      <c r="K140">
        <v>86</v>
      </c>
      <c r="L140">
        <v>75</v>
      </c>
      <c r="M140">
        <v>37</v>
      </c>
      <c r="N140">
        <v>0</v>
      </c>
      <c r="O140">
        <v>447</v>
      </c>
      <c r="P140">
        <v>126</v>
      </c>
      <c r="Q140">
        <v>134</v>
      </c>
      <c r="R140">
        <v>670</v>
      </c>
      <c r="S140">
        <v>1420</v>
      </c>
      <c r="T140">
        <v>500</v>
      </c>
      <c r="U140">
        <v>280</v>
      </c>
      <c r="V140">
        <v>0.4</v>
      </c>
      <c r="W140">
        <v>78</v>
      </c>
      <c r="X140">
        <v>0</v>
      </c>
      <c r="Y140">
        <v>112000</v>
      </c>
      <c r="Z140">
        <v>0</v>
      </c>
      <c r="AA140">
        <v>560</v>
      </c>
      <c r="AB140">
        <v>250</v>
      </c>
      <c r="AC140">
        <v>10</v>
      </c>
      <c r="AD140">
        <v>387</v>
      </c>
      <c r="AE140">
        <v>31</v>
      </c>
      <c r="AF140">
        <v>22</v>
      </c>
      <c r="AG140">
        <v>84</v>
      </c>
      <c r="AH140">
        <v>93</v>
      </c>
      <c r="AI140">
        <v>40</v>
      </c>
      <c r="AJ140">
        <v>1100</v>
      </c>
      <c r="AK140">
        <v>590</v>
      </c>
      <c r="AL140">
        <v>65</v>
      </c>
      <c r="AM140">
        <v>260</v>
      </c>
      <c r="AN140">
        <v>10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987</v>
      </c>
      <c r="AU140">
        <v>888</v>
      </c>
      <c r="AV140">
        <v>0</v>
      </c>
      <c r="AW140">
        <v>1875</v>
      </c>
      <c r="AX140">
        <v>1086</v>
      </c>
      <c r="AY140">
        <v>0</v>
      </c>
      <c r="AZ140">
        <v>0</v>
      </c>
      <c r="BA140">
        <v>1086</v>
      </c>
      <c r="BB140">
        <v>0</v>
      </c>
      <c r="BC140">
        <v>0</v>
      </c>
      <c r="BD140">
        <v>0</v>
      </c>
      <c r="BE140">
        <v>329</v>
      </c>
      <c r="BF140">
        <v>329</v>
      </c>
      <c r="BG140">
        <f t="shared" si="17"/>
        <v>72.826086956521735</v>
      </c>
      <c r="BH140">
        <v>182</v>
      </c>
      <c r="BI140">
        <v>200</v>
      </c>
      <c r="BJ140">
        <v>187</v>
      </c>
      <c r="BK140">
        <v>45</v>
      </c>
      <c r="BL140">
        <v>22</v>
      </c>
      <c r="BM140">
        <v>125</v>
      </c>
      <c r="BN140">
        <v>89</v>
      </c>
      <c r="BO140">
        <v>142</v>
      </c>
      <c r="BP140">
        <v>45</v>
      </c>
      <c r="BQ140">
        <v>169</v>
      </c>
      <c r="BR140">
        <v>276</v>
      </c>
      <c r="BS140">
        <v>93</v>
      </c>
      <c r="BT140">
        <v>1575</v>
      </c>
      <c r="BU140">
        <v>214</v>
      </c>
      <c r="BV140">
        <v>454</v>
      </c>
      <c r="BW140">
        <v>712</v>
      </c>
      <c r="BX140">
        <v>169</v>
      </c>
      <c r="BY140">
        <v>787</v>
      </c>
      <c r="BZ140">
        <v>227</v>
      </c>
      <c r="CA140">
        <v>2563</v>
      </c>
      <c r="CB140">
        <v>60</v>
      </c>
      <c r="CC140">
        <v>25</v>
      </c>
      <c r="CD140">
        <v>142</v>
      </c>
      <c r="CE140">
        <v>49</v>
      </c>
      <c r="CF140">
        <v>0.35</v>
      </c>
      <c r="CG140">
        <v>0</v>
      </c>
      <c r="CH140">
        <v>0</v>
      </c>
      <c r="CI140">
        <v>2</v>
      </c>
      <c r="CJ140">
        <v>0</v>
      </c>
      <c r="CK140">
        <v>0</v>
      </c>
      <c r="CL140">
        <v>1</v>
      </c>
      <c r="CM140">
        <v>0</v>
      </c>
      <c r="CN140">
        <v>56</v>
      </c>
      <c r="CO140">
        <v>0</v>
      </c>
      <c r="CP140">
        <v>3</v>
      </c>
      <c r="CQ140">
        <v>0</v>
      </c>
      <c r="CR140">
        <v>0</v>
      </c>
      <c r="CS140">
        <v>0</v>
      </c>
      <c r="CT140">
        <v>62</v>
      </c>
      <c r="CU140">
        <v>0</v>
      </c>
      <c r="CV140">
        <v>0</v>
      </c>
      <c r="CW140">
        <v>2</v>
      </c>
      <c r="CX140">
        <v>0</v>
      </c>
      <c r="CY140">
        <v>17</v>
      </c>
      <c r="CZ140">
        <v>0</v>
      </c>
      <c r="DA140">
        <v>0</v>
      </c>
      <c r="DB140">
        <v>0</v>
      </c>
      <c r="DC140">
        <v>19</v>
      </c>
      <c r="DD140">
        <v>0</v>
      </c>
      <c r="DE140">
        <v>0</v>
      </c>
      <c r="DF140">
        <v>49</v>
      </c>
      <c r="DG140">
        <v>142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191</v>
      </c>
      <c r="DT140">
        <v>270</v>
      </c>
      <c r="DU140">
        <v>68</v>
      </c>
      <c r="DV140">
        <v>0</v>
      </c>
      <c r="DW140">
        <v>0</v>
      </c>
      <c r="DX140">
        <v>2</v>
      </c>
      <c r="DY140">
        <v>1320</v>
      </c>
      <c r="DZ140">
        <v>880</v>
      </c>
      <c r="EA140">
        <v>792</v>
      </c>
      <c r="EB140">
        <v>1320</v>
      </c>
      <c r="EC140">
        <v>88</v>
      </c>
      <c r="ED140">
        <v>1452</v>
      </c>
      <c r="EE140">
        <v>2948</v>
      </c>
      <c r="EF140">
        <v>0</v>
      </c>
      <c r="EG140">
        <v>1</v>
      </c>
      <c r="EH140">
        <v>1.4</v>
      </c>
      <c r="EI140">
        <v>2.9</v>
      </c>
      <c r="EJ140">
        <v>0.3</v>
      </c>
      <c r="EK140">
        <v>4.3</v>
      </c>
    </row>
    <row r="141" spans="1:141" x14ac:dyDescent="0.25">
      <c r="A141" t="str">
        <f>[1]ingredient!B140</f>
        <v>Guaven</v>
      </c>
      <c r="B141" t="s">
        <v>253</v>
      </c>
      <c r="C141" s="7">
        <f>_xlfn.XLOOKUP(A141,[1]ingredient!$B$2:$B$521,[1]ingredient!$A$2:$A$521)</f>
        <v>139</v>
      </c>
      <c r="D141">
        <v>38</v>
      </c>
      <c r="E141">
        <v>1</v>
      </c>
      <c r="F141">
        <v>1</v>
      </c>
      <c r="G141">
        <v>7</v>
      </c>
      <c r="H141">
        <v>5</v>
      </c>
      <c r="I141">
        <v>7</v>
      </c>
      <c r="J141">
        <v>0.01</v>
      </c>
      <c r="K141">
        <v>85</v>
      </c>
      <c r="L141">
        <v>37</v>
      </c>
      <c r="M141">
        <v>18</v>
      </c>
      <c r="N141">
        <v>0</v>
      </c>
      <c r="O141">
        <v>220</v>
      </c>
      <c r="P141">
        <v>30</v>
      </c>
      <c r="Q141">
        <v>40</v>
      </c>
      <c r="R141">
        <v>1100</v>
      </c>
      <c r="S141">
        <v>1233</v>
      </c>
      <c r="T141">
        <v>150</v>
      </c>
      <c r="U141">
        <v>140</v>
      </c>
      <c r="V141">
        <v>3</v>
      </c>
      <c r="W141">
        <v>30</v>
      </c>
      <c r="X141">
        <v>0</v>
      </c>
      <c r="Y141">
        <v>273000</v>
      </c>
      <c r="Z141">
        <v>0</v>
      </c>
      <c r="AA141">
        <v>400</v>
      </c>
      <c r="AB141">
        <v>10</v>
      </c>
      <c r="AC141">
        <v>4</v>
      </c>
      <c r="AD141">
        <v>290</v>
      </c>
      <c r="AE141">
        <v>17</v>
      </c>
      <c r="AF141">
        <v>13</v>
      </c>
      <c r="AG141">
        <v>31</v>
      </c>
      <c r="AH141">
        <v>12</v>
      </c>
      <c r="AI141">
        <v>6</v>
      </c>
      <c r="AJ141">
        <v>750</v>
      </c>
      <c r="AK141">
        <v>900</v>
      </c>
      <c r="AL141">
        <v>103</v>
      </c>
      <c r="AM141">
        <v>140</v>
      </c>
      <c r="AN141">
        <v>10</v>
      </c>
      <c r="AO141">
        <v>2</v>
      </c>
      <c r="AP141">
        <v>0</v>
      </c>
      <c r="AQ141">
        <v>0</v>
      </c>
      <c r="AR141">
        <v>0</v>
      </c>
      <c r="AS141">
        <v>0</v>
      </c>
      <c r="AT141">
        <v>2345</v>
      </c>
      <c r="AU141">
        <v>2747</v>
      </c>
      <c r="AV141">
        <v>0</v>
      </c>
      <c r="AW141">
        <v>5092</v>
      </c>
      <c r="AX141">
        <v>1608</v>
      </c>
      <c r="AY141">
        <v>0</v>
      </c>
      <c r="AZ141">
        <v>0</v>
      </c>
      <c r="BA141">
        <v>1608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f t="shared" si="17"/>
        <v>21.739130434782609</v>
      </c>
      <c r="BH141">
        <v>33</v>
      </c>
      <c r="BI141">
        <v>60</v>
      </c>
      <c r="BJ141">
        <v>25</v>
      </c>
      <c r="BK141">
        <v>5</v>
      </c>
      <c r="BL141">
        <v>0</v>
      </c>
      <c r="BM141">
        <v>2</v>
      </c>
      <c r="BN141">
        <v>11</v>
      </c>
      <c r="BO141">
        <v>34</v>
      </c>
      <c r="BP141">
        <v>8</v>
      </c>
      <c r="BQ141">
        <v>31</v>
      </c>
      <c r="BR141">
        <v>23</v>
      </c>
      <c r="BS141">
        <v>8</v>
      </c>
      <c r="BT141">
        <v>240</v>
      </c>
      <c r="BU141">
        <v>45</v>
      </c>
      <c r="BV141">
        <v>57</v>
      </c>
      <c r="BW141">
        <v>118</v>
      </c>
      <c r="BX141">
        <v>45</v>
      </c>
      <c r="BY141">
        <v>27</v>
      </c>
      <c r="BZ141">
        <v>26</v>
      </c>
      <c r="CA141">
        <v>318</v>
      </c>
      <c r="CB141">
        <v>15</v>
      </c>
      <c r="CC141">
        <v>6</v>
      </c>
      <c r="CD141">
        <v>59</v>
      </c>
      <c r="CE141">
        <v>152</v>
      </c>
      <c r="CF141">
        <v>2.58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10</v>
      </c>
      <c r="CM141">
        <v>0</v>
      </c>
      <c r="CN141">
        <v>120</v>
      </c>
      <c r="CO141">
        <v>0</v>
      </c>
      <c r="CP141">
        <v>13</v>
      </c>
      <c r="CQ141">
        <v>0</v>
      </c>
      <c r="CR141">
        <v>0</v>
      </c>
      <c r="CS141">
        <v>0</v>
      </c>
      <c r="CT141">
        <v>143</v>
      </c>
      <c r="CU141">
        <v>0</v>
      </c>
      <c r="CV141">
        <v>0</v>
      </c>
      <c r="CW141">
        <v>3</v>
      </c>
      <c r="CX141">
        <v>0</v>
      </c>
      <c r="CY141">
        <v>43</v>
      </c>
      <c r="CZ141">
        <v>0</v>
      </c>
      <c r="DA141">
        <v>0</v>
      </c>
      <c r="DB141">
        <v>0</v>
      </c>
      <c r="DC141">
        <v>46</v>
      </c>
      <c r="DD141">
        <v>0</v>
      </c>
      <c r="DE141">
        <v>0</v>
      </c>
      <c r="DF141">
        <v>152</v>
      </c>
      <c r="DG141">
        <v>59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211</v>
      </c>
      <c r="DT141">
        <v>400</v>
      </c>
      <c r="DU141">
        <v>100</v>
      </c>
      <c r="DV141">
        <v>0</v>
      </c>
      <c r="DW141">
        <v>0</v>
      </c>
      <c r="DX141">
        <v>0</v>
      </c>
      <c r="DY141">
        <v>780</v>
      </c>
      <c r="DZ141">
        <v>1040</v>
      </c>
      <c r="EA141">
        <v>1040</v>
      </c>
      <c r="EB141">
        <v>1040</v>
      </c>
      <c r="EC141">
        <v>1300</v>
      </c>
      <c r="ED141">
        <v>1300</v>
      </c>
      <c r="EE141">
        <v>3900</v>
      </c>
      <c r="EF141">
        <v>0</v>
      </c>
      <c r="EG141">
        <v>1</v>
      </c>
      <c r="EH141">
        <v>0.7</v>
      </c>
      <c r="EI141">
        <v>3.9</v>
      </c>
      <c r="EJ141">
        <v>0.5</v>
      </c>
      <c r="EK141">
        <v>0.6</v>
      </c>
    </row>
    <row r="142" spans="1:141" x14ac:dyDescent="0.25">
      <c r="A142" t="str">
        <f>[1]ingredient!B141</f>
        <v>Gurken</v>
      </c>
      <c r="B142" t="s">
        <v>254</v>
      </c>
      <c r="C142" s="7">
        <f>_xlfn.XLOOKUP(A142,[1]ingredient!$B$2:$B$521,[1]ingredient!$A$2:$A$521)</f>
        <v>140</v>
      </c>
      <c r="D142">
        <v>12</v>
      </c>
      <c r="E142">
        <v>0.2</v>
      </c>
      <c r="F142">
        <v>1</v>
      </c>
      <c r="G142">
        <v>2</v>
      </c>
      <c r="H142">
        <v>1</v>
      </c>
      <c r="I142">
        <v>2</v>
      </c>
      <c r="J142">
        <v>0.05</v>
      </c>
      <c r="K142">
        <v>96</v>
      </c>
      <c r="L142">
        <v>66</v>
      </c>
      <c r="M142">
        <v>33</v>
      </c>
      <c r="N142">
        <v>0</v>
      </c>
      <c r="O142">
        <v>393</v>
      </c>
      <c r="P142">
        <v>20</v>
      </c>
      <c r="Q142">
        <v>30</v>
      </c>
      <c r="R142">
        <v>200</v>
      </c>
      <c r="S142">
        <v>267</v>
      </c>
      <c r="T142">
        <v>240</v>
      </c>
      <c r="U142">
        <v>35</v>
      </c>
      <c r="V142">
        <v>1</v>
      </c>
      <c r="W142">
        <v>20</v>
      </c>
      <c r="X142">
        <v>0</v>
      </c>
      <c r="Y142">
        <v>8000</v>
      </c>
      <c r="Z142">
        <v>0</v>
      </c>
      <c r="AA142">
        <v>63</v>
      </c>
      <c r="AB142">
        <v>12</v>
      </c>
      <c r="AC142">
        <v>8</v>
      </c>
      <c r="AD142">
        <v>141</v>
      </c>
      <c r="AE142">
        <v>15</v>
      </c>
      <c r="AF142">
        <v>8</v>
      </c>
      <c r="AG142">
        <v>23</v>
      </c>
      <c r="AH142">
        <v>11</v>
      </c>
      <c r="AI142">
        <v>37</v>
      </c>
      <c r="AJ142">
        <v>500</v>
      </c>
      <c r="AK142">
        <v>160</v>
      </c>
      <c r="AL142">
        <v>90</v>
      </c>
      <c r="AM142">
        <v>150</v>
      </c>
      <c r="AN142">
        <v>20</v>
      </c>
      <c r="AO142">
        <v>3</v>
      </c>
      <c r="AP142">
        <v>54</v>
      </c>
      <c r="AQ142">
        <v>0</v>
      </c>
      <c r="AR142">
        <v>0</v>
      </c>
      <c r="AS142">
        <v>54</v>
      </c>
      <c r="AT142">
        <v>787</v>
      </c>
      <c r="AU142">
        <v>878</v>
      </c>
      <c r="AV142">
        <v>0</v>
      </c>
      <c r="AW142">
        <v>1665</v>
      </c>
      <c r="AX142">
        <v>91</v>
      </c>
      <c r="AY142">
        <v>0</v>
      </c>
      <c r="AZ142">
        <v>0</v>
      </c>
      <c r="BA142">
        <v>91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f t="shared" si="17"/>
        <v>34.782608695652172</v>
      </c>
      <c r="BH142">
        <v>18</v>
      </c>
      <c r="BI142">
        <v>25</v>
      </c>
      <c r="BJ142">
        <v>26</v>
      </c>
      <c r="BK142">
        <v>5</v>
      </c>
      <c r="BL142">
        <v>3</v>
      </c>
      <c r="BM142">
        <v>14</v>
      </c>
      <c r="BN142">
        <v>10</v>
      </c>
      <c r="BO142">
        <v>16</v>
      </c>
      <c r="BP142">
        <v>4</v>
      </c>
      <c r="BQ142">
        <v>20</v>
      </c>
      <c r="BR142">
        <v>41</v>
      </c>
      <c r="BS142">
        <v>8</v>
      </c>
      <c r="BT142">
        <v>190</v>
      </c>
      <c r="BU142">
        <v>20</v>
      </c>
      <c r="BV142">
        <v>35</v>
      </c>
      <c r="BW142">
        <v>172</v>
      </c>
      <c r="BX142">
        <v>21</v>
      </c>
      <c r="BY142">
        <v>13</v>
      </c>
      <c r="BZ142">
        <v>17</v>
      </c>
      <c r="CA142">
        <v>278</v>
      </c>
      <c r="CB142">
        <v>8</v>
      </c>
      <c r="CC142">
        <v>3</v>
      </c>
      <c r="CD142">
        <v>42</v>
      </c>
      <c r="CE142">
        <v>47</v>
      </c>
      <c r="CF142">
        <v>1.1200000000000001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59</v>
      </c>
      <c r="CO142">
        <v>0</v>
      </c>
      <c r="CP142">
        <v>6</v>
      </c>
      <c r="CQ142">
        <v>0</v>
      </c>
      <c r="CR142">
        <v>0</v>
      </c>
      <c r="CS142">
        <v>0</v>
      </c>
      <c r="CT142">
        <v>66</v>
      </c>
      <c r="CU142">
        <v>0</v>
      </c>
      <c r="CV142">
        <v>0</v>
      </c>
      <c r="CW142">
        <v>0</v>
      </c>
      <c r="CX142">
        <v>0</v>
      </c>
      <c r="CY142">
        <v>5</v>
      </c>
      <c r="CZ142">
        <v>0</v>
      </c>
      <c r="DA142">
        <v>0</v>
      </c>
      <c r="DB142">
        <v>0</v>
      </c>
      <c r="DC142">
        <v>5</v>
      </c>
      <c r="DD142">
        <v>0</v>
      </c>
      <c r="DE142">
        <v>0</v>
      </c>
      <c r="DF142">
        <v>47</v>
      </c>
      <c r="DG142">
        <v>42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89</v>
      </c>
      <c r="DT142">
        <v>160</v>
      </c>
      <c r="DU142">
        <v>40</v>
      </c>
      <c r="DV142">
        <v>0</v>
      </c>
      <c r="DW142">
        <v>0</v>
      </c>
      <c r="DX142">
        <v>0</v>
      </c>
      <c r="DY142">
        <v>43</v>
      </c>
      <c r="DZ142">
        <v>97</v>
      </c>
      <c r="EA142">
        <v>157</v>
      </c>
      <c r="EB142">
        <v>227</v>
      </c>
      <c r="EC142">
        <v>16</v>
      </c>
      <c r="ED142">
        <v>108</v>
      </c>
      <c r="EE142">
        <v>432</v>
      </c>
      <c r="EF142">
        <v>0</v>
      </c>
      <c r="EG142">
        <v>0.26</v>
      </c>
      <c r="EH142">
        <v>0.6</v>
      </c>
      <c r="EI142">
        <v>0.4</v>
      </c>
      <c r="EJ142">
        <v>0.2</v>
      </c>
      <c r="EK142">
        <v>0.5</v>
      </c>
    </row>
    <row r="143" spans="1:141" x14ac:dyDescent="0.25">
      <c r="A143" s="9" t="str">
        <f>[1]ingredient!B142</f>
        <v>Gyrosgewürz</v>
      </c>
      <c r="C143" s="7">
        <f>_xlfn.XLOOKUP(A143,[1]ingredient!$B$2:$B$521,[1]ingredient!$A$2:$A$521)</f>
        <v>141</v>
      </c>
      <c r="D143" s="10">
        <f t="shared" ref="D143:BF143" si="18">(3*D290+3*D353+3*D415+D217+D72+2*D296+2*D307+D362+D198)/17</f>
        <v>306.05882352941177</v>
      </c>
      <c r="E143" s="10">
        <f t="shared" si="18"/>
        <v>9.8423529411764701</v>
      </c>
      <c r="F143" s="10">
        <f t="shared" si="18"/>
        <v>10.176470588235293</v>
      </c>
      <c r="G143" s="10">
        <f t="shared" si="18"/>
        <v>43.176470588235297</v>
      </c>
      <c r="H143" s="10">
        <f t="shared" si="18"/>
        <v>15.588235294117647</v>
      </c>
      <c r="I143" s="10">
        <f t="shared" si="18"/>
        <v>37.764705882352942</v>
      </c>
      <c r="J143" s="10">
        <f t="shared" si="18"/>
        <v>6.025882352941176</v>
      </c>
      <c r="K143" s="10">
        <f t="shared" si="18"/>
        <v>8.4117647058823533</v>
      </c>
      <c r="L143" s="10">
        <f t="shared" si="18"/>
        <v>1209.7647058823529</v>
      </c>
      <c r="M143" s="10">
        <f t="shared" si="18"/>
        <v>604.95588235294122</v>
      </c>
      <c r="N143" s="10">
        <f t="shared" si="18"/>
        <v>0</v>
      </c>
      <c r="O143" s="10">
        <f t="shared" si="18"/>
        <v>7258.411764705882</v>
      </c>
      <c r="P143" s="10">
        <f t="shared" si="18"/>
        <v>411.35294117647061</v>
      </c>
      <c r="Q143" s="10">
        <f t="shared" si="18"/>
        <v>390</v>
      </c>
      <c r="R143" s="10">
        <f t="shared" si="18"/>
        <v>4867.2352941176468</v>
      </c>
      <c r="S143" s="10">
        <f t="shared" si="18"/>
        <v>6777.1176470588234</v>
      </c>
      <c r="T143" s="10">
        <f t="shared" si="18"/>
        <v>106.82352941176471</v>
      </c>
      <c r="U143" s="10">
        <f t="shared" si="18"/>
        <v>82.411764705882348</v>
      </c>
      <c r="V143" s="10">
        <f t="shared" si="18"/>
        <v>2</v>
      </c>
      <c r="W143" s="10">
        <f t="shared" si="18"/>
        <v>1.5294117647058822</v>
      </c>
      <c r="X143" s="10">
        <f t="shared" si="18"/>
        <v>0</v>
      </c>
      <c r="Y143" s="10">
        <f t="shared" si="18"/>
        <v>5338.2352941176468</v>
      </c>
      <c r="Z143" s="10">
        <f t="shared" si="18"/>
        <v>0</v>
      </c>
      <c r="AA143" s="10">
        <f t="shared" si="18"/>
        <v>1.3529411764705883</v>
      </c>
      <c r="AB143" s="10">
        <f t="shared" si="18"/>
        <v>0</v>
      </c>
      <c r="AC143" s="10">
        <f t="shared" si="18"/>
        <v>2328.6470588235293</v>
      </c>
      <c r="AD143" s="10">
        <f t="shared" si="18"/>
        <v>1298.5294117647059</v>
      </c>
      <c r="AE143" s="10">
        <f t="shared" si="18"/>
        <v>995.11764705882354</v>
      </c>
      <c r="AF143" s="10">
        <f t="shared" si="18"/>
        <v>212.64705882352942</v>
      </c>
      <c r="AG143" s="10">
        <f t="shared" si="18"/>
        <v>218.94117647058823</v>
      </c>
      <c r="AH143" s="10">
        <f t="shared" si="18"/>
        <v>96.470588235294116</v>
      </c>
      <c r="AI143" s="10">
        <f t="shared" si="18"/>
        <v>3681.7647058823532</v>
      </c>
      <c r="AJ143" s="10">
        <f t="shared" si="18"/>
        <v>43549.117647058825</v>
      </c>
      <c r="AK143" s="10">
        <f t="shared" si="18"/>
        <v>3563.8823529411766</v>
      </c>
      <c r="AL143" s="10">
        <f t="shared" si="18"/>
        <v>769</v>
      </c>
      <c r="AM143" s="10">
        <f t="shared" si="18"/>
        <v>2817.1764705882351</v>
      </c>
      <c r="AN143" s="10">
        <f t="shared" si="18"/>
        <v>212.88235294117646</v>
      </c>
      <c r="AO143" s="10">
        <f t="shared" si="18"/>
        <v>151.8235294117647</v>
      </c>
      <c r="AP143" s="10">
        <f t="shared" si="18"/>
        <v>0</v>
      </c>
      <c r="AQ143" s="10">
        <f t="shared" si="18"/>
        <v>0</v>
      </c>
      <c r="AR143" s="10">
        <f t="shared" si="18"/>
        <v>0</v>
      </c>
      <c r="AS143" s="10">
        <f t="shared" si="18"/>
        <v>0</v>
      </c>
      <c r="AT143" s="10">
        <f t="shared" si="18"/>
        <v>16332.64705882353</v>
      </c>
      <c r="AU143" s="10">
        <f t="shared" si="18"/>
        <v>15399.588235294117</v>
      </c>
      <c r="AV143" s="10">
        <f t="shared" si="18"/>
        <v>0</v>
      </c>
      <c r="AW143" s="10">
        <f t="shared" si="18"/>
        <v>31732.235294117647</v>
      </c>
      <c r="AX143" s="10">
        <f t="shared" si="18"/>
        <v>6087.588235294118</v>
      </c>
      <c r="AY143" s="10">
        <f t="shared" si="18"/>
        <v>0</v>
      </c>
      <c r="AZ143" s="10">
        <f t="shared" si="18"/>
        <v>0</v>
      </c>
      <c r="BA143" s="10">
        <f t="shared" si="18"/>
        <v>6087.588235294118</v>
      </c>
      <c r="BB143" s="10">
        <f t="shared" si="18"/>
        <v>2930.9411764705883</v>
      </c>
      <c r="BC143" s="10">
        <f t="shared" si="18"/>
        <v>0</v>
      </c>
      <c r="BD143" s="10">
        <f t="shared" si="18"/>
        <v>0</v>
      </c>
      <c r="BE143" s="10">
        <f t="shared" si="18"/>
        <v>2454.4705882352941</v>
      </c>
      <c r="BF143" s="10">
        <f t="shared" si="18"/>
        <v>2454.4705882352941</v>
      </c>
      <c r="BG143">
        <f t="shared" si="17"/>
        <v>100.96339113680155</v>
      </c>
      <c r="BH143" s="10">
        <f t="shared" ref="BH143:DS143" si="19">(3*BH290+3*BH353+3*BH415+BH217+BH72+2*BH296+2*BH307+BH362+BH198)/17</f>
        <v>396.35294117647061</v>
      </c>
      <c r="BI143" s="10">
        <f t="shared" si="19"/>
        <v>630.76470588235293</v>
      </c>
      <c r="BJ143" s="10">
        <f t="shared" si="19"/>
        <v>493.1764705882353</v>
      </c>
      <c r="BK143" s="10">
        <f t="shared" si="19"/>
        <v>149.76470588235293</v>
      </c>
      <c r="BL143" s="10">
        <f t="shared" si="19"/>
        <v>117.29411764705883</v>
      </c>
      <c r="BM143" s="10">
        <f t="shared" si="19"/>
        <v>343.52941176470586</v>
      </c>
      <c r="BN143" s="10">
        <f t="shared" si="19"/>
        <v>225.05882352941177</v>
      </c>
      <c r="BO143" s="10">
        <f t="shared" si="19"/>
        <v>338.23529411764707</v>
      </c>
      <c r="BP143" s="10">
        <f t="shared" si="19"/>
        <v>114.58823529411765</v>
      </c>
      <c r="BQ143" s="10">
        <f t="shared" si="19"/>
        <v>466.70588235294116</v>
      </c>
      <c r="BR143" s="10">
        <f t="shared" si="19"/>
        <v>667.41176470588232</v>
      </c>
      <c r="BS143" s="10">
        <f t="shared" si="19"/>
        <v>183.70588235294119</v>
      </c>
      <c r="BT143" s="10">
        <f t="shared" si="19"/>
        <v>4126.588235294118</v>
      </c>
      <c r="BU143" s="10">
        <f t="shared" si="19"/>
        <v>511.47058823529414</v>
      </c>
      <c r="BV143" s="10">
        <f t="shared" si="19"/>
        <v>1143.6470588235295</v>
      </c>
      <c r="BW143" s="10">
        <f t="shared" si="19"/>
        <v>1666.8235294117646</v>
      </c>
      <c r="BX143" s="10">
        <f t="shared" si="19"/>
        <v>393.1764705882353</v>
      </c>
      <c r="BY143" s="10">
        <f t="shared" si="19"/>
        <v>391.64705882352939</v>
      </c>
      <c r="BZ143" s="10">
        <f t="shared" si="19"/>
        <v>356.94117647058823</v>
      </c>
      <c r="CA143" s="10">
        <f t="shared" si="19"/>
        <v>4463.7058823529414</v>
      </c>
      <c r="CB143" s="10">
        <f t="shared" si="19"/>
        <v>231.29411764705881</v>
      </c>
      <c r="CC143" s="10">
        <f t="shared" si="19"/>
        <v>96.294117647058826</v>
      </c>
      <c r="CD143" s="10">
        <f t="shared" si="19"/>
        <v>1417.9411764705883</v>
      </c>
      <c r="CE143" s="10">
        <f t="shared" si="19"/>
        <v>3269.5882352941176</v>
      </c>
      <c r="CF143" s="10">
        <f t="shared" si="19"/>
        <v>4.8611764705882354</v>
      </c>
      <c r="CG143" s="10">
        <f t="shared" si="19"/>
        <v>0</v>
      </c>
      <c r="CH143" s="10">
        <f t="shared" si="19"/>
        <v>0</v>
      </c>
      <c r="CI143" s="10">
        <f t="shared" si="19"/>
        <v>57.529411764705884</v>
      </c>
      <c r="CJ143" s="10">
        <f t="shared" si="19"/>
        <v>29.882352941176471</v>
      </c>
      <c r="CK143" s="10">
        <f t="shared" si="19"/>
        <v>85.235294117647058</v>
      </c>
      <c r="CL143" s="10">
        <f t="shared" si="19"/>
        <v>129.35294117647058</v>
      </c>
      <c r="CM143" s="10">
        <f t="shared" si="19"/>
        <v>0</v>
      </c>
      <c r="CN143" s="10">
        <f t="shared" si="19"/>
        <v>1525.1764705882354</v>
      </c>
      <c r="CO143" s="10">
        <f t="shared" si="19"/>
        <v>0</v>
      </c>
      <c r="CP143" s="10">
        <f t="shared" si="19"/>
        <v>251.64705882352942</v>
      </c>
      <c r="CQ143" s="10">
        <f t="shared" si="19"/>
        <v>0</v>
      </c>
      <c r="CR143" s="10">
        <f t="shared" si="19"/>
        <v>0</v>
      </c>
      <c r="CS143" s="10">
        <f t="shared" si="19"/>
        <v>0</v>
      </c>
      <c r="CT143" s="10">
        <f t="shared" si="19"/>
        <v>2078.8235294117649</v>
      </c>
      <c r="CU143" s="10">
        <f t="shared" si="19"/>
        <v>0</v>
      </c>
      <c r="CV143" s="10">
        <f t="shared" si="19"/>
        <v>0</v>
      </c>
      <c r="CW143" s="10">
        <f t="shared" si="19"/>
        <v>70.941176470588232</v>
      </c>
      <c r="CX143" s="10">
        <f t="shared" si="19"/>
        <v>0</v>
      </c>
      <c r="CY143" s="10">
        <f t="shared" si="19"/>
        <v>1341.5294117647059</v>
      </c>
      <c r="CZ143" s="10">
        <f t="shared" si="19"/>
        <v>0</v>
      </c>
      <c r="DA143" s="10">
        <f t="shared" si="19"/>
        <v>0</v>
      </c>
      <c r="DB143" s="10">
        <f t="shared" si="19"/>
        <v>0</v>
      </c>
      <c r="DC143" s="10">
        <f t="shared" si="19"/>
        <v>1412.4705882352941</v>
      </c>
      <c r="DD143" s="10">
        <f t="shared" si="19"/>
        <v>0</v>
      </c>
      <c r="DE143" s="10">
        <f t="shared" si="19"/>
        <v>0</v>
      </c>
      <c r="DF143" s="10">
        <f t="shared" si="19"/>
        <v>3269.5882352941176</v>
      </c>
      <c r="DG143" s="10">
        <f t="shared" si="19"/>
        <v>1417.9411764705883</v>
      </c>
      <c r="DH143" s="10">
        <f t="shared" si="19"/>
        <v>0</v>
      </c>
      <c r="DI143" s="10">
        <f t="shared" si="19"/>
        <v>0</v>
      </c>
      <c r="DJ143" s="10">
        <f t="shared" si="19"/>
        <v>0</v>
      </c>
      <c r="DK143" s="10">
        <f t="shared" si="19"/>
        <v>0</v>
      </c>
      <c r="DL143" s="10">
        <f t="shared" si="19"/>
        <v>0</v>
      </c>
      <c r="DM143" s="10">
        <f t="shared" si="19"/>
        <v>0</v>
      </c>
      <c r="DN143" s="10">
        <f t="shared" si="19"/>
        <v>0</v>
      </c>
      <c r="DO143" s="10">
        <f t="shared" si="19"/>
        <v>0</v>
      </c>
      <c r="DP143" s="10">
        <f t="shared" si="19"/>
        <v>0</v>
      </c>
      <c r="DQ143" s="10">
        <f t="shared" si="19"/>
        <v>0</v>
      </c>
      <c r="DR143" s="10">
        <f t="shared" si="19"/>
        <v>0</v>
      </c>
      <c r="DS143" s="10">
        <f t="shared" si="19"/>
        <v>4687.5294117647063</v>
      </c>
      <c r="DT143" s="10">
        <f t="shared" ref="DT143:EK143" si="20">(3*DT290+3*DT353+3*DT415+DT217+DT72+2*DT296+2*DT307+DT362+DT198)/17</f>
        <v>8091.411764705882</v>
      </c>
      <c r="DU143" s="10">
        <f t="shared" si="20"/>
        <v>1873.1764705882354</v>
      </c>
      <c r="DV143" s="10">
        <f t="shared" si="20"/>
        <v>0</v>
      </c>
      <c r="DW143" s="10">
        <f t="shared" si="20"/>
        <v>0</v>
      </c>
      <c r="DX143" s="10">
        <f t="shared" si="20"/>
        <v>87.411764705882348</v>
      </c>
      <c r="DY143" s="10">
        <f t="shared" si="20"/>
        <v>2666.294117647059</v>
      </c>
      <c r="DZ143" s="10">
        <f t="shared" si="20"/>
        <v>3301.294117647059</v>
      </c>
      <c r="EA143" s="10">
        <f t="shared" si="20"/>
        <v>3626</v>
      </c>
      <c r="EB143" s="10">
        <f t="shared" si="20"/>
        <v>4432.0588235294117</v>
      </c>
      <c r="EC143" s="10">
        <f t="shared" si="20"/>
        <v>1383.0588235294117</v>
      </c>
      <c r="ED143" s="10">
        <f t="shared" si="20"/>
        <v>4737.6470588235297</v>
      </c>
      <c r="EE143" s="10">
        <f t="shared" si="20"/>
        <v>10671.058823529413</v>
      </c>
      <c r="EF143" s="10">
        <f t="shared" si="20"/>
        <v>0</v>
      </c>
      <c r="EG143" s="10">
        <f t="shared" si="20"/>
        <v>0.2317647058823529</v>
      </c>
      <c r="EH143" s="10">
        <f t="shared" si="20"/>
        <v>12.641176470588235</v>
      </c>
      <c r="EI143" s="10">
        <f t="shared" si="20"/>
        <v>10.670588235294119</v>
      </c>
      <c r="EJ143" s="10">
        <f t="shared" si="20"/>
        <v>10.052941176470588</v>
      </c>
      <c r="EK143" s="10">
        <f t="shared" si="20"/>
        <v>9.3470588235294123</v>
      </c>
    </row>
    <row r="144" spans="1:141" x14ac:dyDescent="0.25">
      <c r="A144" t="str">
        <f>[1]ingredient!B143</f>
        <v>Hafer</v>
      </c>
      <c r="B144" t="s">
        <v>255</v>
      </c>
      <c r="C144" s="7">
        <f>_xlfn.XLOOKUP(A144,[1]ingredient!$B$2:$B$521,[1]ingredient!$A$2:$A$521)</f>
        <v>142</v>
      </c>
      <c r="D144">
        <v>332</v>
      </c>
      <c r="E144">
        <v>7</v>
      </c>
      <c r="F144">
        <v>11</v>
      </c>
      <c r="G144">
        <v>56</v>
      </c>
      <c r="H144">
        <v>10</v>
      </c>
      <c r="I144">
        <v>1</v>
      </c>
      <c r="J144">
        <v>0.13</v>
      </c>
      <c r="K144">
        <v>14</v>
      </c>
      <c r="L144">
        <v>0</v>
      </c>
      <c r="M144">
        <v>0</v>
      </c>
      <c r="N144">
        <v>0</v>
      </c>
      <c r="O144">
        <v>0</v>
      </c>
      <c r="P144">
        <v>674</v>
      </c>
      <c r="Q144">
        <v>170</v>
      </c>
      <c r="R144">
        <v>2370</v>
      </c>
      <c r="S144">
        <v>5537</v>
      </c>
      <c r="T144">
        <v>710</v>
      </c>
      <c r="U144">
        <v>960</v>
      </c>
      <c r="V144">
        <v>13</v>
      </c>
      <c r="W144">
        <v>33</v>
      </c>
      <c r="X144">
        <v>0</v>
      </c>
      <c r="Y144">
        <v>0</v>
      </c>
      <c r="Z144">
        <v>0</v>
      </c>
      <c r="AA144">
        <v>470</v>
      </c>
      <c r="AB144">
        <v>50</v>
      </c>
      <c r="AC144">
        <v>8</v>
      </c>
      <c r="AD144">
        <v>355</v>
      </c>
      <c r="AE144">
        <v>80</v>
      </c>
      <c r="AF144">
        <v>129</v>
      </c>
      <c r="AG144">
        <v>342</v>
      </c>
      <c r="AH144">
        <v>200</v>
      </c>
      <c r="AI144">
        <v>119</v>
      </c>
      <c r="AJ144">
        <v>5800</v>
      </c>
      <c r="AK144">
        <v>3204</v>
      </c>
      <c r="AL144">
        <v>410</v>
      </c>
      <c r="AM144">
        <v>3000</v>
      </c>
      <c r="AN144">
        <v>95</v>
      </c>
      <c r="AO144">
        <v>8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1050</v>
      </c>
      <c r="AY144">
        <v>30</v>
      </c>
      <c r="AZ144">
        <v>0</v>
      </c>
      <c r="BA144">
        <v>1080</v>
      </c>
      <c r="BB144">
        <v>557</v>
      </c>
      <c r="BC144">
        <v>250</v>
      </c>
      <c r="BD144">
        <v>0</v>
      </c>
      <c r="BE144">
        <v>54251</v>
      </c>
      <c r="BF144">
        <v>54251</v>
      </c>
      <c r="BG144">
        <f t="shared" si="17"/>
        <v>93.75</v>
      </c>
      <c r="BH144">
        <v>468</v>
      </c>
      <c r="BI144">
        <v>870</v>
      </c>
      <c r="BJ144">
        <v>495</v>
      </c>
      <c r="BK144">
        <v>191</v>
      </c>
      <c r="BL144">
        <v>323</v>
      </c>
      <c r="BM144">
        <v>605</v>
      </c>
      <c r="BN144">
        <v>424</v>
      </c>
      <c r="BO144">
        <v>424</v>
      </c>
      <c r="BP144">
        <v>190</v>
      </c>
      <c r="BQ144">
        <v>643</v>
      </c>
      <c r="BR144">
        <v>772</v>
      </c>
      <c r="BS144">
        <v>225</v>
      </c>
      <c r="BT144">
        <v>5629</v>
      </c>
      <c r="BU144">
        <v>656</v>
      </c>
      <c r="BV144">
        <v>1008</v>
      </c>
      <c r="BW144">
        <v>2547</v>
      </c>
      <c r="BX144">
        <v>709</v>
      </c>
      <c r="BY144">
        <v>799</v>
      </c>
      <c r="BZ144">
        <v>660</v>
      </c>
      <c r="CA144">
        <v>6378</v>
      </c>
      <c r="CB144">
        <v>94</v>
      </c>
      <c r="CC144">
        <v>39</v>
      </c>
      <c r="CD144">
        <v>120</v>
      </c>
      <c r="CE144">
        <v>2747</v>
      </c>
      <c r="CF144">
        <v>22.89</v>
      </c>
      <c r="CG144">
        <v>0</v>
      </c>
      <c r="CH144">
        <v>0</v>
      </c>
      <c r="CI144">
        <v>0</v>
      </c>
      <c r="CJ144">
        <v>0</v>
      </c>
      <c r="CK144">
        <v>7</v>
      </c>
      <c r="CL144">
        <v>40</v>
      </c>
      <c r="CM144">
        <v>0</v>
      </c>
      <c r="CN144">
        <v>1280</v>
      </c>
      <c r="CO144">
        <v>0</v>
      </c>
      <c r="CP144">
        <v>110</v>
      </c>
      <c r="CQ144">
        <v>33</v>
      </c>
      <c r="CR144">
        <v>0</v>
      </c>
      <c r="CS144">
        <v>0</v>
      </c>
      <c r="CT144">
        <v>1470</v>
      </c>
      <c r="CU144">
        <v>0</v>
      </c>
      <c r="CV144">
        <v>0</v>
      </c>
      <c r="CW144">
        <v>54</v>
      </c>
      <c r="CX144">
        <v>0</v>
      </c>
      <c r="CY144">
        <v>2460</v>
      </c>
      <c r="CZ144">
        <v>7</v>
      </c>
      <c r="DA144">
        <v>0</v>
      </c>
      <c r="DB144">
        <v>0</v>
      </c>
      <c r="DC144">
        <v>2521</v>
      </c>
      <c r="DD144">
        <v>0</v>
      </c>
      <c r="DE144">
        <v>0</v>
      </c>
      <c r="DF144">
        <v>2740</v>
      </c>
      <c r="DG144">
        <v>120</v>
      </c>
      <c r="DH144">
        <v>0</v>
      </c>
      <c r="DI144">
        <v>0</v>
      </c>
      <c r="DJ144">
        <v>0</v>
      </c>
      <c r="DK144">
        <v>0</v>
      </c>
      <c r="DL144">
        <v>7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2867</v>
      </c>
      <c r="DT144">
        <v>6858</v>
      </c>
      <c r="DU144">
        <v>425</v>
      </c>
      <c r="DV144">
        <v>0</v>
      </c>
      <c r="DW144">
        <v>0</v>
      </c>
      <c r="DX144">
        <v>0</v>
      </c>
      <c r="DY144">
        <v>3094</v>
      </c>
      <c r="DZ144">
        <v>4352</v>
      </c>
      <c r="EA144">
        <v>484</v>
      </c>
      <c r="EB144">
        <v>1160</v>
      </c>
      <c r="EC144">
        <v>580</v>
      </c>
      <c r="ED144">
        <v>4760</v>
      </c>
      <c r="EE144">
        <v>4910</v>
      </c>
      <c r="EF144">
        <v>0</v>
      </c>
      <c r="EG144">
        <v>0</v>
      </c>
      <c r="EH144">
        <v>2.9</v>
      </c>
      <c r="EI144">
        <v>4.9000000000000004</v>
      </c>
      <c r="EJ144">
        <v>7.1</v>
      </c>
      <c r="EK144">
        <v>12.3</v>
      </c>
    </row>
    <row r="145" spans="1:141" x14ac:dyDescent="0.25">
      <c r="A145" t="str">
        <f>[1]ingredient!B144</f>
        <v>Haferflocken</v>
      </c>
      <c r="B145" t="s">
        <v>256</v>
      </c>
      <c r="C145" s="7">
        <f>_xlfn.XLOOKUP(A145,[1]ingredient!$B$2:$B$521,[1]ingredient!$A$2:$A$521)</f>
        <v>143</v>
      </c>
      <c r="D145">
        <v>354</v>
      </c>
      <c r="E145">
        <v>7</v>
      </c>
      <c r="F145">
        <v>13</v>
      </c>
      <c r="G145">
        <v>60</v>
      </c>
      <c r="H145">
        <v>10</v>
      </c>
      <c r="I145">
        <v>1</v>
      </c>
      <c r="J145">
        <v>0.06</v>
      </c>
      <c r="K145">
        <v>10</v>
      </c>
      <c r="L145">
        <v>0</v>
      </c>
      <c r="M145">
        <v>0</v>
      </c>
      <c r="N145">
        <v>0</v>
      </c>
      <c r="O145">
        <v>0</v>
      </c>
      <c r="P145">
        <v>562</v>
      </c>
      <c r="Q145">
        <v>28</v>
      </c>
      <c r="R145">
        <v>1000</v>
      </c>
      <c r="S145">
        <v>3883</v>
      </c>
      <c r="T145">
        <v>1090</v>
      </c>
      <c r="U145">
        <v>98</v>
      </c>
      <c r="V145">
        <v>20</v>
      </c>
      <c r="W145">
        <v>87</v>
      </c>
      <c r="X145">
        <v>0</v>
      </c>
      <c r="Y145">
        <v>0</v>
      </c>
      <c r="Z145">
        <v>0</v>
      </c>
      <c r="AA145">
        <v>800</v>
      </c>
      <c r="AB145">
        <v>63</v>
      </c>
      <c r="AC145">
        <v>2</v>
      </c>
      <c r="AD145">
        <v>382</v>
      </c>
      <c r="AE145">
        <v>16</v>
      </c>
      <c r="AF145">
        <v>121</v>
      </c>
      <c r="AG145">
        <v>325</v>
      </c>
      <c r="AH145">
        <v>200</v>
      </c>
      <c r="AI145">
        <v>61</v>
      </c>
      <c r="AJ145">
        <v>4437</v>
      </c>
      <c r="AK145">
        <v>3642</v>
      </c>
      <c r="AL145">
        <v>410</v>
      </c>
      <c r="AM145">
        <v>4934</v>
      </c>
      <c r="AN145">
        <v>80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712</v>
      </c>
      <c r="AY145">
        <v>60</v>
      </c>
      <c r="AZ145">
        <v>0</v>
      </c>
      <c r="BA145">
        <v>772</v>
      </c>
      <c r="BB145">
        <v>598</v>
      </c>
      <c r="BC145">
        <v>0</v>
      </c>
      <c r="BD145">
        <v>0</v>
      </c>
      <c r="BE145">
        <v>58171</v>
      </c>
      <c r="BF145">
        <v>58171</v>
      </c>
      <c r="BG145">
        <f t="shared" si="17"/>
        <v>73.237179487179489</v>
      </c>
      <c r="BH145">
        <v>557</v>
      </c>
      <c r="BI145">
        <v>1032</v>
      </c>
      <c r="BJ145">
        <v>457</v>
      </c>
      <c r="BK145">
        <v>219</v>
      </c>
      <c r="BL145">
        <v>356</v>
      </c>
      <c r="BM145">
        <v>712</v>
      </c>
      <c r="BN145">
        <v>520</v>
      </c>
      <c r="BO145">
        <v>484</v>
      </c>
      <c r="BP145">
        <v>173</v>
      </c>
      <c r="BQ145">
        <v>740</v>
      </c>
      <c r="BR145">
        <v>794</v>
      </c>
      <c r="BS145">
        <v>274</v>
      </c>
      <c r="BT145">
        <v>6318</v>
      </c>
      <c r="BU145">
        <v>721</v>
      </c>
      <c r="BV145">
        <v>1178</v>
      </c>
      <c r="BW145">
        <v>2812</v>
      </c>
      <c r="BX145">
        <v>776</v>
      </c>
      <c r="BY145">
        <v>767</v>
      </c>
      <c r="BZ145">
        <v>648</v>
      </c>
      <c r="CA145">
        <v>6902</v>
      </c>
      <c r="CB145">
        <v>100</v>
      </c>
      <c r="CC145">
        <v>42</v>
      </c>
      <c r="CD145">
        <v>58</v>
      </c>
      <c r="CE145">
        <v>2429</v>
      </c>
      <c r="CF145">
        <v>41.88</v>
      </c>
      <c r="CG145">
        <v>0</v>
      </c>
      <c r="CH145">
        <v>0</v>
      </c>
      <c r="CI145">
        <v>0</v>
      </c>
      <c r="CJ145">
        <v>0</v>
      </c>
      <c r="CK145">
        <v>54</v>
      </c>
      <c r="CL145">
        <v>0</v>
      </c>
      <c r="CM145">
        <v>0</v>
      </c>
      <c r="CN145">
        <v>1079</v>
      </c>
      <c r="CO145">
        <v>0</v>
      </c>
      <c r="CP145">
        <v>112</v>
      </c>
      <c r="CQ145">
        <v>0</v>
      </c>
      <c r="CR145">
        <v>0</v>
      </c>
      <c r="CS145">
        <v>0</v>
      </c>
      <c r="CT145">
        <v>1245</v>
      </c>
      <c r="CU145">
        <v>0</v>
      </c>
      <c r="CV145">
        <v>0</v>
      </c>
      <c r="CW145">
        <v>14</v>
      </c>
      <c r="CX145">
        <v>0</v>
      </c>
      <c r="CY145">
        <v>2381</v>
      </c>
      <c r="CZ145">
        <v>73</v>
      </c>
      <c r="DA145">
        <v>0</v>
      </c>
      <c r="DB145">
        <v>0</v>
      </c>
      <c r="DC145">
        <v>2468</v>
      </c>
      <c r="DD145">
        <v>0</v>
      </c>
      <c r="DE145">
        <v>0</v>
      </c>
      <c r="DF145">
        <v>2429</v>
      </c>
      <c r="DG145">
        <v>55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3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2487</v>
      </c>
      <c r="DT145">
        <v>6200</v>
      </c>
      <c r="DU145">
        <v>450</v>
      </c>
      <c r="DV145">
        <v>0</v>
      </c>
      <c r="DW145">
        <v>0</v>
      </c>
      <c r="DX145">
        <v>0</v>
      </c>
      <c r="DY145">
        <v>3210</v>
      </c>
      <c r="DZ145">
        <v>4515</v>
      </c>
      <c r="EA145">
        <v>502</v>
      </c>
      <c r="EB145">
        <v>831</v>
      </c>
      <c r="EC145">
        <v>602</v>
      </c>
      <c r="ED145">
        <v>4950</v>
      </c>
      <c r="EE145">
        <v>5080</v>
      </c>
      <c r="EF145">
        <v>0</v>
      </c>
      <c r="EG145">
        <v>0</v>
      </c>
      <c r="EH145">
        <v>0.9</v>
      </c>
      <c r="EI145">
        <v>5.0999999999999996</v>
      </c>
      <c r="EJ145">
        <v>6.7</v>
      </c>
      <c r="EK145">
        <v>13.6</v>
      </c>
    </row>
    <row r="146" spans="1:141" x14ac:dyDescent="0.25">
      <c r="A146" t="str">
        <f>[1]ingredient!B145</f>
        <v>Haferjoghurt</v>
      </c>
      <c r="C146" s="7">
        <f>_xlfn.XLOOKUP(A146,[1]ingredient!$B$2:$B$521,[1]ingredient!$A$2:$A$521)</f>
        <v>144</v>
      </c>
      <c r="D146">
        <v>95</v>
      </c>
      <c r="E146">
        <v>5.4</v>
      </c>
      <c r="F146">
        <v>0.5</v>
      </c>
      <c r="G146">
        <v>12</v>
      </c>
      <c r="H146">
        <v>0</v>
      </c>
      <c r="I146">
        <v>3</v>
      </c>
      <c r="J146">
        <v>0.05</v>
      </c>
      <c r="K146">
        <v>80</v>
      </c>
      <c r="BG146">
        <f t="shared" si="17"/>
        <v>0</v>
      </c>
      <c r="CT146">
        <v>4.5999999999999996</v>
      </c>
    </row>
    <row r="147" spans="1:141" x14ac:dyDescent="0.25">
      <c r="A147" t="str">
        <f>[1]ingredient!B146</f>
        <v>Haferkleie</v>
      </c>
      <c r="B147" t="s">
        <v>257</v>
      </c>
      <c r="C147" s="7">
        <f>_xlfn.XLOOKUP(A147,[1]ingredient!$B$2:$B$521,[1]ingredient!$A$2:$A$521)</f>
        <v>145</v>
      </c>
      <c r="D147">
        <v>354</v>
      </c>
      <c r="E147">
        <v>7</v>
      </c>
      <c r="F147">
        <v>13</v>
      </c>
      <c r="G147">
        <v>60</v>
      </c>
      <c r="H147">
        <v>10</v>
      </c>
      <c r="I147">
        <v>1</v>
      </c>
      <c r="J147">
        <v>0.06</v>
      </c>
      <c r="K147">
        <v>10</v>
      </c>
      <c r="L147">
        <v>0</v>
      </c>
      <c r="M147">
        <v>0</v>
      </c>
      <c r="N147">
        <v>0</v>
      </c>
      <c r="O147">
        <v>0</v>
      </c>
      <c r="P147">
        <v>562</v>
      </c>
      <c r="Q147">
        <v>28</v>
      </c>
      <c r="R147">
        <v>1000</v>
      </c>
      <c r="S147">
        <v>3883</v>
      </c>
      <c r="T147">
        <v>1090</v>
      </c>
      <c r="U147">
        <v>98</v>
      </c>
      <c r="V147">
        <v>20</v>
      </c>
      <c r="W147">
        <v>87</v>
      </c>
      <c r="X147">
        <v>0</v>
      </c>
      <c r="Y147">
        <v>0</v>
      </c>
      <c r="Z147">
        <v>0</v>
      </c>
      <c r="AA147">
        <v>800</v>
      </c>
      <c r="AB147">
        <v>63</v>
      </c>
      <c r="AC147">
        <v>2</v>
      </c>
      <c r="AD147">
        <v>382</v>
      </c>
      <c r="AE147">
        <v>16</v>
      </c>
      <c r="AF147">
        <v>121</v>
      </c>
      <c r="AG147">
        <v>325</v>
      </c>
      <c r="AH147">
        <v>200</v>
      </c>
      <c r="AI147">
        <v>61</v>
      </c>
      <c r="AJ147">
        <v>4437</v>
      </c>
      <c r="AK147">
        <v>3642</v>
      </c>
      <c r="AL147">
        <v>410</v>
      </c>
      <c r="AM147">
        <v>4934</v>
      </c>
      <c r="AN147">
        <v>80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712</v>
      </c>
      <c r="AY147">
        <v>60</v>
      </c>
      <c r="AZ147">
        <v>0</v>
      </c>
      <c r="BA147">
        <v>772</v>
      </c>
      <c r="BB147">
        <v>598</v>
      </c>
      <c r="BC147">
        <v>0</v>
      </c>
      <c r="BD147">
        <v>0</v>
      </c>
      <c r="BE147">
        <v>58171</v>
      </c>
      <c r="BF147">
        <v>58171</v>
      </c>
      <c r="BG147">
        <f t="shared" si="17"/>
        <v>73.237179487179489</v>
      </c>
      <c r="BH147">
        <v>557</v>
      </c>
      <c r="BI147">
        <v>1032</v>
      </c>
      <c r="BJ147">
        <v>457</v>
      </c>
      <c r="BK147">
        <v>219</v>
      </c>
      <c r="BL147">
        <v>356</v>
      </c>
      <c r="BM147">
        <v>712</v>
      </c>
      <c r="BN147">
        <v>520</v>
      </c>
      <c r="BO147">
        <v>484</v>
      </c>
      <c r="BP147">
        <v>173</v>
      </c>
      <c r="BQ147">
        <v>740</v>
      </c>
      <c r="BR147">
        <v>794</v>
      </c>
      <c r="BS147">
        <v>274</v>
      </c>
      <c r="BT147">
        <v>6318</v>
      </c>
      <c r="BU147">
        <v>721</v>
      </c>
      <c r="BV147">
        <v>1178</v>
      </c>
      <c r="BW147">
        <v>2812</v>
      </c>
      <c r="BX147">
        <v>776</v>
      </c>
      <c r="BY147">
        <v>767</v>
      </c>
      <c r="BZ147">
        <v>648</v>
      </c>
      <c r="CA147">
        <v>6902</v>
      </c>
      <c r="CB147">
        <v>100</v>
      </c>
      <c r="CC147">
        <v>42</v>
      </c>
      <c r="CD147">
        <v>58</v>
      </c>
      <c r="CE147">
        <v>2429</v>
      </c>
      <c r="CF147">
        <v>41.88</v>
      </c>
      <c r="CG147">
        <v>0</v>
      </c>
      <c r="CH147">
        <v>0</v>
      </c>
      <c r="CI147">
        <v>0</v>
      </c>
      <c r="CJ147">
        <v>0</v>
      </c>
      <c r="CK147">
        <v>54</v>
      </c>
      <c r="CL147">
        <v>0</v>
      </c>
      <c r="CM147">
        <v>0</v>
      </c>
      <c r="CN147">
        <v>1079</v>
      </c>
      <c r="CO147">
        <v>0</v>
      </c>
      <c r="CP147">
        <v>112</v>
      </c>
      <c r="CQ147">
        <v>0</v>
      </c>
      <c r="CR147">
        <v>0</v>
      </c>
      <c r="CS147">
        <v>0</v>
      </c>
      <c r="CT147">
        <v>1245</v>
      </c>
      <c r="CU147">
        <v>0</v>
      </c>
      <c r="CV147">
        <v>0</v>
      </c>
      <c r="CW147">
        <v>14</v>
      </c>
      <c r="CX147">
        <v>0</v>
      </c>
      <c r="CY147">
        <v>2381</v>
      </c>
      <c r="CZ147">
        <v>73</v>
      </c>
      <c r="DA147">
        <v>0</v>
      </c>
      <c r="DB147">
        <v>0</v>
      </c>
      <c r="DC147">
        <v>2468</v>
      </c>
      <c r="DD147">
        <v>0</v>
      </c>
      <c r="DE147">
        <v>0</v>
      </c>
      <c r="DF147">
        <v>2429</v>
      </c>
      <c r="DG147">
        <v>55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3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2487</v>
      </c>
      <c r="DT147">
        <v>6200</v>
      </c>
      <c r="DU147">
        <v>450</v>
      </c>
      <c r="DV147">
        <v>0</v>
      </c>
      <c r="DW147">
        <v>0</v>
      </c>
      <c r="DX147">
        <v>0</v>
      </c>
      <c r="DY147">
        <v>3210</v>
      </c>
      <c r="DZ147">
        <v>4515</v>
      </c>
      <c r="EA147">
        <v>502</v>
      </c>
      <c r="EB147">
        <v>831</v>
      </c>
      <c r="EC147">
        <v>602</v>
      </c>
      <c r="ED147">
        <v>4950</v>
      </c>
      <c r="EE147">
        <v>5080</v>
      </c>
      <c r="EF147">
        <v>0</v>
      </c>
      <c r="EG147">
        <v>0</v>
      </c>
      <c r="EH147">
        <v>0.9</v>
      </c>
      <c r="EI147">
        <v>5.0999999999999996</v>
      </c>
      <c r="EJ147">
        <v>6.7</v>
      </c>
      <c r="EK147">
        <v>13.6</v>
      </c>
    </row>
    <row r="148" spans="1:141" x14ac:dyDescent="0.25">
      <c r="A148" t="str">
        <f>[1]ingredient!B147</f>
        <v>Hafermehl</v>
      </c>
      <c r="B148" t="s">
        <v>258</v>
      </c>
      <c r="C148" s="7">
        <f>_xlfn.XLOOKUP(A148,[1]ingredient!$B$2:$B$521,[1]ingredient!$A$2:$A$521)</f>
        <v>146</v>
      </c>
      <c r="D148">
        <v>375</v>
      </c>
      <c r="E148">
        <v>7</v>
      </c>
      <c r="F148">
        <v>14</v>
      </c>
      <c r="G148">
        <v>63</v>
      </c>
      <c r="H148">
        <v>5</v>
      </c>
      <c r="I148">
        <v>1</v>
      </c>
      <c r="J148">
        <v>0.08</v>
      </c>
      <c r="K148">
        <v>9</v>
      </c>
      <c r="L148">
        <v>0</v>
      </c>
      <c r="M148">
        <v>0</v>
      </c>
      <c r="N148">
        <v>0</v>
      </c>
      <c r="O148">
        <v>0</v>
      </c>
      <c r="P148">
        <v>560</v>
      </c>
      <c r="Q148">
        <v>120</v>
      </c>
      <c r="R148">
        <v>930</v>
      </c>
      <c r="S148">
        <v>3697</v>
      </c>
      <c r="T148">
        <v>1000</v>
      </c>
      <c r="U148">
        <v>200</v>
      </c>
      <c r="V148">
        <v>20</v>
      </c>
      <c r="W148">
        <v>60</v>
      </c>
      <c r="X148">
        <v>0</v>
      </c>
      <c r="Y148">
        <v>0</v>
      </c>
      <c r="Z148">
        <v>0</v>
      </c>
      <c r="AA148">
        <v>1700</v>
      </c>
      <c r="AB148">
        <v>63</v>
      </c>
      <c r="AC148">
        <v>6</v>
      </c>
      <c r="AD148">
        <v>268</v>
      </c>
      <c r="AE148">
        <v>55</v>
      </c>
      <c r="AF148">
        <v>131</v>
      </c>
      <c r="AG148">
        <v>405</v>
      </c>
      <c r="AH148">
        <v>160</v>
      </c>
      <c r="AI148">
        <v>73</v>
      </c>
      <c r="AJ148">
        <v>4200</v>
      </c>
      <c r="AK148">
        <v>3300</v>
      </c>
      <c r="AL148">
        <v>230</v>
      </c>
      <c r="AM148">
        <v>3700</v>
      </c>
      <c r="AN148">
        <v>95</v>
      </c>
      <c r="AO148">
        <v>4</v>
      </c>
      <c r="AP148">
        <v>0</v>
      </c>
      <c r="AQ148">
        <v>0</v>
      </c>
      <c r="AR148">
        <v>0</v>
      </c>
      <c r="AS148">
        <v>0</v>
      </c>
      <c r="AT148">
        <v>63</v>
      </c>
      <c r="AU148">
        <v>0</v>
      </c>
      <c r="AV148">
        <v>0</v>
      </c>
      <c r="AW148">
        <v>63</v>
      </c>
      <c r="AX148">
        <v>440</v>
      </c>
      <c r="AY148">
        <v>0</v>
      </c>
      <c r="AZ148">
        <v>0</v>
      </c>
      <c r="BA148">
        <v>440</v>
      </c>
      <c r="BB148">
        <v>314</v>
      </c>
      <c r="BC148">
        <v>280</v>
      </c>
      <c r="BD148">
        <v>0</v>
      </c>
      <c r="BE148">
        <v>62053</v>
      </c>
      <c r="BF148">
        <v>62053</v>
      </c>
      <c r="BG148">
        <f t="shared" si="17"/>
        <v>74.107142857142861</v>
      </c>
      <c r="BH148">
        <v>622</v>
      </c>
      <c r="BI148">
        <v>1037</v>
      </c>
      <c r="BJ148">
        <v>498</v>
      </c>
      <c r="BK148">
        <v>207</v>
      </c>
      <c r="BL148">
        <v>346</v>
      </c>
      <c r="BM148">
        <v>733</v>
      </c>
      <c r="BN148">
        <v>498</v>
      </c>
      <c r="BO148">
        <v>470</v>
      </c>
      <c r="BP148">
        <v>166</v>
      </c>
      <c r="BQ148">
        <v>802</v>
      </c>
      <c r="BR148">
        <v>899</v>
      </c>
      <c r="BS148">
        <v>304</v>
      </c>
      <c r="BT148">
        <v>6582</v>
      </c>
      <c r="BU148">
        <v>664</v>
      </c>
      <c r="BV148">
        <v>1134</v>
      </c>
      <c r="BW148">
        <v>3098</v>
      </c>
      <c r="BX148">
        <v>692</v>
      </c>
      <c r="BY148">
        <v>761</v>
      </c>
      <c r="BZ148">
        <v>692</v>
      </c>
      <c r="CA148">
        <v>7041</v>
      </c>
      <c r="CB148">
        <v>149</v>
      </c>
      <c r="CC148">
        <v>62</v>
      </c>
      <c r="CD148">
        <v>101</v>
      </c>
      <c r="CE148">
        <v>2728</v>
      </c>
      <c r="CF148">
        <v>27.01</v>
      </c>
      <c r="CG148">
        <v>0</v>
      </c>
      <c r="CH148">
        <v>0</v>
      </c>
      <c r="CI148">
        <v>0</v>
      </c>
      <c r="CJ148">
        <v>0</v>
      </c>
      <c r="CK148">
        <v>7</v>
      </c>
      <c r="CL148">
        <v>20</v>
      </c>
      <c r="CM148">
        <v>0</v>
      </c>
      <c r="CN148">
        <v>1163</v>
      </c>
      <c r="CO148">
        <v>0</v>
      </c>
      <c r="CP148">
        <v>87</v>
      </c>
      <c r="CQ148">
        <v>34</v>
      </c>
      <c r="CR148">
        <v>0</v>
      </c>
      <c r="CS148">
        <v>0</v>
      </c>
      <c r="CT148">
        <v>1311</v>
      </c>
      <c r="CU148">
        <v>0</v>
      </c>
      <c r="CV148">
        <v>0</v>
      </c>
      <c r="CW148">
        <v>20</v>
      </c>
      <c r="CX148">
        <v>0</v>
      </c>
      <c r="CY148">
        <v>2554</v>
      </c>
      <c r="CZ148">
        <v>7</v>
      </c>
      <c r="DA148">
        <v>0</v>
      </c>
      <c r="DB148">
        <v>0</v>
      </c>
      <c r="DC148">
        <v>2581</v>
      </c>
      <c r="DD148">
        <v>0</v>
      </c>
      <c r="DE148">
        <v>0</v>
      </c>
      <c r="DF148">
        <v>2721</v>
      </c>
      <c r="DG148">
        <v>101</v>
      </c>
      <c r="DH148">
        <v>0</v>
      </c>
      <c r="DI148">
        <v>0</v>
      </c>
      <c r="DJ148">
        <v>0</v>
      </c>
      <c r="DK148">
        <v>0</v>
      </c>
      <c r="DL148">
        <v>7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2829</v>
      </c>
      <c r="DT148">
        <v>6721</v>
      </c>
      <c r="DU148">
        <v>429</v>
      </c>
      <c r="DV148">
        <v>0</v>
      </c>
      <c r="DW148">
        <v>0</v>
      </c>
      <c r="DX148">
        <v>0</v>
      </c>
      <c r="DY148">
        <v>1600</v>
      </c>
      <c r="DZ148">
        <v>2250</v>
      </c>
      <c r="EA148">
        <v>250</v>
      </c>
      <c r="EB148">
        <v>600</v>
      </c>
      <c r="EC148">
        <v>300</v>
      </c>
      <c r="ED148">
        <v>1500</v>
      </c>
      <c r="EE148">
        <v>3500</v>
      </c>
      <c r="EF148">
        <v>0</v>
      </c>
      <c r="EG148">
        <v>0</v>
      </c>
      <c r="EH148">
        <v>1.8</v>
      </c>
      <c r="EI148">
        <v>3.5</v>
      </c>
      <c r="EJ148">
        <v>7.2</v>
      </c>
      <c r="EK148">
        <v>14.1</v>
      </c>
    </row>
    <row r="149" spans="1:141" x14ac:dyDescent="0.25">
      <c r="A149" t="str">
        <f>[1]ingredient!B148</f>
        <v>Hafermilch</v>
      </c>
      <c r="B149" t="s">
        <v>214</v>
      </c>
      <c r="C149" s="7">
        <f>_xlfn.XLOOKUP(A149,[1]ingredient!$B$2:$B$521,[1]ingredient!$A$2:$A$521)</f>
        <v>147</v>
      </c>
      <c r="D149">
        <v>46</v>
      </c>
      <c r="E149">
        <v>2</v>
      </c>
      <c r="F149">
        <v>1</v>
      </c>
      <c r="G149">
        <v>7</v>
      </c>
      <c r="H149">
        <v>1</v>
      </c>
      <c r="I149">
        <v>4</v>
      </c>
      <c r="J149">
        <v>0.11</v>
      </c>
      <c r="K149">
        <v>90</v>
      </c>
      <c r="L149">
        <v>0</v>
      </c>
      <c r="M149">
        <v>0</v>
      </c>
      <c r="N149">
        <v>0</v>
      </c>
      <c r="O149">
        <v>0</v>
      </c>
      <c r="P149">
        <v>100</v>
      </c>
      <c r="Q149">
        <v>200</v>
      </c>
      <c r="R149">
        <v>100</v>
      </c>
      <c r="S149">
        <v>400</v>
      </c>
      <c r="T149">
        <v>100</v>
      </c>
      <c r="U149">
        <v>0</v>
      </c>
      <c r="V149">
        <v>2</v>
      </c>
      <c r="W149">
        <v>6</v>
      </c>
      <c r="X149">
        <v>0.4</v>
      </c>
      <c r="Y149">
        <v>0</v>
      </c>
      <c r="Z149">
        <v>1</v>
      </c>
      <c r="AA149">
        <v>0</v>
      </c>
      <c r="AB149">
        <v>2</v>
      </c>
      <c r="AC149">
        <v>40</v>
      </c>
      <c r="AD149">
        <v>27</v>
      </c>
      <c r="AE149">
        <v>120</v>
      </c>
      <c r="AF149">
        <v>14</v>
      </c>
      <c r="AG149">
        <v>41</v>
      </c>
      <c r="AH149">
        <v>17</v>
      </c>
      <c r="AI149">
        <v>70</v>
      </c>
      <c r="AJ149">
        <v>400</v>
      </c>
      <c r="AK149">
        <v>300</v>
      </c>
      <c r="AL149">
        <v>0</v>
      </c>
      <c r="AM149">
        <v>400</v>
      </c>
      <c r="AN149">
        <v>0</v>
      </c>
      <c r="AO149">
        <v>23</v>
      </c>
      <c r="AP149">
        <v>0</v>
      </c>
      <c r="AQ149">
        <v>0</v>
      </c>
      <c r="AR149">
        <v>0</v>
      </c>
      <c r="AS149">
        <v>0</v>
      </c>
      <c r="AT149">
        <v>1900</v>
      </c>
      <c r="AU149">
        <v>100</v>
      </c>
      <c r="AV149">
        <v>0</v>
      </c>
      <c r="AW149">
        <v>2000</v>
      </c>
      <c r="AX149">
        <v>200</v>
      </c>
      <c r="AY149">
        <v>1900</v>
      </c>
      <c r="AZ149">
        <v>0</v>
      </c>
      <c r="BA149">
        <v>2100</v>
      </c>
      <c r="BB149">
        <v>600</v>
      </c>
      <c r="BC149">
        <v>28</v>
      </c>
      <c r="BD149">
        <v>0</v>
      </c>
      <c r="BE149">
        <v>2000</v>
      </c>
      <c r="BF149">
        <v>0</v>
      </c>
      <c r="BG149">
        <f t="shared" si="17"/>
        <v>83.333333333333343</v>
      </c>
      <c r="BH149">
        <v>41</v>
      </c>
      <c r="BI149">
        <v>77</v>
      </c>
      <c r="BJ149">
        <v>40</v>
      </c>
      <c r="BK149">
        <v>18</v>
      </c>
      <c r="BL149">
        <v>34</v>
      </c>
      <c r="BM149">
        <v>52</v>
      </c>
      <c r="BN149">
        <v>31</v>
      </c>
      <c r="BO149">
        <v>36</v>
      </c>
      <c r="BP149">
        <v>15</v>
      </c>
      <c r="BQ149">
        <v>54</v>
      </c>
      <c r="BR149">
        <v>62</v>
      </c>
      <c r="BS149">
        <v>20</v>
      </c>
      <c r="BT149">
        <v>480</v>
      </c>
      <c r="BU149">
        <v>53</v>
      </c>
      <c r="BV149">
        <v>83</v>
      </c>
      <c r="BW149">
        <v>217</v>
      </c>
      <c r="BX149">
        <v>53</v>
      </c>
      <c r="BY149">
        <v>59</v>
      </c>
      <c r="BZ149">
        <v>54</v>
      </c>
      <c r="CA149">
        <v>520</v>
      </c>
      <c r="CB149">
        <v>15</v>
      </c>
      <c r="CC149">
        <v>6</v>
      </c>
      <c r="CD149">
        <v>100</v>
      </c>
      <c r="CE149">
        <v>401</v>
      </c>
      <c r="CF149">
        <v>4.01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2</v>
      </c>
      <c r="CM149">
        <v>0.3</v>
      </c>
      <c r="CN149">
        <v>160</v>
      </c>
      <c r="CO149">
        <v>1</v>
      </c>
      <c r="CP149">
        <v>27</v>
      </c>
      <c r="CQ149">
        <v>6</v>
      </c>
      <c r="CR149">
        <v>3</v>
      </c>
      <c r="CS149">
        <v>1</v>
      </c>
      <c r="CT149">
        <v>200</v>
      </c>
      <c r="CU149">
        <v>0</v>
      </c>
      <c r="CV149">
        <v>0</v>
      </c>
      <c r="CW149">
        <v>5</v>
      </c>
      <c r="CX149">
        <v>0</v>
      </c>
      <c r="CY149">
        <v>673</v>
      </c>
      <c r="CZ149">
        <v>28</v>
      </c>
      <c r="DA149">
        <v>3</v>
      </c>
      <c r="DB149">
        <v>1</v>
      </c>
      <c r="DC149">
        <v>700</v>
      </c>
      <c r="DD149">
        <v>0</v>
      </c>
      <c r="DE149">
        <v>0</v>
      </c>
      <c r="DF149">
        <v>400</v>
      </c>
      <c r="DG149">
        <v>100</v>
      </c>
      <c r="DH149">
        <v>0</v>
      </c>
      <c r="DI149">
        <v>0</v>
      </c>
      <c r="DJ149">
        <v>0.1</v>
      </c>
      <c r="DK149">
        <v>0</v>
      </c>
      <c r="DL149">
        <v>1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500</v>
      </c>
      <c r="DT149">
        <v>1418</v>
      </c>
      <c r="DU149">
        <v>82</v>
      </c>
      <c r="DV149">
        <v>0</v>
      </c>
      <c r="DW149">
        <v>0</v>
      </c>
      <c r="DX149">
        <v>0</v>
      </c>
      <c r="DY149">
        <v>256</v>
      </c>
      <c r="DZ149">
        <v>360</v>
      </c>
      <c r="EA149">
        <v>40</v>
      </c>
      <c r="EB149">
        <v>96</v>
      </c>
      <c r="EC149">
        <v>48</v>
      </c>
      <c r="ED149">
        <v>240</v>
      </c>
      <c r="EE149">
        <v>560</v>
      </c>
      <c r="EF149">
        <v>0</v>
      </c>
      <c r="EG149">
        <v>20</v>
      </c>
      <c r="EH149">
        <v>0.3</v>
      </c>
      <c r="EI149">
        <v>0.6</v>
      </c>
      <c r="EJ149">
        <v>1.5</v>
      </c>
      <c r="EK149">
        <v>1</v>
      </c>
    </row>
    <row r="150" spans="1:141" x14ac:dyDescent="0.25">
      <c r="A150" t="str">
        <f>[1]ingredient!B149</f>
        <v>Hanfmilch</v>
      </c>
      <c r="C150" s="7">
        <f>_xlfn.XLOOKUP(A150,[1]ingredient!$B$2:$B$521,[1]ingredient!$A$2:$A$521)</f>
        <v>148</v>
      </c>
      <c r="D150">
        <f t="shared" ref="D150:BF150" si="21">IFERROR(D151*(D385/D380),0)</f>
        <v>38.786377708978328</v>
      </c>
      <c r="E150">
        <f t="shared" si="21"/>
        <v>1.8333333333333333</v>
      </c>
      <c r="F150">
        <f t="shared" si="21"/>
        <v>2.2941176470588238</v>
      </c>
      <c r="G150">
        <f t="shared" si="21"/>
        <v>0.66666666666666663</v>
      </c>
      <c r="H150">
        <f t="shared" si="21"/>
        <v>1.3636363636363638</v>
      </c>
      <c r="I150">
        <f t="shared" si="21"/>
        <v>0.66666666666666663</v>
      </c>
      <c r="J150">
        <f t="shared" si="21"/>
        <v>0.1</v>
      </c>
      <c r="K150">
        <f t="shared" si="21"/>
        <v>65.100000000000009</v>
      </c>
      <c r="L150">
        <f t="shared" si="21"/>
        <v>0</v>
      </c>
      <c r="M150">
        <f t="shared" si="21"/>
        <v>0</v>
      </c>
      <c r="N150">
        <f t="shared" si="21"/>
        <v>0</v>
      </c>
      <c r="O150">
        <f t="shared" si="21"/>
        <v>0</v>
      </c>
      <c r="P150">
        <f t="shared" si="21"/>
        <v>30.76923076923077</v>
      </c>
      <c r="Q150">
        <f t="shared" si="21"/>
        <v>12.121212121212121</v>
      </c>
      <c r="R150">
        <f t="shared" si="21"/>
        <v>51.164658634538149</v>
      </c>
      <c r="S150">
        <f t="shared" si="21"/>
        <v>911.54459445094085</v>
      </c>
      <c r="T150">
        <f t="shared" si="21"/>
        <v>0</v>
      </c>
      <c r="U150">
        <f t="shared" si="21"/>
        <v>20</v>
      </c>
      <c r="V150">
        <f t="shared" si="21"/>
        <v>0.53333333333333333</v>
      </c>
      <c r="W150">
        <f t="shared" si="21"/>
        <v>10.95</v>
      </c>
      <c r="X150">
        <f t="shared" si="21"/>
        <v>0</v>
      </c>
      <c r="Y150">
        <f t="shared" si="21"/>
        <v>0</v>
      </c>
      <c r="Z150">
        <f t="shared" si="21"/>
        <v>0</v>
      </c>
      <c r="AA150">
        <f t="shared" si="21"/>
        <v>0</v>
      </c>
      <c r="AB150">
        <f t="shared" si="21"/>
        <v>0</v>
      </c>
      <c r="AC150">
        <f t="shared" si="21"/>
        <v>133</v>
      </c>
      <c r="AD150">
        <f t="shared" si="21"/>
        <v>111.25555555555555</v>
      </c>
      <c r="AE150">
        <f t="shared" si="21"/>
        <v>21.580000000000002</v>
      </c>
      <c r="AF150">
        <f t="shared" si="21"/>
        <v>49.63636363636364</v>
      </c>
      <c r="AG150">
        <f t="shared" si="21"/>
        <v>81.214545454545458</v>
      </c>
      <c r="AH150">
        <f t="shared" si="21"/>
        <v>0</v>
      </c>
      <c r="AI150">
        <f t="shared" si="21"/>
        <v>0</v>
      </c>
      <c r="AJ150">
        <f t="shared" si="21"/>
        <v>935.69277108433732</v>
      </c>
      <c r="AK150">
        <f t="shared" si="21"/>
        <v>0</v>
      </c>
      <c r="AL150">
        <f t="shared" si="21"/>
        <v>180.5</v>
      </c>
      <c r="AM150">
        <f t="shared" si="21"/>
        <v>273.65313653136531</v>
      </c>
      <c r="AN150">
        <f t="shared" si="21"/>
        <v>17.5</v>
      </c>
      <c r="AO150">
        <f t="shared" si="21"/>
        <v>1</v>
      </c>
      <c r="AP150">
        <f t="shared" si="21"/>
        <v>0</v>
      </c>
      <c r="AQ150">
        <f t="shared" si="21"/>
        <v>0</v>
      </c>
      <c r="AR150">
        <f t="shared" si="21"/>
        <v>0</v>
      </c>
      <c r="AS150">
        <f t="shared" si="21"/>
        <v>0</v>
      </c>
      <c r="AT150">
        <f t="shared" si="21"/>
        <v>0</v>
      </c>
      <c r="AU150">
        <f t="shared" si="21"/>
        <v>0</v>
      </c>
      <c r="AV150">
        <f t="shared" si="21"/>
        <v>0</v>
      </c>
      <c r="AW150">
        <f t="shared" si="21"/>
        <v>0</v>
      </c>
      <c r="AX150">
        <f t="shared" si="21"/>
        <v>468.28328247952464</v>
      </c>
      <c r="AY150">
        <f t="shared" si="21"/>
        <v>0</v>
      </c>
      <c r="AZ150">
        <f t="shared" si="21"/>
        <v>0</v>
      </c>
      <c r="BA150">
        <f t="shared" si="21"/>
        <v>466.4621808254376</v>
      </c>
      <c r="BB150">
        <f t="shared" si="21"/>
        <v>0</v>
      </c>
      <c r="BC150">
        <f t="shared" si="21"/>
        <v>0</v>
      </c>
      <c r="BD150">
        <f t="shared" si="21"/>
        <v>0</v>
      </c>
      <c r="BE150">
        <f t="shared" si="21"/>
        <v>0</v>
      </c>
      <c r="BF150">
        <f t="shared" si="21"/>
        <v>0</v>
      </c>
      <c r="BG150">
        <f t="shared" si="17"/>
        <v>83.300129996096089</v>
      </c>
      <c r="BH150">
        <f t="shared" ref="BH150:DS150" si="22">IFERROR(BH151*(BH385/BH380),0)</f>
        <v>108.32349323493236</v>
      </c>
      <c r="BI150">
        <f t="shared" si="22"/>
        <v>151.39288361749445</v>
      </c>
      <c r="BJ150">
        <f t="shared" si="22"/>
        <v>119.45637583892618</v>
      </c>
      <c r="BK150">
        <f t="shared" si="22"/>
        <v>0</v>
      </c>
      <c r="BL150">
        <f t="shared" si="22"/>
        <v>43.953068592057761</v>
      </c>
      <c r="BM150">
        <f t="shared" si="22"/>
        <v>123.34743040685224</v>
      </c>
      <c r="BN150">
        <f t="shared" si="22"/>
        <v>69.760204081632651</v>
      </c>
      <c r="BO150">
        <f t="shared" si="22"/>
        <v>92.291255289139627</v>
      </c>
      <c r="BP150">
        <f t="shared" si="22"/>
        <v>52.279518072289157</v>
      </c>
      <c r="BQ150">
        <f t="shared" si="22"/>
        <v>136.07891566265062</v>
      </c>
      <c r="BR150">
        <f t="shared" si="22"/>
        <v>271.21407624633434</v>
      </c>
      <c r="BS150">
        <f t="shared" si="22"/>
        <v>67.9070351758794</v>
      </c>
      <c r="BT150">
        <f t="shared" si="22"/>
        <v>1243.9437064778513</v>
      </c>
      <c r="BU150">
        <f t="shared" si="22"/>
        <v>130.55430183356842</v>
      </c>
      <c r="BV150">
        <f t="shared" si="22"/>
        <v>276.8058326937836</v>
      </c>
      <c r="BW150">
        <f t="shared" si="22"/>
        <v>583.52298215131896</v>
      </c>
      <c r="BX150">
        <f t="shared" si="22"/>
        <v>172.60260115606937</v>
      </c>
      <c r="BY150">
        <f t="shared" si="22"/>
        <v>96.322791712104689</v>
      </c>
      <c r="BZ150">
        <f t="shared" si="22"/>
        <v>130.61961451247166</v>
      </c>
      <c r="CA150">
        <f t="shared" si="22"/>
        <v>1385.0837740384616</v>
      </c>
      <c r="CB150">
        <f t="shared" si="22"/>
        <v>0</v>
      </c>
      <c r="CC150">
        <f t="shared" si="22"/>
        <v>0</v>
      </c>
      <c r="CD150">
        <f t="shared" si="22"/>
        <v>296.16087751371111</v>
      </c>
      <c r="CE150">
        <f t="shared" si="22"/>
        <v>855.46689670045282</v>
      </c>
      <c r="CF150">
        <f t="shared" si="22"/>
        <v>2.891002358490566</v>
      </c>
      <c r="CG150">
        <f t="shared" si="22"/>
        <v>0</v>
      </c>
      <c r="CH150">
        <f t="shared" si="22"/>
        <v>0</v>
      </c>
      <c r="CI150">
        <f t="shared" si="22"/>
        <v>0</v>
      </c>
      <c r="CJ150">
        <f t="shared" si="22"/>
        <v>0</v>
      </c>
      <c r="CK150">
        <f t="shared" si="22"/>
        <v>0</v>
      </c>
      <c r="CL150">
        <f t="shared" si="22"/>
        <v>0.47058823529411764</v>
      </c>
      <c r="CM150">
        <f t="shared" si="22"/>
        <v>0</v>
      </c>
      <c r="CN150">
        <f t="shared" si="22"/>
        <v>75.841754580788461</v>
      </c>
      <c r="CO150">
        <f t="shared" si="22"/>
        <v>0</v>
      </c>
      <c r="CP150">
        <f t="shared" si="22"/>
        <v>62.115511551155123</v>
      </c>
      <c r="CQ150">
        <f t="shared" si="22"/>
        <v>1.96</v>
      </c>
      <c r="CR150">
        <f t="shared" si="22"/>
        <v>8.647058823529413</v>
      </c>
      <c r="CS150">
        <f t="shared" si="22"/>
        <v>0</v>
      </c>
      <c r="CT150">
        <f t="shared" si="22"/>
        <v>147.009900990099</v>
      </c>
      <c r="CU150">
        <f t="shared" si="22"/>
        <v>0</v>
      </c>
      <c r="CV150">
        <f t="shared" si="22"/>
        <v>0</v>
      </c>
      <c r="CW150">
        <f t="shared" si="22"/>
        <v>0.3235294117647059</v>
      </c>
      <c r="CX150">
        <f t="shared" si="22"/>
        <v>0</v>
      </c>
      <c r="CY150">
        <f t="shared" si="22"/>
        <v>110.92200413223141</v>
      </c>
      <c r="CZ150">
        <f t="shared" si="22"/>
        <v>0.58823529411764708</v>
      </c>
      <c r="DA150">
        <f t="shared" si="22"/>
        <v>0</v>
      </c>
      <c r="DB150">
        <f t="shared" si="22"/>
        <v>0</v>
      </c>
      <c r="DC150">
        <f t="shared" si="22"/>
        <v>111.92893401015229</v>
      </c>
      <c r="DD150">
        <f t="shared" si="22"/>
        <v>0</v>
      </c>
      <c r="DE150">
        <f t="shared" si="22"/>
        <v>0</v>
      </c>
      <c r="DF150">
        <f t="shared" si="22"/>
        <v>855.46689670045282</v>
      </c>
      <c r="DG150">
        <f t="shared" si="22"/>
        <v>296.16087751371111</v>
      </c>
      <c r="DH150">
        <f t="shared" si="22"/>
        <v>0</v>
      </c>
      <c r="DI150">
        <f t="shared" si="22"/>
        <v>0</v>
      </c>
      <c r="DJ150">
        <f t="shared" si="22"/>
        <v>0</v>
      </c>
      <c r="DK150">
        <f t="shared" si="22"/>
        <v>0</v>
      </c>
      <c r="DL150">
        <f t="shared" si="22"/>
        <v>0</v>
      </c>
      <c r="DM150">
        <f t="shared" si="22"/>
        <v>0</v>
      </c>
      <c r="DN150">
        <f t="shared" si="22"/>
        <v>0</v>
      </c>
      <c r="DO150">
        <f t="shared" si="22"/>
        <v>0</v>
      </c>
      <c r="DP150">
        <f t="shared" si="22"/>
        <v>0</v>
      </c>
      <c r="DQ150">
        <f t="shared" si="22"/>
        <v>0</v>
      </c>
      <c r="DR150">
        <f t="shared" si="22"/>
        <v>0</v>
      </c>
      <c r="DS150">
        <f t="shared" si="22"/>
        <v>1114.3904320987654</v>
      </c>
      <c r="DT150">
        <f t="shared" ref="DT150:EK150" si="23">IFERROR(DT151*(DT385/DT380),0)</f>
        <v>1357.8862947781145</v>
      </c>
      <c r="DU150">
        <f t="shared" si="23"/>
        <v>0</v>
      </c>
      <c r="DV150">
        <f t="shared" si="23"/>
        <v>0</v>
      </c>
      <c r="DW150">
        <f t="shared" si="23"/>
        <v>0</v>
      </c>
      <c r="DX150">
        <f t="shared" si="23"/>
        <v>0</v>
      </c>
      <c r="DY150">
        <f t="shared" si="23"/>
        <v>0</v>
      </c>
      <c r="DZ150">
        <f t="shared" si="23"/>
        <v>0</v>
      </c>
      <c r="EA150">
        <f t="shared" si="23"/>
        <v>0</v>
      </c>
      <c r="EB150">
        <f t="shared" si="23"/>
        <v>0</v>
      </c>
      <c r="EC150">
        <f t="shared" si="23"/>
        <v>0</v>
      </c>
      <c r="ED150">
        <f t="shared" si="23"/>
        <v>0</v>
      </c>
      <c r="EE150">
        <f t="shared" si="23"/>
        <v>1487.7049180327867</v>
      </c>
      <c r="EF150">
        <f t="shared" si="23"/>
        <v>0</v>
      </c>
      <c r="EG150">
        <f t="shared" si="23"/>
        <v>0</v>
      </c>
      <c r="EH150">
        <f t="shared" si="23"/>
        <v>0.42127659574468079</v>
      </c>
      <c r="EI150">
        <f t="shared" si="23"/>
        <v>1.4900000000000002</v>
      </c>
      <c r="EJ150">
        <f t="shared" si="23"/>
        <v>1.2646408839779004</v>
      </c>
      <c r="EK150">
        <f t="shared" si="23"/>
        <v>2.5971014492753626</v>
      </c>
    </row>
    <row r="151" spans="1:141" x14ac:dyDescent="0.25">
      <c r="A151" t="str">
        <f>[1]ingredient!B150</f>
        <v>Hanfsamen</v>
      </c>
      <c r="B151" t="s">
        <v>259</v>
      </c>
      <c r="C151" s="7">
        <f>_xlfn.XLOOKUP(A151,[1]ingredient!$B$2:$B$521,[1]ingredient!$A$2:$A$521)</f>
        <v>149</v>
      </c>
      <c r="D151">
        <v>464</v>
      </c>
      <c r="E151">
        <v>33</v>
      </c>
      <c r="F151">
        <v>26</v>
      </c>
      <c r="G151">
        <v>2</v>
      </c>
      <c r="H151">
        <v>30</v>
      </c>
      <c r="I151">
        <v>2</v>
      </c>
      <c r="J151">
        <v>0.05</v>
      </c>
      <c r="K151">
        <v>7</v>
      </c>
      <c r="L151">
        <v>0</v>
      </c>
      <c r="M151">
        <v>0</v>
      </c>
      <c r="N151">
        <v>0</v>
      </c>
      <c r="O151">
        <v>0</v>
      </c>
      <c r="P151">
        <v>500</v>
      </c>
      <c r="Q151">
        <v>200</v>
      </c>
      <c r="R151">
        <v>2600</v>
      </c>
      <c r="S151">
        <v>10100</v>
      </c>
      <c r="T151">
        <v>0</v>
      </c>
      <c r="U151">
        <v>400</v>
      </c>
      <c r="V151">
        <v>16</v>
      </c>
      <c r="W151">
        <v>73</v>
      </c>
      <c r="X151">
        <v>0</v>
      </c>
      <c r="Y151">
        <v>0</v>
      </c>
      <c r="Z151">
        <v>3</v>
      </c>
      <c r="AA151">
        <v>0</v>
      </c>
      <c r="AB151">
        <v>4</v>
      </c>
      <c r="AC151">
        <v>28</v>
      </c>
      <c r="AD151">
        <v>1178</v>
      </c>
      <c r="AE151">
        <v>332</v>
      </c>
      <c r="AF151">
        <v>520</v>
      </c>
      <c r="AG151">
        <v>859</v>
      </c>
      <c r="AH151">
        <v>354</v>
      </c>
      <c r="AI151">
        <v>26</v>
      </c>
      <c r="AJ151">
        <v>10900</v>
      </c>
      <c r="AK151">
        <v>6700</v>
      </c>
      <c r="AL151">
        <v>1900</v>
      </c>
      <c r="AM151">
        <v>3600</v>
      </c>
      <c r="AN151">
        <v>100</v>
      </c>
      <c r="AO151">
        <v>3</v>
      </c>
      <c r="AP151">
        <v>0</v>
      </c>
      <c r="AQ151">
        <v>0</v>
      </c>
      <c r="AR151">
        <v>0</v>
      </c>
      <c r="AS151">
        <v>0</v>
      </c>
      <c r="AT151">
        <v>89</v>
      </c>
      <c r="AU151">
        <v>119</v>
      </c>
      <c r="AV151">
        <v>0</v>
      </c>
      <c r="AW151">
        <v>208</v>
      </c>
      <c r="AX151">
        <v>1800</v>
      </c>
      <c r="AY151">
        <v>0</v>
      </c>
      <c r="AZ151">
        <v>0</v>
      </c>
      <c r="BA151">
        <v>1793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f t="shared" si="17"/>
        <v>83.894230769230774</v>
      </c>
      <c r="BH151">
        <v>1094</v>
      </c>
      <c r="BI151">
        <v>1559</v>
      </c>
      <c r="BJ151">
        <v>1047</v>
      </c>
      <c r="BK151">
        <v>512</v>
      </c>
      <c r="BL151">
        <v>487</v>
      </c>
      <c r="BM151">
        <v>1273</v>
      </c>
      <c r="BN151">
        <v>678</v>
      </c>
      <c r="BO151">
        <v>999</v>
      </c>
      <c r="BP151">
        <v>452</v>
      </c>
      <c r="BQ151">
        <v>1321</v>
      </c>
      <c r="BR151">
        <v>2569</v>
      </c>
      <c r="BS151">
        <v>594</v>
      </c>
      <c r="BT151">
        <v>12586</v>
      </c>
      <c r="BU151">
        <v>1226</v>
      </c>
      <c r="BV151">
        <v>2558</v>
      </c>
      <c r="BW151">
        <v>5401</v>
      </c>
      <c r="BX151">
        <v>1582</v>
      </c>
      <c r="BY151">
        <v>976</v>
      </c>
      <c r="BZ151">
        <v>1273</v>
      </c>
      <c r="CA151">
        <v>13014</v>
      </c>
      <c r="CB151">
        <v>0</v>
      </c>
      <c r="CC151">
        <v>0</v>
      </c>
      <c r="CD151">
        <v>5400</v>
      </c>
      <c r="CE151">
        <v>21100</v>
      </c>
      <c r="CF151">
        <v>3.91</v>
      </c>
      <c r="CG151">
        <v>0</v>
      </c>
      <c r="CH151">
        <v>0</v>
      </c>
      <c r="CI151">
        <v>0</v>
      </c>
      <c r="CJ151">
        <v>0</v>
      </c>
      <c r="CK151">
        <v>4</v>
      </c>
      <c r="CL151">
        <v>16</v>
      </c>
      <c r="CM151">
        <v>6</v>
      </c>
      <c r="CN151">
        <v>1729</v>
      </c>
      <c r="CO151">
        <v>19</v>
      </c>
      <c r="CP151">
        <v>1298</v>
      </c>
      <c r="CQ151">
        <v>49</v>
      </c>
      <c r="CR151">
        <v>49</v>
      </c>
      <c r="CS151">
        <v>29</v>
      </c>
      <c r="CT151">
        <v>3200</v>
      </c>
      <c r="CU151">
        <v>0</v>
      </c>
      <c r="CV151">
        <v>0</v>
      </c>
      <c r="CW151">
        <v>11</v>
      </c>
      <c r="CX151">
        <v>6</v>
      </c>
      <c r="CY151">
        <v>2962</v>
      </c>
      <c r="CZ151">
        <v>20</v>
      </c>
      <c r="DA151">
        <v>0</v>
      </c>
      <c r="DB151">
        <v>2</v>
      </c>
      <c r="DC151">
        <v>3000</v>
      </c>
      <c r="DD151">
        <v>0</v>
      </c>
      <c r="DE151">
        <v>0</v>
      </c>
      <c r="DF151">
        <v>21100</v>
      </c>
      <c r="DG151">
        <v>5400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26500</v>
      </c>
      <c r="DT151">
        <v>32700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14850</v>
      </c>
      <c r="EE151">
        <v>14850</v>
      </c>
      <c r="EF151">
        <v>0</v>
      </c>
      <c r="EG151">
        <v>0</v>
      </c>
      <c r="EH151">
        <v>3.3</v>
      </c>
      <c r="EI151">
        <v>14.9</v>
      </c>
      <c r="EJ151">
        <v>32.700000000000003</v>
      </c>
      <c r="EK151">
        <v>25.6</v>
      </c>
    </row>
    <row r="152" spans="1:141" x14ac:dyDescent="0.25">
      <c r="A152" t="str">
        <f>[1]ingredient!B151</f>
        <v>Harissa</v>
      </c>
      <c r="B152" t="s">
        <v>260</v>
      </c>
      <c r="C152" s="7">
        <f>_xlfn.XLOOKUP(A152,[1]ingredient!$B$2:$B$521,[1]ingredient!$A$2:$A$521)</f>
        <v>150</v>
      </c>
      <c r="D152">
        <v>302</v>
      </c>
      <c r="E152">
        <v>10</v>
      </c>
      <c r="F152">
        <v>13</v>
      </c>
      <c r="G152">
        <v>33</v>
      </c>
      <c r="H152">
        <v>13</v>
      </c>
      <c r="I152">
        <v>28</v>
      </c>
      <c r="J152">
        <v>10</v>
      </c>
      <c r="K152">
        <v>17</v>
      </c>
      <c r="L152">
        <v>2300</v>
      </c>
      <c r="M152">
        <v>1158</v>
      </c>
      <c r="N152">
        <v>0</v>
      </c>
      <c r="O152">
        <v>13900</v>
      </c>
      <c r="P152">
        <v>400</v>
      </c>
      <c r="Q152">
        <v>800</v>
      </c>
      <c r="R152">
        <v>8100</v>
      </c>
      <c r="S152">
        <v>10700</v>
      </c>
      <c r="T152">
        <v>500</v>
      </c>
      <c r="U152">
        <v>600</v>
      </c>
      <c r="V152">
        <v>8</v>
      </c>
      <c r="W152">
        <v>36</v>
      </c>
      <c r="X152">
        <v>0</v>
      </c>
      <c r="Y152">
        <v>24000</v>
      </c>
      <c r="Z152">
        <v>0</v>
      </c>
      <c r="AA152">
        <v>0</v>
      </c>
      <c r="AB152">
        <v>48</v>
      </c>
      <c r="AC152">
        <v>3952</v>
      </c>
      <c r="AD152">
        <v>1725</v>
      </c>
      <c r="AE152">
        <v>257</v>
      </c>
      <c r="AF152">
        <v>161</v>
      </c>
      <c r="AG152">
        <v>286</v>
      </c>
      <c r="AH152">
        <v>94</v>
      </c>
      <c r="AI152">
        <v>6166</v>
      </c>
      <c r="AJ152">
        <v>15700</v>
      </c>
      <c r="AK152">
        <v>2800</v>
      </c>
      <c r="AL152">
        <v>600</v>
      </c>
      <c r="AM152">
        <v>1200</v>
      </c>
      <c r="AN152">
        <v>300</v>
      </c>
      <c r="AO152">
        <v>8</v>
      </c>
      <c r="AP152">
        <v>0</v>
      </c>
      <c r="AQ152">
        <v>0</v>
      </c>
      <c r="AR152">
        <v>0</v>
      </c>
      <c r="AS152">
        <v>0</v>
      </c>
      <c r="AT152">
        <v>12091</v>
      </c>
      <c r="AU152">
        <v>13846</v>
      </c>
      <c r="AV152">
        <v>0</v>
      </c>
      <c r="AW152">
        <v>25937</v>
      </c>
      <c r="AX152">
        <v>2000</v>
      </c>
      <c r="AY152">
        <v>0</v>
      </c>
      <c r="AZ152">
        <v>0</v>
      </c>
      <c r="BA152">
        <v>1963</v>
      </c>
      <c r="BB152">
        <v>2900</v>
      </c>
      <c r="BC152">
        <v>0</v>
      </c>
      <c r="BD152">
        <v>0</v>
      </c>
      <c r="BE152">
        <v>2000</v>
      </c>
      <c r="BF152">
        <v>0</v>
      </c>
      <c r="BG152">
        <f t="shared" si="17"/>
        <v>96.090794451450193</v>
      </c>
      <c r="BH152">
        <v>483</v>
      </c>
      <c r="BI152">
        <v>762</v>
      </c>
      <c r="BJ152">
        <v>703</v>
      </c>
      <c r="BK152">
        <v>221</v>
      </c>
      <c r="BL152">
        <v>136</v>
      </c>
      <c r="BM152">
        <v>524</v>
      </c>
      <c r="BN152">
        <v>296</v>
      </c>
      <c r="BO152">
        <v>413</v>
      </c>
      <c r="BP152">
        <v>156</v>
      </c>
      <c r="BQ152">
        <v>606</v>
      </c>
      <c r="BR152">
        <v>754</v>
      </c>
      <c r="BS152">
        <v>250</v>
      </c>
      <c r="BT152">
        <v>5304</v>
      </c>
      <c r="BU152">
        <v>776</v>
      </c>
      <c r="BV152">
        <v>2145</v>
      </c>
      <c r="BW152">
        <v>3041</v>
      </c>
      <c r="BX152">
        <v>564</v>
      </c>
      <c r="BY152">
        <v>481</v>
      </c>
      <c r="BZ152">
        <v>590</v>
      </c>
      <c r="CA152">
        <v>7596</v>
      </c>
      <c r="CB152">
        <v>119</v>
      </c>
      <c r="CC152">
        <v>40</v>
      </c>
      <c r="CD152">
        <v>500</v>
      </c>
      <c r="CE152">
        <v>4600</v>
      </c>
      <c r="CF152">
        <v>9.1999999999999993</v>
      </c>
      <c r="CG152">
        <v>0</v>
      </c>
      <c r="CH152">
        <v>3</v>
      </c>
      <c r="CI152">
        <v>5</v>
      </c>
      <c r="CJ152">
        <v>3</v>
      </c>
      <c r="CK152">
        <v>85</v>
      </c>
      <c r="CL152">
        <v>205</v>
      </c>
      <c r="CM152">
        <v>0</v>
      </c>
      <c r="CN152">
        <v>822</v>
      </c>
      <c r="CO152">
        <v>3</v>
      </c>
      <c r="CP152">
        <v>213</v>
      </c>
      <c r="CQ152">
        <v>11</v>
      </c>
      <c r="CR152">
        <v>11</v>
      </c>
      <c r="CS152">
        <v>0</v>
      </c>
      <c r="CT152">
        <v>1400</v>
      </c>
      <c r="CU152">
        <v>0</v>
      </c>
      <c r="CV152">
        <v>0</v>
      </c>
      <c r="CW152">
        <v>74</v>
      </c>
      <c r="CX152">
        <v>0</v>
      </c>
      <c r="CY152">
        <v>2405</v>
      </c>
      <c r="CZ152">
        <v>3</v>
      </c>
      <c r="DA152">
        <v>0</v>
      </c>
      <c r="DB152">
        <v>0</v>
      </c>
      <c r="DC152">
        <v>2500</v>
      </c>
      <c r="DD152">
        <v>0</v>
      </c>
      <c r="DE152">
        <v>0</v>
      </c>
      <c r="DF152">
        <v>4600</v>
      </c>
      <c r="DG152">
        <v>500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5100</v>
      </c>
      <c r="DT152">
        <v>8929</v>
      </c>
      <c r="DU152">
        <v>1061</v>
      </c>
      <c r="DV152">
        <v>0</v>
      </c>
      <c r="DW152">
        <v>3</v>
      </c>
      <c r="DX152">
        <v>8</v>
      </c>
      <c r="DY152">
        <v>2541</v>
      </c>
      <c r="DZ152">
        <v>2493</v>
      </c>
      <c r="EA152">
        <v>2859</v>
      </c>
      <c r="EB152">
        <v>3024</v>
      </c>
      <c r="EC152">
        <v>2526</v>
      </c>
      <c r="ED152">
        <v>3871</v>
      </c>
      <c r="EE152">
        <v>8929</v>
      </c>
      <c r="EF152">
        <v>0</v>
      </c>
      <c r="EG152">
        <v>1200</v>
      </c>
      <c r="EH152">
        <v>12.7</v>
      </c>
      <c r="EI152">
        <v>8.9</v>
      </c>
      <c r="EJ152">
        <v>10</v>
      </c>
      <c r="EK152">
        <v>13.3</v>
      </c>
    </row>
    <row r="153" spans="1:141" x14ac:dyDescent="0.25">
      <c r="A153" t="str">
        <f>[1]ingredient!B152</f>
        <v>Hartweizengrieß</v>
      </c>
      <c r="B153" t="s">
        <v>261</v>
      </c>
      <c r="C153" s="7">
        <f>_xlfn.XLOOKUP(A153,[1]ingredient!$B$2:$B$521,[1]ingredient!$A$2:$A$521)</f>
        <v>151</v>
      </c>
      <c r="D153">
        <v>329</v>
      </c>
      <c r="E153">
        <v>1</v>
      </c>
      <c r="F153">
        <v>10</v>
      </c>
      <c r="G153">
        <v>69</v>
      </c>
      <c r="H153">
        <v>7</v>
      </c>
      <c r="I153">
        <v>1</v>
      </c>
      <c r="J153">
        <v>0.09</v>
      </c>
      <c r="K153">
        <v>12</v>
      </c>
      <c r="L153">
        <v>0</v>
      </c>
      <c r="M153">
        <v>0</v>
      </c>
      <c r="N153">
        <v>0</v>
      </c>
      <c r="O153">
        <v>0</v>
      </c>
      <c r="P153">
        <v>120</v>
      </c>
      <c r="Q153">
        <v>38</v>
      </c>
      <c r="R153">
        <v>1300</v>
      </c>
      <c r="S153">
        <v>3033</v>
      </c>
      <c r="T153">
        <v>500</v>
      </c>
      <c r="U153">
        <v>85</v>
      </c>
      <c r="V153">
        <v>1</v>
      </c>
      <c r="W153">
        <v>17</v>
      </c>
      <c r="X153">
        <v>0</v>
      </c>
      <c r="Y153">
        <v>0</v>
      </c>
      <c r="Z153">
        <v>0</v>
      </c>
      <c r="AA153">
        <v>800</v>
      </c>
      <c r="AB153">
        <v>0</v>
      </c>
      <c r="AC153">
        <v>1</v>
      </c>
      <c r="AD153">
        <v>112</v>
      </c>
      <c r="AE153">
        <v>17</v>
      </c>
      <c r="AF153">
        <v>30</v>
      </c>
      <c r="AG153">
        <v>87</v>
      </c>
      <c r="AH153">
        <v>130</v>
      </c>
      <c r="AI153">
        <v>87</v>
      </c>
      <c r="AJ153">
        <v>1000</v>
      </c>
      <c r="AK153">
        <v>3300</v>
      </c>
      <c r="AL153">
        <v>150</v>
      </c>
      <c r="AM153">
        <v>600</v>
      </c>
      <c r="AN153">
        <v>60</v>
      </c>
      <c r="AO153">
        <v>5</v>
      </c>
      <c r="AP153">
        <v>0</v>
      </c>
      <c r="AQ153">
        <v>0</v>
      </c>
      <c r="AR153">
        <v>0</v>
      </c>
      <c r="AS153">
        <v>0</v>
      </c>
      <c r="AT153">
        <v>69</v>
      </c>
      <c r="AU153">
        <v>69</v>
      </c>
      <c r="AV153">
        <v>0</v>
      </c>
      <c r="AW153">
        <v>138</v>
      </c>
      <c r="AX153">
        <v>690</v>
      </c>
      <c r="AY153">
        <v>0</v>
      </c>
      <c r="AZ153">
        <v>0</v>
      </c>
      <c r="BA153">
        <v>690</v>
      </c>
      <c r="BB153">
        <v>414</v>
      </c>
      <c r="BC153">
        <v>0</v>
      </c>
      <c r="BD153">
        <v>0</v>
      </c>
      <c r="BE153">
        <v>67718</v>
      </c>
      <c r="BF153">
        <v>67718</v>
      </c>
      <c r="BG153">
        <f t="shared" si="17"/>
        <v>58.541666666666671</v>
      </c>
      <c r="BH153">
        <v>406</v>
      </c>
      <c r="BI153">
        <v>697</v>
      </c>
      <c r="BJ153">
        <v>281</v>
      </c>
      <c r="BK153">
        <v>157</v>
      </c>
      <c r="BL153">
        <v>208</v>
      </c>
      <c r="BM153">
        <v>479</v>
      </c>
      <c r="BN153">
        <v>312</v>
      </c>
      <c r="BO153">
        <v>302</v>
      </c>
      <c r="BP153">
        <v>104</v>
      </c>
      <c r="BQ153">
        <v>469</v>
      </c>
      <c r="BR153">
        <v>469</v>
      </c>
      <c r="BS153">
        <v>198</v>
      </c>
      <c r="BT153">
        <v>4082</v>
      </c>
      <c r="BU153">
        <v>365</v>
      </c>
      <c r="BV153">
        <v>510</v>
      </c>
      <c r="BW153">
        <v>3152</v>
      </c>
      <c r="BX153">
        <v>479</v>
      </c>
      <c r="BY153">
        <v>1186</v>
      </c>
      <c r="BZ153">
        <v>530</v>
      </c>
      <c r="CA153">
        <v>6222</v>
      </c>
      <c r="CB153">
        <v>80</v>
      </c>
      <c r="CC153">
        <v>27</v>
      </c>
      <c r="CD153">
        <v>23</v>
      </c>
      <c r="CE153">
        <v>338</v>
      </c>
      <c r="CF153">
        <v>14.7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1</v>
      </c>
      <c r="CM153">
        <v>1</v>
      </c>
      <c r="CN153">
        <v>102</v>
      </c>
      <c r="CO153">
        <v>0</v>
      </c>
      <c r="CP153">
        <v>6</v>
      </c>
      <c r="CQ153">
        <v>5</v>
      </c>
      <c r="CR153">
        <v>0</v>
      </c>
      <c r="CS153">
        <v>0</v>
      </c>
      <c r="CT153">
        <v>116</v>
      </c>
      <c r="CU153">
        <v>0</v>
      </c>
      <c r="CV153">
        <v>0</v>
      </c>
      <c r="CW153">
        <v>3</v>
      </c>
      <c r="CX153">
        <v>0</v>
      </c>
      <c r="CY153">
        <v>87</v>
      </c>
      <c r="CZ153">
        <v>2</v>
      </c>
      <c r="DA153">
        <v>0</v>
      </c>
      <c r="DB153">
        <v>0</v>
      </c>
      <c r="DC153">
        <v>92</v>
      </c>
      <c r="DD153">
        <v>0</v>
      </c>
      <c r="DE153">
        <v>0</v>
      </c>
      <c r="DF153">
        <v>337</v>
      </c>
      <c r="DG153">
        <v>23</v>
      </c>
      <c r="DH153">
        <v>0</v>
      </c>
      <c r="DI153">
        <v>0</v>
      </c>
      <c r="DJ153">
        <v>0</v>
      </c>
      <c r="DK153">
        <v>0</v>
      </c>
      <c r="DL153">
        <v>1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361</v>
      </c>
      <c r="DT153">
        <v>569</v>
      </c>
      <c r="DU153">
        <v>221</v>
      </c>
      <c r="DV153">
        <v>0</v>
      </c>
      <c r="DW153">
        <v>0</v>
      </c>
      <c r="DX153">
        <v>0</v>
      </c>
      <c r="DY153">
        <v>2840</v>
      </c>
      <c r="DZ153">
        <v>2130</v>
      </c>
      <c r="EA153">
        <v>497</v>
      </c>
      <c r="EB153">
        <v>1278</v>
      </c>
      <c r="EC153">
        <v>355</v>
      </c>
      <c r="ED153">
        <v>2170</v>
      </c>
      <c r="EE153">
        <v>4950</v>
      </c>
      <c r="EF153">
        <v>0</v>
      </c>
      <c r="EG153">
        <v>0</v>
      </c>
      <c r="EH153">
        <v>0.5</v>
      </c>
      <c r="EI153">
        <v>5</v>
      </c>
      <c r="EJ153">
        <v>0.8</v>
      </c>
      <c r="EK153">
        <v>10.5</v>
      </c>
    </row>
    <row r="154" spans="1:141" x14ac:dyDescent="0.25">
      <c r="A154" t="str">
        <f>[1]ingredient!B153</f>
        <v>Haselnusskerne</v>
      </c>
      <c r="B154" t="s">
        <v>262</v>
      </c>
      <c r="C154" s="7">
        <f>_xlfn.XLOOKUP(A154,[1]ingredient!$B$2:$B$521,[1]ingredient!$A$2:$A$521)</f>
        <v>152</v>
      </c>
      <c r="D154">
        <v>636</v>
      </c>
      <c r="E154">
        <v>62</v>
      </c>
      <c r="F154">
        <v>16</v>
      </c>
      <c r="G154">
        <v>6</v>
      </c>
      <c r="H154">
        <v>8</v>
      </c>
      <c r="I154">
        <v>4</v>
      </c>
      <c r="J154">
        <v>0.03</v>
      </c>
      <c r="K154">
        <v>4</v>
      </c>
      <c r="L154">
        <v>4</v>
      </c>
      <c r="M154">
        <v>2</v>
      </c>
      <c r="N154">
        <v>0</v>
      </c>
      <c r="O154">
        <v>22</v>
      </c>
      <c r="P154">
        <v>450</v>
      </c>
      <c r="Q154">
        <v>147</v>
      </c>
      <c r="R154">
        <v>1389</v>
      </c>
      <c r="S154">
        <v>4651</v>
      </c>
      <c r="T154">
        <v>0</v>
      </c>
      <c r="U154">
        <v>646</v>
      </c>
      <c r="V154">
        <v>60</v>
      </c>
      <c r="W154">
        <v>88</v>
      </c>
      <c r="X154">
        <v>0</v>
      </c>
      <c r="Y154">
        <v>0</v>
      </c>
      <c r="Z154">
        <v>0</v>
      </c>
      <c r="AA154">
        <v>23992</v>
      </c>
      <c r="AB154">
        <v>11</v>
      </c>
      <c r="AC154">
        <v>0</v>
      </c>
      <c r="AD154">
        <v>729</v>
      </c>
      <c r="AE154">
        <v>146</v>
      </c>
      <c r="AF154">
        <v>159</v>
      </c>
      <c r="AG154">
        <v>282</v>
      </c>
      <c r="AH154">
        <v>157</v>
      </c>
      <c r="AI154">
        <v>26</v>
      </c>
      <c r="AJ154">
        <v>3356</v>
      </c>
      <c r="AK154">
        <v>2035</v>
      </c>
      <c r="AL154">
        <v>1566</v>
      </c>
      <c r="AM154">
        <v>3386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3767</v>
      </c>
      <c r="AY154">
        <v>0</v>
      </c>
      <c r="AZ154">
        <v>0</v>
      </c>
      <c r="BA154">
        <v>3767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f t="shared" si="17"/>
        <v>57.291666666666664</v>
      </c>
      <c r="BH154">
        <v>538</v>
      </c>
      <c r="BI154">
        <v>1027</v>
      </c>
      <c r="BJ154">
        <v>440</v>
      </c>
      <c r="BK154">
        <v>196</v>
      </c>
      <c r="BL154">
        <v>303</v>
      </c>
      <c r="BM154">
        <v>665</v>
      </c>
      <c r="BN154">
        <v>401</v>
      </c>
      <c r="BO154">
        <v>450</v>
      </c>
      <c r="BP154">
        <v>196</v>
      </c>
      <c r="BQ154">
        <v>705</v>
      </c>
      <c r="BR154">
        <v>2123</v>
      </c>
      <c r="BS154">
        <v>382</v>
      </c>
      <c r="BT154">
        <v>7427</v>
      </c>
      <c r="BU154">
        <v>714</v>
      </c>
      <c r="BV154">
        <v>1536</v>
      </c>
      <c r="BW154">
        <v>3591</v>
      </c>
      <c r="BX154">
        <v>705</v>
      </c>
      <c r="BY154">
        <v>538</v>
      </c>
      <c r="BZ154">
        <v>665</v>
      </c>
      <c r="CA154">
        <v>7750</v>
      </c>
      <c r="CB154">
        <v>0</v>
      </c>
      <c r="CC154">
        <v>0</v>
      </c>
      <c r="CD154">
        <v>56</v>
      </c>
      <c r="CE154">
        <v>6127</v>
      </c>
      <c r="CF154">
        <v>109.87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24</v>
      </c>
      <c r="CM154">
        <v>6</v>
      </c>
      <c r="CN154">
        <v>3544</v>
      </c>
      <c r="CO154">
        <v>24</v>
      </c>
      <c r="CP154">
        <v>1462</v>
      </c>
      <c r="CQ154">
        <v>74</v>
      </c>
      <c r="CR154">
        <v>13</v>
      </c>
      <c r="CS154">
        <v>6</v>
      </c>
      <c r="CT154">
        <v>5154</v>
      </c>
      <c r="CU154">
        <v>0</v>
      </c>
      <c r="CV154">
        <v>0</v>
      </c>
      <c r="CW154">
        <v>136</v>
      </c>
      <c r="CX154">
        <v>50</v>
      </c>
      <c r="CY154">
        <v>49286</v>
      </c>
      <c r="CZ154">
        <v>93</v>
      </c>
      <c r="DA154">
        <v>0</v>
      </c>
      <c r="DB154">
        <v>0</v>
      </c>
      <c r="DC154">
        <v>49565</v>
      </c>
      <c r="DD154">
        <v>0</v>
      </c>
      <c r="DE154">
        <v>0</v>
      </c>
      <c r="DF154">
        <v>6127</v>
      </c>
      <c r="DG154">
        <v>56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6183</v>
      </c>
      <c r="DT154">
        <v>60901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7534</v>
      </c>
      <c r="EF154">
        <v>0</v>
      </c>
      <c r="EG154">
        <v>0</v>
      </c>
      <c r="EH154">
        <v>2.4</v>
      </c>
      <c r="EI154">
        <v>7.5</v>
      </c>
      <c r="EJ154">
        <v>61.9</v>
      </c>
      <c r="EK154">
        <v>15.2</v>
      </c>
    </row>
    <row r="155" spans="1:141" x14ac:dyDescent="0.25">
      <c r="A155" t="str">
        <f>[1]ingredient!B154</f>
        <v>Haselnussmilch</v>
      </c>
      <c r="C155" s="7">
        <f>_xlfn.XLOOKUP(A155,[1]ingredient!$B$2:$B$521,[1]ingredient!$A$2:$A$521)</f>
        <v>153</v>
      </c>
      <c r="D155">
        <f t="shared" ref="D155:BF155" si="24">IFERROR(D154*(D256/D259),0)</f>
        <v>14.037351443123939</v>
      </c>
      <c r="E155">
        <f t="shared" si="24"/>
        <v>1.1698113207547169</v>
      </c>
      <c r="F155">
        <f t="shared" si="24"/>
        <v>0.26666666666666666</v>
      </c>
      <c r="G155">
        <f t="shared" si="24"/>
        <v>0</v>
      </c>
      <c r="H155">
        <f t="shared" si="24"/>
        <v>0.21818181818181817</v>
      </c>
      <c r="I155">
        <f t="shared" si="24"/>
        <v>2.6666666666666668E-2</v>
      </c>
      <c r="J155">
        <f t="shared" si="24"/>
        <v>0.13500000000000001</v>
      </c>
      <c r="K155">
        <f t="shared" si="24"/>
        <v>77.599999999999994</v>
      </c>
      <c r="L155">
        <f t="shared" si="24"/>
        <v>0</v>
      </c>
      <c r="M155">
        <f t="shared" si="24"/>
        <v>0</v>
      </c>
      <c r="N155">
        <f t="shared" si="24"/>
        <v>0</v>
      </c>
      <c r="O155">
        <f t="shared" si="24"/>
        <v>0</v>
      </c>
      <c r="P155">
        <f t="shared" si="24"/>
        <v>0</v>
      </c>
      <c r="Q155">
        <f t="shared" si="24"/>
        <v>173.96449704142012</v>
      </c>
      <c r="R155">
        <f t="shared" si="24"/>
        <v>33.229665071770334</v>
      </c>
      <c r="S155">
        <f t="shared" si="24"/>
        <v>66.31969200057037</v>
      </c>
      <c r="T155">
        <f t="shared" si="24"/>
        <v>0</v>
      </c>
      <c r="U155">
        <f t="shared" si="24"/>
        <v>0</v>
      </c>
      <c r="V155">
        <f t="shared" si="24"/>
        <v>0</v>
      </c>
      <c r="W155">
        <f t="shared" si="24"/>
        <v>1.9555555555555557</v>
      </c>
      <c r="X155">
        <f t="shared" si="24"/>
        <v>0</v>
      </c>
      <c r="Y155">
        <f t="shared" si="24"/>
        <v>0</v>
      </c>
      <c r="Z155">
        <f t="shared" si="24"/>
        <v>0</v>
      </c>
      <c r="AA155">
        <f t="shared" si="24"/>
        <v>0</v>
      </c>
      <c r="AB155">
        <f t="shared" si="24"/>
        <v>0</v>
      </c>
      <c r="AC155">
        <f t="shared" si="24"/>
        <v>0</v>
      </c>
      <c r="AD155">
        <f t="shared" si="24"/>
        <v>16.17603550295858</v>
      </c>
      <c r="AE155">
        <f t="shared" si="24"/>
        <v>206.11764705882354</v>
      </c>
      <c r="AF155">
        <f t="shared" si="24"/>
        <v>4.3761467889908259</v>
      </c>
      <c r="AG155">
        <f t="shared" si="24"/>
        <v>168.22478386167148</v>
      </c>
      <c r="AH155">
        <f t="shared" si="24"/>
        <v>4.1866666666666665</v>
      </c>
      <c r="AI155">
        <f t="shared" si="24"/>
        <v>80.600000000000009</v>
      </c>
      <c r="AJ155">
        <f t="shared" si="24"/>
        <v>107.90996784565915</v>
      </c>
      <c r="AK155">
        <f t="shared" si="24"/>
        <v>64.480354879594429</v>
      </c>
      <c r="AL155">
        <f t="shared" si="24"/>
        <v>0</v>
      </c>
      <c r="AM155">
        <f t="shared" si="24"/>
        <v>0</v>
      </c>
      <c r="AN155">
        <f t="shared" si="24"/>
        <v>0</v>
      </c>
      <c r="AO155">
        <f t="shared" si="24"/>
        <v>4</v>
      </c>
      <c r="AP155">
        <f t="shared" si="24"/>
        <v>0</v>
      </c>
      <c r="AQ155">
        <f t="shared" si="24"/>
        <v>0</v>
      </c>
      <c r="AR155">
        <f t="shared" si="24"/>
        <v>0</v>
      </c>
      <c r="AS155">
        <f t="shared" si="24"/>
        <v>0</v>
      </c>
      <c r="AT155">
        <f t="shared" si="24"/>
        <v>0</v>
      </c>
      <c r="AU155">
        <f t="shared" si="24"/>
        <v>0</v>
      </c>
      <c r="AV155">
        <f t="shared" si="24"/>
        <v>0</v>
      </c>
      <c r="AW155">
        <f t="shared" si="24"/>
        <v>0</v>
      </c>
      <c r="AX155">
        <f t="shared" si="24"/>
        <v>0</v>
      </c>
      <c r="AY155">
        <f t="shared" si="24"/>
        <v>0</v>
      </c>
      <c r="AZ155">
        <f t="shared" si="24"/>
        <v>0</v>
      </c>
      <c r="BA155">
        <f t="shared" si="24"/>
        <v>21.680575539568345</v>
      </c>
      <c r="BB155">
        <f t="shared" si="24"/>
        <v>0</v>
      </c>
      <c r="BC155">
        <f t="shared" si="24"/>
        <v>0</v>
      </c>
      <c r="BD155">
        <f t="shared" si="24"/>
        <v>0</v>
      </c>
      <c r="BE155">
        <f t="shared" si="24"/>
        <v>0</v>
      </c>
      <c r="BF155">
        <f t="shared" si="24"/>
        <v>0</v>
      </c>
      <c r="BG155">
        <f t="shared" si="17"/>
        <v>65.193965517241381</v>
      </c>
      <c r="BH155">
        <f t="shared" ref="BH155:DS155" si="25">IFERROR(BH154*(BH256/BH259),0)</f>
        <v>9.170454545454545</v>
      </c>
      <c r="BI155">
        <f t="shared" si="25"/>
        <v>17.585616438356162</v>
      </c>
      <c r="BJ155">
        <f t="shared" si="25"/>
        <v>8.3448275862068968</v>
      </c>
      <c r="BK155">
        <f t="shared" si="25"/>
        <v>3.6296296296296293</v>
      </c>
      <c r="BL155">
        <f t="shared" si="25"/>
        <v>5.5815789473684205</v>
      </c>
      <c r="BM155">
        <f t="shared" si="25"/>
        <v>11.46551724137931</v>
      </c>
      <c r="BN155">
        <f t="shared" si="25"/>
        <v>7.1145161290322578</v>
      </c>
      <c r="BO155">
        <f t="shared" si="25"/>
        <v>8.1147540983606561</v>
      </c>
      <c r="BP155">
        <f t="shared" si="25"/>
        <v>3.4588235294117649</v>
      </c>
      <c r="BQ155">
        <f t="shared" si="25"/>
        <v>12.368421052631579</v>
      </c>
      <c r="BR155">
        <f t="shared" si="25"/>
        <v>37.056000000000004</v>
      </c>
      <c r="BS155">
        <f t="shared" si="25"/>
        <v>6.611538461538462</v>
      </c>
      <c r="BT155">
        <f t="shared" si="25"/>
        <v>128.246110056926</v>
      </c>
      <c r="BU155">
        <f t="shared" si="25"/>
        <v>12.565217391304348</v>
      </c>
      <c r="BV155">
        <f t="shared" si="25"/>
        <v>26.087821043910523</v>
      </c>
      <c r="BW155">
        <f t="shared" si="25"/>
        <v>62.187096774193549</v>
      </c>
      <c r="BX155">
        <f t="shared" si="25"/>
        <v>12.126661454261141</v>
      </c>
      <c r="BY155">
        <f t="shared" si="25"/>
        <v>9.1779041429731922</v>
      </c>
      <c r="BZ155">
        <f t="shared" si="25"/>
        <v>11.914893617021276</v>
      </c>
      <c r="CA155">
        <f t="shared" si="25"/>
        <v>133.31492148662511</v>
      </c>
      <c r="CB155">
        <f t="shared" si="25"/>
        <v>0</v>
      </c>
      <c r="CC155">
        <f t="shared" si="25"/>
        <v>0</v>
      </c>
      <c r="CD155">
        <f t="shared" si="25"/>
        <v>0</v>
      </c>
      <c r="CE155">
        <f t="shared" si="25"/>
        <v>0.17883829538820781</v>
      </c>
      <c r="CF155">
        <f t="shared" si="25"/>
        <v>0</v>
      </c>
      <c r="CG155">
        <f t="shared" si="25"/>
        <v>0</v>
      </c>
      <c r="CH155">
        <f t="shared" si="25"/>
        <v>0</v>
      </c>
      <c r="CI155">
        <f t="shared" si="25"/>
        <v>0</v>
      </c>
      <c r="CJ155">
        <f t="shared" si="25"/>
        <v>0</v>
      </c>
      <c r="CK155">
        <f t="shared" si="25"/>
        <v>0</v>
      </c>
      <c r="CL155">
        <f t="shared" si="25"/>
        <v>0</v>
      </c>
      <c r="CM155">
        <f t="shared" si="25"/>
        <v>0</v>
      </c>
      <c r="CN155">
        <f t="shared" si="25"/>
        <v>87.202523659305996</v>
      </c>
      <c r="CO155">
        <f t="shared" si="25"/>
        <v>0</v>
      </c>
      <c r="CP155">
        <f t="shared" si="25"/>
        <v>34.52184179456907</v>
      </c>
      <c r="CQ155">
        <f t="shared" si="25"/>
        <v>1.8974358974358974</v>
      </c>
      <c r="CR155">
        <f t="shared" si="25"/>
        <v>0</v>
      </c>
      <c r="CS155">
        <f t="shared" si="25"/>
        <v>0</v>
      </c>
      <c r="CT155">
        <f t="shared" si="25"/>
        <v>127.10234278668311</v>
      </c>
      <c r="CU155">
        <f t="shared" si="25"/>
        <v>0</v>
      </c>
      <c r="CV155">
        <f t="shared" si="25"/>
        <v>0</v>
      </c>
      <c r="CW155">
        <f t="shared" si="25"/>
        <v>3.3170731707317076</v>
      </c>
      <c r="CX155">
        <f t="shared" si="25"/>
        <v>0</v>
      </c>
      <c r="CY155">
        <f t="shared" si="25"/>
        <v>1130.1435378201311</v>
      </c>
      <c r="CZ155">
        <f t="shared" si="25"/>
        <v>2.657142857142857</v>
      </c>
      <c r="DA155">
        <f t="shared" si="25"/>
        <v>0</v>
      </c>
      <c r="DB155">
        <f t="shared" si="25"/>
        <v>0</v>
      </c>
      <c r="DC155">
        <f t="shared" si="25"/>
        <v>1137.4454971642135</v>
      </c>
      <c r="DD155">
        <f t="shared" si="25"/>
        <v>0</v>
      </c>
      <c r="DE155">
        <f t="shared" si="25"/>
        <v>0</v>
      </c>
      <c r="DF155">
        <f t="shared" si="25"/>
        <v>0.17883829538820781</v>
      </c>
      <c r="DG155">
        <f t="shared" si="25"/>
        <v>0</v>
      </c>
      <c r="DH155">
        <f t="shared" si="25"/>
        <v>0</v>
      </c>
      <c r="DI155">
        <f t="shared" si="25"/>
        <v>0</v>
      </c>
      <c r="DJ155">
        <f t="shared" si="25"/>
        <v>0</v>
      </c>
      <c r="DK155">
        <f t="shared" si="25"/>
        <v>0</v>
      </c>
      <c r="DL155">
        <f t="shared" si="25"/>
        <v>0</v>
      </c>
      <c r="DM155">
        <f t="shared" si="25"/>
        <v>0</v>
      </c>
      <c r="DN155">
        <f t="shared" si="25"/>
        <v>0</v>
      </c>
      <c r="DO155">
        <f t="shared" si="25"/>
        <v>0</v>
      </c>
      <c r="DP155">
        <f t="shared" si="25"/>
        <v>0</v>
      </c>
      <c r="DQ155">
        <f t="shared" si="25"/>
        <v>0</v>
      </c>
      <c r="DR155">
        <f t="shared" si="25"/>
        <v>0</v>
      </c>
      <c r="DS155">
        <f t="shared" si="25"/>
        <v>0.1797732118627641</v>
      </c>
      <c r="DT155">
        <f t="shared" ref="DT155:EK155" si="26">IFERROR(DT154*(DT256/DT259),0)</f>
        <v>1492.8046171673054</v>
      </c>
      <c r="DU155">
        <f t="shared" si="26"/>
        <v>0</v>
      </c>
      <c r="DV155">
        <f t="shared" si="26"/>
        <v>0</v>
      </c>
      <c r="DW155">
        <f t="shared" si="26"/>
        <v>0</v>
      </c>
      <c r="DX155">
        <f t="shared" si="26"/>
        <v>0</v>
      </c>
      <c r="DY155">
        <f t="shared" si="26"/>
        <v>0</v>
      </c>
      <c r="DZ155">
        <f t="shared" si="26"/>
        <v>0</v>
      </c>
      <c r="EA155">
        <f t="shared" si="26"/>
        <v>0</v>
      </c>
      <c r="EB155">
        <f t="shared" si="26"/>
        <v>0</v>
      </c>
      <c r="EC155">
        <f t="shared" si="26"/>
        <v>0</v>
      </c>
      <c r="ED155">
        <f t="shared" si="26"/>
        <v>0</v>
      </c>
      <c r="EE155">
        <f t="shared" si="26"/>
        <v>304.83723076923076</v>
      </c>
      <c r="EF155">
        <f t="shared" si="26"/>
        <v>0</v>
      </c>
      <c r="EG155">
        <f t="shared" si="26"/>
        <v>0</v>
      </c>
      <c r="EH155">
        <f t="shared" si="26"/>
        <v>0.92307692307692291</v>
      </c>
      <c r="EI155">
        <f t="shared" si="26"/>
        <v>0.34615384615384615</v>
      </c>
      <c r="EJ155">
        <f t="shared" si="26"/>
        <v>1.2847169811320756</v>
      </c>
      <c r="EK155">
        <f t="shared" si="26"/>
        <v>0.2609442060085837</v>
      </c>
    </row>
    <row r="156" spans="1:141" x14ac:dyDescent="0.25">
      <c r="A156" t="str">
        <f>[1]ingredient!B155</f>
        <v>Haselnussmus</v>
      </c>
      <c r="B156" t="s">
        <v>263</v>
      </c>
      <c r="C156" s="7">
        <f>_xlfn.XLOOKUP(A156,[1]ingredient!$B$2:$B$521,[1]ingredient!$A$2:$A$521)</f>
        <v>154</v>
      </c>
      <c r="D156">
        <v>665</v>
      </c>
      <c r="E156">
        <v>65</v>
      </c>
      <c r="F156">
        <v>17</v>
      </c>
      <c r="G156">
        <v>6</v>
      </c>
      <c r="H156">
        <v>6</v>
      </c>
      <c r="I156">
        <v>6</v>
      </c>
      <c r="J156">
        <v>0.03</v>
      </c>
      <c r="K156">
        <v>4</v>
      </c>
      <c r="L156">
        <v>3</v>
      </c>
      <c r="M156">
        <v>2</v>
      </c>
      <c r="N156">
        <v>0</v>
      </c>
      <c r="O156">
        <v>18</v>
      </c>
      <c r="P156">
        <v>236</v>
      </c>
      <c r="Q156">
        <v>108</v>
      </c>
      <c r="R156">
        <v>1018</v>
      </c>
      <c r="S156">
        <v>4601</v>
      </c>
      <c r="T156">
        <v>0</v>
      </c>
      <c r="U156">
        <v>406</v>
      </c>
      <c r="V156">
        <v>32</v>
      </c>
      <c r="W156">
        <v>46</v>
      </c>
      <c r="X156">
        <v>0</v>
      </c>
      <c r="Y156">
        <v>0</v>
      </c>
      <c r="Z156">
        <v>0</v>
      </c>
      <c r="AA156">
        <v>22600</v>
      </c>
      <c r="AB156">
        <v>11</v>
      </c>
      <c r="AC156">
        <v>0</v>
      </c>
      <c r="AD156">
        <v>763</v>
      </c>
      <c r="AE156">
        <v>153</v>
      </c>
      <c r="AF156">
        <v>167</v>
      </c>
      <c r="AG156">
        <v>295</v>
      </c>
      <c r="AH156">
        <v>164</v>
      </c>
      <c r="AI156">
        <v>28</v>
      </c>
      <c r="AJ156">
        <v>3513</v>
      </c>
      <c r="AK156">
        <v>2130</v>
      </c>
      <c r="AL156">
        <v>1639</v>
      </c>
      <c r="AM156">
        <v>3543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6114</v>
      </c>
      <c r="AY156">
        <v>0</v>
      </c>
      <c r="AZ156">
        <v>0</v>
      </c>
      <c r="BA156">
        <v>6114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f t="shared" si="17"/>
        <v>59.191176470588239</v>
      </c>
      <c r="BH156">
        <v>590</v>
      </c>
      <c r="BI156">
        <v>1126</v>
      </c>
      <c r="BJ156">
        <v>483</v>
      </c>
      <c r="BK156">
        <v>215</v>
      </c>
      <c r="BL156">
        <v>332</v>
      </c>
      <c r="BM156">
        <v>729</v>
      </c>
      <c r="BN156">
        <v>440</v>
      </c>
      <c r="BO156">
        <v>494</v>
      </c>
      <c r="BP156">
        <v>215</v>
      </c>
      <c r="BQ156">
        <v>772</v>
      </c>
      <c r="BR156">
        <v>2328</v>
      </c>
      <c r="BS156">
        <v>418</v>
      </c>
      <c r="BT156">
        <v>8142</v>
      </c>
      <c r="BU156">
        <v>784</v>
      </c>
      <c r="BV156">
        <v>1685</v>
      </c>
      <c r="BW156">
        <v>3938</v>
      </c>
      <c r="BX156">
        <v>772</v>
      </c>
      <c r="BY156">
        <v>590</v>
      </c>
      <c r="BZ156">
        <v>729</v>
      </c>
      <c r="CA156">
        <v>8498</v>
      </c>
      <c r="CB156">
        <v>0</v>
      </c>
      <c r="CC156">
        <v>0</v>
      </c>
      <c r="CD156">
        <v>59</v>
      </c>
      <c r="CE156">
        <v>6522</v>
      </c>
      <c r="CF156">
        <v>110.54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26</v>
      </c>
      <c r="CM156">
        <v>6</v>
      </c>
      <c r="CN156">
        <v>3772</v>
      </c>
      <c r="CO156">
        <v>26</v>
      </c>
      <c r="CP156">
        <v>1556</v>
      </c>
      <c r="CQ156">
        <v>79</v>
      </c>
      <c r="CR156">
        <v>13</v>
      </c>
      <c r="CS156">
        <v>6</v>
      </c>
      <c r="CT156">
        <v>5484</v>
      </c>
      <c r="CU156">
        <v>0</v>
      </c>
      <c r="CV156">
        <v>0</v>
      </c>
      <c r="CW156">
        <v>144</v>
      </c>
      <c r="CX156">
        <v>53</v>
      </c>
      <c r="CY156">
        <v>52463</v>
      </c>
      <c r="CZ156">
        <v>99</v>
      </c>
      <c r="DA156">
        <v>0</v>
      </c>
      <c r="DB156">
        <v>0</v>
      </c>
      <c r="DC156">
        <v>52759</v>
      </c>
      <c r="DD156">
        <v>0</v>
      </c>
      <c r="DE156">
        <v>0</v>
      </c>
      <c r="DF156">
        <v>6522</v>
      </c>
      <c r="DG156">
        <v>59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6581</v>
      </c>
      <c r="DT156">
        <v>64824</v>
      </c>
      <c r="DU156">
        <v>1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5520</v>
      </c>
      <c r="EF156">
        <v>0</v>
      </c>
      <c r="EG156">
        <v>0</v>
      </c>
      <c r="EH156">
        <v>2.5</v>
      </c>
      <c r="EI156">
        <v>5.5</v>
      </c>
      <c r="EJ156">
        <v>64.8</v>
      </c>
      <c r="EK156">
        <v>16.600000000000001</v>
      </c>
    </row>
    <row r="157" spans="1:141" x14ac:dyDescent="0.25">
      <c r="A157" t="str">
        <f>[1]ingredient!B156</f>
        <v>Hefe</v>
      </c>
      <c r="B157" t="s">
        <v>264</v>
      </c>
      <c r="C157" s="7">
        <f>_xlfn.XLOOKUP(A157,[1]ingredient!$B$2:$B$521,[1]ingredient!$A$2:$A$521)</f>
        <v>155</v>
      </c>
      <c r="D157">
        <v>83</v>
      </c>
      <c r="E157">
        <v>1</v>
      </c>
      <c r="F157">
        <v>17</v>
      </c>
      <c r="G157">
        <v>1</v>
      </c>
      <c r="H157">
        <v>7</v>
      </c>
      <c r="I157">
        <v>0.13</v>
      </c>
      <c r="J157">
        <v>0.12</v>
      </c>
      <c r="K157">
        <v>72</v>
      </c>
      <c r="L157">
        <v>0</v>
      </c>
      <c r="M157">
        <v>0</v>
      </c>
      <c r="N157">
        <v>0</v>
      </c>
      <c r="O157">
        <v>0</v>
      </c>
      <c r="P157">
        <v>1000</v>
      </c>
      <c r="Q157">
        <v>2000</v>
      </c>
      <c r="R157">
        <v>13000</v>
      </c>
      <c r="S157">
        <v>16067</v>
      </c>
      <c r="T157">
        <v>3500</v>
      </c>
      <c r="U157">
        <v>700</v>
      </c>
      <c r="V157">
        <v>60</v>
      </c>
      <c r="W157">
        <v>1200</v>
      </c>
      <c r="X157">
        <v>0</v>
      </c>
      <c r="Y157">
        <v>0</v>
      </c>
      <c r="Z157">
        <v>0</v>
      </c>
      <c r="AA157">
        <v>100</v>
      </c>
      <c r="AB157">
        <v>0</v>
      </c>
      <c r="AC157">
        <v>20</v>
      </c>
      <c r="AD157">
        <v>630</v>
      </c>
      <c r="AE157">
        <v>25</v>
      </c>
      <c r="AF157">
        <v>60</v>
      </c>
      <c r="AG157">
        <v>500</v>
      </c>
      <c r="AH157">
        <v>80</v>
      </c>
      <c r="AI157">
        <v>100</v>
      </c>
      <c r="AJ157">
        <v>5000</v>
      </c>
      <c r="AK157">
        <v>2600</v>
      </c>
      <c r="AL157">
        <v>1600</v>
      </c>
      <c r="AM157">
        <v>150</v>
      </c>
      <c r="AN157">
        <v>55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55</v>
      </c>
      <c r="AU157">
        <v>55</v>
      </c>
      <c r="AV157">
        <v>0</v>
      </c>
      <c r="AW157">
        <v>110</v>
      </c>
      <c r="AX157">
        <v>22</v>
      </c>
      <c r="AY157">
        <v>0</v>
      </c>
      <c r="AZ157">
        <v>0</v>
      </c>
      <c r="BA157">
        <v>22</v>
      </c>
      <c r="BB157">
        <v>0</v>
      </c>
      <c r="BC157">
        <v>0</v>
      </c>
      <c r="BD157">
        <v>0</v>
      </c>
      <c r="BE157">
        <v>968</v>
      </c>
      <c r="BF157">
        <v>968</v>
      </c>
      <c r="BG157">
        <f t="shared" si="17"/>
        <v>115.91128254580521</v>
      </c>
      <c r="BH157">
        <v>835</v>
      </c>
      <c r="BI157">
        <v>1202</v>
      </c>
      <c r="BJ157">
        <v>1234</v>
      </c>
      <c r="BK157">
        <v>301</v>
      </c>
      <c r="BL157">
        <v>167</v>
      </c>
      <c r="BM157">
        <v>735</v>
      </c>
      <c r="BN157">
        <v>601</v>
      </c>
      <c r="BO157">
        <v>835</v>
      </c>
      <c r="BP157">
        <v>184</v>
      </c>
      <c r="BQ157">
        <v>969</v>
      </c>
      <c r="BR157">
        <v>802</v>
      </c>
      <c r="BS157">
        <v>434</v>
      </c>
      <c r="BT157">
        <v>8299</v>
      </c>
      <c r="BU157">
        <v>1069</v>
      </c>
      <c r="BV157">
        <v>1670</v>
      </c>
      <c r="BW157">
        <v>1804</v>
      </c>
      <c r="BX157">
        <v>768</v>
      </c>
      <c r="BY157">
        <v>685</v>
      </c>
      <c r="BZ157">
        <v>902</v>
      </c>
      <c r="CA157">
        <v>6898</v>
      </c>
      <c r="CB157">
        <v>680</v>
      </c>
      <c r="CC157">
        <v>283</v>
      </c>
      <c r="CD157">
        <v>3</v>
      </c>
      <c r="CE157">
        <v>600</v>
      </c>
      <c r="CF157">
        <v>200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0</v>
      </c>
      <c r="CN157">
        <v>69</v>
      </c>
      <c r="CO157">
        <v>0</v>
      </c>
      <c r="CP157">
        <v>75</v>
      </c>
      <c r="CQ157">
        <v>7</v>
      </c>
      <c r="CR157">
        <v>8</v>
      </c>
      <c r="CS157">
        <v>2</v>
      </c>
      <c r="CT157">
        <v>162</v>
      </c>
      <c r="CU157">
        <v>0</v>
      </c>
      <c r="CV157">
        <v>0</v>
      </c>
      <c r="CW157">
        <v>1</v>
      </c>
      <c r="CX157">
        <v>0</v>
      </c>
      <c r="CY157">
        <v>379</v>
      </c>
      <c r="CZ157">
        <v>2</v>
      </c>
      <c r="DA157">
        <v>0</v>
      </c>
      <c r="DB157">
        <v>0</v>
      </c>
      <c r="DC157">
        <v>382</v>
      </c>
      <c r="DD157">
        <v>0</v>
      </c>
      <c r="DE157">
        <v>0</v>
      </c>
      <c r="DF157">
        <v>600</v>
      </c>
      <c r="DG157">
        <v>3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603</v>
      </c>
      <c r="DT157">
        <v>1147</v>
      </c>
      <c r="DU157">
        <v>53</v>
      </c>
      <c r="DV157">
        <v>0</v>
      </c>
      <c r="DW157">
        <v>0</v>
      </c>
      <c r="DX157">
        <v>0</v>
      </c>
      <c r="DY157">
        <v>2208</v>
      </c>
      <c r="DZ157">
        <v>2898</v>
      </c>
      <c r="EA157">
        <v>690</v>
      </c>
      <c r="EB157">
        <v>759</v>
      </c>
      <c r="EC157">
        <v>345</v>
      </c>
      <c r="ED157">
        <v>3450</v>
      </c>
      <c r="EE157">
        <v>3450</v>
      </c>
      <c r="EF157">
        <v>0</v>
      </c>
      <c r="EG157">
        <v>0</v>
      </c>
      <c r="EH157">
        <v>2.1</v>
      </c>
      <c r="EI157">
        <v>3.5</v>
      </c>
      <c r="EJ157">
        <v>1.2</v>
      </c>
      <c r="EK157">
        <v>17.399999999999999</v>
      </c>
    </row>
    <row r="158" spans="1:141" x14ac:dyDescent="0.25">
      <c r="A158" t="str">
        <f>[1]ingredient!B157</f>
        <v>Hefeflocken</v>
      </c>
      <c r="B158" t="s">
        <v>265</v>
      </c>
      <c r="C158" s="7">
        <f>_xlfn.XLOOKUP(A158,[1]ingredient!$B$2:$B$521,[1]ingredient!$A$2:$A$521)</f>
        <v>156</v>
      </c>
      <c r="D158">
        <v>361</v>
      </c>
      <c r="E158">
        <v>5</v>
      </c>
      <c r="F158">
        <v>43</v>
      </c>
      <c r="G158">
        <v>34</v>
      </c>
      <c r="H158">
        <v>6</v>
      </c>
      <c r="I158">
        <v>4</v>
      </c>
      <c r="J158">
        <v>0.41</v>
      </c>
      <c r="K158">
        <v>4</v>
      </c>
      <c r="L158">
        <v>2</v>
      </c>
      <c r="M158">
        <v>1</v>
      </c>
      <c r="N158">
        <v>0</v>
      </c>
      <c r="O158">
        <v>12</v>
      </c>
      <c r="P158">
        <v>7400</v>
      </c>
      <c r="Q158">
        <v>2600</v>
      </c>
      <c r="R158">
        <v>26000</v>
      </c>
      <c r="S158">
        <v>33950</v>
      </c>
      <c r="T158">
        <v>5000</v>
      </c>
      <c r="U158">
        <v>2500</v>
      </c>
      <c r="V158">
        <v>24</v>
      </c>
      <c r="W158">
        <v>80</v>
      </c>
      <c r="X158">
        <v>0</v>
      </c>
      <c r="Y158">
        <v>0</v>
      </c>
      <c r="Z158">
        <v>0</v>
      </c>
      <c r="AA158">
        <v>3600</v>
      </c>
      <c r="AB158">
        <v>0</v>
      </c>
      <c r="AC158">
        <v>90</v>
      </c>
      <c r="AD158">
        <v>1600</v>
      </c>
      <c r="AE158">
        <v>200</v>
      </c>
      <c r="AF158">
        <v>230</v>
      </c>
      <c r="AG158">
        <v>1500</v>
      </c>
      <c r="AH158">
        <v>320</v>
      </c>
      <c r="AI158">
        <v>320</v>
      </c>
      <c r="AJ158">
        <v>16000</v>
      </c>
      <c r="AK158">
        <v>7400</v>
      </c>
      <c r="AL158">
        <v>3200</v>
      </c>
      <c r="AM158">
        <v>1200</v>
      </c>
      <c r="AN158">
        <v>180</v>
      </c>
      <c r="AO158">
        <v>3</v>
      </c>
      <c r="AP158">
        <v>0</v>
      </c>
      <c r="AQ158">
        <v>0</v>
      </c>
      <c r="AR158">
        <v>0</v>
      </c>
      <c r="AS158">
        <v>0</v>
      </c>
      <c r="AT158">
        <v>1710</v>
      </c>
      <c r="AU158">
        <v>1710</v>
      </c>
      <c r="AV158">
        <v>0</v>
      </c>
      <c r="AW158">
        <v>3420</v>
      </c>
      <c r="AX158">
        <v>684</v>
      </c>
      <c r="AY158">
        <v>0</v>
      </c>
      <c r="AZ158">
        <v>0</v>
      </c>
      <c r="BA158">
        <v>684</v>
      </c>
      <c r="BB158">
        <v>0</v>
      </c>
      <c r="BC158">
        <v>0</v>
      </c>
      <c r="BD158">
        <v>0</v>
      </c>
      <c r="BE158">
        <v>30096</v>
      </c>
      <c r="BF158">
        <v>30096</v>
      </c>
      <c r="BG158">
        <f t="shared" si="17"/>
        <v>119.13839115516585</v>
      </c>
      <c r="BH158">
        <v>2170</v>
      </c>
      <c r="BI158">
        <v>3125</v>
      </c>
      <c r="BJ158">
        <v>3213</v>
      </c>
      <c r="BK158">
        <v>781</v>
      </c>
      <c r="BL158">
        <v>434</v>
      </c>
      <c r="BM158">
        <v>1910</v>
      </c>
      <c r="BN158">
        <v>1562</v>
      </c>
      <c r="BO158">
        <v>2170</v>
      </c>
      <c r="BP158">
        <v>477</v>
      </c>
      <c r="BQ158">
        <v>2517</v>
      </c>
      <c r="BR158">
        <v>2083</v>
      </c>
      <c r="BS158">
        <v>1128</v>
      </c>
      <c r="BT158">
        <v>21570</v>
      </c>
      <c r="BU158">
        <v>2778</v>
      </c>
      <c r="BV158">
        <v>4340</v>
      </c>
      <c r="BW158">
        <v>4687</v>
      </c>
      <c r="BX158">
        <v>1996</v>
      </c>
      <c r="BY158">
        <v>1779</v>
      </c>
      <c r="BZ158">
        <v>2344</v>
      </c>
      <c r="CA158">
        <v>17924</v>
      </c>
      <c r="CB158">
        <v>1794</v>
      </c>
      <c r="CC158">
        <v>748</v>
      </c>
      <c r="CD158">
        <v>15</v>
      </c>
      <c r="CE158">
        <v>2600</v>
      </c>
      <c r="CF158">
        <v>173.33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5</v>
      </c>
      <c r="CM158">
        <v>0</v>
      </c>
      <c r="CN158">
        <v>298</v>
      </c>
      <c r="CO158">
        <v>0</v>
      </c>
      <c r="CP158">
        <v>323</v>
      </c>
      <c r="CQ158">
        <v>30</v>
      </c>
      <c r="CR158">
        <v>35</v>
      </c>
      <c r="CS158">
        <v>10</v>
      </c>
      <c r="CT158">
        <v>701</v>
      </c>
      <c r="CU158">
        <v>0</v>
      </c>
      <c r="CV158">
        <v>0</v>
      </c>
      <c r="CW158">
        <v>5</v>
      </c>
      <c r="CX158">
        <v>0</v>
      </c>
      <c r="CY158">
        <v>1640</v>
      </c>
      <c r="CZ158">
        <v>10</v>
      </c>
      <c r="DA158">
        <v>0</v>
      </c>
      <c r="DB158">
        <v>0</v>
      </c>
      <c r="DC158">
        <v>1655</v>
      </c>
      <c r="DD158">
        <v>0</v>
      </c>
      <c r="DE158">
        <v>0</v>
      </c>
      <c r="DF158">
        <v>2600</v>
      </c>
      <c r="DG158">
        <v>15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2615</v>
      </c>
      <c r="DT158">
        <v>4971</v>
      </c>
      <c r="DU158">
        <v>229</v>
      </c>
      <c r="DV158">
        <v>0</v>
      </c>
      <c r="DW158">
        <v>0</v>
      </c>
      <c r="DX158">
        <v>0</v>
      </c>
      <c r="DY158">
        <v>2048</v>
      </c>
      <c r="DZ158">
        <v>2688</v>
      </c>
      <c r="EA158">
        <v>640</v>
      </c>
      <c r="EB158">
        <v>704</v>
      </c>
      <c r="EC158">
        <v>320</v>
      </c>
      <c r="ED158">
        <v>3200</v>
      </c>
      <c r="EE158">
        <v>3200</v>
      </c>
      <c r="EF158">
        <v>0</v>
      </c>
      <c r="EG158">
        <v>0</v>
      </c>
      <c r="EH158">
        <v>6.4</v>
      </c>
      <c r="EI158">
        <v>3.2</v>
      </c>
      <c r="EJ158">
        <v>5.2</v>
      </c>
      <c r="EK158">
        <v>45.4</v>
      </c>
    </row>
    <row r="159" spans="1:141" x14ac:dyDescent="0.25">
      <c r="A159" t="str">
        <f>[1]ingredient!B158</f>
        <v>Heidelbeeren</v>
      </c>
      <c r="B159" t="s">
        <v>266</v>
      </c>
      <c r="C159" s="7">
        <f>_xlfn.XLOOKUP(A159,[1]ingredient!$B$2:$B$521,[1]ingredient!$A$2:$A$521)</f>
        <v>157</v>
      </c>
      <c r="D159">
        <v>42</v>
      </c>
      <c r="E159">
        <v>1</v>
      </c>
      <c r="F159">
        <v>1</v>
      </c>
      <c r="G159">
        <v>7</v>
      </c>
      <c r="H159">
        <v>5</v>
      </c>
      <c r="I159">
        <v>7</v>
      </c>
      <c r="J159">
        <v>0.01</v>
      </c>
      <c r="K159">
        <v>85</v>
      </c>
      <c r="L159">
        <v>6</v>
      </c>
      <c r="M159">
        <v>3</v>
      </c>
      <c r="N159">
        <v>0</v>
      </c>
      <c r="O159">
        <v>34</v>
      </c>
      <c r="P159">
        <v>20</v>
      </c>
      <c r="Q159">
        <v>20</v>
      </c>
      <c r="R159">
        <v>400</v>
      </c>
      <c r="S159">
        <v>433</v>
      </c>
      <c r="T159">
        <v>160</v>
      </c>
      <c r="U159">
        <v>60</v>
      </c>
      <c r="V159">
        <v>1</v>
      </c>
      <c r="W159">
        <v>6</v>
      </c>
      <c r="X159">
        <v>0</v>
      </c>
      <c r="Y159">
        <v>30000</v>
      </c>
      <c r="Z159">
        <v>0</v>
      </c>
      <c r="AA159">
        <v>2069</v>
      </c>
      <c r="AB159">
        <v>10</v>
      </c>
      <c r="AC159">
        <v>1</v>
      </c>
      <c r="AD159">
        <v>73</v>
      </c>
      <c r="AE159">
        <v>13</v>
      </c>
      <c r="AF159">
        <v>2</v>
      </c>
      <c r="AG159">
        <v>13</v>
      </c>
      <c r="AH159">
        <v>13</v>
      </c>
      <c r="AI159">
        <v>5</v>
      </c>
      <c r="AJ159">
        <v>740</v>
      </c>
      <c r="AK159">
        <v>108</v>
      </c>
      <c r="AL159">
        <v>97</v>
      </c>
      <c r="AM159">
        <v>840</v>
      </c>
      <c r="AN159">
        <v>2</v>
      </c>
      <c r="AO159">
        <v>1</v>
      </c>
      <c r="AP159">
        <v>0</v>
      </c>
      <c r="AQ159">
        <v>7</v>
      </c>
      <c r="AR159">
        <v>7</v>
      </c>
      <c r="AS159">
        <v>14</v>
      </c>
      <c r="AT159">
        <v>2997</v>
      </c>
      <c r="AU159">
        <v>4070</v>
      </c>
      <c r="AV159">
        <v>0</v>
      </c>
      <c r="AW159">
        <v>7097</v>
      </c>
      <c r="AX159">
        <v>289</v>
      </c>
      <c r="AY159">
        <v>0</v>
      </c>
      <c r="AZ159">
        <v>0</v>
      </c>
      <c r="BA159">
        <v>289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f t="shared" si="17"/>
        <v>22.916666666666664</v>
      </c>
      <c r="BH159">
        <v>19</v>
      </c>
      <c r="BI159">
        <v>36</v>
      </c>
      <c r="BJ159">
        <v>11</v>
      </c>
      <c r="BK159">
        <v>10</v>
      </c>
      <c r="BL159">
        <v>6</v>
      </c>
      <c r="BM159">
        <v>22</v>
      </c>
      <c r="BN159">
        <v>7</v>
      </c>
      <c r="BO159">
        <v>16</v>
      </c>
      <c r="BP159">
        <v>2</v>
      </c>
      <c r="BQ159">
        <v>25</v>
      </c>
      <c r="BR159">
        <v>31</v>
      </c>
      <c r="BS159">
        <v>9</v>
      </c>
      <c r="BT159">
        <v>194</v>
      </c>
      <c r="BU159">
        <v>25</v>
      </c>
      <c r="BV159">
        <v>47</v>
      </c>
      <c r="BW159">
        <v>74</v>
      </c>
      <c r="BX159">
        <v>25</v>
      </c>
      <c r="BY159">
        <v>22</v>
      </c>
      <c r="BZ159">
        <v>18</v>
      </c>
      <c r="CA159">
        <v>211</v>
      </c>
      <c r="CB159">
        <v>20</v>
      </c>
      <c r="CC159">
        <v>8</v>
      </c>
      <c r="CD159">
        <v>154</v>
      </c>
      <c r="CE159">
        <v>216</v>
      </c>
      <c r="CF159">
        <v>1.4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26</v>
      </c>
      <c r="CO159">
        <v>0</v>
      </c>
      <c r="CP159">
        <v>10</v>
      </c>
      <c r="CQ159">
        <v>0</v>
      </c>
      <c r="CR159">
        <v>0</v>
      </c>
      <c r="CS159">
        <v>0</v>
      </c>
      <c r="CT159">
        <v>36</v>
      </c>
      <c r="CU159">
        <v>0</v>
      </c>
      <c r="CV159">
        <v>0</v>
      </c>
      <c r="CW159">
        <v>2</v>
      </c>
      <c r="CX159">
        <v>0</v>
      </c>
      <c r="CY159">
        <v>72</v>
      </c>
      <c r="CZ159">
        <v>0</v>
      </c>
      <c r="DA159">
        <v>0</v>
      </c>
      <c r="DB159">
        <v>0</v>
      </c>
      <c r="DC159">
        <v>74</v>
      </c>
      <c r="DD159">
        <v>0</v>
      </c>
      <c r="DE159">
        <v>0</v>
      </c>
      <c r="DF159">
        <v>216</v>
      </c>
      <c r="DG159">
        <v>154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370</v>
      </c>
      <c r="DT159">
        <v>480</v>
      </c>
      <c r="DU159">
        <v>120</v>
      </c>
      <c r="DV159">
        <v>0</v>
      </c>
      <c r="DW159">
        <v>0</v>
      </c>
      <c r="DX159">
        <v>0</v>
      </c>
      <c r="DY159">
        <v>980</v>
      </c>
      <c r="DZ159">
        <v>490</v>
      </c>
      <c r="EA159">
        <v>490</v>
      </c>
      <c r="EB159">
        <v>980</v>
      </c>
      <c r="EC159">
        <v>1960</v>
      </c>
      <c r="ED159">
        <v>1401</v>
      </c>
      <c r="EE159">
        <v>3499</v>
      </c>
      <c r="EF159">
        <v>0</v>
      </c>
      <c r="EG159">
        <v>1</v>
      </c>
      <c r="EH159">
        <v>0.3</v>
      </c>
      <c r="EI159">
        <v>3.5</v>
      </c>
      <c r="EJ159">
        <v>0.6</v>
      </c>
      <c r="EK159">
        <v>0.5</v>
      </c>
    </row>
    <row r="160" spans="1:141" x14ac:dyDescent="0.25">
      <c r="A160" t="str">
        <f>[1]ingredient!B159</f>
        <v>Heidelbeeren, gefroren</v>
      </c>
      <c r="B160" t="s">
        <v>267</v>
      </c>
      <c r="C160" s="7">
        <f>_xlfn.XLOOKUP(A160,[1]ingredient!$B$2:$B$521,[1]ingredient!$A$2:$A$521)</f>
        <v>158</v>
      </c>
      <c r="D160">
        <v>44</v>
      </c>
      <c r="E160">
        <v>1</v>
      </c>
      <c r="F160">
        <v>1</v>
      </c>
      <c r="G160">
        <v>8</v>
      </c>
      <c r="H160">
        <v>5</v>
      </c>
      <c r="I160">
        <v>8</v>
      </c>
      <c r="J160">
        <v>0.01</v>
      </c>
      <c r="K160">
        <v>84</v>
      </c>
      <c r="L160">
        <v>6</v>
      </c>
      <c r="M160">
        <v>3</v>
      </c>
      <c r="N160">
        <v>0</v>
      </c>
      <c r="O160">
        <v>32</v>
      </c>
      <c r="P160">
        <v>19</v>
      </c>
      <c r="Q160">
        <v>19</v>
      </c>
      <c r="R160">
        <v>376</v>
      </c>
      <c r="S160">
        <v>409</v>
      </c>
      <c r="T160">
        <v>150</v>
      </c>
      <c r="U160">
        <v>56</v>
      </c>
      <c r="V160">
        <v>1</v>
      </c>
      <c r="W160">
        <v>6</v>
      </c>
      <c r="X160">
        <v>0</v>
      </c>
      <c r="Y160">
        <v>25063</v>
      </c>
      <c r="Z160">
        <v>0</v>
      </c>
      <c r="AA160">
        <v>1945</v>
      </c>
      <c r="AB160">
        <v>9</v>
      </c>
      <c r="AC160">
        <v>1</v>
      </c>
      <c r="AD160">
        <v>76</v>
      </c>
      <c r="AE160">
        <v>14</v>
      </c>
      <c r="AF160">
        <v>2</v>
      </c>
      <c r="AG160">
        <v>14</v>
      </c>
      <c r="AH160">
        <v>14</v>
      </c>
      <c r="AI160">
        <v>5</v>
      </c>
      <c r="AJ160">
        <v>773</v>
      </c>
      <c r="AK160">
        <v>113</v>
      </c>
      <c r="AL160">
        <v>101</v>
      </c>
      <c r="AM160">
        <v>877</v>
      </c>
      <c r="AN160">
        <v>2</v>
      </c>
      <c r="AO160">
        <v>1</v>
      </c>
      <c r="AP160">
        <v>0</v>
      </c>
      <c r="AQ160">
        <v>7</v>
      </c>
      <c r="AR160">
        <v>7</v>
      </c>
      <c r="AS160">
        <v>14</v>
      </c>
      <c r="AT160">
        <v>3130</v>
      </c>
      <c r="AU160">
        <v>4251</v>
      </c>
      <c r="AV160">
        <v>0</v>
      </c>
      <c r="AW160">
        <v>7412</v>
      </c>
      <c r="AX160">
        <v>302</v>
      </c>
      <c r="AY160">
        <v>0</v>
      </c>
      <c r="AZ160">
        <v>0</v>
      </c>
      <c r="BA160">
        <v>302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f t="shared" si="17"/>
        <v>22.916666666666664</v>
      </c>
      <c r="BH160">
        <v>20</v>
      </c>
      <c r="BI160">
        <v>38</v>
      </c>
      <c r="BJ160">
        <v>11</v>
      </c>
      <c r="BK160">
        <v>10</v>
      </c>
      <c r="BL160">
        <v>6</v>
      </c>
      <c r="BM160">
        <v>23</v>
      </c>
      <c r="BN160">
        <v>7</v>
      </c>
      <c r="BO160">
        <v>17</v>
      </c>
      <c r="BP160">
        <v>2</v>
      </c>
      <c r="BQ160">
        <v>26</v>
      </c>
      <c r="BR160">
        <v>32</v>
      </c>
      <c r="BS160">
        <v>9</v>
      </c>
      <c r="BT160">
        <v>201</v>
      </c>
      <c r="BU160">
        <v>26</v>
      </c>
      <c r="BV160">
        <v>49</v>
      </c>
      <c r="BW160">
        <v>79</v>
      </c>
      <c r="BX160">
        <v>26</v>
      </c>
      <c r="BY160">
        <v>23</v>
      </c>
      <c r="BZ160">
        <v>19</v>
      </c>
      <c r="CA160">
        <v>222</v>
      </c>
      <c r="CB160">
        <v>21</v>
      </c>
      <c r="CC160">
        <v>9</v>
      </c>
      <c r="CD160">
        <v>161</v>
      </c>
      <c r="CE160">
        <v>227</v>
      </c>
      <c r="CF160">
        <v>1.41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27</v>
      </c>
      <c r="CO160">
        <v>0</v>
      </c>
      <c r="CP160">
        <v>10</v>
      </c>
      <c r="CQ160">
        <v>0</v>
      </c>
      <c r="CR160">
        <v>0</v>
      </c>
      <c r="CS160">
        <v>0</v>
      </c>
      <c r="CT160">
        <v>37</v>
      </c>
      <c r="CU160">
        <v>0</v>
      </c>
      <c r="CV160">
        <v>0</v>
      </c>
      <c r="CW160">
        <v>2</v>
      </c>
      <c r="CX160">
        <v>0</v>
      </c>
      <c r="CY160">
        <v>75</v>
      </c>
      <c r="CZ160">
        <v>0</v>
      </c>
      <c r="DA160">
        <v>0</v>
      </c>
      <c r="DB160">
        <v>0</v>
      </c>
      <c r="DC160">
        <v>77</v>
      </c>
      <c r="DD160">
        <v>0</v>
      </c>
      <c r="DE160">
        <v>0</v>
      </c>
      <c r="DF160">
        <v>227</v>
      </c>
      <c r="DG160">
        <v>161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388</v>
      </c>
      <c r="DT160">
        <v>502</v>
      </c>
      <c r="DU160">
        <v>125</v>
      </c>
      <c r="DV160">
        <v>0</v>
      </c>
      <c r="DW160">
        <v>0</v>
      </c>
      <c r="DX160">
        <v>0</v>
      </c>
      <c r="DY160">
        <v>1023</v>
      </c>
      <c r="DZ160">
        <v>512</v>
      </c>
      <c r="EA160">
        <v>512</v>
      </c>
      <c r="EB160">
        <v>1023</v>
      </c>
      <c r="EC160">
        <v>2047</v>
      </c>
      <c r="ED160">
        <v>1463</v>
      </c>
      <c r="EE160">
        <v>3654</v>
      </c>
      <c r="EF160">
        <v>0</v>
      </c>
      <c r="EG160">
        <v>1</v>
      </c>
      <c r="EH160">
        <v>0.3</v>
      </c>
      <c r="EI160">
        <v>3.7</v>
      </c>
      <c r="EJ160">
        <v>0.6</v>
      </c>
      <c r="EK160">
        <v>0.5</v>
      </c>
    </row>
    <row r="161" spans="1:141" x14ac:dyDescent="0.25">
      <c r="A161" t="str">
        <f>[1]ingredient!B160</f>
        <v>Himbeeren</v>
      </c>
      <c r="B161" t="s">
        <v>268</v>
      </c>
      <c r="C161" s="7">
        <f>_xlfn.XLOOKUP(A161,[1]ingredient!$B$2:$B$521,[1]ingredient!$A$2:$A$521)</f>
        <v>159</v>
      </c>
      <c r="D161">
        <v>34</v>
      </c>
      <c r="E161">
        <v>0.3</v>
      </c>
      <c r="F161">
        <v>1</v>
      </c>
      <c r="G161">
        <v>5</v>
      </c>
      <c r="H161">
        <v>5</v>
      </c>
      <c r="I161">
        <v>5</v>
      </c>
      <c r="J161">
        <v>0.02</v>
      </c>
      <c r="K161">
        <v>86</v>
      </c>
      <c r="L161">
        <v>3</v>
      </c>
      <c r="M161">
        <v>1</v>
      </c>
      <c r="N161">
        <v>0</v>
      </c>
      <c r="O161">
        <v>16</v>
      </c>
      <c r="P161">
        <v>23</v>
      </c>
      <c r="Q161">
        <v>50</v>
      </c>
      <c r="R161">
        <v>300</v>
      </c>
      <c r="S161">
        <v>567</v>
      </c>
      <c r="T161">
        <v>300</v>
      </c>
      <c r="U161">
        <v>75</v>
      </c>
      <c r="V161">
        <v>2</v>
      </c>
      <c r="W161">
        <v>30</v>
      </c>
      <c r="X161">
        <v>0</v>
      </c>
      <c r="Y161">
        <v>25000</v>
      </c>
      <c r="Z161">
        <v>0</v>
      </c>
      <c r="AA161">
        <v>687</v>
      </c>
      <c r="AB161">
        <v>10</v>
      </c>
      <c r="AC161">
        <v>1</v>
      </c>
      <c r="AD161">
        <v>200</v>
      </c>
      <c r="AE161">
        <v>40</v>
      </c>
      <c r="AF161">
        <v>30</v>
      </c>
      <c r="AG161">
        <v>44</v>
      </c>
      <c r="AH161">
        <v>17</v>
      </c>
      <c r="AI161">
        <v>22</v>
      </c>
      <c r="AJ161">
        <v>1000</v>
      </c>
      <c r="AK161">
        <v>361</v>
      </c>
      <c r="AL161">
        <v>89</v>
      </c>
      <c r="AM161">
        <v>384</v>
      </c>
      <c r="AN161">
        <v>20</v>
      </c>
      <c r="AO161">
        <v>3</v>
      </c>
      <c r="AP161">
        <v>0</v>
      </c>
      <c r="AQ161">
        <v>9</v>
      </c>
      <c r="AR161">
        <v>3</v>
      </c>
      <c r="AS161">
        <v>12</v>
      </c>
      <c r="AT161">
        <v>1782</v>
      </c>
      <c r="AU161">
        <v>2049</v>
      </c>
      <c r="AV161">
        <v>0</v>
      </c>
      <c r="AW161">
        <v>3831</v>
      </c>
      <c r="AX161">
        <v>967</v>
      </c>
      <c r="AY161">
        <v>0</v>
      </c>
      <c r="AZ161">
        <v>0</v>
      </c>
      <c r="BA161">
        <v>967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f t="shared" si="17"/>
        <v>87.5</v>
      </c>
      <c r="BH161">
        <v>33</v>
      </c>
      <c r="BI161">
        <v>75</v>
      </c>
      <c r="BJ161">
        <v>42</v>
      </c>
      <c r="BK161">
        <v>25</v>
      </c>
      <c r="BL161">
        <v>16</v>
      </c>
      <c r="BM161">
        <v>49</v>
      </c>
      <c r="BN161">
        <v>33</v>
      </c>
      <c r="BO161">
        <v>49</v>
      </c>
      <c r="BP161">
        <v>16</v>
      </c>
      <c r="BQ161">
        <v>58</v>
      </c>
      <c r="BR161">
        <v>91</v>
      </c>
      <c r="BS161">
        <v>42</v>
      </c>
      <c r="BT161">
        <v>529</v>
      </c>
      <c r="BU161">
        <v>75</v>
      </c>
      <c r="BV161">
        <v>240</v>
      </c>
      <c r="BW161">
        <v>264</v>
      </c>
      <c r="BX161">
        <v>66</v>
      </c>
      <c r="BY161">
        <v>58</v>
      </c>
      <c r="BZ161">
        <v>66</v>
      </c>
      <c r="CA161">
        <v>769</v>
      </c>
      <c r="CB161">
        <v>18</v>
      </c>
      <c r="CC161">
        <v>8</v>
      </c>
      <c r="CD161">
        <v>66</v>
      </c>
      <c r="CE161">
        <v>131</v>
      </c>
      <c r="CF161">
        <v>1.98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8</v>
      </c>
      <c r="CO161">
        <v>0</v>
      </c>
      <c r="CP161">
        <v>2</v>
      </c>
      <c r="CQ161">
        <v>0</v>
      </c>
      <c r="CR161">
        <v>0</v>
      </c>
      <c r="CS161">
        <v>0</v>
      </c>
      <c r="CT161">
        <v>10</v>
      </c>
      <c r="CU161">
        <v>0</v>
      </c>
      <c r="CV161">
        <v>0</v>
      </c>
      <c r="CW161">
        <v>0</v>
      </c>
      <c r="CX161">
        <v>0</v>
      </c>
      <c r="CY161">
        <v>30</v>
      </c>
      <c r="CZ161">
        <v>2</v>
      </c>
      <c r="DA161">
        <v>0</v>
      </c>
      <c r="DB161">
        <v>0</v>
      </c>
      <c r="DC161">
        <v>32</v>
      </c>
      <c r="DD161">
        <v>0</v>
      </c>
      <c r="DE161">
        <v>0</v>
      </c>
      <c r="DF161">
        <v>131</v>
      </c>
      <c r="DG161">
        <v>66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197</v>
      </c>
      <c r="DT161">
        <v>239</v>
      </c>
      <c r="DU161">
        <v>61</v>
      </c>
      <c r="DV161">
        <v>0</v>
      </c>
      <c r="DW161">
        <v>0</v>
      </c>
      <c r="DX161">
        <v>0</v>
      </c>
      <c r="DY161">
        <v>1311</v>
      </c>
      <c r="DZ161">
        <v>606</v>
      </c>
      <c r="EA161">
        <v>400</v>
      </c>
      <c r="EB161">
        <v>841</v>
      </c>
      <c r="EC161">
        <v>1542</v>
      </c>
      <c r="ED161">
        <v>980</v>
      </c>
      <c r="EE161">
        <v>3700</v>
      </c>
      <c r="EF161">
        <v>0</v>
      </c>
      <c r="EG161">
        <v>2</v>
      </c>
      <c r="EH161">
        <v>0.5</v>
      </c>
      <c r="EI161">
        <v>3.7</v>
      </c>
      <c r="EJ161">
        <v>0.3</v>
      </c>
      <c r="EK161">
        <v>1.4</v>
      </c>
    </row>
    <row r="162" spans="1:141" x14ac:dyDescent="0.25">
      <c r="A162" t="str">
        <f>[1]ingredient!B161</f>
        <v>Himbeeren, gefroren</v>
      </c>
      <c r="B162" t="s">
        <v>269</v>
      </c>
      <c r="C162" s="7">
        <f>_xlfn.XLOOKUP(A162,[1]ingredient!$B$2:$B$521,[1]ingredient!$A$2:$A$521)</f>
        <v>160</v>
      </c>
      <c r="D162">
        <v>36</v>
      </c>
      <c r="E162">
        <v>0.31</v>
      </c>
      <c r="F162">
        <v>1</v>
      </c>
      <c r="G162">
        <v>5</v>
      </c>
      <c r="H162">
        <v>5</v>
      </c>
      <c r="I162">
        <v>5</v>
      </c>
      <c r="J162">
        <v>0.02</v>
      </c>
      <c r="K162">
        <v>86</v>
      </c>
      <c r="L162">
        <v>3</v>
      </c>
      <c r="M162">
        <v>1</v>
      </c>
      <c r="N162">
        <v>0</v>
      </c>
      <c r="O162">
        <v>15</v>
      </c>
      <c r="P162">
        <v>22</v>
      </c>
      <c r="Q162">
        <v>47</v>
      </c>
      <c r="R162">
        <v>282</v>
      </c>
      <c r="S162">
        <v>565</v>
      </c>
      <c r="T162">
        <v>282</v>
      </c>
      <c r="U162">
        <v>71</v>
      </c>
      <c r="V162">
        <v>2</v>
      </c>
      <c r="W162">
        <v>28</v>
      </c>
      <c r="X162">
        <v>0</v>
      </c>
      <c r="Y162">
        <v>20902</v>
      </c>
      <c r="Z162">
        <v>0</v>
      </c>
      <c r="AA162">
        <v>646</v>
      </c>
      <c r="AB162">
        <v>9</v>
      </c>
      <c r="AC162">
        <v>1</v>
      </c>
      <c r="AD162">
        <v>209</v>
      </c>
      <c r="AE162">
        <v>42</v>
      </c>
      <c r="AF162">
        <v>31</v>
      </c>
      <c r="AG162">
        <v>46</v>
      </c>
      <c r="AH162">
        <v>18</v>
      </c>
      <c r="AI162">
        <v>23</v>
      </c>
      <c r="AJ162">
        <v>1045</v>
      </c>
      <c r="AK162">
        <v>377</v>
      </c>
      <c r="AL162">
        <v>93</v>
      </c>
      <c r="AM162">
        <v>401</v>
      </c>
      <c r="AN162">
        <v>21</v>
      </c>
      <c r="AO162">
        <v>3</v>
      </c>
      <c r="AP162">
        <v>0</v>
      </c>
      <c r="AQ162">
        <v>9</v>
      </c>
      <c r="AR162">
        <v>3</v>
      </c>
      <c r="AS162">
        <v>12</v>
      </c>
      <c r="AT162">
        <v>1862</v>
      </c>
      <c r="AU162">
        <v>2142</v>
      </c>
      <c r="AV162">
        <v>0</v>
      </c>
      <c r="AW162">
        <v>4004</v>
      </c>
      <c r="AX162">
        <v>1011</v>
      </c>
      <c r="AY162">
        <v>0</v>
      </c>
      <c r="AZ162">
        <v>0</v>
      </c>
      <c r="BA162">
        <v>1011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f t="shared" si="17"/>
        <v>91.666666666666657</v>
      </c>
      <c r="BH162">
        <v>34</v>
      </c>
      <c r="BI162">
        <v>78</v>
      </c>
      <c r="BJ162">
        <v>44</v>
      </c>
      <c r="BK162">
        <v>26</v>
      </c>
      <c r="BL162">
        <v>17</v>
      </c>
      <c r="BM162">
        <v>51</v>
      </c>
      <c r="BN162">
        <v>34</v>
      </c>
      <c r="BO162">
        <v>51</v>
      </c>
      <c r="BP162">
        <v>17</v>
      </c>
      <c r="BQ162">
        <v>61</v>
      </c>
      <c r="BR162">
        <v>95</v>
      </c>
      <c r="BS162">
        <v>44</v>
      </c>
      <c r="BT162">
        <v>552</v>
      </c>
      <c r="BU162">
        <v>78</v>
      </c>
      <c r="BV162">
        <v>252</v>
      </c>
      <c r="BW162">
        <v>277</v>
      </c>
      <c r="BX162">
        <v>69</v>
      </c>
      <c r="BY162">
        <v>61</v>
      </c>
      <c r="BZ162">
        <v>69</v>
      </c>
      <c r="CA162">
        <v>806</v>
      </c>
      <c r="CB162">
        <v>19</v>
      </c>
      <c r="CC162">
        <v>8</v>
      </c>
      <c r="CD162">
        <v>69</v>
      </c>
      <c r="CE162">
        <v>137</v>
      </c>
      <c r="CF162">
        <v>1.99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9</v>
      </c>
      <c r="CO162">
        <v>0</v>
      </c>
      <c r="CP162">
        <v>2</v>
      </c>
      <c r="CQ162">
        <v>0</v>
      </c>
      <c r="CR162">
        <v>0</v>
      </c>
      <c r="CS162">
        <v>0</v>
      </c>
      <c r="CT162">
        <v>11</v>
      </c>
      <c r="CU162">
        <v>0</v>
      </c>
      <c r="CV162">
        <v>0</v>
      </c>
      <c r="CW162">
        <v>0</v>
      </c>
      <c r="CX162">
        <v>0</v>
      </c>
      <c r="CY162">
        <v>31</v>
      </c>
      <c r="CZ162">
        <v>2</v>
      </c>
      <c r="DA162">
        <v>0</v>
      </c>
      <c r="DB162">
        <v>0</v>
      </c>
      <c r="DC162">
        <v>33</v>
      </c>
      <c r="DD162">
        <v>0</v>
      </c>
      <c r="DE162">
        <v>0</v>
      </c>
      <c r="DF162">
        <v>137</v>
      </c>
      <c r="DG162">
        <v>69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206</v>
      </c>
      <c r="DT162">
        <v>250</v>
      </c>
      <c r="DU162">
        <v>64</v>
      </c>
      <c r="DV162">
        <v>0</v>
      </c>
      <c r="DW162">
        <v>0</v>
      </c>
      <c r="DX162">
        <v>0</v>
      </c>
      <c r="DY162">
        <v>1370</v>
      </c>
      <c r="DZ162">
        <v>633</v>
      </c>
      <c r="EA162">
        <v>418</v>
      </c>
      <c r="EB162">
        <v>879</v>
      </c>
      <c r="EC162">
        <v>1612</v>
      </c>
      <c r="ED162">
        <v>1024</v>
      </c>
      <c r="EE162">
        <v>3867</v>
      </c>
      <c r="EF162">
        <v>0</v>
      </c>
      <c r="EG162">
        <v>2</v>
      </c>
      <c r="EH162">
        <v>0.5</v>
      </c>
      <c r="EI162">
        <v>3.9</v>
      </c>
      <c r="EJ162">
        <v>0.3</v>
      </c>
      <c r="EK162">
        <v>1.4</v>
      </c>
    </row>
    <row r="163" spans="1:141" x14ac:dyDescent="0.25">
      <c r="A163" t="str">
        <f>[1]ingredient!B162</f>
        <v>Hirse</v>
      </c>
      <c r="B163" t="s">
        <v>181</v>
      </c>
      <c r="C163" s="7">
        <f>_xlfn.XLOOKUP(A163,[1]ingredient!$B$2:$B$521,[1]ingredient!$A$2:$A$521)</f>
        <v>161</v>
      </c>
      <c r="D163">
        <v>331</v>
      </c>
      <c r="E163">
        <v>4</v>
      </c>
      <c r="F163">
        <v>10</v>
      </c>
      <c r="G163">
        <v>64</v>
      </c>
      <c r="H163">
        <v>13</v>
      </c>
      <c r="I163">
        <v>1</v>
      </c>
      <c r="J163">
        <v>0.05</v>
      </c>
      <c r="K163">
        <v>7</v>
      </c>
      <c r="L163">
        <v>0</v>
      </c>
      <c r="M163">
        <v>0</v>
      </c>
      <c r="N163">
        <v>0</v>
      </c>
      <c r="O163">
        <v>0</v>
      </c>
      <c r="P163">
        <v>260</v>
      </c>
      <c r="Q163">
        <v>140</v>
      </c>
      <c r="R163">
        <v>1800</v>
      </c>
      <c r="S163">
        <v>4250</v>
      </c>
      <c r="T163">
        <v>1200</v>
      </c>
      <c r="U163">
        <v>750</v>
      </c>
      <c r="V163">
        <v>1</v>
      </c>
      <c r="W163">
        <v>32</v>
      </c>
      <c r="X163">
        <v>0</v>
      </c>
      <c r="Y163">
        <v>0</v>
      </c>
      <c r="Z163">
        <v>0</v>
      </c>
      <c r="AA163">
        <v>50</v>
      </c>
      <c r="AB163">
        <v>1</v>
      </c>
      <c r="AC163">
        <v>3</v>
      </c>
      <c r="AD163">
        <v>430</v>
      </c>
      <c r="AE163">
        <v>20</v>
      </c>
      <c r="AF163">
        <v>170</v>
      </c>
      <c r="AG163">
        <v>310</v>
      </c>
      <c r="AH163">
        <v>140</v>
      </c>
      <c r="AI163">
        <v>50</v>
      </c>
      <c r="AJ163">
        <v>9000</v>
      </c>
      <c r="AK163">
        <v>2240</v>
      </c>
      <c r="AL163">
        <v>490</v>
      </c>
      <c r="AM163">
        <v>710</v>
      </c>
      <c r="AN163">
        <v>40</v>
      </c>
      <c r="AO163">
        <v>5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1280</v>
      </c>
      <c r="AY163">
        <v>0</v>
      </c>
      <c r="AZ163">
        <v>0</v>
      </c>
      <c r="BA163">
        <v>1280</v>
      </c>
      <c r="BB163">
        <v>640</v>
      </c>
      <c r="BC163">
        <v>330</v>
      </c>
      <c r="BD163">
        <v>0</v>
      </c>
      <c r="BE163">
        <v>62080</v>
      </c>
      <c r="BF163">
        <v>62080</v>
      </c>
      <c r="BG163">
        <f t="shared" si="17"/>
        <v>47.083333333333336</v>
      </c>
      <c r="BH163">
        <v>460</v>
      </c>
      <c r="BI163">
        <v>1146</v>
      </c>
      <c r="BJ163">
        <v>226</v>
      </c>
      <c r="BK163">
        <v>206</v>
      </c>
      <c r="BL163">
        <v>128</v>
      </c>
      <c r="BM163">
        <v>382</v>
      </c>
      <c r="BN163">
        <v>226</v>
      </c>
      <c r="BO163">
        <v>343</v>
      </c>
      <c r="BP163">
        <v>147</v>
      </c>
      <c r="BQ163">
        <v>509</v>
      </c>
      <c r="BR163">
        <v>304</v>
      </c>
      <c r="BS163">
        <v>166</v>
      </c>
      <c r="BT163">
        <v>4243</v>
      </c>
      <c r="BU163">
        <v>1116</v>
      </c>
      <c r="BV163">
        <v>529</v>
      </c>
      <c r="BW163">
        <v>1910</v>
      </c>
      <c r="BX163">
        <v>255</v>
      </c>
      <c r="BY163">
        <v>911</v>
      </c>
      <c r="BZ163">
        <v>637</v>
      </c>
      <c r="CA163">
        <v>5358</v>
      </c>
      <c r="CB163">
        <v>66</v>
      </c>
      <c r="CC163">
        <v>28</v>
      </c>
      <c r="CD163">
        <v>105</v>
      </c>
      <c r="CE163">
        <v>1434</v>
      </c>
      <c r="CF163">
        <v>13.66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9</v>
      </c>
      <c r="CM163">
        <v>0</v>
      </c>
      <c r="CN163">
        <v>607</v>
      </c>
      <c r="CO163">
        <v>0</v>
      </c>
      <c r="CP163">
        <v>155</v>
      </c>
      <c r="CQ163">
        <v>31</v>
      </c>
      <c r="CR163">
        <v>0</v>
      </c>
      <c r="CS163">
        <v>0</v>
      </c>
      <c r="CT163">
        <v>802</v>
      </c>
      <c r="CU163">
        <v>0</v>
      </c>
      <c r="CV163">
        <v>0</v>
      </c>
      <c r="CW163">
        <v>15</v>
      </c>
      <c r="CX163">
        <v>0</v>
      </c>
      <c r="CY163">
        <v>740</v>
      </c>
      <c r="CZ163">
        <v>0</v>
      </c>
      <c r="DA163">
        <v>0</v>
      </c>
      <c r="DB163">
        <v>0</v>
      </c>
      <c r="DC163">
        <v>755</v>
      </c>
      <c r="DD163">
        <v>0</v>
      </c>
      <c r="DE163">
        <v>0</v>
      </c>
      <c r="DF163">
        <v>1434</v>
      </c>
      <c r="DG163">
        <v>105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1539</v>
      </c>
      <c r="DT163">
        <v>3096</v>
      </c>
      <c r="DU163">
        <v>504</v>
      </c>
      <c r="DV163">
        <v>0</v>
      </c>
      <c r="DW163">
        <v>0</v>
      </c>
      <c r="DX163">
        <v>0</v>
      </c>
      <c r="DY163">
        <v>1430</v>
      </c>
      <c r="DZ163">
        <v>6760</v>
      </c>
      <c r="EA163">
        <v>2080</v>
      </c>
      <c r="EB163">
        <v>1690</v>
      </c>
      <c r="EC163">
        <v>1040</v>
      </c>
      <c r="ED163">
        <v>4810</v>
      </c>
      <c r="EE163">
        <v>8190</v>
      </c>
      <c r="EF163">
        <v>0</v>
      </c>
      <c r="EG163">
        <v>0</v>
      </c>
      <c r="EH163">
        <v>2</v>
      </c>
      <c r="EI163">
        <v>8.1999999999999993</v>
      </c>
      <c r="EJ163">
        <v>3.6</v>
      </c>
      <c r="EK163">
        <v>9.8000000000000007</v>
      </c>
    </row>
    <row r="164" spans="1:141" x14ac:dyDescent="0.25">
      <c r="A164" t="str">
        <f>[1]ingredient!B163</f>
        <v>Honigmelone</v>
      </c>
      <c r="B164" t="s">
        <v>270</v>
      </c>
      <c r="C164" s="7">
        <f>_xlfn.XLOOKUP(A164,[1]ingredient!$B$2:$B$521,[1]ingredient!$A$2:$A$521)</f>
        <v>162</v>
      </c>
      <c r="D164">
        <v>55</v>
      </c>
      <c r="E164">
        <v>0.1</v>
      </c>
      <c r="F164">
        <v>1</v>
      </c>
      <c r="G164">
        <v>12</v>
      </c>
      <c r="H164">
        <v>1</v>
      </c>
      <c r="I164">
        <v>12</v>
      </c>
      <c r="J164">
        <v>0.06</v>
      </c>
      <c r="K164">
        <v>85</v>
      </c>
      <c r="L164">
        <v>779</v>
      </c>
      <c r="M164">
        <v>389</v>
      </c>
      <c r="N164">
        <v>0</v>
      </c>
      <c r="O164">
        <v>4672</v>
      </c>
      <c r="P164">
        <v>60</v>
      </c>
      <c r="Q164">
        <v>20</v>
      </c>
      <c r="R164">
        <v>600</v>
      </c>
      <c r="S164">
        <v>683</v>
      </c>
      <c r="T164">
        <v>170</v>
      </c>
      <c r="U164">
        <v>90</v>
      </c>
      <c r="V164">
        <v>4</v>
      </c>
      <c r="W164">
        <v>30</v>
      </c>
      <c r="X164">
        <v>0</v>
      </c>
      <c r="Y164">
        <v>32000</v>
      </c>
      <c r="Z164">
        <v>0</v>
      </c>
      <c r="AA164">
        <v>140</v>
      </c>
      <c r="AB164">
        <v>1</v>
      </c>
      <c r="AC164">
        <v>17</v>
      </c>
      <c r="AD164">
        <v>309</v>
      </c>
      <c r="AE164">
        <v>13</v>
      </c>
      <c r="AF164">
        <v>13</v>
      </c>
      <c r="AG164">
        <v>24</v>
      </c>
      <c r="AH164">
        <v>11</v>
      </c>
      <c r="AI164">
        <v>41</v>
      </c>
      <c r="AJ164">
        <v>200</v>
      </c>
      <c r="AK164">
        <v>190</v>
      </c>
      <c r="AL164">
        <v>46</v>
      </c>
      <c r="AM164">
        <v>43</v>
      </c>
      <c r="AN164">
        <v>9</v>
      </c>
      <c r="AO164">
        <v>2</v>
      </c>
      <c r="AP164">
        <v>0</v>
      </c>
      <c r="AQ164">
        <v>0</v>
      </c>
      <c r="AR164">
        <v>0</v>
      </c>
      <c r="AS164">
        <v>0</v>
      </c>
      <c r="AT164">
        <v>1600</v>
      </c>
      <c r="AU164">
        <v>1300</v>
      </c>
      <c r="AV164">
        <v>0</v>
      </c>
      <c r="AW164">
        <v>2900</v>
      </c>
      <c r="AX164">
        <v>9500</v>
      </c>
      <c r="AY164">
        <v>0</v>
      </c>
      <c r="AZ164">
        <v>0</v>
      </c>
      <c r="BA164">
        <v>9500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f t="shared" si="17"/>
        <v>50</v>
      </c>
      <c r="BH164">
        <v>40</v>
      </c>
      <c r="BI164">
        <v>68</v>
      </c>
      <c r="BJ164">
        <v>24</v>
      </c>
      <c r="BK164">
        <v>14</v>
      </c>
      <c r="BL164">
        <v>6</v>
      </c>
      <c r="BM164">
        <v>28</v>
      </c>
      <c r="BN164">
        <v>28</v>
      </c>
      <c r="BO164">
        <v>40</v>
      </c>
      <c r="BP164">
        <v>5</v>
      </c>
      <c r="BQ164">
        <v>48</v>
      </c>
      <c r="BR164">
        <v>48</v>
      </c>
      <c r="BS164">
        <v>20</v>
      </c>
      <c r="BT164">
        <v>369</v>
      </c>
      <c r="BU164">
        <v>62</v>
      </c>
      <c r="BV164">
        <v>123</v>
      </c>
      <c r="BW164">
        <v>136</v>
      </c>
      <c r="BX164">
        <v>48</v>
      </c>
      <c r="BY164">
        <v>48</v>
      </c>
      <c r="BZ164">
        <v>54</v>
      </c>
      <c r="CA164">
        <v>471</v>
      </c>
      <c r="CB164">
        <v>33</v>
      </c>
      <c r="CC164">
        <v>14</v>
      </c>
      <c r="CD164">
        <v>2</v>
      </c>
      <c r="CE164">
        <v>13</v>
      </c>
      <c r="CF164">
        <v>6.5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22</v>
      </c>
      <c r="CO164">
        <v>0</v>
      </c>
      <c r="CP164">
        <v>4</v>
      </c>
      <c r="CQ164">
        <v>0</v>
      </c>
      <c r="CR164">
        <v>0</v>
      </c>
      <c r="CS164">
        <v>0</v>
      </c>
      <c r="CT164">
        <v>26</v>
      </c>
      <c r="CU164">
        <v>0</v>
      </c>
      <c r="CV164">
        <v>0</v>
      </c>
      <c r="CW164">
        <v>2</v>
      </c>
      <c r="CX164">
        <v>0</v>
      </c>
      <c r="CY164">
        <v>11</v>
      </c>
      <c r="CZ164">
        <v>0</v>
      </c>
      <c r="DA164">
        <v>0</v>
      </c>
      <c r="DB164">
        <v>0</v>
      </c>
      <c r="DC164">
        <v>13</v>
      </c>
      <c r="DD164">
        <v>0</v>
      </c>
      <c r="DE164">
        <v>0</v>
      </c>
      <c r="DF164">
        <v>13</v>
      </c>
      <c r="DG164">
        <v>2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15</v>
      </c>
      <c r="DT164">
        <v>54</v>
      </c>
      <c r="DU164">
        <v>20</v>
      </c>
      <c r="DV164">
        <v>0</v>
      </c>
      <c r="DW164">
        <v>0</v>
      </c>
      <c r="DX164">
        <v>0</v>
      </c>
      <c r="DY164">
        <v>161</v>
      </c>
      <c r="DZ164">
        <v>124</v>
      </c>
      <c r="EA164">
        <v>161</v>
      </c>
      <c r="EB164">
        <v>153</v>
      </c>
      <c r="EC164">
        <v>131</v>
      </c>
      <c r="ED164">
        <v>190</v>
      </c>
      <c r="EE164">
        <v>540</v>
      </c>
      <c r="EF164">
        <v>0</v>
      </c>
      <c r="EG164">
        <v>0.1</v>
      </c>
      <c r="EH164">
        <v>0.4</v>
      </c>
      <c r="EI164">
        <v>0.5</v>
      </c>
      <c r="EJ164">
        <v>0.1</v>
      </c>
      <c r="EK164">
        <v>0.9</v>
      </c>
    </row>
    <row r="165" spans="1:141" x14ac:dyDescent="0.25">
      <c r="A165" t="str">
        <f>[1]ingredient!B164</f>
        <v>Ingwer</v>
      </c>
      <c r="B165" t="s">
        <v>271</v>
      </c>
      <c r="C165" s="7">
        <f>_xlfn.XLOOKUP(A165,[1]ingredient!$B$2:$B$521,[1]ingredient!$A$2:$A$521)</f>
        <v>163</v>
      </c>
      <c r="D165">
        <v>50</v>
      </c>
      <c r="E165">
        <v>1</v>
      </c>
      <c r="F165">
        <v>1</v>
      </c>
      <c r="G165">
        <v>9</v>
      </c>
      <c r="H165">
        <v>1</v>
      </c>
      <c r="I165">
        <v>9</v>
      </c>
      <c r="J165">
        <v>0.02</v>
      </c>
      <c r="K165">
        <v>86</v>
      </c>
      <c r="L165">
        <v>1</v>
      </c>
      <c r="M165">
        <v>1</v>
      </c>
      <c r="N165">
        <v>0</v>
      </c>
      <c r="O165">
        <v>6</v>
      </c>
      <c r="P165">
        <v>20</v>
      </c>
      <c r="Q165">
        <v>40</v>
      </c>
      <c r="R165">
        <v>700</v>
      </c>
      <c r="S165">
        <v>817</v>
      </c>
      <c r="T165">
        <v>203</v>
      </c>
      <c r="U165">
        <v>160</v>
      </c>
      <c r="V165">
        <v>0</v>
      </c>
      <c r="W165">
        <v>12</v>
      </c>
      <c r="X165">
        <v>0</v>
      </c>
      <c r="Y165">
        <v>5000</v>
      </c>
      <c r="Z165">
        <v>0</v>
      </c>
      <c r="AA165">
        <v>0</v>
      </c>
      <c r="AB165">
        <v>0</v>
      </c>
      <c r="AC165">
        <v>13</v>
      </c>
      <c r="AD165">
        <v>415</v>
      </c>
      <c r="AE165">
        <v>18</v>
      </c>
      <c r="AF165">
        <v>43</v>
      </c>
      <c r="AG165">
        <v>27</v>
      </c>
      <c r="AH165">
        <v>30</v>
      </c>
      <c r="AI165">
        <v>8</v>
      </c>
      <c r="AJ165">
        <v>500</v>
      </c>
      <c r="AK165">
        <v>1200</v>
      </c>
      <c r="AL165">
        <v>150</v>
      </c>
      <c r="AM165">
        <v>2000</v>
      </c>
      <c r="AN165">
        <v>80</v>
      </c>
      <c r="AO165">
        <v>5</v>
      </c>
      <c r="AP165">
        <v>0</v>
      </c>
      <c r="AQ165">
        <v>0</v>
      </c>
      <c r="AR165">
        <v>0</v>
      </c>
      <c r="AS165">
        <v>0</v>
      </c>
      <c r="AT165">
        <v>3600</v>
      </c>
      <c r="AU165">
        <v>3600</v>
      </c>
      <c r="AV165">
        <v>0</v>
      </c>
      <c r="AW165">
        <v>7200</v>
      </c>
      <c r="AX165">
        <v>1710</v>
      </c>
      <c r="AY165">
        <v>0</v>
      </c>
      <c r="AZ165">
        <v>0</v>
      </c>
      <c r="BA165">
        <v>1710</v>
      </c>
      <c r="BB165">
        <v>0</v>
      </c>
      <c r="BC165">
        <v>0</v>
      </c>
      <c r="BD165">
        <v>0</v>
      </c>
      <c r="BE165">
        <v>90</v>
      </c>
      <c r="BF165">
        <v>90</v>
      </c>
      <c r="BG165">
        <f t="shared" si="17"/>
        <v>56.521739130434781</v>
      </c>
      <c r="BH165">
        <v>35</v>
      </c>
      <c r="BI165">
        <v>50</v>
      </c>
      <c r="BJ165">
        <v>38</v>
      </c>
      <c r="BK165">
        <v>8</v>
      </c>
      <c r="BL165">
        <v>5</v>
      </c>
      <c r="BM165">
        <v>30</v>
      </c>
      <c r="BN165">
        <v>13</v>
      </c>
      <c r="BO165">
        <v>24</v>
      </c>
      <c r="BP165">
        <v>7</v>
      </c>
      <c r="BQ165">
        <v>49</v>
      </c>
      <c r="BR165">
        <v>29</v>
      </c>
      <c r="BS165">
        <v>20</v>
      </c>
      <c r="BT165">
        <v>308</v>
      </c>
      <c r="BU165">
        <v>20</v>
      </c>
      <c r="BV165">
        <v>143</v>
      </c>
      <c r="BW165">
        <v>112</v>
      </c>
      <c r="BX165">
        <v>29</v>
      </c>
      <c r="BY165">
        <v>28</v>
      </c>
      <c r="BZ165">
        <v>30</v>
      </c>
      <c r="CA165">
        <v>362</v>
      </c>
      <c r="CB165">
        <v>14</v>
      </c>
      <c r="CC165">
        <v>6</v>
      </c>
      <c r="CD165">
        <v>46</v>
      </c>
      <c r="CE165">
        <v>164</v>
      </c>
      <c r="CF165">
        <v>3.57</v>
      </c>
      <c r="CG165">
        <v>0</v>
      </c>
      <c r="CH165">
        <v>0</v>
      </c>
      <c r="CI165">
        <v>9</v>
      </c>
      <c r="CJ165">
        <v>19</v>
      </c>
      <c r="CK165">
        <v>51</v>
      </c>
      <c r="CL165">
        <v>25</v>
      </c>
      <c r="CM165">
        <v>0</v>
      </c>
      <c r="CN165">
        <v>164</v>
      </c>
      <c r="CO165">
        <v>0</v>
      </c>
      <c r="CP165">
        <v>22</v>
      </c>
      <c r="CQ165">
        <v>0</v>
      </c>
      <c r="CR165">
        <v>0</v>
      </c>
      <c r="CS165">
        <v>0</v>
      </c>
      <c r="CT165">
        <v>290</v>
      </c>
      <c r="CU165">
        <v>0</v>
      </c>
      <c r="CV165">
        <v>0</v>
      </c>
      <c r="CW165">
        <v>29</v>
      </c>
      <c r="CX165">
        <v>0</v>
      </c>
      <c r="CY165">
        <v>162</v>
      </c>
      <c r="CZ165">
        <v>9</v>
      </c>
      <c r="DA165">
        <v>0</v>
      </c>
      <c r="DB165">
        <v>0</v>
      </c>
      <c r="DC165">
        <v>200</v>
      </c>
      <c r="DD165">
        <v>0</v>
      </c>
      <c r="DE165">
        <v>0</v>
      </c>
      <c r="DF165">
        <v>164</v>
      </c>
      <c r="DG165">
        <v>46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210</v>
      </c>
      <c r="DT165">
        <v>672</v>
      </c>
      <c r="DU165">
        <v>300</v>
      </c>
      <c r="DV165">
        <v>0</v>
      </c>
      <c r="DW165">
        <v>0</v>
      </c>
      <c r="DX165">
        <v>28</v>
      </c>
      <c r="DY165">
        <v>165</v>
      </c>
      <c r="DZ165">
        <v>165</v>
      </c>
      <c r="EA165">
        <v>297</v>
      </c>
      <c r="EB165">
        <v>440</v>
      </c>
      <c r="EC165">
        <v>33</v>
      </c>
      <c r="ED165">
        <v>275</v>
      </c>
      <c r="EE165">
        <v>825</v>
      </c>
      <c r="EF165">
        <v>0</v>
      </c>
      <c r="EG165">
        <v>0.05</v>
      </c>
      <c r="EH165">
        <v>1.7</v>
      </c>
      <c r="EI165">
        <v>0.8</v>
      </c>
      <c r="EJ165">
        <v>1</v>
      </c>
      <c r="EK165">
        <v>0.7</v>
      </c>
    </row>
    <row r="166" spans="1:141" x14ac:dyDescent="0.25">
      <c r="A166" t="str">
        <f>[1]ingredient!B165</f>
        <v>Ingwer, gemahlen</v>
      </c>
      <c r="B166" t="s">
        <v>272</v>
      </c>
      <c r="C166" s="7">
        <f>_xlfn.XLOOKUP(A166,[1]ingredient!$B$2:$B$521,[1]ingredient!$A$2:$A$521)</f>
        <v>164</v>
      </c>
      <c r="D166">
        <v>304</v>
      </c>
      <c r="E166">
        <v>3</v>
      </c>
      <c r="F166">
        <v>7</v>
      </c>
      <c r="G166">
        <v>60</v>
      </c>
      <c r="H166">
        <v>6</v>
      </c>
      <c r="I166">
        <v>59</v>
      </c>
      <c r="J166">
        <v>7.0000000000000007E-2</v>
      </c>
      <c r="K166">
        <v>18</v>
      </c>
      <c r="L166">
        <v>37</v>
      </c>
      <c r="M166">
        <v>18</v>
      </c>
      <c r="N166">
        <v>0</v>
      </c>
      <c r="O166">
        <v>220</v>
      </c>
      <c r="P166">
        <v>50</v>
      </c>
      <c r="Q166">
        <v>190</v>
      </c>
      <c r="R166">
        <v>5100</v>
      </c>
      <c r="S166">
        <v>5833</v>
      </c>
      <c r="T166">
        <v>1270</v>
      </c>
      <c r="U166">
        <v>1010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34</v>
      </c>
      <c r="AD166">
        <v>910</v>
      </c>
      <c r="AE166">
        <v>97</v>
      </c>
      <c r="AF166">
        <v>130</v>
      </c>
      <c r="AG166">
        <v>140</v>
      </c>
      <c r="AH166">
        <v>150</v>
      </c>
      <c r="AI166">
        <v>40</v>
      </c>
      <c r="AJ166">
        <v>11520</v>
      </c>
      <c r="AK166">
        <v>4720</v>
      </c>
      <c r="AL166">
        <v>450</v>
      </c>
      <c r="AM166">
        <v>10000</v>
      </c>
      <c r="AN166">
        <v>400</v>
      </c>
      <c r="AO166">
        <v>5</v>
      </c>
      <c r="AP166">
        <v>0</v>
      </c>
      <c r="AQ166">
        <v>0</v>
      </c>
      <c r="AR166">
        <v>0</v>
      </c>
      <c r="AS166">
        <v>0</v>
      </c>
      <c r="AT166">
        <v>24000</v>
      </c>
      <c r="AU166">
        <v>24000</v>
      </c>
      <c r="AV166">
        <v>0</v>
      </c>
      <c r="AW166">
        <v>48000</v>
      </c>
      <c r="AX166">
        <v>11400</v>
      </c>
      <c r="AY166">
        <v>0</v>
      </c>
      <c r="AZ166">
        <v>0</v>
      </c>
      <c r="BA166">
        <v>11400</v>
      </c>
      <c r="BB166">
        <v>0</v>
      </c>
      <c r="BC166">
        <v>0</v>
      </c>
      <c r="BD166">
        <v>0</v>
      </c>
      <c r="BE166">
        <v>600</v>
      </c>
      <c r="BF166">
        <v>600</v>
      </c>
      <c r="BG166">
        <f t="shared" si="17"/>
        <v>50.931677018633536</v>
      </c>
      <c r="BH166">
        <v>215</v>
      </c>
      <c r="BI166">
        <v>311</v>
      </c>
      <c r="BJ166">
        <v>237</v>
      </c>
      <c r="BK166">
        <v>52</v>
      </c>
      <c r="BL166">
        <v>30</v>
      </c>
      <c r="BM166">
        <v>185</v>
      </c>
      <c r="BN166">
        <v>81</v>
      </c>
      <c r="BO166">
        <v>148</v>
      </c>
      <c r="BP166">
        <v>44</v>
      </c>
      <c r="BQ166">
        <v>303</v>
      </c>
      <c r="BR166">
        <v>178</v>
      </c>
      <c r="BS166">
        <v>126</v>
      </c>
      <c r="BT166">
        <v>1910</v>
      </c>
      <c r="BU166">
        <v>126</v>
      </c>
      <c r="BV166">
        <v>880</v>
      </c>
      <c r="BW166">
        <v>688</v>
      </c>
      <c r="BX166">
        <v>178</v>
      </c>
      <c r="BY166">
        <v>170</v>
      </c>
      <c r="BZ166">
        <v>185</v>
      </c>
      <c r="CA166">
        <v>2227</v>
      </c>
      <c r="CB166">
        <v>101</v>
      </c>
      <c r="CC166">
        <v>42</v>
      </c>
      <c r="CD166">
        <v>152</v>
      </c>
      <c r="CE166">
        <v>541</v>
      </c>
      <c r="CF166">
        <v>3.56</v>
      </c>
      <c r="CG166">
        <v>0</v>
      </c>
      <c r="CH166">
        <v>0</v>
      </c>
      <c r="CI166">
        <v>30</v>
      </c>
      <c r="CJ166">
        <v>62</v>
      </c>
      <c r="CK166">
        <v>169</v>
      </c>
      <c r="CL166">
        <v>81</v>
      </c>
      <c r="CM166">
        <v>0</v>
      </c>
      <c r="CN166">
        <v>540</v>
      </c>
      <c r="CO166">
        <v>0</v>
      </c>
      <c r="CP166">
        <v>74</v>
      </c>
      <c r="CQ166">
        <v>0</v>
      </c>
      <c r="CR166">
        <v>0</v>
      </c>
      <c r="CS166">
        <v>0</v>
      </c>
      <c r="CT166">
        <v>956</v>
      </c>
      <c r="CU166">
        <v>0</v>
      </c>
      <c r="CV166">
        <v>0</v>
      </c>
      <c r="CW166">
        <v>95</v>
      </c>
      <c r="CX166">
        <v>0</v>
      </c>
      <c r="CY166">
        <v>536</v>
      </c>
      <c r="CZ166">
        <v>30</v>
      </c>
      <c r="DA166">
        <v>0</v>
      </c>
      <c r="DB166">
        <v>0</v>
      </c>
      <c r="DC166">
        <v>661</v>
      </c>
      <c r="DD166">
        <v>0</v>
      </c>
      <c r="DE166">
        <v>0</v>
      </c>
      <c r="DF166">
        <v>541</v>
      </c>
      <c r="DG166">
        <v>152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693</v>
      </c>
      <c r="DT166">
        <v>2218</v>
      </c>
      <c r="DU166">
        <v>990</v>
      </c>
      <c r="DV166">
        <v>0</v>
      </c>
      <c r="DW166">
        <v>0</v>
      </c>
      <c r="DX166">
        <v>92</v>
      </c>
      <c r="DY166">
        <v>887</v>
      </c>
      <c r="DZ166">
        <v>887</v>
      </c>
      <c r="EA166">
        <v>1596</v>
      </c>
      <c r="EB166">
        <v>2363</v>
      </c>
      <c r="EC166">
        <v>177</v>
      </c>
      <c r="ED166">
        <v>1478</v>
      </c>
      <c r="EE166">
        <v>4433</v>
      </c>
      <c r="EF166">
        <v>0</v>
      </c>
      <c r="EG166">
        <v>0.3</v>
      </c>
      <c r="EH166">
        <v>4.8</v>
      </c>
      <c r="EI166">
        <v>4.4000000000000004</v>
      </c>
      <c r="EJ166">
        <v>3.3</v>
      </c>
      <c r="EK166">
        <v>4.5</v>
      </c>
    </row>
    <row r="167" spans="1:141" x14ac:dyDescent="0.25">
      <c r="A167" t="str">
        <f>[1]ingredient!B166</f>
        <v>Italienische Kräuter</v>
      </c>
      <c r="B167" t="s">
        <v>273</v>
      </c>
      <c r="C167" s="7">
        <f>_xlfn.XLOOKUP(A167,[1]ingredient!$B$2:$B$521,[1]ingredient!$A$2:$A$521)</f>
        <v>165</v>
      </c>
      <c r="D167">
        <v>45</v>
      </c>
      <c r="E167">
        <v>1</v>
      </c>
      <c r="F167">
        <v>4</v>
      </c>
      <c r="G167">
        <v>6</v>
      </c>
      <c r="H167">
        <v>5</v>
      </c>
      <c r="I167">
        <v>5</v>
      </c>
      <c r="J167">
        <v>0.12</v>
      </c>
      <c r="K167">
        <v>82</v>
      </c>
      <c r="L167">
        <v>656</v>
      </c>
      <c r="M167">
        <v>328</v>
      </c>
      <c r="N167">
        <v>0</v>
      </c>
      <c r="O167">
        <v>3938</v>
      </c>
      <c r="P167">
        <v>157</v>
      </c>
      <c r="Q167">
        <v>293</v>
      </c>
      <c r="R167">
        <v>1450</v>
      </c>
      <c r="S167">
        <v>2267</v>
      </c>
      <c r="T167">
        <v>260</v>
      </c>
      <c r="U167">
        <v>307</v>
      </c>
      <c r="V167">
        <v>1</v>
      </c>
      <c r="W167">
        <v>82</v>
      </c>
      <c r="X167">
        <v>0</v>
      </c>
      <c r="Y167">
        <v>94333</v>
      </c>
      <c r="Z167">
        <v>0</v>
      </c>
      <c r="AA167">
        <v>2334</v>
      </c>
      <c r="AB167">
        <v>553</v>
      </c>
      <c r="AC167">
        <v>21</v>
      </c>
      <c r="AD167">
        <v>694</v>
      </c>
      <c r="AE167">
        <v>201</v>
      </c>
      <c r="AF167">
        <v>38</v>
      </c>
      <c r="AG167">
        <v>96</v>
      </c>
      <c r="AH167">
        <v>107</v>
      </c>
      <c r="AI167">
        <v>101</v>
      </c>
      <c r="AJ167">
        <v>4300</v>
      </c>
      <c r="AK167">
        <v>1053</v>
      </c>
      <c r="AL167">
        <v>277</v>
      </c>
      <c r="AM167">
        <v>1900</v>
      </c>
      <c r="AN167">
        <v>77</v>
      </c>
      <c r="AO167">
        <v>8</v>
      </c>
      <c r="AP167">
        <v>0</v>
      </c>
      <c r="AQ167">
        <v>0</v>
      </c>
      <c r="AR167">
        <v>0</v>
      </c>
      <c r="AS167">
        <v>0</v>
      </c>
      <c r="AT167">
        <v>2264</v>
      </c>
      <c r="AU167">
        <v>1895</v>
      </c>
      <c r="AV167">
        <v>0</v>
      </c>
      <c r="AW167">
        <v>4159</v>
      </c>
      <c r="AX167">
        <v>608</v>
      </c>
      <c r="AY167">
        <v>0</v>
      </c>
      <c r="AZ167">
        <v>0</v>
      </c>
      <c r="BA167">
        <v>608</v>
      </c>
      <c r="BB167">
        <v>0</v>
      </c>
      <c r="BC167">
        <v>0</v>
      </c>
      <c r="BD167">
        <v>0</v>
      </c>
      <c r="BE167">
        <v>893</v>
      </c>
      <c r="BF167">
        <v>893</v>
      </c>
      <c r="BG167">
        <f t="shared" si="17"/>
        <v>69.565217391304344</v>
      </c>
      <c r="BH167">
        <v>167</v>
      </c>
      <c r="BI167">
        <v>243</v>
      </c>
      <c r="BJ167">
        <v>212</v>
      </c>
      <c r="BK167">
        <v>36</v>
      </c>
      <c r="BL167">
        <v>28</v>
      </c>
      <c r="BM167">
        <v>155</v>
      </c>
      <c r="BN167">
        <v>99</v>
      </c>
      <c r="BO167">
        <v>151</v>
      </c>
      <c r="BP167">
        <v>49</v>
      </c>
      <c r="BQ167">
        <v>201</v>
      </c>
      <c r="BR167">
        <v>194</v>
      </c>
      <c r="BS167">
        <v>71</v>
      </c>
      <c r="BT167">
        <v>1606</v>
      </c>
      <c r="BU167">
        <v>215</v>
      </c>
      <c r="BV167">
        <v>390</v>
      </c>
      <c r="BW167">
        <v>558</v>
      </c>
      <c r="BX167">
        <v>161</v>
      </c>
      <c r="BY167">
        <v>269</v>
      </c>
      <c r="BZ167">
        <v>153</v>
      </c>
      <c r="CA167">
        <v>1746</v>
      </c>
      <c r="CB167">
        <v>28</v>
      </c>
      <c r="CC167">
        <v>12</v>
      </c>
      <c r="CD167">
        <v>198</v>
      </c>
      <c r="CE167">
        <v>155</v>
      </c>
      <c r="CF167">
        <v>0.78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2</v>
      </c>
      <c r="CM167">
        <v>0</v>
      </c>
      <c r="CN167">
        <v>83</v>
      </c>
      <c r="CO167">
        <v>0</v>
      </c>
      <c r="CP167">
        <v>10</v>
      </c>
      <c r="CQ167">
        <v>0</v>
      </c>
      <c r="CR167">
        <v>0</v>
      </c>
      <c r="CS167">
        <v>0</v>
      </c>
      <c r="CT167">
        <v>95</v>
      </c>
      <c r="CU167">
        <v>0</v>
      </c>
      <c r="CV167">
        <v>0</v>
      </c>
      <c r="CW167">
        <v>9</v>
      </c>
      <c r="CX167">
        <v>0</v>
      </c>
      <c r="CY167">
        <v>23</v>
      </c>
      <c r="CZ167">
        <v>0</v>
      </c>
      <c r="DA167">
        <v>0</v>
      </c>
      <c r="DB167">
        <v>0</v>
      </c>
      <c r="DC167">
        <v>32</v>
      </c>
      <c r="DD167">
        <v>0</v>
      </c>
      <c r="DE167">
        <v>0</v>
      </c>
      <c r="DF167">
        <v>155</v>
      </c>
      <c r="DG167">
        <v>198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353</v>
      </c>
      <c r="DT167">
        <v>480</v>
      </c>
      <c r="DU167">
        <v>120</v>
      </c>
      <c r="DV167">
        <v>0</v>
      </c>
      <c r="DW167">
        <v>0</v>
      </c>
      <c r="DX167">
        <v>0</v>
      </c>
      <c r="DY167">
        <v>848</v>
      </c>
      <c r="DZ167">
        <v>1037</v>
      </c>
      <c r="EA167">
        <v>1116</v>
      </c>
      <c r="EB167">
        <v>1871</v>
      </c>
      <c r="EC167">
        <v>311</v>
      </c>
      <c r="ED167">
        <v>1484</v>
      </c>
      <c r="EE167">
        <v>3699</v>
      </c>
      <c r="EF167">
        <v>0</v>
      </c>
      <c r="EG167">
        <v>0.28999999999999998</v>
      </c>
      <c r="EH167">
        <v>2</v>
      </c>
      <c r="EI167">
        <v>3.7</v>
      </c>
      <c r="EJ167">
        <v>0.6</v>
      </c>
      <c r="EK167">
        <v>3.4</v>
      </c>
    </row>
    <row r="168" spans="1:141" x14ac:dyDescent="0.25">
      <c r="A168" t="str">
        <f>[1]ingredient!B167</f>
        <v>Jalapenos</v>
      </c>
      <c r="B168" t="s">
        <v>274</v>
      </c>
      <c r="C168" s="7">
        <f>_xlfn.XLOOKUP(A168,[1]ingredient!$B$2:$B$521,[1]ingredient!$A$2:$A$521)</f>
        <v>166</v>
      </c>
      <c r="D168">
        <v>38</v>
      </c>
      <c r="E168">
        <v>0.2</v>
      </c>
      <c r="F168">
        <v>1</v>
      </c>
      <c r="G168">
        <v>7</v>
      </c>
      <c r="H168">
        <v>4</v>
      </c>
      <c r="I168">
        <v>7</v>
      </c>
      <c r="J168">
        <v>0.03</v>
      </c>
      <c r="K168">
        <v>87</v>
      </c>
      <c r="L168">
        <v>77</v>
      </c>
      <c r="M168">
        <v>39</v>
      </c>
      <c r="N168">
        <v>0</v>
      </c>
      <c r="O168">
        <v>462</v>
      </c>
      <c r="P168">
        <v>70</v>
      </c>
      <c r="Q168">
        <v>80</v>
      </c>
      <c r="R168">
        <v>1100</v>
      </c>
      <c r="S168">
        <v>1317</v>
      </c>
      <c r="T168">
        <v>60</v>
      </c>
      <c r="U168">
        <v>360</v>
      </c>
      <c r="V168">
        <v>3</v>
      </c>
      <c r="W168">
        <v>52</v>
      </c>
      <c r="X168">
        <v>0</v>
      </c>
      <c r="Y168">
        <v>235000</v>
      </c>
      <c r="Z168">
        <v>0</v>
      </c>
      <c r="AA168">
        <v>600</v>
      </c>
      <c r="AB168">
        <v>5</v>
      </c>
      <c r="AC168">
        <v>7</v>
      </c>
      <c r="AD168">
        <v>280</v>
      </c>
      <c r="AE168">
        <v>10</v>
      </c>
      <c r="AF168">
        <v>24</v>
      </c>
      <c r="AG168">
        <v>80</v>
      </c>
      <c r="AH168">
        <v>34</v>
      </c>
      <c r="AI168">
        <v>20</v>
      </c>
      <c r="AJ168">
        <v>700</v>
      </c>
      <c r="AK168">
        <v>150</v>
      </c>
      <c r="AL168">
        <v>140</v>
      </c>
      <c r="AM168">
        <v>240</v>
      </c>
      <c r="AN168">
        <v>20</v>
      </c>
      <c r="AO168">
        <v>2</v>
      </c>
      <c r="AP168">
        <v>0</v>
      </c>
      <c r="AQ168">
        <v>0</v>
      </c>
      <c r="AR168">
        <v>0</v>
      </c>
      <c r="AS168">
        <v>0</v>
      </c>
      <c r="AT168">
        <v>3650</v>
      </c>
      <c r="AU168">
        <v>2993</v>
      </c>
      <c r="AV168">
        <v>0</v>
      </c>
      <c r="AW168">
        <v>6643</v>
      </c>
      <c r="AX168">
        <v>292</v>
      </c>
      <c r="AY168">
        <v>0</v>
      </c>
      <c r="AZ168">
        <v>0</v>
      </c>
      <c r="BA168">
        <v>292</v>
      </c>
      <c r="BB168">
        <v>0</v>
      </c>
      <c r="BC168">
        <v>0</v>
      </c>
      <c r="BD168">
        <v>0</v>
      </c>
      <c r="BE168">
        <v>365</v>
      </c>
      <c r="BF168">
        <v>365</v>
      </c>
      <c r="BG168">
        <f t="shared" si="17"/>
        <v>98.360655737704917</v>
      </c>
      <c r="BH168">
        <v>43</v>
      </c>
      <c r="BI168">
        <v>60</v>
      </c>
      <c r="BJ168">
        <v>56</v>
      </c>
      <c r="BK168">
        <v>12</v>
      </c>
      <c r="BL168">
        <v>23</v>
      </c>
      <c r="BM168">
        <v>49</v>
      </c>
      <c r="BN168">
        <v>26</v>
      </c>
      <c r="BO168">
        <v>46</v>
      </c>
      <c r="BP168">
        <v>13</v>
      </c>
      <c r="BQ168">
        <v>47</v>
      </c>
      <c r="BR168">
        <v>49</v>
      </c>
      <c r="BS168">
        <v>20</v>
      </c>
      <c r="BT168">
        <v>444</v>
      </c>
      <c r="BU168">
        <v>52</v>
      </c>
      <c r="BV168">
        <v>185</v>
      </c>
      <c r="BW168">
        <v>177</v>
      </c>
      <c r="BX168">
        <v>47</v>
      </c>
      <c r="BY168">
        <v>52</v>
      </c>
      <c r="BZ168">
        <v>59</v>
      </c>
      <c r="CA168">
        <v>572</v>
      </c>
      <c r="CB168">
        <v>10</v>
      </c>
      <c r="CC168">
        <v>4</v>
      </c>
      <c r="CD168">
        <v>11</v>
      </c>
      <c r="CE168">
        <v>104</v>
      </c>
      <c r="CF168">
        <v>9.4499999999999993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</v>
      </c>
      <c r="CM168">
        <v>0</v>
      </c>
      <c r="CN168">
        <v>24</v>
      </c>
      <c r="CO168">
        <v>0</v>
      </c>
      <c r="CP168">
        <v>8</v>
      </c>
      <c r="CQ168">
        <v>0</v>
      </c>
      <c r="CR168">
        <v>0</v>
      </c>
      <c r="CS168">
        <v>0</v>
      </c>
      <c r="CT168">
        <v>33</v>
      </c>
      <c r="CU168">
        <v>0</v>
      </c>
      <c r="CV168">
        <v>0</v>
      </c>
      <c r="CW168">
        <v>1</v>
      </c>
      <c r="CX168">
        <v>0</v>
      </c>
      <c r="CY168">
        <v>13</v>
      </c>
      <c r="CZ168">
        <v>0</v>
      </c>
      <c r="DA168">
        <v>0</v>
      </c>
      <c r="DB168">
        <v>0</v>
      </c>
      <c r="DC168">
        <v>14</v>
      </c>
      <c r="DD168">
        <v>0</v>
      </c>
      <c r="DE168">
        <v>0</v>
      </c>
      <c r="DF168">
        <v>104</v>
      </c>
      <c r="DG168">
        <v>11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115</v>
      </c>
      <c r="DT168">
        <v>162</v>
      </c>
      <c r="DU168">
        <v>40</v>
      </c>
      <c r="DV168">
        <v>0</v>
      </c>
      <c r="DW168">
        <v>0</v>
      </c>
      <c r="DX168">
        <v>0</v>
      </c>
      <c r="DY168">
        <v>251</v>
      </c>
      <c r="DZ168">
        <v>431</v>
      </c>
      <c r="EA168">
        <v>1257</v>
      </c>
      <c r="EB168">
        <v>1149</v>
      </c>
      <c r="EC168">
        <v>503</v>
      </c>
      <c r="ED168">
        <v>539</v>
      </c>
      <c r="EE168">
        <v>3052</v>
      </c>
      <c r="EF168">
        <v>0</v>
      </c>
      <c r="EG168">
        <v>0.3</v>
      </c>
      <c r="EH168">
        <v>0.6</v>
      </c>
      <c r="EI168">
        <v>3.1</v>
      </c>
      <c r="EJ168">
        <v>0.2</v>
      </c>
      <c r="EK168">
        <v>1</v>
      </c>
    </row>
    <row r="169" spans="1:141" x14ac:dyDescent="0.25">
      <c r="A169" t="str">
        <f>[1]ingredient!B168</f>
        <v>Johannisbeeren rot</v>
      </c>
      <c r="B169" t="s">
        <v>275</v>
      </c>
      <c r="C169" s="7">
        <f>_xlfn.XLOOKUP(A169,[1]ingredient!$B$2:$B$521,[1]ingredient!$A$2:$A$521)</f>
        <v>167</v>
      </c>
      <c r="D169">
        <v>43</v>
      </c>
      <c r="E169">
        <v>0.2</v>
      </c>
      <c r="F169">
        <v>1</v>
      </c>
      <c r="G169">
        <v>7</v>
      </c>
      <c r="H169">
        <v>7</v>
      </c>
      <c r="I169">
        <v>7</v>
      </c>
      <c r="J169">
        <v>0.02</v>
      </c>
      <c r="K169">
        <v>81</v>
      </c>
      <c r="L169">
        <v>7</v>
      </c>
      <c r="M169">
        <v>3</v>
      </c>
      <c r="N169">
        <v>0</v>
      </c>
      <c r="O169">
        <v>40</v>
      </c>
      <c r="P169">
        <v>40</v>
      </c>
      <c r="Q169">
        <v>30</v>
      </c>
      <c r="R169">
        <v>200</v>
      </c>
      <c r="S169">
        <v>383</v>
      </c>
      <c r="T169">
        <v>60</v>
      </c>
      <c r="U169">
        <v>45</v>
      </c>
      <c r="V169">
        <v>3</v>
      </c>
      <c r="W169">
        <v>6</v>
      </c>
      <c r="X169">
        <v>0</v>
      </c>
      <c r="Y169">
        <v>36000</v>
      </c>
      <c r="Z169">
        <v>0</v>
      </c>
      <c r="AA169">
        <v>714</v>
      </c>
      <c r="AB169">
        <v>10</v>
      </c>
      <c r="AC169">
        <v>2</v>
      </c>
      <c r="AD169">
        <v>240</v>
      </c>
      <c r="AE169">
        <v>30</v>
      </c>
      <c r="AF169">
        <v>13</v>
      </c>
      <c r="AG169">
        <v>30</v>
      </c>
      <c r="AH169">
        <v>29</v>
      </c>
      <c r="AI169">
        <v>14</v>
      </c>
      <c r="AJ169">
        <v>900</v>
      </c>
      <c r="AK169">
        <v>240</v>
      </c>
      <c r="AL169">
        <v>100</v>
      </c>
      <c r="AM169">
        <v>240</v>
      </c>
      <c r="AN169">
        <v>23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3066</v>
      </c>
      <c r="AU169">
        <v>3803</v>
      </c>
      <c r="AV169">
        <v>0</v>
      </c>
      <c r="AW169">
        <v>6869</v>
      </c>
      <c r="AX169">
        <v>431</v>
      </c>
      <c r="AY169">
        <v>0</v>
      </c>
      <c r="AZ169">
        <v>0</v>
      </c>
      <c r="BA169">
        <v>431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f t="shared" si="17"/>
        <v>58.333333333333336</v>
      </c>
      <c r="BH169">
        <v>22</v>
      </c>
      <c r="BI169">
        <v>50</v>
      </c>
      <c r="BJ169">
        <v>28</v>
      </c>
      <c r="BK169">
        <v>17</v>
      </c>
      <c r="BL169">
        <v>11</v>
      </c>
      <c r="BM169">
        <v>33</v>
      </c>
      <c r="BN169">
        <v>22</v>
      </c>
      <c r="BO169">
        <v>33</v>
      </c>
      <c r="BP169">
        <v>11</v>
      </c>
      <c r="BQ169">
        <v>39</v>
      </c>
      <c r="BR169">
        <v>61</v>
      </c>
      <c r="BS169">
        <v>28</v>
      </c>
      <c r="BT169">
        <v>355</v>
      </c>
      <c r="BU169">
        <v>50</v>
      </c>
      <c r="BV169">
        <v>160</v>
      </c>
      <c r="BW169">
        <v>171</v>
      </c>
      <c r="BX169">
        <v>44</v>
      </c>
      <c r="BY169">
        <v>39</v>
      </c>
      <c r="BZ169">
        <v>44</v>
      </c>
      <c r="CA169">
        <v>508</v>
      </c>
      <c r="CB169">
        <v>15</v>
      </c>
      <c r="CC169">
        <v>6</v>
      </c>
      <c r="CD169">
        <v>38</v>
      </c>
      <c r="CE169">
        <v>62</v>
      </c>
      <c r="CF169">
        <v>1.63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22</v>
      </c>
      <c r="CO169">
        <v>0</v>
      </c>
      <c r="CP169">
        <v>4</v>
      </c>
      <c r="CQ169">
        <v>0</v>
      </c>
      <c r="CR169">
        <v>0</v>
      </c>
      <c r="CS169">
        <v>0</v>
      </c>
      <c r="CT169">
        <v>26</v>
      </c>
      <c r="CU169">
        <v>0</v>
      </c>
      <c r="CV169">
        <v>0</v>
      </c>
      <c r="CW169">
        <v>2</v>
      </c>
      <c r="CX169">
        <v>0</v>
      </c>
      <c r="CY169">
        <v>32</v>
      </c>
      <c r="CZ169">
        <v>0</v>
      </c>
      <c r="DA169">
        <v>0</v>
      </c>
      <c r="DB169">
        <v>0</v>
      </c>
      <c r="DC169">
        <v>34</v>
      </c>
      <c r="DD169">
        <v>0</v>
      </c>
      <c r="DE169">
        <v>0</v>
      </c>
      <c r="DF169">
        <v>62</v>
      </c>
      <c r="DG169">
        <v>38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100</v>
      </c>
      <c r="DT169">
        <v>160</v>
      </c>
      <c r="DU169">
        <v>40</v>
      </c>
      <c r="DV169">
        <v>0</v>
      </c>
      <c r="DW169">
        <v>0</v>
      </c>
      <c r="DX169">
        <v>0</v>
      </c>
      <c r="DY169">
        <v>740</v>
      </c>
      <c r="DZ169">
        <v>1310</v>
      </c>
      <c r="EA169">
        <v>1969</v>
      </c>
      <c r="EB169">
        <v>1857</v>
      </c>
      <c r="EC169">
        <v>1524</v>
      </c>
      <c r="ED169">
        <v>1058</v>
      </c>
      <c r="EE169">
        <v>6342</v>
      </c>
      <c r="EF169">
        <v>0</v>
      </c>
      <c r="EG169">
        <v>2</v>
      </c>
      <c r="EH169">
        <v>0.6</v>
      </c>
      <c r="EI169">
        <v>6.3</v>
      </c>
      <c r="EJ169">
        <v>0.2</v>
      </c>
      <c r="EK169">
        <v>0.9</v>
      </c>
    </row>
    <row r="170" spans="1:141" x14ac:dyDescent="0.25">
      <c r="A170" t="str">
        <f>[1]ingredient!B169</f>
        <v>Johannisbeeren rot, gefroren</v>
      </c>
      <c r="B170" t="s">
        <v>276</v>
      </c>
      <c r="C170" s="7">
        <f>_xlfn.XLOOKUP(A170,[1]ingredient!$B$2:$B$521,[1]ingredient!$A$2:$A$521)</f>
        <v>168</v>
      </c>
      <c r="D170">
        <v>45</v>
      </c>
      <c r="E170">
        <v>0.21</v>
      </c>
      <c r="F170">
        <v>1</v>
      </c>
      <c r="G170">
        <v>8</v>
      </c>
      <c r="H170">
        <v>8</v>
      </c>
      <c r="I170">
        <v>8</v>
      </c>
      <c r="J170">
        <v>0.02</v>
      </c>
      <c r="K170">
        <v>80</v>
      </c>
      <c r="L170">
        <v>7</v>
      </c>
      <c r="M170">
        <v>3</v>
      </c>
      <c r="N170">
        <v>0</v>
      </c>
      <c r="O170">
        <v>38</v>
      </c>
      <c r="P170">
        <v>38</v>
      </c>
      <c r="Q170">
        <v>28</v>
      </c>
      <c r="R170">
        <v>188</v>
      </c>
      <c r="S170">
        <v>371</v>
      </c>
      <c r="T170">
        <v>56</v>
      </c>
      <c r="U170">
        <v>42</v>
      </c>
      <c r="V170">
        <v>2</v>
      </c>
      <c r="W170">
        <v>6</v>
      </c>
      <c r="X170">
        <v>0</v>
      </c>
      <c r="Y170">
        <v>30016</v>
      </c>
      <c r="Z170">
        <v>0</v>
      </c>
      <c r="AA170">
        <v>670</v>
      </c>
      <c r="AB170">
        <v>9</v>
      </c>
      <c r="AC170">
        <v>2</v>
      </c>
      <c r="AD170">
        <v>250</v>
      </c>
      <c r="AE170">
        <v>31</v>
      </c>
      <c r="AF170">
        <v>14</v>
      </c>
      <c r="AG170">
        <v>31</v>
      </c>
      <c r="AH170">
        <v>30</v>
      </c>
      <c r="AI170">
        <v>15</v>
      </c>
      <c r="AJ170">
        <v>938</v>
      </c>
      <c r="AK170">
        <v>250</v>
      </c>
      <c r="AL170">
        <v>104</v>
      </c>
      <c r="AM170">
        <v>250</v>
      </c>
      <c r="AN170">
        <v>24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3195</v>
      </c>
      <c r="AU170">
        <v>3964</v>
      </c>
      <c r="AV170">
        <v>0</v>
      </c>
      <c r="AW170">
        <v>7159</v>
      </c>
      <c r="AX170">
        <v>449</v>
      </c>
      <c r="AY170">
        <v>0</v>
      </c>
      <c r="AZ170">
        <v>0</v>
      </c>
      <c r="BA170">
        <v>449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f t="shared" si="17"/>
        <v>60.416666666666664</v>
      </c>
      <c r="BH170">
        <v>23</v>
      </c>
      <c r="BI170">
        <v>52</v>
      </c>
      <c r="BJ170">
        <v>29</v>
      </c>
      <c r="BK170">
        <v>18</v>
      </c>
      <c r="BL170">
        <v>11</v>
      </c>
      <c r="BM170">
        <v>34</v>
      </c>
      <c r="BN170">
        <v>23</v>
      </c>
      <c r="BO170">
        <v>34</v>
      </c>
      <c r="BP170">
        <v>11</v>
      </c>
      <c r="BQ170">
        <v>41</v>
      </c>
      <c r="BR170">
        <v>64</v>
      </c>
      <c r="BS170">
        <v>29</v>
      </c>
      <c r="BT170">
        <v>369</v>
      </c>
      <c r="BU170">
        <v>52</v>
      </c>
      <c r="BV170">
        <v>167</v>
      </c>
      <c r="BW170">
        <v>178</v>
      </c>
      <c r="BX170">
        <v>46</v>
      </c>
      <c r="BY170">
        <v>41</v>
      </c>
      <c r="BZ170">
        <v>46</v>
      </c>
      <c r="CA170">
        <v>530</v>
      </c>
      <c r="CB170">
        <v>16</v>
      </c>
      <c r="CC170">
        <v>7</v>
      </c>
      <c r="CD170">
        <v>40</v>
      </c>
      <c r="CE170">
        <v>64</v>
      </c>
      <c r="CF170">
        <v>1.6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23</v>
      </c>
      <c r="CO170">
        <v>0</v>
      </c>
      <c r="CP170">
        <v>4</v>
      </c>
      <c r="CQ170">
        <v>0</v>
      </c>
      <c r="CR170">
        <v>0</v>
      </c>
      <c r="CS170">
        <v>0</v>
      </c>
      <c r="CT170">
        <v>27</v>
      </c>
      <c r="CU170">
        <v>0</v>
      </c>
      <c r="CV170">
        <v>0</v>
      </c>
      <c r="CW170">
        <v>2</v>
      </c>
      <c r="CX170">
        <v>0</v>
      </c>
      <c r="CY170">
        <v>33</v>
      </c>
      <c r="CZ170">
        <v>0</v>
      </c>
      <c r="DA170">
        <v>0</v>
      </c>
      <c r="DB170">
        <v>0</v>
      </c>
      <c r="DC170">
        <v>35</v>
      </c>
      <c r="DD170">
        <v>0</v>
      </c>
      <c r="DE170">
        <v>0</v>
      </c>
      <c r="DF170">
        <v>64</v>
      </c>
      <c r="DG170">
        <v>40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104</v>
      </c>
      <c r="DT170">
        <v>166</v>
      </c>
      <c r="DU170">
        <v>42</v>
      </c>
      <c r="DV170">
        <v>0</v>
      </c>
      <c r="DW170">
        <v>0</v>
      </c>
      <c r="DX170">
        <v>0</v>
      </c>
      <c r="DY170">
        <v>771</v>
      </c>
      <c r="DZ170">
        <v>1365</v>
      </c>
      <c r="EA170">
        <v>2053</v>
      </c>
      <c r="EB170">
        <v>1935</v>
      </c>
      <c r="EC170">
        <v>1588</v>
      </c>
      <c r="ED170">
        <v>1103</v>
      </c>
      <c r="EE170">
        <v>6610</v>
      </c>
      <c r="EF170">
        <v>0</v>
      </c>
      <c r="EG170">
        <v>2</v>
      </c>
      <c r="EH170">
        <v>0.6</v>
      </c>
      <c r="EI170">
        <v>6.6</v>
      </c>
      <c r="EJ170">
        <v>0.2</v>
      </c>
      <c r="EK170">
        <v>1</v>
      </c>
    </row>
    <row r="171" spans="1:141" x14ac:dyDescent="0.25">
      <c r="A171" t="str">
        <f>[1]ingredient!B170</f>
        <v>Johannisbeeren schwarz</v>
      </c>
      <c r="B171" t="s">
        <v>277</v>
      </c>
      <c r="C171" s="7">
        <f>_xlfn.XLOOKUP(A171,[1]ingredient!$B$2:$B$521,[1]ingredient!$A$2:$A$521)</f>
        <v>169</v>
      </c>
      <c r="D171">
        <v>57</v>
      </c>
      <c r="E171">
        <v>0.2</v>
      </c>
      <c r="F171">
        <v>1</v>
      </c>
      <c r="G171">
        <v>10</v>
      </c>
      <c r="H171">
        <v>7</v>
      </c>
      <c r="I171">
        <v>10</v>
      </c>
      <c r="J171">
        <v>0.02</v>
      </c>
      <c r="K171">
        <v>78</v>
      </c>
      <c r="L171">
        <v>23</v>
      </c>
      <c r="M171">
        <v>7</v>
      </c>
      <c r="N171">
        <v>0</v>
      </c>
      <c r="O171">
        <v>81</v>
      </c>
      <c r="P171">
        <v>50</v>
      </c>
      <c r="Q171">
        <v>45</v>
      </c>
      <c r="R171">
        <v>300</v>
      </c>
      <c r="S171">
        <v>517</v>
      </c>
      <c r="T171">
        <v>400</v>
      </c>
      <c r="U171">
        <v>80</v>
      </c>
      <c r="V171">
        <v>2</v>
      </c>
      <c r="W171">
        <v>8</v>
      </c>
      <c r="X171">
        <v>0</v>
      </c>
      <c r="Y171">
        <v>189000</v>
      </c>
      <c r="Z171">
        <v>0</v>
      </c>
      <c r="AA171">
        <v>1903</v>
      </c>
      <c r="AB171">
        <v>10</v>
      </c>
      <c r="AC171">
        <v>2</v>
      </c>
      <c r="AD171">
        <v>341</v>
      </c>
      <c r="AE171">
        <v>53</v>
      </c>
      <c r="AF171">
        <v>17</v>
      </c>
      <c r="AG171">
        <v>40</v>
      </c>
      <c r="AH171">
        <v>33</v>
      </c>
      <c r="AI171">
        <v>15</v>
      </c>
      <c r="AJ171">
        <v>1200</v>
      </c>
      <c r="AK171">
        <v>293</v>
      </c>
      <c r="AL171">
        <v>141</v>
      </c>
      <c r="AM171">
        <v>336</v>
      </c>
      <c r="AN171">
        <v>29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3955</v>
      </c>
      <c r="AU171">
        <v>5181</v>
      </c>
      <c r="AV171">
        <v>0</v>
      </c>
      <c r="AW171">
        <v>9136</v>
      </c>
      <c r="AX171">
        <v>1164</v>
      </c>
      <c r="AY171">
        <v>0</v>
      </c>
      <c r="AZ171">
        <v>0</v>
      </c>
      <c r="BA171">
        <v>1164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f t="shared" si="17"/>
        <v>68.75</v>
      </c>
      <c r="BH171">
        <v>26</v>
      </c>
      <c r="BI171">
        <v>59</v>
      </c>
      <c r="BJ171">
        <v>33</v>
      </c>
      <c r="BK171">
        <v>20</v>
      </c>
      <c r="BL171">
        <v>13</v>
      </c>
      <c r="BM171">
        <v>39</v>
      </c>
      <c r="BN171">
        <v>26</v>
      </c>
      <c r="BO171">
        <v>39</v>
      </c>
      <c r="BP171">
        <v>13</v>
      </c>
      <c r="BQ171">
        <v>46</v>
      </c>
      <c r="BR171">
        <v>72</v>
      </c>
      <c r="BS171">
        <v>33</v>
      </c>
      <c r="BT171">
        <v>419</v>
      </c>
      <c r="BU171">
        <v>59</v>
      </c>
      <c r="BV171">
        <v>189</v>
      </c>
      <c r="BW171">
        <v>203</v>
      </c>
      <c r="BX171">
        <v>52</v>
      </c>
      <c r="BY171">
        <v>46</v>
      </c>
      <c r="BZ171">
        <v>52</v>
      </c>
      <c r="CA171">
        <v>601</v>
      </c>
      <c r="CB171">
        <v>15</v>
      </c>
      <c r="CC171">
        <v>6</v>
      </c>
      <c r="CD171">
        <v>38</v>
      </c>
      <c r="CE171">
        <v>62</v>
      </c>
      <c r="CF171">
        <v>1.63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22</v>
      </c>
      <c r="CO171">
        <v>0</v>
      </c>
      <c r="CP171">
        <v>4</v>
      </c>
      <c r="CQ171">
        <v>0</v>
      </c>
      <c r="CR171">
        <v>0</v>
      </c>
      <c r="CS171">
        <v>0</v>
      </c>
      <c r="CT171">
        <v>26</v>
      </c>
      <c r="CU171">
        <v>0</v>
      </c>
      <c r="CV171">
        <v>0</v>
      </c>
      <c r="CW171">
        <v>2</v>
      </c>
      <c r="CX171">
        <v>0</v>
      </c>
      <c r="CY171">
        <v>32</v>
      </c>
      <c r="CZ171">
        <v>0</v>
      </c>
      <c r="DA171">
        <v>0</v>
      </c>
      <c r="DB171">
        <v>0</v>
      </c>
      <c r="DC171">
        <v>34</v>
      </c>
      <c r="DD171">
        <v>0</v>
      </c>
      <c r="DE171">
        <v>0</v>
      </c>
      <c r="DF171">
        <v>62</v>
      </c>
      <c r="DG171">
        <v>38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100</v>
      </c>
      <c r="DT171">
        <v>160</v>
      </c>
      <c r="DU171">
        <v>40</v>
      </c>
      <c r="DV171">
        <v>0</v>
      </c>
      <c r="DW171">
        <v>0</v>
      </c>
      <c r="DX171">
        <v>0</v>
      </c>
      <c r="DY171">
        <v>442</v>
      </c>
      <c r="DZ171">
        <v>1265</v>
      </c>
      <c r="EA171">
        <v>1693</v>
      </c>
      <c r="EB171">
        <v>1952</v>
      </c>
      <c r="EC171">
        <v>1448</v>
      </c>
      <c r="ED171">
        <v>381</v>
      </c>
      <c r="EE171">
        <v>6419</v>
      </c>
      <c r="EF171">
        <v>0</v>
      </c>
      <c r="EG171">
        <v>3</v>
      </c>
      <c r="EH171">
        <v>0.8</v>
      </c>
      <c r="EI171">
        <v>6.4</v>
      </c>
      <c r="EJ171">
        <v>0.2</v>
      </c>
      <c r="EK171">
        <v>1.1000000000000001</v>
      </c>
    </row>
    <row r="172" spans="1:141" x14ac:dyDescent="0.25">
      <c r="A172" t="str">
        <f>[1]ingredient!B171</f>
        <v>Johannisbeeren schwarz, gefroren</v>
      </c>
      <c r="B172" t="s">
        <v>278</v>
      </c>
      <c r="C172" s="7">
        <f>_xlfn.XLOOKUP(A172,[1]ingredient!$B$2:$B$521,[1]ingredient!$A$2:$A$521)</f>
        <v>170</v>
      </c>
      <c r="D172">
        <v>59</v>
      </c>
      <c r="E172">
        <v>0.21</v>
      </c>
      <c r="F172">
        <v>1</v>
      </c>
      <c r="G172">
        <v>11</v>
      </c>
      <c r="H172">
        <v>7</v>
      </c>
      <c r="I172">
        <v>11</v>
      </c>
      <c r="J172">
        <v>0.02</v>
      </c>
      <c r="K172">
        <v>77</v>
      </c>
      <c r="L172">
        <v>22</v>
      </c>
      <c r="M172">
        <v>6</v>
      </c>
      <c r="N172">
        <v>0</v>
      </c>
      <c r="O172">
        <v>76</v>
      </c>
      <c r="P172">
        <v>47</v>
      </c>
      <c r="Q172">
        <v>42</v>
      </c>
      <c r="R172">
        <v>281</v>
      </c>
      <c r="S172">
        <v>514</v>
      </c>
      <c r="T172">
        <v>375</v>
      </c>
      <c r="U172">
        <v>75</v>
      </c>
      <c r="V172">
        <v>2</v>
      </c>
      <c r="W172">
        <v>7</v>
      </c>
      <c r="X172">
        <v>0</v>
      </c>
      <c r="Y172">
        <v>157334</v>
      </c>
      <c r="Z172">
        <v>0</v>
      </c>
      <c r="AA172">
        <v>1782</v>
      </c>
      <c r="AB172">
        <v>9</v>
      </c>
      <c r="AC172">
        <v>2</v>
      </c>
      <c r="AD172">
        <v>355</v>
      </c>
      <c r="AE172">
        <v>55</v>
      </c>
      <c r="AF172">
        <v>18</v>
      </c>
      <c r="AG172">
        <v>42</v>
      </c>
      <c r="AH172">
        <v>34</v>
      </c>
      <c r="AI172">
        <v>16</v>
      </c>
      <c r="AJ172">
        <v>1249</v>
      </c>
      <c r="AK172">
        <v>305</v>
      </c>
      <c r="AL172">
        <v>147</v>
      </c>
      <c r="AM172">
        <v>350</v>
      </c>
      <c r="AN172">
        <v>30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4115</v>
      </c>
      <c r="AU172">
        <v>5392</v>
      </c>
      <c r="AV172">
        <v>0</v>
      </c>
      <c r="AW172">
        <v>9507</v>
      </c>
      <c r="AX172">
        <v>1211</v>
      </c>
      <c r="AY172">
        <v>0</v>
      </c>
      <c r="AZ172">
        <v>0</v>
      </c>
      <c r="BA172">
        <v>1211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f t="shared" si="17"/>
        <v>70.833333333333343</v>
      </c>
      <c r="BH172">
        <v>27</v>
      </c>
      <c r="BI172">
        <v>61</v>
      </c>
      <c r="BJ172">
        <v>34</v>
      </c>
      <c r="BK172">
        <v>21</v>
      </c>
      <c r="BL172">
        <v>14</v>
      </c>
      <c r="BM172">
        <v>41</v>
      </c>
      <c r="BN172">
        <v>27</v>
      </c>
      <c r="BO172">
        <v>41</v>
      </c>
      <c r="BP172">
        <v>14</v>
      </c>
      <c r="BQ172">
        <v>48</v>
      </c>
      <c r="BR172">
        <v>75</v>
      </c>
      <c r="BS172">
        <v>34</v>
      </c>
      <c r="BT172">
        <v>437</v>
      </c>
      <c r="BU172">
        <v>61</v>
      </c>
      <c r="BV172">
        <v>197</v>
      </c>
      <c r="BW172">
        <v>211</v>
      </c>
      <c r="BX172">
        <v>54</v>
      </c>
      <c r="BY172">
        <v>48</v>
      </c>
      <c r="BZ172">
        <v>54</v>
      </c>
      <c r="CA172">
        <v>625</v>
      </c>
      <c r="CB172">
        <v>16</v>
      </c>
      <c r="CC172">
        <v>7</v>
      </c>
      <c r="CD172">
        <v>40</v>
      </c>
      <c r="CE172">
        <v>64</v>
      </c>
      <c r="CF172">
        <v>1.6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23</v>
      </c>
      <c r="CO172">
        <v>0</v>
      </c>
      <c r="CP172">
        <v>4</v>
      </c>
      <c r="CQ172">
        <v>0</v>
      </c>
      <c r="CR172">
        <v>0</v>
      </c>
      <c r="CS172">
        <v>0</v>
      </c>
      <c r="CT172">
        <v>27</v>
      </c>
      <c r="CU172">
        <v>0</v>
      </c>
      <c r="CV172">
        <v>0</v>
      </c>
      <c r="CW172">
        <v>2</v>
      </c>
      <c r="CX172">
        <v>0</v>
      </c>
      <c r="CY172">
        <v>33</v>
      </c>
      <c r="CZ172">
        <v>0</v>
      </c>
      <c r="DA172">
        <v>0</v>
      </c>
      <c r="DB172">
        <v>0</v>
      </c>
      <c r="DC172">
        <v>35</v>
      </c>
      <c r="DD172">
        <v>0</v>
      </c>
      <c r="DE172">
        <v>0</v>
      </c>
      <c r="DF172">
        <v>64</v>
      </c>
      <c r="DG172">
        <v>40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104</v>
      </c>
      <c r="DT172">
        <v>166</v>
      </c>
      <c r="DU172">
        <v>42</v>
      </c>
      <c r="DV172">
        <v>0</v>
      </c>
      <c r="DW172">
        <v>0</v>
      </c>
      <c r="DX172">
        <v>0</v>
      </c>
      <c r="DY172">
        <v>460</v>
      </c>
      <c r="DZ172">
        <v>1316</v>
      </c>
      <c r="EA172">
        <v>1762</v>
      </c>
      <c r="EB172">
        <v>2031</v>
      </c>
      <c r="EC172">
        <v>1507</v>
      </c>
      <c r="ED172">
        <v>396</v>
      </c>
      <c r="EE172">
        <v>6679</v>
      </c>
      <c r="EF172">
        <v>0</v>
      </c>
      <c r="EG172">
        <v>3</v>
      </c>
      <c r="EH172">
        <v>0.8</v>
      </c>
      <c r="EI172">
        <v>6.7</v>
      </c>
      <c r="EJ172">
        <v>0.2</v>
      </c>
      <c r="EK172">
        <v>1.1000000000000001</v>
      </c>
    </row>
    <row r="173" spans="1:141" x14ac:dyDescent="0.25">
      <c r="A173" s="12" t="str">
        <f>[1]ingredient!B172</f>
        <v>Jostabeeren</v>
      </c>
      <c r="C173" s="7">
        <f>_xlfn.XLOOKUP(A173,[1]ingredient!$B$2:$B$521,[1]ingredient!$A$2:$A$521)</f>
        <v>171</v>
      </c>
      <c r="D173">
        <f t="shared" ref="D173:BF173" si="27">AVERAGE(D171,D400)</f>
        <v>50.5</v>
      </c>
      <c r="E173">
        <f t="shared" si="27"/>
        <v>0.2</v>
      </c>
      <c r="F173">
        <f t="shared" si="27"/>
        <v>1</v>
      </c>
      <c r="G173">
        <f t="shared" si="27"/>
        <v>9.5</v>
      </c>
      <c r="H173">
        <f t="shared" si="27"/>
        <v>5</v>
      </c>
      <c r="I173">
        <f t="shared" si="27"/>
        <v>9.5</v>
      </c>
      <c r="J173">
        <f t="shared" si="27"/>
        <v>0.01</v>
      </c>
      <c r="K173">
        <f t="shared" si="27"/>
        <v>82</v>
      </c>
      <c r="L173">
        <f t="shared" si="27"/>
        <v>29</v>
      </c>
      <c r="M173">
        <f t="shared" si="27"/>
        <v>12.5</v>
      </c>
      <c r="N173">
        <f t="shared" si="27"/>
        <v>0</v>
      </c>
      <c r="O173">
        <f t="shared" si="27"/>
        <v>145.5</v>
      </c>
      <c r="P173">
        <f t="shared" si="27"/>
        <v>35</v>
      </c>
      <c r="Q173">
        <f t="shared" si="27"/>
        <v>32.5</v>
      </c>
      <c r="R173">
        <f t="shared" si="27"/>
        <v>275</v>
      </c>
      <c r="S173">
        <f t="shared" si="27"/>
        <v>450</v>
      </c>
      <c r="T173">
        <f t="shared" si="27"/>
        <v>300</v>
      </c>
      <c r="U173">
        <f t="shared" si="27"/>
        <v>47.5</v>
      </c>
      <c r="V173">
        <f t="shared" si="27"/>
        <v>1.5</v>
      </c>
      <c r="W173">
        <f t="shared" si="27"/>
        <v>8</v>
      </c>
      <c r="X173">
        <f t="shared" si="27"/>
        <v>0</v>
      </c>
      <c r="Y173">
        <f t="shared" si="27"/>
        <v>112000</v>
      </c>
      <c r="Z173">
        <f t="shared" si="27"/>
        <v>0</v>
      </c>
      <c r="AA173">
        <f t="shared" si="27"/>
        <v>1262</v>
      </c>
      <c r="AB173">
        <f t="shared" si="27"/>
        <v>10</v>
      </c>
      <c r="AC173">
        <f t="shared" si="27"/>
        <v>2</v>
      </c>
      <c r="AD173">
        <f t="shared" si="27"/>
        <v>270.5</v>
      </c>
      <c r="AE173">
        <f t="shared" si="27"/>
        <v>41.5</v>
      </c>
      <c r="AF173">
        <f t="shared" si="27"/>
        <v>16</v>
      </c>
      <c r="AG173">
        <f t="shared" si="27"/>
        <v>35</v>
      </c>
      <c r="AH173">
        <f t="shared" si="27"/>
        <v>24.5</v>
      </c>
      <c r="AI173">
        <f t="shared" si="27"/>
        <v>8</v>
      </c>
      <c r="AJ173">
        <f t="shared" si="27"/>
        <v>915</v>
      </c>
      <c r="AK173">
        <f t="shared" si="27"/>
        <v>196.5</v>
      </c>
      <c r="AL173">
        <f t="shared" si="27"/>
        <v>118</v>
      </c>
      <c r="AM173">
        <f t="shared" si="27"/>
        <v>188</v>
      </c>
      <c r="AN173">
        <f t="shared" si="27"/>
        <v>20</v>
      </c>
      <c r="AO173">
        <f t="shared" si="27"/>
        <v>0.55000000000000004</v>
      </c>
      <c r="AP173">
        <f t="shared" si="27"/>
        <v>0</v>
      </c>
      <c r="AQ173">
        <f t="shared" si="27"/>
        <v>0</v>
      </c>
      <c r="AR173">
        <f t="shared" si="27"/>
        <v>0</v>
      </c>
      <c r="AS173">
        <f t="shared" si="27"/>
        <v>0</v>
      </c>
      <c r="AT173">
        <f t="shared" si="27"/>
        <v>3792.5</v>
      </c>
      <c r="AU173">
        <f t="shared" si="27"/>
        <v>4596</v>
      </c>
      <c r="AV173">
        <f t="shared" si="27"/>
        <v>0</v>
      </c>
      <c r="AW173">
        <f t="shared" si="27"/>
        <v>8388.5</v>
      </c>
      <c r="AX173">
        <f t="shared" si="27"/>
        <v>1011.5</v>
      </c>
      <c r="AY173">
        <f t="shared" si="27"/>
        <v>0</v>
      </c>
      <c r="AZ173">
        <f t="shared" si="27"/>
        <v>0</v>
      </c>
      <c r="BA173">
        <f t="shared" si="27"/>
        <v>1011.5</v>
      </c>
      <c r="BB173">
        <f t="shared" si="27"/>
        <v>0</v>
      </c>
      <c r="BC173">
        <f t="shared" si="27"/>
        <v>0</v>
      </c>
      <c r="BD173">
        <f t="shared" si="27"/>
        <v>0</v>
      </c>
      <c r="BE173">
        <f t="shared" si="27"/>
        <v>0</v>
      </c>
      <c r="BF173">
        <f t="shared" si="27"/>
        <v>0</v>
      </c>
      <c r="BG173">
        <f t="shared" si="17"/>
        <v>55.208333333333336</v>
      </c>
      <c r="BH173">
        <f t="shared" ref="BH173:DS173" si="28">AVERAGE(BH171,BH400)</f>
        <v>21</v>
      </c>
      <c r="BI173">
        <f t="shared" si="28"/>
        <v>47.5</v>
      </c>
      <c r="BJ173">
        <f t="shared" si="28"/>
        <v>26.5</v>
      </c>
      <c r="BK173">
        <f t="shared" si="28"/>
        <v>16</v>
      </c>
      <c r="BL173">
        <f t="shared" si="28"/>
        <v>10.5</v>
      </c>
      <c r="BM173">
        <f t="shared" si="28"/>
        <v>31.5</v>
      </c>
      <c r="BN173">
        <f t="shared" si="28"/>
        <v>21</v>
      </c>
      <c r="BO173">
        <f t="shared" si="28"/>
        <v>31.5</v>
      </c>
      <c r="BP173">
        <f t="shared" si="28"/>
        <v>10.5</v>
      </c>
      <c r="BQ173">
        <f t="shared" si="28"/>
        <v>37</v>
      </c>
      <c r="BR173">
        <f t="shared" si="28"/>
        <v>58</v>
      </c>
      <c r="BS173">
        <f t="shared" si="28"/>
        <v>26.5</v>
      </c>
      <c r="BT173">
        <f t="shared" si="28"/>
        <v>337.5</v>
      </c>
      <c r="BU173">
        <f t="shared" si="28"/>
        <v>47.5</v>
      </c>
      <c r="BV173">
        <f t="shared" si="28"/>
        <v>152.5</v>
      </c>
      <c r="BW173">
        <f t="shared" si="28"/>
        <v>165.5</v>
      </c>
      <c r="BX173">
        <f t="shared" si="28"/>
        <v>42</v>
      </c>
      <c r="BY173">
        <f t="shared" si="28"/>
        <v>37</v>
      </c>
      <c r="BZ173">
        <f t="shared" si="28"/>
        <v>42</v>
      </c>
      <c r="CA173">
        <f t="shared" si="28"/>
        <v>486.5</v>
      </c>
      <c r="CB173">
        <f t="shared" si="28"/>
        <v>15</v>
      </c>
      <c r="CC173">
        <f t="shared" si="28"/>
        <v>6</v>
      </c>
      <c r="CD173">
        <f t="shared" si="28"/>
        <v>28</v>
      </c>
      <c r="CE173">
        <f t="shared" si="28"/>
        <v>83.5</v>
      </c>
      <c r="CF173">
        <f t="shared" si="28"/>
        <v>3.73</v>
      </c>
      <c r="CG173">
        <f t="shared" si="28"/>
        <v>0</v>
      </c>
      <c r="CH173">
        <f t="shared" si="28"/>
        <v>0</v>
      </c>
      <c r="CI173">
        <f t="shared" si="28"/>
        <v>0</v>
      </c>
      <c r="CJ173">
        <f t="shared" si="28"/>
        <v>0</v>
      </c>
      <c r="CK173">
        <f t="shared" si="28"/>
        <v>0</v>
      </c>
      <c r="CL173">
        <f t="shared" si="28"/>
        <v>0</v>
      </c>
      <c r="CM173">
        <f t="shared" si="28"/>
        <v>0</v>
      </c>
      <c r="CN173">
        <f t="shared" si="28"/>
        <v>17</v>
      </c>
      <c r="CO173">
        <f t="shared" si="28"/>
        <v>0</v>
      </c>
      <c r="CP173">
        <f t="shared" si="28"/>
        <v>4</v>
      </c>
      <c r="CQ173">
        <f t="shared" si="28"/>
        <v>0</v>
      </c>
      <c r="CR173">
        <f t="shared" si="28"/>
        <v>0</v>
      </c>
      <c r="CS173">
        <f t="shared" si="28"/>
        <v>0</v>
      </c>
      <c r="CT173">
        <f t="shared" si="28"/>
        <v>21</v>
      </c>
      <c r="CU173">
        <f t="shared" si="28"/>
        <v>0</v>
      </c>
      <c r="CV173">
        <f t="shared" si="28"/>
        <v>0</v>
      </c>
      <c r="CW173">
        <f t="shared" si="28"/>
        <v>2</v>
      </c>
      <c r="CX173">
        <f t="shared" si="28"/>
        <v>0</v>
      </c>
      <c r="CY173">
        <f t="shared" si="28"/>
        <v>25.5</v>
      </c>
      <c r="CZ173">
        <f t="shared" si="28"/>
        <v>0</v>
      </c>
      <c r="DA173">
        <f t="shared" si="28"/>
        <v>0</v>
      </c>
      <c r="DB173">
        <f t="shared" si="28"/>
        <v>0</v>
      </c>
      <c r="DC173">
        <f t="shared" si="28"/>
        <v>27.5</v>
      </c>
      <c r="DD173">
        <f t="shared" si="28"/>
        <v>0</v>
      </c>
      <c r="DE173">
        <f t="shared" si="28"/>
        <v>0</v>
      </c>
      <c r="DF173">
        <f t="shared" si="28"/>
        <v>83.5</v>
      </c>
      <c r="DG173">
        <f t="shared" si="28"/>
        <v>28</v>
      </c>
      <c r="DH173">
        <f t="shared" si="28"/>
        <v>0</v>
      </c>
      <c r="DI173">
        <f t="shared" si="28"/>
        <v>0</v>
      </c>
      <c r="DJ173">
        <f t="shared" si="28"/>
        <v>0</v>
      </c>
      <c r="DK173">
        <f t="shared" si="28"/>
        <v>0</v>
      </c>
      <c r="DL173">
        <f t="shared" si="28"/>
        <v>0</v>
      </c>
      <c r="DM173">
        <f t="shared" si="28"/>
        <v>0</v>
      </c>
      <c r="DN173">
        <f t="shared" si="28"/>
        <v>0</v>
      </c>
      <c r="DO173">
        <f t="shared" si="28"/>
        <v>0</v>
      </c>
      <c r="DP173">
        <f t="shared" si="28"/>
        <v>0</v>
      </c>
      <c r="DQ173">
        <f t="shared" si="28"/>
        <v>0</v>
      </c>
      <c r="DR173">
        <f t="shared" si="28"/>
        <v>0</v>
      </c>
      <c r="DS173">
        <f t="shared" si="28"/>
        <v>111.5</v>
      </c>
      <c r="DT173">
        <f t="shared" ref="DT173:EK173" si="29">AVERAGE(DT171,DT400)</f>
        <v>160</v>
      </c>
      <c r="DU173">
        <f t="shared" si="29"/>
        <v>40</v>
      </c>
      <c r="DV173">
        <f t="shared" si="29"/>
        <v>0</v>
      </c>
      <c r="DW173">
        <f t="shared" si="29"/>
        <v>0</v>
      </c>
      <c r="DX173">
        <f t="shared" si="29"/>
        <v>0</v>
      </c>
      <c r="DY173">
        <f t="shared" si="29"/>
        <v>476</v>
      </c>
      <c r="DZ173">
        <f t="shared" si="29"/>
        <v>824</v>
      </c>
      <c r="EA173">
        <f t="shared" si="29"/>
        <v>1151</v>
      </c>
      <c r="EB173">
        <f t="shared" si="29"/>
        <v>1560.5</v>
      </c>
      <c r="EC173">
        <f t="shared" si="29"/>
        <v>838.5</v>
      </c>
      <c r="ED173">
        <f t="shared" si="29"/>
        <v>712.5</v>
      </c>
      <c r="EE173">
        <f t="shared" si="29"/>
        <v>4137.5</v>
      </c>
      <c r="EF173">
        <f t="shared" si="29"/>
        <v>0</v>
      </c>
      <c r="EG173">
        <f t="shared" si="29"/>
        <v>2</v>
      </c>
      <c r="EH173">
        <f t="shared" si="29"/>
        <v>0.65</v>
      </c>
      <c r="EI173">
        <f t="shared" si="29"/>
        <v>4.1500000000000004</v>
      </c>
      <c r="EJ173">
        <f t="shared" si="29"/>
        <v>0.2</v>
      </c>
      <c r="EK173">
        <f t="shared" si="29"/>
        <v>0.9</v>
      </c>
    </row>
    <row r="174" spans="1:141" x14ac:dyDescent="0.25">
      <c r="A174" t="str">
        <f>[1]ingredient!B173</f>
        <v>Kakaopulver, stark entölt</v>
      </c>
      <c r="B174" t="s">
        <v>279</v>
      </c>
      <c r="C174" s="7">
        <f>_xlfn.XLOOKUP(A174,[1]ingredient!$B$2:$B$521,[1]ingredient!$A$2:$A$521)</f>
        <v>172</v>
      </c>
      <c r="D174">
        <v>286</v>
      </c>
      <c r="E174">
        <v>12</v>
      </c>
      <c r="F174">
        <v>25</v>
      </c>
      <c r="G174">
        <v>20</v>
      </c>
      <c r="H174">
        <v>29</v>
      </c>
      <c r="I174">
        <v>0</v>
      </c>
      <c r="J174">
        <v>0.34</v>
      </c>
      <c r="K174">
        <v>5</v>
      </c>
      <c r="L174">
        <v>0</v>
      </c>
      <c r="M174">
        <v>0</v>
      </c>
      <c r="N174">
        <v>0</v>
      </c>
      <c r="O174">
        <v>0</v>
      </c>
      <c r="P174">
        <v>131</v>
      </c>
      <c r="Q174">
        <v>198</v>
      </c>
      <c r="R174">
        <v>2206</v>
      </c>
      <c r="S174">
        <v>9273</v>
      </c>
      <c r="T174">
        <v>0</v>
      </c>
      <c r="U174">
        <v>373</v>
      </c>
      <c r="V174">
        <v>0</v>
      </c>
      <c r="W174">
        <v>48</v>
      </c>
      <c r="X174">
        <v>1</v>
      </c>
      <c r="Y174">
        <v>0</v>
      </c>
      <c r="Z174">
        <v>0</v>
      </c>
      <c r="AA174">
        <v>2621</v>
      </c>
      <c r="AB174">
        <v>2</v>
      </c>
      <c r="AC174">
        <v>320</v>
      </c>
      <c r="AD174">
        <v>4016</v>
      </c>
      <c r="AE174">
        <v>169</v>
      </c>
      <c r="AF174">
        <v>598</v>
      </c>
      <c r="AG174">
        <v>800</v>
      </c>
      <c r="AH174">
        <v>288</v>
      </c>
      <c r="AI174">
        <v>20</v>
      </c>
      <c r="AJ174">
        <v>51351</v>
      </c>
      <c r="AK174">
        <v>7517</v>
      </c>
      <c r="AL174">
        <v>4554</v>
      </c>
      <c r="AM174">
        <v>5399</v>
      </c>
      <c r="AN174">
        <v>66</v>
      </c>
      <c r="AO174">
        <v>4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19564</v>
      </c>
      <c r="BF174">
        <v>19564</v>
      </c>
      <c r="BG174">
        <f t="shared" si="17"/>
        <v>88.333333333333329</v>
      </c>
      <c r="BH174">
        <v>990</v>
      </c>
      <c r="BI174">
        <v>1625</v>
      </c>
      <c r="BJ174">
        <v>1060</v>
      </c>
      <c r="BK174">
        <v>424</v>
      </c>
      <c r="BL174">
        <v>565</v>
      </c>
      <c r="BM174">
        <v>1166</v>
      </c>
      <c r="BN174">
        <v>778</v>
      </c>
      <c r="BO174">
        <v>1060</v>
      </c>
      <c r="BP174">
        <v>424</v>
      </c>
      <c r="BQ174">
        <v>1555</v>
      </c>
      <c r="BR174">
        <v>1909</v>
      </c>
      <c r="BS174">
        <v>424</v>
      </c>
      <c r="BT174">
        <v>11980</v>
      </c>
      <c r="BU174">
        <v>1236</v>
      </c>
      <c r="BV174">
        <v>2685</v>
      </c>
      <c r="BW174">
        <v>4629</v>
      </c>
      <c r="BX174">
        <v>1167</v>
      </c>
      <c r="BY174">
        <v>1555</v>
      </c>
      <c r="BZ174">
        <v>1555</v>
      </c>
      <c r="CA174">
        <v>12827</v>
      </c>
      <c r="CB174">
        <v>0</v>
      </c>
      <c r="CC174">
        <v>0</v>
      </c>
      <c r="CD174">
        <v>0</v>
      </c>
      <c r="CE174">
        <v>379</v>
      </c>
      <c r="CG174">
        <v>0</v>
      </c>
      <c r="CH174">
        <v>0</v>
      </c>
      <c r="CI174">
        <v>0</v>
      </c>
      <c r="CJ174">
        <v>0</v>
      </c>
      <c r="CK174">
        <v>23</v>
      </c>
      <c r="CL174">
        <v>57</v>
      </c>
      <c r="CM174">
        <v>0</v>
      </c>
      <c r="CN174">
        <v>3052</v>
      </c>
      <c r="CO174">
        <v>0</v>
      </c>
      <c r="CP174">
        <v>3842</v>
      </c>
      <c r="CQ174">
        <v>92</v>
      </c>
      <c r="CR174">
        <v>0</v>
      </c>
      <c r="CS174">
        <v>0</v>
      </c>
      <c r="CT174">
        <v>7066</v>
      </c>
      <c r="CU174">
        <v>0</v>
      </c>
      <c r="CV174">
        <v>0</v>
      </c>
      <c r="CW174">
        <v>23</v>
      </c>
      <c r="CX174">
        <v>0</v>
      </c>
      <c r="CY174">
        <v>4004</v>
      </c>
      <c r="CZ174">
        <v>0</v>
      </c>
      <c r="DA174">
        <v>0</v>
      </c>
      <c r="DB174">
        <v>0</v>
      </c>
      <c r="DC174">
        <v>4027</v>
      </c>
      <c r="DD174">
        <v>0</v>
      </c>
      <c r="DE174">
        <v>0</v>
      </c>
      <c r="DF174">
        <v>379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379</v>
      </c>
      <c r="DT174">
        <v>11472</v>
      </c>
      <c r="DU174">
        <v>528</v>
      </c>
      <c r="DV174">
        <v>0</v>
      </c>
      <c r="DW174">
        <v>0</v>
      </c>
      <c r="DX174">
        <v>0</v>
      </c>
      <c r="DY174">
        <v>2888</v>
      </c>
      <c r="DZ174">
        <v>2888</v>
      </c>
      <c r="EA174">
        <v>1444</v>
      </c>
      <c r="EB174">
        <v>2888</v>
      </c>
      <c r="EC174">
        <v>18772</v>
      </c>
      <c r="ED174">
        <v>1444</v>
      </c>
      <c r="EE174">
        <v>27436</v>
      </c>
      <c r="EF174">
        <v>0</v>
      </c>
      <c r="EG174">
        <v>0</v>
      </c>
      <c r="EH174">
        <v>9.6999999999999993</v>
      </c>
      <c r="EI174">
        <v>27.4</v>
      </c>
      <c r="EJ174">
        <v>12</v>
      </c>
      <c r="EK174">
        <v>24.8</v>
      </c>
    </row>
    <row r="175" spans="1:141" x14ac:dyDescent="0.25">
      <c r="A175" t="str">
        <f>[1]ingredient!B174</f>
        <v>Kaki</v>
      </c>
      <c r="B175" t="s">
        <v>280</v>
      </c>
      <c r="C175" s="7">
        <f>_xlfn.XLOOKUP(A175,[1]ingredient!$B$2:$B$521,[1]ingredient!$A$2:$A$521)</f>
        <v>173</v>
      </c>
      <c r="D175">
        <v>71</v>
      </c>
      <c r="E175">
        <v>0.3</v>
      </c>
      <c r="F175">
        <v>1</v>
      </c>
      <c r="G175">
        <v>16</v>
      </c>
      <c r="H175">
        <v>3</v>
      </c>
      <c r="I175">
        <v>16</v>
      </c>
      <c r="J175">
        <v>0.02</v>
      </c>
      <c r="K175">
        <v>79</v>
      </c>
      <c r="L175">
        <v>267</v>
      </c>
      <c r="M175">
        <v>133</v>
      </c>
      <c r="N175">
        <v>0</v>
      </c>
      <c r="O175">
        <v>1600</v>
      </c>
      <c r="P175">
        <v>24</v>
      </c>
      <c r="Q175">
        <v>30</v>
      </c>
      <c r="R175">
        <v>230</v>
      </c>
      <c r="S175">
        <v>413</v>
      </c>
      <c r="T175">
        <v>200</v>
      </c>
      <c r="U175">
        <v>50</v>
      </c>
      <c r="V175">
        <v>0.3</v>
      </c>
      <c r="W175">
        <v>8</v>
      </c>
      <c r="X175">
        <v>0</v>
      </c>
      <c r="Y175">
        <v>16000</v>
      </c>
      <c r="Z175">
        <v>0</v>
      </c>
      <c r="AA175">
        <v>800</v>
      </c>
      <c r="AB175">
        <v>10</v>
      </c>
      <c r="AC175">
        <v>4</v>
      </c>
      <c r="AD175">
        <v>170</v>
      </c>
      <c r="AE175">
        <v>8</v>
      </c>
      <c r="AF175">
        <v>8</v>
      </c>
      <c r="AG175">
        <v>25</v>
      </c>
      <c r="AH175">
        <v>17</v>
      </c>
      <c r="AI175">
        <v>18</v>
      </c>
      <c r="AJ175">
        <v>370</v>
      </c>
      <c r="AK175">
        <v>110</v>
      </c>
      <c r="AL175">
        <v>113</v>
      </c>
      <c r="AM175">
        <v>355</v>
      </c>
      <c r="AN175">
        <v>15</v>
      </c>
      <c r="AO175">
        <v>2</v>
      </c>
      <c r="AP175">
        <v>0</v>
      </c>
      <c r="AQ175">
        <v>0</v>
      </c>
      <c r="AR175">
        <v>0</v>
      </c>
      <c r="AS175">
        <v>0</v>
      </c>
      <c r="AT175">
        <v>7040</v>
      </c>
      <c r="AU175">
        <v>8000</v>
      </c>
      <c r="AV175">
        <v>0</v>
      </c>
      <c r="AW175">
        <v>15040</v>
      </c>
      <c r="AX175">
        <v>960</v>
      </c>
      <c r="AY175">
        <v>0</v>
      </c>
      <c r="AZ175">
        <v>0</v>
      </c>
      <c r="BA175">
        <v>960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f t="shared" si="17"/>
        <v>75</v>
      </c>
      <c r="BH175">
        <v>28</v>
      </c>
      <c r="BI175">
        <v>46</v>
      </c>
      <c r="BJ175">
        <v>36</v>
      </c>
      <c r="BK175">
        <v>6</v>
      </c>
      <c r="BL175">
        <v>14</v>
      </c>
      <c r="BM175">
        <v>29</v>
      </c>
      <c r="BN175">
        <v>18</v>
      </c>
      <c r="BO175">
        <v>33</v>
      </c>
      <c r="BP175">
        <v>11</v>
      </c>
      <c r="BQ175">
        <v>33</v>
      </c>
      <c r="BR175">
        <v>28</v>
      </c>
      <c r="BS175">
        <v>13</v>
      </c>
      <c r="BT175">
        <v>295</v>
      </c>
      <c r="BU175">
        <v>32</v>
      </c>
      <c r="BV175">
        <v>63</v>
      </c>
      <c r="BW175">
        <v>84</v>
      </c>
      <c r="BX175">
        <v>28</v>
      </c>
      <c r="BY175">
        <v>24</v>
      </c>
      <c r="BZ175">
        <v>24</v>
      </c>
      <c r="CA175">
        <v>255</v>
      </c>
      <c r="CB175">
        <v>15</v>
      </c>
      <c r="CC175">
        <v>6</v>
      </c>
      <c r="CD175">
        <v>23</v>
      </c>
      <c r="CE175">
        <v>96</v>
      </c>
      <c r="CF175">
        <v>4.17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2</v>
      </c>
      <c r="CM175">
        <v>0</v>
      </c>
      <c r="CN175">
        <v>58</v>
      </c>
      <c r="CO175">
        <v>0</v>
      </c>
      <c r="CP175">
        <v>10</v>
      </c>
      <c r="CQ175">
        <v>0</v>
      </c>
      <c r="CR175">
        <v>0</v>
      </c>
      <c r="CS175">
        <v>0</v>
      </c>
      <c r="CT175">
        <v>71</v>
      </c>
      <c r="CU175">
        <v>0</v>
      </c>
      <c r="CV175">
        <v>0</v>
      </c>
      <c r="CW175">
        <v>2</v>
      </c>
      <c r="CX175">
        <v>0</v>
      </c>
      <c r="CY175">
        <v>48</v>
      </c>
      <c r="CZ175">
        <v>0</v>
      </c>
      <c r="DA175">
        <v>0</v>
      </c>
      <c r="DB175">
        <v>0</v>
      </c>
      <c r="DC175">
        <v>50</v>
      </c>
      <c r="DD175">
        <v>0</v>
      </c>
      <c r="DE175">
        <v>0</v>
      </c>
      <c r="DF175">
        <v>96</v>
      </c>
      <c r="DG175">
        <v>23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119</v>
      </c>
      <c r="DT175">
        <v>240</v>
      </c>
      <c r="DU175">
        <v>60</v>
      </c>
      <c r="DV175">
        <v>0</v>
      </c>
      <c r="DW175">
        <v>0</v>
      </c>
      <c r="DX175">
        <v>0</v>
      </c>
      <c r="DY175">
        <v>450</v>
      </c>
      <c r="DZ175">
        <v>600</v>
      </c>
      <c r="EA175">
        <v>600</v>
      </c>
      <c r="EB175">
        <v>600</v>
      </c>
      <c r="EC175">
        <v>750</v>
      </c>
      <c r="ED175">
        <v>750</v>
      </c>
      <c r="EE175">
        <v>2250</v>
      </c>
      <c r="EF175">
        <v>0</v>
      </c>
      <c r="EG175">
        <v>0.27</v>
      </c>
      <c r="EH175">
        <v>0.7</v>
      </c>
      <c r="EI175">
        <v>2.2999999999999998</v>
      </c>
      <c r="EJ175">
        <v>0.3</v>
      </c>
      <c r="EK175">
        <v>0.6</v>
      </c>
    </row>
    <row r="176" spans="1:141" x14ac:dyDescent="0.25">
      <c r="A176" t="str">
        <f>[1]ingredient!B175</f>
        <v>Kamut</v>
      </c>
      <c r="B176" t="s">
        <v>281</v>
      </c>
      <c r="C176" s="7">
        <f>_xlfn.XLOOKUP(A176,[1]ingredient!$B$2:$B$521,[1]ingredient!$A$2:$A$521)</f>
        <v>174</v>
      </c>
      <c r="D176">
        <v>305</v>
      </c>
      <c r="E176">
        <v>2</v>
      </c>
      <c r="F176">
        <v>11</v>
      </c>
      <c r="G176">
        <v>60</v>
      </c>
      <c r="H176">
        <v>13</v>
      </c>
      <c r="I176">
        <v>1</v>
      </c>
      <c r="J176">
        <v>0.06</v>
      </c>
      <c r="K176">
        <v>12</v>
      </c>
      <c r="L176">
        <v>3</v>
      </c>
      <c r="M176">
        <v>2</v>
      </c>
      <c r="N176">
        <v>0</v>
      </c>
      <c r="O176">
        <v>20</v>
      </c>
      <c r="P176">
        <v>455</v>
      </c>
      <c r="Q176">
        <v>93</v>
      </c>
      <c r="R176">
        <v>5100</v>
      </c>
      <c r="S176">
        <v>7600</v>
      </c>
      <c r="T176">
        <v>1180</v>
      </c>
      <c r="U176">
        <v>269</v>
      </c>
      <c r="V176">
        <v>6</v>
      </c>
      <c r="W176">
        <v>87</v>
      </c>
      <c r="X176">
        <v>0</v>
      </c>
      <c r="Y176">
        <v>0</v>
      </c>
      <c r="Z176">
        <v>0</v>
      </c>
      <c r="AA176">
        <v>1000</v>
      </c>
      <c r="AB176">
        <v>0</v>
      </c>
      <c r="AC176">
        <v>8</v>
      </c>
      <c r="AD176">
        <v>380</v>
      </c>
      <c r="AE176">
        <v>33</v>
      </c>
      <c r="AF176">
        <v>97</v>
      </c>
      <c r="AG176">
        <v>342</v>
      </c>
      <c r="AH176">
        <v>140</v>
      </c>
      <c r="AI176">
        <v>55</v>
      </c>
      <c r="AJ176">
        <v>3176</v>
      </c>
      <c r="AK176">
        <v>2560</v>
      </c>
      <c r="AL176">
        <v>370</v>
      </c>
      <c r="AM176">
        <v>3095</v>
      </c>
      <c r="AN176">
        <v>90</v>
      </c>
      <c r="AO176">
        <v>7</v>
      </c>
      <c r="AP176">
        <v>0</v>
      </c>
      <c r="AQ176">
        <v>0</v>
      </c>
      <c r="AR176">
        <v>0</v>
      </c>
      <c r="AS176">
        <v>0</v>
      </c>
      <c r="AT176">
        <v>60</v>
      </c>
      <c r="AU176">
        <v>42</v>
      </c>
      <c r="AV176">
        <v>0</v>
      </c>
      <c r="AW176">
        <v>102</v>
      </c>
      <c r="AX176">
        <v>600</v>
      </c>
      <c r="AY176">
        <v>0</v>
      </c>
      <c r="AZ176">
        <v>0</v>
      </c>
      <c r="BA176">
        <v>600</v>
      </c>
      <c r="BB176">
        <v>357</v>
      </c>
      <c r="BC176">
        <v>170</v>
      </c>
      <c r="BD176">
        <v>0</v>
      </c>
      <c r="BE176">
        <v>58160</v>
      </c>
      <c r="BF176">
        <v>58160</v>
      </c>
      <c r="BG176">
        <f t="shared" si="17"/>
        <v>71.969696969696969</v>
      </c>
      <c r="BH176">
        <v>540</v>
      </c>
      <c r="BI176">
        <v>920</v>
      </c>
      <c r="BJ176">
        <v>380</v>
      </c>
      <c r="BK176">
        <v>220</v>
      </c>
      <c r="BL176">
        <v>290</v>
      </c>
      <c r="BM176">
        <v>640</v>
      </c>
      <c r="BN176">
        <v>410</v>
      </c>
      <c r="BO176">
        <v>430</v>
      </c>
      <c r="BP176">
        <v>150</v>
      </c>
      <c r="BQ176">
        <v>620</v>
      </c>
      <c r="BR176">
        <v>620</v>
      </c>
      <c r="BS176">
        <v>280</v>
      </c>
      <c r="BT176">
        <v>5500</v>
      </c>
      <c r="BU176">
        <v>510</v>
      </c>
      <c r="BV176">
        <v>700</v>
      </c>
      <c r="BW176">
        <v>4080</v>
      </c>
      <c r="BX176">
        <v>720</v>
      </c>
      <c r="BY176">
        <v>1560</v>
      </c>
      <c r="BZ176">
        <v>710</v>
      </c>
      <c r="CA176">
        <v>8280</v>
      </c>
      <c r="CB176">
        <v>51</v>
      </c>
      <c r="CC176">
        <v>17</v>
      </c>
      <c r="CD176">
        <v>51</v>
      </c>
      <c r="CE176">
        <v>765</v>
      </c>
      <c r="CF176">
        <v>15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1</v>
      </c>
      <c r="CM176">
        <v>1</v>
      </c>
      <c r="CN176">
        <v>283</v>
      </c>
      <c r="CO176">
        <v>0</v>
      </c>
      <c r="CP176">
        <v>13</v>
      </c>
      <c r="CQ176">
        <v>11</v>
      </c>
      <c r="CR176">
        <v>0</v>
      </c>
      <c r="CS176">
        <v>0</v>
      </c>
      <c r="CT176">
        <v>310</v>
      </c>
      <c r="CU176">
        <v>0</v>
      </c>
      <c r="CV176">
        <v>0</v>
      </c>
      <c r="CW176">
        <v>8</v>
      </c>
      <c r="CX176">
        <v>0</v>
      </c>
      <c r="CY176">
        <v>176</v>
      </c>
      <c r="CZ176">
        <v>6</v>
      </c>
      <c r="DA176">
        <v>0</v>
      </c>
      <c r="DB176">
        <v>0</v>
      </c>
      <c r="DC176">
        <v>191</v>
      </c>
      <c r="DD176">
        <v>0</v>
      </c>
      <c r="DE176">
        <v>0</v>
      </c>
      <c r="DF176">
        <v>762</v>
      </c>
      <c r="DG176">
        <v>51</v>
      </c>
      <c r="DH176">
        <v>0</v>
      </c>
      <c r="DI176">
        <v>0</v>
      </c>
      <c r="DJ176">
        <v>0</v>
      </c>
      <c r="DK176">
        <v>0</v>
      </c>
      <c r="DL176">
        <v>3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816</v>
      </c>
      <c r="DT176">
        <v>1317</v>
      </c>
      <c r="DU176">
        <v>513</v>
      </c>
      <c r="DV176">
        <v>0</v>
      </c>
      <c r="DW176">
        <v>0</v>
      </c>
      <c r="DX176">
        <v>0</v>
      </c>
      <c r="DY176">
        <v>5304</v>
      </c>
      <c r="DZ176">
        <v>3978</v>
      </c>
      <c r="EA176">
        <v>928</v>
      </c>
      <c r="EB176">
        <v>2800</v>
      </c>
      <c r="EC176">
        <v>663</v>
      </c>
      <c r="ED176">
        <v>2890</v>
      </c>
      <c r="EE176">
        <v>10370</v>
      </c>
      <c r="EF176">
        <v>0</v>
      </c>
      <c r="EG176">
        <v>0</v>
      </c>
      <c r="EH176">
        <v>1.6</v>
      </c>
      <c r="EI176">
        <v>10.4</v>
      </c>
      <c r="EJ176">
        <v>1.8</v>
      </c>
      <c r="EK176">
        <v>13.9</v>
      </c>
    </row>
    <row r="177" spans="1:141" x14ac:dyDescent="0.25">
      <c r="A177" t="str">
        <f>[1]ingredient!B176</f>
        <v>Kardamon</v>
      </c>
      <c r="B177" t="s">
        <v>282</v>
      </c>
      <c r="C177" s="7">
        <f>_xlfn.XLOOKUP(A177,[1]ingredient!$B$2:$B$521,[1]ingredient!$A$2:$A$521)</f>
        <v>175</v>
      </c>
      <c r="D177">
        <v>336</v>
      </c>
      <c r="E177">
        <v>7</v>
      </c>
      <c r="F177">
        <v>11</v>
      </c>
      <c r="G177">
        <v>57</v>
      </c>
      <c r="H177">
        <v>11</v>
      </c>
      <c r="I177">
        <v>54</v>
      </c>
      <c r="J177">
        <v>0.08</v>
      </c>
      <c r="K177">
        <v>8</v>
      </c>
      <c r="L177">
        <v>0</v>
      </c>
      <c r="M177">
        <v>0.08</v>
      </c>
      <c r="N177">
        <v>0</v>
      </c>
      <c r="O177">
        <v>1</v>
      </c>
      <c r="P177">
        <v>200</v>
      </c>
      <c r="Q177">
        <v>180</v>
      </c>
      <c r="R177">
        <v>1100</v>
      </c>
      <c r="S177">
        <v>2900</v>
      </c>
      <c r="T177">
        <v>500</v>
      </c>
      <c r="U177">
        <v>200</v>
      </c>
      <c r="V177">
        <v>10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18</v>
      </c>
      <c r="AD177">
        <v>1120</v>
      </c>
      <c r="AE177">
        <v>130</v>
      </c>
      <c r="AF177">
        <v>230</v>
      </c>
      <c r="AG177">
        <v>170</v>
      </c>
      <c r="AH177">
        <v>100</v>
      </c>
      <c r="AI177">
        <v>60</v>
      </c>
      <c r="AJ177">
        <v>100000</v>
      </c>
      <c r="AK177">
        <v>2600</v>
      </c>
      <c r="AL177">
        <v>1300</v>
      </c>
      <c r="AM177">
        <v>8900</v>
      </c>
      <c r="AN177">
        <v>50</v>
      </c>
      <c r="AO177">
        <v>5</v>
      </c>
      <c r="AP177">
        <v>0</v>
      </c>
      <c r="AQ177">
        <v>0</v>
      </c>
      <c r="AR177">
        <v>0</v>
      </c>
      <c r="AS177">
        <v>0</v>
      </c>
      <c r="AT177">
        <v>28600</v>
      </c>
      <c r="AU177">
        <v>23452</v>
      </c>
      <c r="AV177">
        <v>0</v>
      </c>
      <c r="AW177">
        <v>52052</v>
      </c>
      <c r="AX177">
        <v>2288</v>
      </c>
      <c r="AY177">
        <v>0</v>
      </c>
      <c r="AZ177">
        <v>0</v>
      </c>
      <c r="BA177">
        <v>2288</v>
      </c>
      <c r="BB177">
        <v>0</v>
      </c>
      <c r="BC177">
        <v>0</v>
      </c>
      <c r="BD177">
        <v>0</v>
      </c>
      <c r="BE177">
        <v>2860</v>
      </c>
      <c r="BF177">
        <v>2860</v>
      </c>
      <c r="BG177">
        <f t="shared" si="17"/>
        <v>80.476900149031295</v>
      </c>
      <c r="BH177">
        <v>324</v>
      </c>
      <c r="BI177">
        <v>540</v>
      </c>
      <c r="BJ177">
        <v>540</v>
      </c>
      <c r="BK177">
        <v>162</v>
      </c>
      <c r="BL177">
        <v>108</v>
      </c>
      <c r="BM177">
        <v>378</v>
      </c>
      <c r="BN177">
        <v>216</v>
      </c>
      <c r="BO177">
        <v>270</v>
      </c>
      <c r="BP177">
        <v>108</v>
      </c>
      <c r="BQ177">
        <v>432</v>
      </c>
      <c r="BR177">
        <v>486</v>
      </c>
      <c r="BS177">
        <v>162</v>
      </c>
      <c r="BT177">
        <v>3726</v>
      </c>
      <c r="BU177">
        <v>648</v>
      </c>
      <c r="BV177">
        <v>1620</v>
      </c>
      <c r="BW177">
        <v>1512</v>
      </c>
      <c r="BX177">
        <v>432</v>
      </c>
      <c r="BY177">
        <v>378</v>
      </c>
      <c r="BZ177">
        <v>432</v>
      </c>
      <c r="CA177">
        <v>5022</v>
      </c>
      <c r="CB177">
        <v>50</v>
      </c>
      <c r="CC177">
        <v>21</v>
      </c>
      <c r="CD177">
        <v>0</v>
      </c>
      <c r="CE177">
        <v>658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6</v>
      </c>
      <c r="CM177">
        <v>0</v>
      </c>
      <c r="CN177">
        <v>320</v>
      </c>
      <c r="CO177">
        <v>0</v>
      </c>
      <c r="CP177">
        <v>43</v>
      </c>
      <c r="CQ177">
        <v>0</v>
      </c>
      <c r="CR177">
        <v>0</v>
      </c>
      <c r="CS177">
        <v>0</v>
      </c>
      <c r="CT177">
        <v>369</v>
      </c>
      <c r="CU177">
        <v>0</v>
      </c>
      <c r="CV177">
        <v>0</v>
      </c>
      <c r="CW177">
        <v>37</v>
      </c>
      <c r="CX177">
        <v>0</v>
      </c>
      <c r="CY177">
        <v>5087</v>
      </c>
      <c r="CZ177">
        <v>0</v>
      </c>
      <c r="DA177">
        <v>0</v>
      </c>
      <c r="DB177">
        <v>0</v>
      </c>
      <c r="DC177">
        <v>5124</v>
      </c>
      <c r="DD177">
        <v>0</v>
      </c>
      <c r="DE177">
        <v>0</v>
      </c>
      <c r="DF177">
        <v>658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658</v>
      </c>
      <c r="DT177">
        <v>6151</v>
      </c>
      <c r="DU177">
        <v>549</v>
      </c>
      <c r="DV177">
        <v>0</v>
      </c>
      <c r="DW177">
        <v>0</v>
      </c>
      <c r="DX177">
        <v>0</v>
      </c>
      <c r="DY177">
        <v>2484</v>
      </c>
      <c r="DZ177">
        <v>2032</v>
      </c>
      <c r="EA177">
        <v>2258</v>
      </c>
      <c r="EB177">
        <v>2258</v>
      </c>
      <c r="EC177">
        <v>2258</v>
      </c>
      <c r="ED177">
        <v>3387</v>
      </c>
      <c r="EE177">
        <v>7903</v>
      </c>
      <c r="EF177">
        <v>0</v>
      </c>
      <c r="EG177">
        <v>7.0000000000000007E-2</v>
      </c>
      <c r="EH177">
        <v>5.8</v>
      </c>
      <c r="EI177">
        <v>7.9</v>
      </c>
      <c r="EJ177">
        <v>6.7</v>
      </c>
      <c r="EK177">
        <v>8.9</v>
      </c>
    </row>
    <row r="178" spans="1:141" x14ac:dyDescent="0.25">
      <c r="A178" t="str">
        <f>[1]ingredient!B177</f>
        <v>Kartoffeln</v>
      </c>
      <c r="B178" t="s">
        <v>283</v>
      </c>
      <c r="C178" s="7">
        <f>_xlfn.XLOOKUP(A178,[1]ingredient!$B$2:$B$521,[1]ingredient!$A$2:$A$521)</f>
        <v>176</v>
      </c>
      <c r="D178">
        <v>73</v>
      </c>
      <c r="E178">
        <v>0.01</v>
      </c>
      <c r="F178">
        <v>2</v>
      </c>
      <c r="G178">
        <v>16</v>
      </c>
      <c r="H178">
        <v>1</v>
      </c>
      <c r="I178">
        <v>1</v>
      </c>
      <c r="J178">
        <v>0.05</v>
      </c>
      <c r="K178">
        <v>80</v>
      </c>
      <c r="L178">
        <v>1</v>
      </c>
      <c r="M178">
        <v>0.42</v>
      </c>
      <c r="N178">
        <v>0</v>
      </c>
      <c r="O178">
        <v>5</v>
      </c>
      <c r="P178">
        <v>78</v>
      </c>
      <c r="Q178">
        <v>7</v>
      </c>
      <c r="R178">
        <v>1220</v>
      </c>
      <c r="S178">
        <v>1720</v>
      </c>
      <c r="T178">
        <v>400</v>
      </c>
      <c r="U178">
        <v>164</v>
      </c>
      <c r="V178">
        <v>0.4</v>
      </c>
      <c r="W178">
        <v>15</v>
      </c>
      <c r="X178">
        <v>0</v>
      </c>
      <c r="Y178">
        <v>18760</v>
      </c>
      <c r="Z178">
        <v>0</v>
      </c>
      <c r="AA178">
        <v>53</v>
      </c>
      <c r="AB178">
        <v>2</v>
      </c>
      <c r="AC178">
        <v>3</v>
      </c>
      <c r="AD178">
        <v>381</v>
      </c>
      <c r="AE178">
        <v>9</v>
      </c>
      <c r="AF178">
        <v>22</v>
      </c>
      <c r="AG178">
        <v>31</v>
      </c>
      <c r="AH178">
        <v>35</v>
      </c>
      <c r="AI178">
        <v>45</v>
      </c>
      <c r="AJ178">
        <v>890</v>
      </c>
      <c r="AK178">
        <v>423</v>
      </c>
      <c r="AL178">
        <v>99</v>
      </c>
      <c r="AM178">
        <v>106</v>
      </c>
      <c r="AN178">
        <v>10</v>
      </c>
      <c r="AO178">
        <v>3</v>
      </c>
      <c r="AP178">
        <v>0</v>
      </c>
      <c r="AQ178">
        <v>0</v>
      </c>
      <c r="AR178">
        <v>0</v>
      </c>
      <c r="AS178">
        <v>0</v>
      </c>
      <c r="AT178">
        <v>234</v>
      </c>
      <c r="AU178">
        <v>156</v>
      </c>
      <c r="AV178">
        <v>0</v>
      </c>
      <c r="AW178">
        <v>390</v>
      </c>
      <c r="AX178">
        <v>312</v>
      </c>
      <c r="AY178">
        <v>0</v>
      </c>
      <c r="AZ178">
        <v>0</v>
      </c>
      <c r="BA178">
        <v>312</v>
      </c>
      <c r="BB178">
        <v>0</v>
      </c>
      <c r="BC178">
        <v>0</v>
      </c>
      <c r="BD178">
        <v>0</v>
      </c>
      <c r="BE178">
        <v>14914</v>
      </c>
      <c r="BF178">
        <v>14914</v>
      </c>
      <c r="BG178">
        <f t="shared" si="17"/>
        <v>103.125</v>
      </c>
      <c r="BH178">
        <v>90</v>
      </c>
      <c r="BI178">
        <v>127</v>
      </c>
      <c r="BJ178">
        <v>127</v>
      </c>
      <c r="BK178">
        <v>33</v>
      </c>
      <c r="BL178">
        <v>21</v>
      </c>
      <c r="BM178">
        <v>93</v>
      </c>
      <c r="BN178">
        <v>65</v>
      </c>
      <c r="BO178">
        <v>76</v>
      </c>
      <c r="BP178">
        <v>30</v>
      </c>
      <c r="BQ178">
        <v>116</v>
      </c>
      <c r="BR178">
        <v>116</v>
      </c>
      <c r="BS178">
        <v>33</v>
      </c>
      <c r="BT178">
        <v>927</v>
      </c>
      <c r="BU178">
        <v>83</v>
      </c>
      <c r="BV178">
        <v>336</v>
      </c>
      <c r="BW178">
        <v>359</v>
      </c>
      <c r="BX178">
        <v>74</v>
      </c>
      <c r="BY178">
        <v>79</v>
      </c>
      <c r="BZ178">
        <v>83</v>
      </c>
      <c r="CA178">
        <v>1014</v>
      </c>
      <c r="CB178">
        <v>16</v>
      </c>
      <c r="CC178">
        <v>7</v>
      </c>
      <c r="CD178">
        <v>2</v>
      </c>
      <c r="CE178">
        <v>6</v>
      </c>
      <c r="CF178">
        <v>3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2</v>
      </c>
      <c r="CO178">
        <v>0</v>
      </c>
      <c r="CP178">
        <v>1</v>
      </c>
      <c r="CQ178">
        <v>0</v>
      </c>
      <c r="CR178">
        <v>0</v>
      </c>
      <c r="CS178">
        <v>0</v>
      </c>
      <c r="CT178">
        <v>3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6</v>
      </c>
      <c r="DG178">
        <v>2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8</v>
      </c>
      <c r="DT178">
        <v>11</v>
      </c>
      <c r="DU178">
        <v>3</v>
      </c>
      <c r="DV178">
        <v>0</v>
      </c>
      <c r="DW178">
        <v>0</v>
      </c>
      <c r="DX178">
        <v>0</v>
      </c>
      <c r="DY178">
        <v>123</v>
      </c>
      <c r="DZ178">
        <v>455</v>
      </c>
      <c r="EA178">
        <v>221</v>
      </c>
      <c r="EB178">
        <v>431</v>
      </c>
      <c r="EC178">
        <v>0</v>
      </c>
      <c r="ED178">
        <v>369</v>
      </c>
      <c r="EE178">
        <v>861</v>
      </c>
      <c r="EF178">
        <v>0</v>
      </c>
      <c r="EG178">
        <v>1</v>
      </c>
      <c r="EH178">
        <v>1</v>
      </c>
      <c r="EI178">
        <v>0.9</v>
      </c>
      <c r="EJ178">
        <v>0</v>
      </c>
      <c r="EK178">
        <v>2</v>
      </c>
    </row>
    <row r="179" spans="1:141" x14ac:dyDescent="0.25">
      <c r="A179" t="str">
        <f>[1]ingredient!B178</f>
        <v>Kartoffeln rot</v>
      </c>
      <c r="B179" t="s">
        <v>283</v>
      </c>
      <c r="C179" s="7">
        <f>_xlfn.XLOOKUP(A179,[1]ingredient!$B$2:$B$521,[1]ingredient!$A$2:$A$521)</f>
        <v>177</v>
      </c>
      <c r="D179">
        <v>73</v>
      </c>
      <c r="E179">
        <v>0.01</v>
      </c>
      <c r="F179">
        <v>2</v>
      </c>
      <c r="G179">
        <v>16</v>
      </c>
      <c r="H179">
        <v>1</v>
      </c>
      <c r="I179">
        <v>1</v>
      </c>
      <c r="J179">
        <v>0.05</v>
      </c>
      <c r="K179">
        <v>80</v>
      </c>
      <c r="L179">
        <v>1</v>
      </c>
      <c r="M179">
        <v>0.42</v>
      </c>
      <c r="N179">
        <v>0</v>
      </c>
      <c r="O179">
        <v>5</v>
      </c>
      <c r="P179">
        <v>78</v>
      </c>
      <c r="Q179">
        <v>7</v>
      </c>
      <c r="R179">
        <v>1220</v>
      </c>
      <c r="S179">
        <v>1720</v>
      </c>
      <c r="T179">
        <v>400</v>
      </c>
      <c r="U179">
        <v>164</v>
      </c>
      <c r="V179">
        <v>0.4</v>
      </c>
      <c r="W179">
        <v>15</v>
      </c>
      <c r="X179">
        <v>0</v>
      </c>
      <c r="Y179">
        <v>18760</v>
      </c>
      <c r="Z179">
        <v>0</v>
      </c>
      <c r="AA179">
        <v>53</v>
      </c>
      <c r="AB179">
        <v>2</v>
      </c>
      <c r="AC179">
        <v>3</v>
      </c>
      <c r="AD179">
        <v>381</v>
      </c>
      <c r="AE179">
        <v>9</v>
      </c>
      <c r="AF179">
        <v>22</v>
      </c>
      <c r="AG179">
        <v>31</v>
      </c>
      <c r="AH179">
        <v>35</v>
      </c>
      <c r="AI179">
        <v>45</v>
      </c>
      <c r="AJ179">
        <v>890</v>
      </c>
      <c r="AK179">
        <v>423</v>
      </c>
      <c r="AL179">
        <v>99</v>
      </c>
      <c r="AM179">
        <v>106</v>
      </c>
      <c r="AN179">
        <v>10</v>
      </c>
      <c r="AO179">
        <v>3</v>
      </c>
      <c r="AP179">
        <v>0</v>
      </c>
      <c r="AQ179">
        <v>0</v>
      </c>
      <c r="AR179">
        <v>0</v>
      </c>
      <c r="AS179">
        <v>0</v>
      </c>
      <c r="AT179">
        <v>234</v>
      </c>
      <c r="AU179">
        <v>156</v>
      </c>
      <c r="AV179">
        <v>0</v>
      </c>
      <c r="AW179">
        <v>390</v>
      </c>
      <c r="AX179">
        <v>312</v>
      </c>
      <c r="AY179">
        <v>0</v>
      </c>
      <c r="AZ179">
        <v>0</v>
      </c>
      <c r="BA179">
        <v>312</v>
      </c>
      <c r="BB179">
        <v>0</v>
      </c>
      <c r="BC179">
        <v>0</v>
      </c>
      <c r="BD179">
        <v>0</v>
      </c>
      <c r="BE179">
        <v>14914</v>
      </c>
      <c r="BF179">
        <v>14914</v>
      </c>
      <c r="BG179">
        <f t="shared" si="17"/>
        <v>103.125</v>
      </c>
      <c r="BH179">
        <v>90</v>
      </c>
      <c r="BI179">
        <v>127</v>
      </c>
      <c r="BJ179">
        <v>127</v>
      </c>
      <c r="BK179">
        <v>33</v>
      </c>
      <c r="BL179">
        <v>21</v>
      </c>
      <c r="BM179">
        <v>93</v>
      </c>
      <c r="BN179">
        <v>65</v>
      </c>
      <c r="BO179">
        <v>76</v>
      </c>
      <c r="BP179">
        <v>30</v>
      </c>
      <c r="BQ179">
        <v>116</v>
      </c>
      <c r="BR179">
        <v>116</v>
      </c>
      <c r="BS179">
        <v>33</v>
      </c>
      <c r="BT179">
        <v>927</v>
      </c>
      <c r="BU179">
        <v>83</v>
      </c>
      <c r="BV179">
        <v>336</v>
      </c>
      <c r="BW179">
        <v>359</v>
      </c>
      <c r="BX179">
        <v>74</v>
      </c>
      <c r="BY179">
        <v>79</v>
      </c>
      <c r="BZ179">
        <v>83</v>
      </c>
      <c r="CA179">
        <v>1014</v>
      </c>
      <c r="CB179">
        <v>16</v>
      </c>
      <c r="CC179">
        <v>7</v>
      </c>
      <c r="CD179">
        <v>2</v>
      </c>
      <c r="CE179">
        <v>6</v>
      </c>
      <c r="CF179">
        <v>3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2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3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6</v>
      </c>
      <c r="DG179">
        <v>2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8</v>
      </c>
      <c r="DT179">
        <v>11</v>
      </c>
      <c r="DU179">
        <v>3</v>
      </c>
      <c r="DV179">
        <v>0</v>
      </c>
      <c r="DW179">
        <v>0</v>
      </c>
      <c r="DX179">
        <v>0</v>
      </c>
      <c r="DY179">
        <v>123</v>
      </c>
      <c r="DZ179">
        <v>455</v>
      </c>
      <c r="EA179">
        <v>221</v>
      </c>
      <c r="EB179">
        <v>431</v>
      </c>
      <c r="EC179">
        <v>0</v>
      </c>
      <c r="ED179">
        <v>369</v>
      </c>
      <c r="EE179">
        <v>861</v>
      </c>
      <c r="EF179">
        <v>0</v>
      </c>
      <c r="EG179">
        <v>1</v>
      </c>
      <c r="EH179">
        <v>1</v>
      </c>
      <c r="EI179">
        <v>0.9</v>
      </c>
      <c r="EJ179">
        <v>0</v>
      </c>
      <c r="EK179">
        <v>2</v>
      </c>
    </row>
    <row r="180" spans="1:141" x14ac:dyDescent="0.25">
      <c r="A180" t="str">
        <f>[1]ingredient!B179</f>
        <v>Kartoffeln violett</v>
      </c>
      <c r="B180" t="s">
        <v>283</v>
      </c>
      <c r="C180" s="7">
        <f>_xlfn.XLOOKUP(A180,[1]ingredient!$B$2:$B$521,[1]ingredient!$A$2:$A$521)</f>
        <v>178</v>
      </c>
      <c r="D180">
        <v>73</v>
      </c>
      <c r="E180">
        <v>0.01</v>
      </c>
      <c r="F180">
        <v>2</v>
      </c>
      <c r="G180">
        <v>16</v>
      </c>
      <c r="H180">
        <v>1</v>
      </c>
      <c r="I180">
        <v>1</v>
      </c>
      <c r="J180">
        <v>0.05</v>
      </c>
      <c r="K180">
        <v>80</v>
      </c>
      <c r="L180">
        <v>1</v>
      </c>
      <c r="M180">
        <v>0.42</v>
      </c>
      <c r="N180">
        <v>0</v>
      </c>
      <c r="O180">
        <v>5</v>
      </c>
      <c r="P180">
        <v>78</v>
      </c>
      <c r="Q180">
        <v>7</v>
      </c>
      <c r="R180">
        <v>1220</v>
      </c>
      <c r="S180">
        <v>1720</v>
      </c>
      <c r="T180">
        <v>400</v>
      </c>
      <c r="U180">
        <v>164</v>
      </c>
      <c r="V180">
        <v>0.4</v>
      </c>
      <c r="W180">
        <v>15</v>
      </c>
      <c r="X180">
        <v>0</v>
      </c>
      <c r="Y180">
        <v>18760</v>
      </c>
      <c r="Z180">
        <v>0</v>
      </c>
      <c r="AA180">
        <v>53</v>
      </c>
      <c r="AB180">
        <v>2</v>
      </c>
      <c r="AC180">
        <v>3</v>
      </c>
      <c r="AD180">
        <v>381</v>
      </c>
      <c r="AE180">
        <v>9</v>
      </c>
      <c r="AF180">
        <v>22</v>
      </c>
      <c r="AG180">
        <v>31</v>
      </c>
      <c r="AH180">
        <v>35</v>
      </c>
      <c r="AI180">
        <v>45</v>
      </c>
      <c r="AJ180">
        <v>890</v>
      </c>
      <c r="AK180">
        <v>423</v>
      </c>
      <c r="AL180">
        <v>99</v>
      </c>
      <c r="AM180">
        <v>106</v>
      </c>
      <c r="AN180">
        <v>10</v>
      </c>
      <c r="AO180">
        <v>3</v>
      </c>
      <c r="AP180">
        <v>0</v>
      </c>
      <c r="AQ180">
        <v>0</v>
      </c>
      <c r="AR180">
        <v>0</v>
      </c>
      <c r="AS180">
        <v>0</v>
      </c>
      <c r="AT180">
        <v>234</v>
      </c>
      <c r="AU180">
        <v>156</v>
      </c>
      <c r="AV180">
        <v>0</v>
      </c>
      <c r="AW180">
        <v>390</v>
      </c>
      <c r="AX180">
        <v>312</v>
      </c>
      <c r="AY180">
        <v>0</v>
      </c>
      <c r="AZ180">
        <v>0</v>
      </c>
      <c r="BA180">
        <v>312</v>
      </c>
      <c r="BB180">
        <v>0</v>
      </c>
      <c r="BC180">
        <v>0</v>
      </c>
      <c r="BD180">
        <v>0</v>
      </c>
      <c r="BE180">
        <v>14914</v>
      </c>
      <c r="BF180">
        <v>14914</v>
      </c>
      <c r="BG180">
        <f t="shared" si="17"/>
        <v>103.125</v>
      </c>
      <c r="BH180">
        <v>90</v>
      </c>
      <c r="BI180">
        <v>127</v>
      </c>
      <c r="BJ180">
        <v>127</v>
      </c>
      <c r="BK180">
        <v>33</v>
      </c>
      <c r="BL180">
        <v>21</v>
      </c>
      <c r="BM180">
        <v>93</v>
      </c>
      <c r="BN180">
        <v>65</v>
      </c>
      <c r="BO180">
        <v>76</v>
      </c>
      <c r="BP180">
        <v>30</v>
      </c>
      <c r="BQ180">
        <v>116</v>
      </c>
      <c r="BR180">
        <v>116</v>
      </c>
      <c r="BS180">
        <v>33</v>
      </c>
      <c r="BT180">
        <v>927</v>
      </c>
      <c r="BU180">
        <v>83</v>
      </c>
      <c r="BV180">
        <v>336</v>
      </c>
      <c r="BW180">
        <v>359</v>
      </c>
      <c r="BX180">
        <v>74</v>
      </c>
      <c r="BY180">
        <v>79</v>
      </c>
      <c r="BZ180">
        <v>83</v>
      </c>
      <c r="CA180">
        <v>1014</v>
      </c>
      <c r="CB180">
        <v>16</v>
      </c>
      <c r="CC180">
        <v>7</v>
      </c>
      <c r="CD180">
        <v>2</v>
      </c>
      <c r="CE180">
        <v>6</v>
      </c>
      <c r="CF180">
        <v>3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2</v>
      </c>
      <c r="CO180">
        <v>0</v>
      </c>
      <c r="CP180">
        <v>1</v>
      </c>
      <c r="CQ180">
        <v>0</v>
      </c>
      <c r="CR180">
        <v>0</v>
      </c>
      <c r="CS180">
        <v>0</v>
      </c>
      <c r="CT180">
        <v>3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6</v>
      </c>
      <c r="DG180">
        <v>2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8</v>
      </c>
      <c r="DT180">
        <v>11</v>
      </c>
      <c r="DU180">
        <v>3</v>
      </c>
      <c r="DV180">
        <v>0</v>
      </c>
      <c r="DW180">
        <v>0</v>
      </c>
      <c r="DX180">
        <v>0</v>
      </c>
      <c r="DY180">
        <v>123</v>
      </c>
      <c r="DZ180">
        <v>455</v>
      </c>
      <c r="EA180">
        <v>221</v>
      </c>
      <c r="EB180">
        <v>431</v>
      </c>
      <c r="EC180">
        <v>0</v>
      </c>
      <c r="ED180">
        <v>369</v>
      </c>
      <c r="EE180">
        <v>861</v>
      </c>
      <c r="EF180">
        <v>0</v>
      </c>
      <c r="EG180">
        <v>1</v>
      </c>
      <c r="EH180">
        <v>1</v>
      </c>
      <c r="EI180">
        <v>0.9</v>
      </c>
      <c r="EJ180">
        <v>0</v>
      </c>
      <c r="EK180">
        <v>2</v>
      </c>
    </row>
    <row r="181" spans="1:141" x14ac:dyDescent="0.25">
      <c r="A181" t="str">
        <f>[1]ingredient!B180</f>
        <v>Kerbel</v>
      </c>
      <c r="B181" t="s">
        <v>284</v>
      </c>
      <c r="C181" s="7">
        <f>_xlfn.XLOOKUP(A181,[1]ingredient!$B$2:$B$521,[1]ingredient!$A$2:$A$521)</f>
        <v>179</v>
      </c>
      <c r="D181">
        <v>48</v>
      </c>
      <c r="E181">
        <v>1</v>
      </c>
      <c r="F181">
        <v>4</v>
      </c>
      <c r="G181">
        <v>6</v>
      </c>
      <c r="H181">
        <v>5</v>
      </c>
      <c r="I181">
        <v>6</v>
      </c>
      <c r="J181">
        <v>0.08</v>
      </c>
      <c r="K181">
        <v>80</v>
      </c>
      <c r="L181">
        <v>917</v>
      </c>
      <c r="M181">
        <v>458</v>
      </c>
      <c r="N181">
        <v>0</v>
      </c>
      <c r="O181">
        <v>5500</v>
      </c>
      <c r="P181">
        <v>125</v>
      </c>
      <c r="Q181">
        <v>640</v>
      </c>
      <c r="R181">
        <v>1500</v>
      </c>
      <c r="S181">
        <v>2317</v>
      </c>
      <c r="T181">
        <v>150</v>
      </c>
      <c r="U181">
        <v>26</v>
      </c>
      <c r="V181">
        <v>2</v>
      </c>
      <c r="W181">
        <v>10</v>
      </c>
      <c r="X181">
        <v>0</v>
      </c>
      <c r="Y181">
        <v>35000</v>
      </c>
      <c r="Z181">
        <v>0</v>
      </c>
      <c r="AA181">
        <v>2900</v>
      </c>
      <c r="AB181">
        <v>300</v>
      </c>
      <c r="AC181">
        <v>10</v>
      </c>
      <c r="AD181">
        <v>597</v>
      </c>
      <c r="AE181">
        <v>400</v>
      </c>
      <c r="AF181">
        <v>34</v>
      </c>
      <c r="AG181">
        <v>30</v>
      </c>
      <c r="AH181">
        <v>50</v>
      </c>
      <c r="AI181">
        <v>70</v>
      </c>
      <c r="AJ181">
        <v>1600</v>
      </c>
      <c r="AK181">
        <v>1100</v>
      </c>
      <c r="AL181">
        <v>73</v>
      </c>
      <c r="AM181">
        <v>1700</v>
      </c>
      <c r="AN181">
        <v>70</v>
      </c>
      <c r="AO181">
        <v>3</v>
      </c>
      <c r="AP181">
        <v>0</v>
      </c>
      <c r="AQ181">
        <v>0</v>
      </c>
      <c r="AR181">
        <v>0</v>
      </c>
      <c r="AS181">
        <v>0</v>
      </c>
      <c r="AT181">
        <v>1480</v>
      </c>
      <c r="AU181">
        <v>1480</v>
      </c>
      <c r="AV181">
        <v>0</v>
      </c>
      <c r="AW181">
        <v>4960</v>
      </c>
      <c r="AX181">
        <v>1178</v>
      </c>
      <c r="AY181">
        <v>0</v>
      </c>
      <c r="AZ181">
        <v>0</v>
      </c>
      <c r="BA181">
        <v>1178</v>
      </c>
      <c r="BB181">
        <v>0</v>
      </c>
      <c r="BC181">
        <v>0</v>
      </c>
      <c r="BD181">
        <v>0</v>
      </c>
      <c r="BE181">
        <v>62</v>
      </c>
      <c r="BF181">
        <v>62</v>
      </c>
      <c r="BG181">
        <f t="shared" si="17"/>
        <v>107.60869565217391</v>
      </c>
      <c r="BH181">
        <v>176</v>
      </c>
      <c r="BI181">
        <v>303</v>
      </c>
      <c r="BJ181">
        <v>238</v>
      </c>
      <c r="BK181">
        <v>66</v>
      </c>
      <c r="BL181">
        <v>33</v>
      </c>
      <c r="BM181">
        <v>193</v>
      </c>
      <c r="BN181">
        <v>123</v>
      </c>
      <c r="BO181">
        <v>148</v>
      </c>
      <c r="BP181">
        <v>49</v>
      </c>
      <c r="BQ181">
        <v>234</v>
      </c>
      <c r="BR181">
        <v>176</v>
      </c>
      <c r="BS181">
        <v>78</v>
      </c>
      <c r="BT181">
        <v>1817</v>
      </c>
      <c r="BU181">
        <v>246</v>
      </c>
      <c r="BV181">
        <v>381</v>
      </c>
      <c r="BW181">
        <v>447</v>
      </c>
      <c r="BX181">
        <v>180</v>
      </c>
      <c r="BY181">
        <v>156</v>
      </c>
      <c r="BZ181">
        <v>176</v>
      </c>
      <c r="CA181">
        <v>1586</v>
      </c>
      <c r="CB181">
        <v>15</v>
      </c>
      <c r="CC181">
        <v>6</v>
      </c>
      <c r="CD181">
        <v>271</v>
      </c>
      <c r="CE181">
        <v>127</v>
      </c>
      <c r="CF181">
        <v>0.47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67</v>
      </c>
      <c r="CO181">
        <v>0</v>
      </c>
      <c r="CP181">
        <v>3</v>
      </c>
      <c r="CQ181">
        <v>0</v>
      </c>
      <c r="CR181">
        <v>0</v>
      </c>
      <c r="CS181">
        <v>0</v>
      </c>
      <c r="CT181">
        <v>70</v>
      </c>
      <c r="CU181">
        <v>0</v>
      </c>
      <c r="CV181">
        <v>0</v>
      </c>
      <c r="CW181">
        <v>12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12</v>
      </c>
      <c r="DD181">
        <v>0</v>
      </c>
      <c r="DE181">
        <v>0</v>
      </c>
      <c r="DF181">
        <v>127</v>
      </c>
      <c r="DG181">
        <v>271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398</v>
      </c>
      <c r="DT181">
        <v>480</v>
      </c>
      <c r="DU181">
        <v>120</v>
      </c>
      <c r="DV181">
        <v>0</v>
      </c>
      <c r="DW181">
        <v>0</v>
      </c>
      <c r="DX181">
        <v>0</v>
      </c>
      <c r="DY181">
        <v>795</v>
      </c>
      <c r="DZ181">
        <v>1060</v>
      </c>
      <c r="EA181">
        <v>1431</v>
      </c>
      <c r="EB181">
        <v>1855</v>
      </c>
      <c r="EC181">
        <v>159</v>
      </c>
      <c r="ED181">
        <v>159</v>
      </c>
      <c r="EE181">
        <v>3710</v>
      </c>
      <c r="EF181">
        <v>0</v>
      </c>
      <c r="EG181">
        <v>0.25</v>
      </c>
      <c r="EH181">
        <v>3.5</v>
      </c>
      <c r="EI181">
        <v>3.7</v>
      </c>
      <c r="EJ181">
        <v>0.6</v>
      </c>
      <c r="EK181">
        <v>3.5</v>
      </c>
    </row>
    <row r="182" spans="1:141" x14ac:dyDescent="0.25">
      <c r="A182" t="str">
        <f>[1]ingredient!B181</f>
        <v>Kerbel, getrocknet</v>
      </c>
      <c r="B182" t="s">
        <v>285</v>
      </c>
      <c r="C182" s="7">
        <f>_xlfn.XLOOKUP(A182,[1]ingredient!$B$2:$B$521,[1]ingredient!$A$2:$A$521)</f>
        <v>180</v>
      </c>
      <c r="D182">
        <v>227</v>
      </c>
      <c r="E182">
        <v>3</v>
      </c>
      <c r="F182">
        <v>20</v>
      </c>
      <c r="G182">
        <v>29</v>
      </c>
      <c r="H182">
        <v>26</v>
      </c>
      <c r="I182">
        <v>28</v>
      </c>
      <c r="J182">
        <v>0.35</v>
      </c>
      <c r="K182">
        <v>6</v>
      </c>
      <c r="L182">
        <v>4024</v>
      </c>
      <c r="M182">
        <v>2011</v>
      </c>
      <c r="N182">
        <v>0</v>
      </c>
      <c r="O182">
        <v>24127</v>
      </c>
      <c r="P182">
        <v>518</v>
      </c>
      <c r="Q182">
        <v>1574</v>
      </c>
      <c r="R182">
        <v>6943</v>
      </c>
      <c r="S182">
        <v>10893</v>
      </c>
      <c r="T182">
        <v>658</v>
      </c>
      <c r="U182">
        <v>121</v>
      </c>
      <c r="V182">
        <v>10</v>
      </c>
      <c r="W182">
        <v>48</v>
      </c>
      <c r="X182">
        <v>0</v>
      </c>
      <c r="Y182">
        <v>93826</v>
      </c>
      <c r="Z182">
        <v>0</v>
      </c>
      <c r="AA182">
        <v>12720</v>
      </c>
      <c r="AB182">
        <v>1462</v>
      </c>
      <c r="AC182">
        <v>44</v>
      </c>
      <c r="AD182">
        <v>2469</v>
      </c>
      <c r="AE182">
        <v>1753</v>
      </c>
      <c r="AF182">
        <v>150</v>
      </c>
      <c r="AG182">
        <v>131</v>
      </c>
      <c r="AH182">
        <v>218</v>
      </c>
      <c r="AI182">
        <v>305</v>
      </c>
      <c r="AJ182">
        <v>6629</v>
      </c>
      <c r="AK182">
        <v>4827</v>
      </c>
      <c r="AL182">
        <v>320</v>
      </c>
      <c r="AM182">
        <v>7456</v>
      </c>
      <c r="AN182">
        <v>305</v>
      </c>
      <c r="AO182">
        <v>15</v>
      </c>
      <c r="AP182">
        <v>0</v>
      </c>
      <c r="AQ182">
        <v>0</v>
      </c>
      <c r="AR182">
        <v>0</v>
      </c>
      <c r="AS182">
        <v>0</v>
      </c>
      <c r="AT182">
        <v>11480</v>
      </c>
      <c r="AU182">
        <v>11484</v>
      </c>
      <c r="AV182">
        <v>0</v>
      </c>
      <c r="AW182">
        <v>22964</v>
      </c>
      <c r="AX182">
        <v>5457</v>
      </c>
      <c r="AY182">
        <v>0</v>
      </c>
      <c r="AZ182">
        <v>0</v>
      </c>
      <c r="BA182">
        <v>5457</v>
      </c>
      <c r="BB182">
        <v>0</v>
      </c>
      <c r="BC182">
        <v>0</v>
      </c>
      <c r="BD182">
        <v>0</v>
      </c>
      <c r="BE182">
        <v>286</v>
      </c>
      <c r="BF182">
        <v>286</v>
      </c>
      <c r="BG182">
        <f t="shared" si="17"/>
        <v>104.34782608695652</v>
      </c>
      <c r="BH182">
        <v>857</v>
      </c>
      <c r="BI182">
        <v>1472</v>
      </c>
      <c r="BJ182">
        <v>1162</v>
      </c>
      <c r="BK182">
        <v>320</v>
      </c>
      <c r="BL182">
        <v>160</v>
      </c>
      <c r="BM182">
        <v>939</v>
      </c>
      <c r="BN182">
        <v>600</v>
      </c>
      <c r="BO182">
        <v>721</v>
      </c>
      <c r="BP182">
        <v>237</v>
      </c>
      <c r="BQ182">
        <v>1143</v>
      </c>
      <c r="BR182">
        <v>857</v>
      </c>
      <c r="BS182">
        <v>383</v>
      </c>
      <c r="BT182">
        <v>8851</v>
      </c>
      <c r="BU182">
        <v>1201</v>
      </c>
      <c r="BV182">
        <v>1859</v>
      </c>
      <c r="BW182">
        <v>2179</v>
      </c>
      <c r="BX182">
        <v>876</v>
      </c>
      <c r="BY182">
        <v>760</v>
      </c>
      <c r="BZ182">
        <v>857</v>
      </c>
      <c r="CA182">
        <v>7732</v>
      </c>
      <c r="CB182">
        <v>73</v>
      </c>
      <c r="CC182">
        <v>30</v>
      </c>
      <c r="CD182">
        <v>1321</v>
      </c>
      <c r="CE182">
        <v>620</v>
      </c>
      <c r="CF182">
        <v>0.47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324</v>
      </c>
      <c r="CO182">
        <v>0</v>
      </c>
      <c r="CP182">
        <v>15</v>
      </c>
      <c r="CQ182">
        <v>0</v>
      </c>
      <c r="CR182">
        <v>0</v>
      </c>
      <c r="CS182">
        <v>0</v>
      </c>
      <c r="CT182">
        <v>339</v>
      </c>
      <c r="CU182">
        <v>0</v>
      </c>
      <c r="CV182">
        <v>0</v>
      </c>
      <c r="CW182">
        <v>58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58</v>
      </c>
      <c r="DD182">
        <v>0</v>
      </c>
      <c r="DE182">
        <v>0</v>
      </c>
      <c r="DF182">
        <v>620</v>
      </c>
      <c r="DG182">
        <v>1321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1941</v>
      </c>
      <c r="DT182">
        <v>2338</v>
      </c>
      <c r="DU182">
        <v>586</v>
      </c>
      <c r="DV182">
        <v>0</v>
      </c>
      <c r="DW182">
        <v>0</v>
      </c>
      <c r="DX182">
        <v>0</v>
      </c>
      <c r="DY182">
        <v>3873</v>
      </c>
      <c r="DZ182">
        <v>5166</v>
      </c>
      <c r="EA182">
        <v>6977</v>
      </c>
      <c r="EB182">
        <v>9040</v>
      </c>
      <c r="EC182">
        <v>775</v>
      </c>
      <c r="ED182">
        <v>7752</v>
      </c>
      <c r="EE182">
        <v>18084</v>
      </c>
      <c r="EF182">
        <v>0</v>
      </c>
      <c r="EG182">
        <v>1</v>
      </c>
      <c r="EH182">
        <v>15.3</v>
      </c>
      <c r="EI182">
        <v>18.100000000000001</v>
      </c>
      <c r="EJ182">
        <v>2.9</v>
      </c>
      <c r="EK182">
        <v>16.8</v>
      </c>
    </row>
    <row r="183" spans="1:141" x14ac:dyDescent="0.25">
      <c r="A183" t="str">
        <f>[1]ingredient!B182</f>
        <v>Kichererbsen</v>
      </c>
      <c r="B183" t="s">
        <v>286</v>
      </c>
      <c r="C183" s="7">
        <f>_xlfn.XLOOKUP(A183,[1]ingredient!$B$2:$B$521,[1]ingredient!$A$2:$A$521)</f>
        <v>181</v>
      </c>
      <c r="D183">
        <v>310</v>
      </c>
      <c r="E183">
        <v>6</v>
      </c>
      <c r="F183">
        <v>19</v>
      </c>
      <c r="G183">
        <v>44</v>
      </c>
      <c r="H183">
        <v>16</v>
      </c>
      <c r="I183">
        <v>2</v>
      </c>
      <c r="J183">
        <v>0.1</v>
      </c>
      <c r="K183">
        <v>9</v>
      </c>
      <c r="L183">
        <v>30</v>
      </c>
      <c r="M183">
        <v>15</v>
      </c>
      <c r="N183">
        <v>0</v>
      </c>
      <c r="O183">
        <v>180</v>
      </c>
      <c r="P183">
        <v>517</v>
      </c>
      <c r="Q183">
        <v>134</v>
      </c>
      <c r="R183">
        <v>1720</v>
      </c>
      <c r="S183">
        <v>4387</v>
      </c>
      <c r="T183">
        <v>1320</v>
      </c>
      <c r="U183">
        <v>560</v>
      </c>
      <c r="V183">
        <v>6</v>
      </c>
      <c r="W183">
        <v>340</v>
      </c>
      <c r="X183">
        <v>0</v>
      </c>
      <c r="Y183">
        <v>5080</v>
      </c>
      <c r="Z183">
        <v>0</v>
      </c>
      <c r="AA183">
        <v>5850</v>
      </c>
      <c r="AB183">
        <v>264</v>
      </c>
      <c r="AC183">
        <v>23</v>
      </c>
      <c r="AD183">
        <v>800</v>
      </c>
      <c r="AE183">
        <v>124</v>
      </c>
      <c r="AF183">
        <v>126</v>
      </c>
      <c r="AG183">
        <v>332</v>
      </c>
      <c r="AH183">
        <v>114</v>
      </c>
      <c r="AI183">
        <v>80</v>
      </c>
      <c r="AJ183">
        <v>6089</v>
      </c>
      <c r="AK183">
        <v>2373</v>
      </c>
      <c r="AL183">
        <v>448</v>
      </c>
      <c r="AM183">
        <v>2713</v>
      </c>
      <c r="AN183">
        <v>62</v>
      </c>
      <c r="AO183">
        <v>9</v>
      </c>
      <c r="AP183">
        <v>0</v>
      </c>
      <c r="AQ183">
        <v>0</v>
      </c>
      <c r="AR183">
        <v>0</v>
      </c>
      <c r="AS183">
        <v>0</v>
      </c>
      <c r="AT183">
        <v>89</v>
      </c>
      <c r="AU183">
        <v>89</v>
      </c>
      <c r="AV183">
        <v>0</v>
      </c>
      <c r="AW183">
        <v>178</v>
      </c>
      <c r="AX183">
        <v>2233</v>
      </c>
      <c r="AY183">
        <v>0</v>
      </c>
      <c r="AZ183">
        <v>0</v>
      </c>
      <c r="BA183">
        <v>2233</v>
      </c>
      <c r="BB183">
        <v>1627</v>
      </c>
      <c r="BC183">
        <v>2722</v>
      </c>
      <c r="BD183">
        <v>0</v>
      </c>
      <c r="BE183">
        <v>39799</v>
      </c>
      <c r="BF183">
        <v>39799</v>
      </c>
      <c r="BG183">
        <f t="shared" si="17"/>
        <v>123.56979405034325</v>
      </c>
      <c r="BH183">
        <v>1140</v>
      </c>
      <c r="BI183">
        <v>1460</v>
      </c>
      <c r="BJ183">
        <v>1370</v>
      </c>
      <c r="BK183">
        <v>260</v>
      </c>
      <c r="BL183">
        <v>280</v>
      </c>
      <c r="BM183">
        <v>960</v>
      </c>
      <c r="BN183">
        <v>660</v>
      </c>
      <c r="BO183">
        <v>700</v>
      </c>
      <c r="BP183">
        <v>160</v>
      </c>
      <c r="BQ183">
        <v>980</v>
      </c>
      <c r="BR183">
        <v>1480</v>
      </c>
      <c r="BS183">
        <v>530</v>
      </c>
      <c r="BT183">
        <v>9980</v>
      </c>
      <c r="BU183">
        <v>832</v>
      </c>
      <c r="BV183">
        <v>2265</v>
      </c>
      <c r="BW183">
        <v>3094</v>
      </c>
      <c r="BX183">
        <v>774</v>
      </c>
      <c r="BY183">
        <v>813</v>
      </c>
      <c r="BZ183">
        <v>989</v>
      </c>
      <c r="CA183">
        <v>8767</v>
      </c>
      <c r="CB183">
        <v>109</v>
      </c>
      <c r="CC183">
        <v>45</v>
      </c>
      <c r="CD183">
        <v>1420</v>
      </c>
      <c r="CE183">
        <v>1890</v>
      </c>
      <c r="CF183">
        <v>1.33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24</v>
      </c>
      <c r="CM183">
        <v>0</v>
      </c>
      <c r="CN183">
        <v>923</v>
      </c>
      <c r="CO183">
        <v>0</v>
      </c>
      <c r="CP183">
        <v>143</v>
      </c>
      <c r="CQ183">
        <v>0</v>
      </c>
      <c r="CR183">
        <v>0</v>
      </c>
      <c r="CS183">
        <v>0</v>
      </c>
      <c r="CT183">
        <v>1090</v>
      </c>
      <c r="CU183">
        <v>0</v>
      </c>
      <c r="CV183">
        <v>0</v>
      </c>
      <c r="CW183">
        <v>47</v>
      </c>
      <c r="CX183">
        <v>0</v>
      </c>
      <c r="CY183">
        <v>286</v>
      </c>
      <c r="CZ183">
        <v>0</v>
      </c>
      <c r="DA183">
        <v>0</v>
      </c>
      <c r="DB183">
        <v>0</v>
      </c>
      <c r="DC183">
        <v>333</v>
      </c>
      <c r="DD183">
        <v>0</v>
      </c>
      <c r="DE183">
        <v>0</v>
      </c>
      <c r="DF183">
        <v>1890</v>
      </c>
      <c r="DG183">
        <v>1420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3310</v>
      </c>
      <c r="DT183">
        <v>4733</v>
      </c>
      <c r="DU183">
        <v>1184</v>
      </c>
      <c r="DV183">
        <v>0</v>
      </c>
      <c r="DW183">
        <v>0</v>
      </c>
      <c r="DX183">
        <v>0</v>
      </c>
      <c r="DY183">
        <v>2328</v>
      </c>
      <c r="DZ183">
        <v>5121</v>
      </c>
      <c r="EA183">
        <v>778</v>
      </c>
      <c r="EB183">
        <v>6983</v>
      </c>
      <c r="EC183">
        <v>311</v>
      </c>
      <c r="ED183">
        <v>4410</v>
      </c>
      <c r="EE183">
        <v>11100</v>
      </c>
      <c r="EF183">
        <v>0</v>
      </c>
      <c r="EG183">
        <v>1</v>
      </c>
      <c r="EH183">
        <v>2.9</v>
      </c>
      <c r="EI183">
        <v>11.1</v>
      </c>
      <c r="EJ183">
        <v>5.9</v>
      </c>
      <c r="EK183">
        <v>19.100000000000001</v>
      </c>
    </row>
    <row r="184" spans="1:141" x14ac:dyDescent="0.25">
      <c r="A184" t="str">
        <f>[1]ingredient!B183</f>
        <v>Kichererbsen, gekocht</v>
      </c>
      <c r="B184" t="s">
        <v>287</v>
      </c>
      <c r="C184" s="7">
        <f>_xlfn.XLOOKUP(A184,[1]ingredient!$B$2:$B$521,[1]ingredient!$A$2:$A$521)</f>
        <v>182</v>
      </c>
      <c r="D184">
        <v>125</v>
      </c>
      <c r="E184">
        <v>3</v>
      </c>
      <c r="F184">
        <v>7</v>
      </c>
      <c r="G184">
        <v>17</v>
      </c>
      <c r="H184">
        <v>4</v>
      </c>
      <c r="I184">
        <v>1</v>
      </c>
      <c r="J184">
        <v>1</v>
      </c>
      <c r="K184">
        <v>65</v>
      </c>
      <c r="L184">
        <v>98</v>
      </c>
      <c r="M184">
        <v>49</v>
      </c>
      <c r="N184">
        <v>0</v>
      </c>
      <c r="O184">
        <v>586</v>
      </c>
      <c r="P184">
        <v>126</v>
      </c>
      <c r="Q184">
        <v>73</v>
      </c>
      <c r="R184">
        <v>1264</v>
      </c>
      <c r="S184">
        <v>2414</v>
      </c>
      <c r="T184">
        <v>370</v>
      </c>
      <c r="U184">
        <v>56</v>
      </c>
      <c r="V184">
        <v>2</v>
      </c>
      <c r="W184">
        <v>7</v>
      </c>
      <c r="X184">
        <v>0</v>
      </c>
      <c r="Y184">
        <v>6751</v>
      </c>
      <c r="Z184">
        <v>0</v>
      </c>
      <c r="AA184">
        <v>2916</v>
      </c>
      <c r="AB184">
        <v>0</v>
      </c>
      <c r="AC184">
        <v>240</v>
      </c>
      <c r="AD184">
        <v>32</v>
      </c>
      <c r="AE184">
        <v>59</v>
      </c>
      <c r="AF184">
        <v>44</v>
      </c>
      <c r="AG184">
        <v>79</v>
      </c>
      <c r="AH184">
        <v>44</v>
      </c>
      <c r="AI184">
        <v>513</v>
      </c>
      <c r="AJ184">
        <v>2168</v>
      </c>
      <c r="AK184">
        <v>1175</v>
      </c>
      <c r="AL184">
        <v>315</v>
      </c>
      <c r="AM184">
        <v>1061</v>
      </c>
      <c r="AN184">
        <v>31</v>
      </c>
      <c r="AO184">
        <v>4</v>
      </c>
      <c r="AP184">
        <v>0</v>
      </c>
      <c r="AQ184">
        <v>0</v>
      </c>
      <c r="AR184">
        <v>0</v>
      </c>
      <c r="AS184">
        <v>0</v>
      </c>
      <c r="AT184">
        <v>479</v>
      </c>
      <c r="AU184">
        <v>320</v>
      </c>
      <c r="AV184">
        <v>0</v>
      </c>
      <c r="AW184">
        <v>799</v>
      </c>
      <c r="AX184">
        <v>332</v>
      </c>
      <c r="AY184">
        <v>0</v>
      </c>
      <c r="AZ184">
        <v>0</v>
      </c>
      <c r="BA184">
        <v>332</v>
      </c>
      <c r="BB184">
        <v>641</v>
      </c>
      <c r="BC184">
        <v>1220</v>
      </c>
      <c r="BD184">
        <v>0</v>
      </c>
      <c r="BE184">
        <v>15665</v>
      </c>
      <c r="BF184">
        <v>15665</v>
      </c>
      <c r="BG184">
        <f t="shared" si="17"/>
        <v>108.69565217391303</v>
      </c>
      <c r="BH184">
        <v>425</v>
      </c>
      <c r="BI184">
        <v>569</v>
      </c>
      <c r="BJ184">
        <v>516</v>
      </c>
      <c r="BK184">
        <v>82</v>
      </c>
      <c r="BL184">
        <v>93</v>
      </c>
      <c r="BM184">
        <v>364</v>
      </c>
      <c r="BN184">
        <v>267</v>
      </c>
      <c r="BO184">
        <v>297</v>
      </c>
      <c r="BP184">
        <v>69</v>
      </c>
      <c r="BQ184">
        <v>357</v>
      </c>
      <c r="BR184">
        <v>607</v>
      </c>
      <c r="BS184">
        <v>204</v>
      </c>
      <c r="BT184">
        <v>3850</v>
      </c>
      <c r="BU184">
        <v>326</v>
      </c>
      <c r="BV184">
        <v>889</v>
      </c>
      <c r="BW184">
        <v>1214</v>
      </c>
      <c r="BX184">
        <v>304</v>
      </c>
      <c r="BY184">
        <v>319</v>
      </c>
      <c r="BZ184">
        <v>388</v>
      </c>
      <c r="CA184">
        <v>3440</v>
      </c>
      <c r="CB184">
        <v>162</v>
      </c>
      <c r="CC184">
        <v>68</v>
      </c>
      <c r="CD184">
        <v>630</v>
      </c>
      <c r="CE184">
        <v>841</v>
      </c>
      <c r="CF184">
        <v>1.33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10</v>
      </c>
      <c r="CM184">
        <v>0</v>
      </c>
      <c r="CN184">
        <v>408</v>
      </c>
      <c r="CO184">
        <v>0</v>
      </c>
      <c r="CP184">
        <v>63</v>
      </c>
      <c r="CQ184">
        <v>0</v>
      </c>
      <c r="CR184">
        <v>0</v>
      </c>
      <c r="CS184">
        <v>0</v>
      </c>
      <c r="CT184">
        <v>481</v>
      </c>
      <c r="CU184">
        <v>0</v>
      </c>
      <c r="CV184">
        <v>0</v>
      </c>
      <c r="CW184">
        <v>21</v>
      </c>
      <c r="CX184">
        <v>0</v>
      </c>
      <c r="CY184">
        <v>126</v>
      </c>
      <c r="CZ184">
        <v>0</v>
      </c>
      <c r="DA184">
        <v>0</v>
      </c>
      <c r="DB184">
        <v>0</v>
      </c>
      <c r="DC184">
        <v>147</v>
      </c>
      <c r="DD184">
        <v>0</v>
      </c>
      <c r="DE184">
        <v>0</v>
      </c>
      <c r="DF184">
        <v>841</v>
      </c>
      <c r="DG184">
        <v>630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1471</v>
      </c>
      <c r="DT184">
        <v>2099</v>
      </c>
      <c r="DU184">
        <v>525</v>
      </c>
      <c r="DV184">
        <v>0</v>
      </c>
      <c r="DW184">
        <v>0</v>
      </c>
      <c r="DX184">
        <v>0</v>
      </c>
      <c r="DY184">
        <v>663</v>
      </c>
      <c r="DZ184">
        <v>1460</v>
      </c>
      <c r="EA184">
        <v>220</v>
      </c>
      <c r="EB184">
        <v>1990</v>
      </c>
      <c r="EC184">
        <v>88</v>
      </c>
      <c r="ED184">
        <v>264</v>
      </c>
      <c r="EE184">
        <v>4154</v>
      </c>
      <c r="EF184">
        <v>0</v>
      </c>
      <c r="EG184">
        <v>0.33</v>
      </c>
      <c r="EH184">
        <v>1.8</v>
      </c>
      <c r="EI184">
        <v>4.2</v>
      </c>
      <c r="EJ184">
        <v>2.6</v>
      </c>
      <c r="EK184">
        <v>7.8</v>
      </c>
    </row>
    <row r="185" spans="1:141" x14ac:dyDescent="0.25">
      <c r="A185" t="str">
        <f>[1]ingredient!B184</f>
        <v>Kichererbsenmehl</v>
      </c>
      <c r="B185" t="s">
        <v>288</v>
      </c>
      <c r="C185" s="7">
        <f>_xlfn.XLOOKUP(A185,[1]ingredient!$B$2:$B$521,[1]ingredient!$A$2:$A$521)</f>
        <v>183</v>
      </c>
      <c r="D185">
        <v>350</v>
      </c>
      <c r="E185">
        <v>6</v>
      </c>
      <c r="F185">
        <v>19</v>
      </c>
      <c r="G185">
        <v>44</v>
      </c>
      <c r="H185">
        <v>20</v>
      </c>
      <c r="I185">
        <v>2</v>
      </c>
      <c r="J185">
        <v>0.09</v>
      </c>
      <c r="K185">
        <v>7</v>
      </c>
      <c r="L185">
        <v>0</v>
      </c>
      <c r="M185">
        <v>200</v>
      </c>
      <c r="N185">
        <v>200</v>
      </c>
      <c r="O185">
        <v>0</v>
      </c>
      <c r="P185">
        <v>500</v>
      </c>
      <c r="Q185">
        <v>200</v>
      </c>
      <c r="R185">
        <v>1600</v>
      </c>
      <c r="S185">
        <v>4500</v>
      </c>
      <c r="T185">
        <v>1300</v>
      </c>
      <c r="U185">
        <v>600</v>
      </c>
      <c r="V185">
        <v>8</v>
      </c>
      <c r="W185">
        <v>275</v>
      </c>
      <c r="X185">
        <v>0</v>
      </c>
      <c r="Y185">
        <v>4000</v>
      </c>
      <c r="Z185">
        <v>0</v>
      </c>
      <c r="AA185">
        <v>0</v>
      </c>
      <c r="AB185">
        <v>0</v>
      </c>
      <c r="AC185">
        <v>20</v>
      </c>
      <c r="AD185">
        <v>810</v>
      </c>
      <c r="AE185">
        <v>124</v>
      </c>
      <c r="AF185">
        <v>155</v>
      </c>
      <c r="AG185">
        <v>407</v>
      </c>
      <c r="AH185">
        <v>180</v>
      </c>
      <c r="AI185">
        <v>70</v>
      </c>
      <c r="AJ185">
        <v>7000</v>
      </c>
      <c r="AK185">
        <v>3400</v>
      </c>
      <c r="AL185">
        <v>800</v>
      </c>
      <c r="AM185">
        <v>2100</v>
      </c>
      <c r="AN185">
        <v>0</v>
      </c>
      <c r="AO185">
        <v>20</v>
      </c>
      <c r="AP185">
        <v>0</v>
      </c>
      <c r="AQ185">
        <v>0</v>
      </c>
      <c r="AR185">
        <v>0</v>
      </c>
      <c r="AS185">
        <v>0</v>
      </c>
      <c r="AT185">
        <v>343</v>
      </c>
      <c r="AU185">
        <v>343</v>
      </c>
      <c r="AV185">
        <v>0</v>
      </c>
      <c r="AW185">
        <v>685</v>
      </c>
      <c r="AX185">
        <v>1700</v>
      </c>
      <c r="AY185">
        <v>0</v>
      </c>
      <c r="AZ185">
        <v>0</v>
      </c>
      <c r="BA185">
        <v>1715</v>
      </c>
      <c r="BB185">
        <v>1900</v>
      </c>
      <c r="BC185">
        <v>2740</v>
      </c>
      <c r="BD185">
        <v>0</v>
      </c>
      <c r="BE185">
        <v>40000</v>
      </c>
      <c r="BF185">
        <v>0</v>
      </c>
      <c r="BG185">
        <f t="shared" si="17"/>
        <v>102.05949656750573</v>
      </c>
      <c r="BH185">
        <v>1085</v>
      </c>
      <c r="BI185">
        <v>1453</v>
      </c>
      <c r="BJ185">
        <v>1317</v>
      </c>
      <c r="BK185">
        <v>213</v>
      </c>
      <c r="BL185">
        <v>233</v>
      </c>
      <c r="BM185">
        <v>930</v>
      </c>
      <c r="BN185">
        <v>678</v>
      </c>
      <c r="BO185">
        <v>755</v>
      </c>
      <c r="BP185">
        <v>174</v>
      </c>
      <c r="BQ185">
        <v>911</v>
      </c>
      <c r="BR185">
        <v>1550</v>
      </c>
      <c r="BS185">
        <v>523</v>
      </c>
      <c r="BT185">
        <v>9823</v>
      </c>
      <c r="BU185">
        <v>832</v>
      </c>
      <c r="BV185">
        <v>2267</v>
      </c>
      <c r="BW185">
        <v>3100</v>
      </c>
      <c r="BX185">
        <v>775</v>
      </c>
      <c r="BY185">
        <v>815</v>
      </c>
      <c r="BZ185">
        <v>988</v>
      </c>
      <c r="CA185">
        <v>8777</v>
      </c>
      <c r="CB185">
        <v>130</v>
      </c>
      <c r="CC185">
        <v>54</v>
      </c>
      <c r="CD185">
        <v>100</v>
      </c>
      <c r="CE185">
        <v>1900</v>
      </c>
      <c r="CF185">
        <v>19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1685</v>
      </c>
      <c r="CO185">
        <v>0</v>
      </c>
      <c r="CP185">
        <v>215</v>
      </c>
      <c r="CQ185">
        <v>0</v>
      </c>
      <c r="CR185">
        <v>0</v>
      </c>
      <c r="CS185">
        <v>0</v>
      </c>
      <c r="CT185">
        <v>1900</v>
      </c>
      <c r="CU185">
        <v>0</v>
      </c>
      <c r="CV185">
        <v>0</v>
      </c>
      <c r="CW185">
        <v>0</v>
      </c>
      <c r="CX185">
        <v>0</v>
      </c>
      <c r="CY185">
        <v>976</v>
      </c>
      <c r="CZ185">
        <v>0</v>
      </c>
      <c r="DA185">
        <v>0</v>
      </c>
      <c r="DB185">
        <v>0</v>
      </c>
      <c r="DC185">
        <v>1000</v>
      </c>
      <c r="DD185">
        <v>0</v>
      </c>
      <c r="DE185">
        <v>0</v>
      </c>
      <c r="DF185">
        <v>1900</v>
      </c>
      <c r="DG185">
        <v>100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2000</v>
      </c>
      <c r="DT185">
        <v>4895</v>
      </c>
      <c r="DU185">
        <v>1005</v>
      </c>
      <c r="DV185">
        <v>0</v>
      </c>
      <c r="DW185">
        <v>0</v>
      </c>
      <c r="DX185">
        <v>0</v>
      </c>
      <c r="DY185">
        <v>3000</v>
      </c>
      <c r="DZ185">
        <v>13200</v>
      </c>
      <c r="EA185">
        <v>400</v>
      </c>
      <c r="EB185">
        <v>3000</v>
      </c>
      <c r="EC185">
        <v>400</v>
      </c>
      <c r="ED185">
        <v>12000</v>
      </c>
      <c r="EE185">
        <v>8000</v>
      </c>
      <c r="EF185">
        <v>0</v>
      </c>
      <c r="EG185">
        <v>0</v>
      </c>
      <c r="EH185">
        <v>1.8</v>
      </c>
      <c r="EI185">
        <v>8</v>
      </c>
      <c r="EJ185">
        <v>5.9</v>
      </c>
      <c r="EK185">
        <v>19</v>
      </c>
    </row>
    <row r="186" spans="1:141" x14ac:dyDescent="0.25">
      <c r="A186" t="str">
        <f>[1]ingredient!B185</f>
        <v>Kichererbsennudeln</v>
      </c>
      <c r="B186" t="s">
        <v>289</v>
      </c>
      <c r="C186" s="7">
        <f>_xlfn.XLOOKUP(A186,[1]ingredient!$B$2:$B$521,[1]ingredient!$A$2:$A$521)</f>
        <v>184</v>
      </c>
      <c r="D186">
        <v>350</v>
      </c>
      <c r="E186">
        <v>6</v>
      </c>
      <c r="F186">
        <v>19</v>
      </c>
      <c r="G186">
        <v>44</v>
      </c>
      <c r="H186">
        <v>20</v>
      </c>
      <c r="I186">
        <v>2</v>
      </c>
      <c r="J186">
        <v>0.09</v>
      </c>
      <c r="K186">
        <v>7</v>
      </c>
      <c r="L186">
        <v>0</v>
      </c>
      <c r="M186">
        <v>200</v>
      </c>
      <c r="N186">
        <v>200</v>
      </c>
      <c r="O186">
        <v>0</v>
      </c>
      <c r="P186">
        <v>500</v>
      </c>
      <c r="Q186">
        <v>200</v>
      </c>
      <c r="R186">
        <v>1600</v>
      </c>
      <c r="S186">
        <v>4500</v>
      </c>
      <c r="T186">
        <v>1300</v>
      </c>
      <c r="U186">
        <v>600</v>
      </c>
      <c r="V186">
        <v>8</v>
      </c>
      <c r="W186">
        <v>275</v>
      </c>
      <c r="X186">
        <v>0</v>
      </c>
      <c r="Y186">
        <v>4000</v>
      </c>
      <c r="Z186">
        <v>0</v>
      </c>
      <c r="AA186">
        <v>0</v>
      </c>
      <c r="AB186">
        <v>0</v>
      </c>
      <c r="AC186">
        <v>20</v>
      </c>
      <c r="AD186">
        <v>810</v>
      </c>
      <c r="AE186">
        <v>124</v>
      </c>
      <c r="AF186">
        <v>155</v>
      </c>
      <c r="AG186">
        <v>407</v>
      </c>
      <c r="AH186">
        <v>180</v>
      </c>
      <c r="AI186">
        <v>70</v>
      </c>
      <c r="AJ186">
        <v>7000</v>
      </c>
      <c r="AK186">
        <v>3400</v>
      </c>
      <c r="AL186">
        <v>800</v>
      </c>
      <c r="AM186">
        <v>2100</v>
      </c>
      <c r="AN186">
        <v>0</v>
      </c>
      <c r="AO186">
        <v>20</v>
      </c>
      <c r="AP186">
        <v>0</v>
      </c>
      <c r="AQ186">
        <v>0</v>
      </c>
      <c r="AR186">
        <v>0</v>
      </c>
      <c r="AS186">
        <v>0</v>
      </c>
      <c r="AT186">
        <v>343</v>
      </c>
      <c r="AU186">
        <v>343</v>
      </c>
      <c r="AV186">
        <v>0</v>
      </c>
      <c r="AW186">
        <v>685</v>
      </c>
      <c r="AX186">
        <v>1700</v>
      </c>
      <c r="AY186">
        <v>0</v>
      </c>
      <c r="AZ186">
        <v>0</v>
      </c>
      <c r="BA186">
        <v>1715</v>
      </c>
      <c r="BB186">
        <v>1900</v>
      </c>
      <c r="BC186">
        <v>2740</v>
      </c>
      <c r="BD186">
        <v>0</v>
      </c>
      <c r="BE186">
        <v>40000</v>
      </c>
      <c r="BF186">
        <v>0</v>
      </c>
      <c r="BG186">
        <f t="shared" si="17"/>
        <v>102.05949656750573</v>
      </c>
      <c r="BH186">
        <v>1085</v>
      </c>
      <c r="BI186">
        <v>1453</v>
      </c>
      <c r="BJ186">
        <v>1317</v>
      </c>
      <c r="BK186">
        <v>213</v>
      </c>
      <c r="BL186">
        <v>233</v>
      </c>
      <c r="BM186">
        <v>930</v>
      </c>
      <c r="BN186">
        <v>678</v>
      </c>
      <c r="BO186">
        <v>755</v>
      </c>
      <c r="BP186">
        <v>174</v>
      </c>
      <c r="BQ186">
        <v>911</v>
      </c>
      <c r="BR186">
        <v>1550</v>
      </c>
      <c r="BS186">
        <v>523</v>
      </c>
      <c r="BT186">
        <v>9823</v>
      </c>
      <c r="BU186">
        <v>832</v>
      </c>
      <c r="BV186">
        <v>2267</v>
      </c>
      <c r="BW186">
        <v>3100</v>
      </c>
      <c r="BX186">
        <v>775</v>
      </c>
      <c r="BY186">
        <v>815</v>
      </c>
      <c r="BZ186">
        <v>988</v>
      </c>
      <c r="CA186">
        <v>8777</v>
      </c>
      <c r="CB186">
        <v>130</v>
      </c>
      <c r="CC186">
        <v>54</v>
      </c>
      <c r="CD186">
        <v>100</v>
      </c>
      <c r="CE186">
        <v>1900</v>
      </c>
      <c r="CF186">
        <v>19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1685</v>
      </c>
      <c r="CO186">
        <v>0</v>
      </c>
      <c r="CP186">
        <v>215</v>
      </c>
      <c r="CQ186">
        <v>0</v>
      </c>
      <c r="CR186">
        <v>0</v>
      </c>
      <c r="CS186">
        <v>0</v>
      </c>
      <c r="CT186">
        <v>1900</v>
      </c>
      <c r="CU186">
        <v>0</v>
      </c>
      <c r="CV186">
        <v>0</v>
      </c>
      <c r="CW186">
        <v>0</v>
      </c>
      <c r="CX186">
        <v>0</v>
      </c>
      <c r="CY186">
        <v>976</v>
      </c>
      <c r="CZ186">
        <v>0</v>
      </c>
      <c r="DA186">
        <v>0</v>
      </c>
      <c r="DB186">
        <v>0</v>
      </c>
      <c r="DC186">
        <v>1000</v>
      </c>
      <c r="DD186">
        <v>0</v>
      </c>
      <c r="DE186">
        <v>0</v>
      </c>
      <c r="DF186">
        <v>1900</v>
      </c>
      <c r="DG186">
        <v>100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2000</v>
      </c>
      <c r="DT186">
        <v>4895</v>
      </c>
      <c r="DU186">
        <v>1005</v>
      </c>
      <c r="DV186">
        <v>0</v>
      </c>
      <c r="DW186">
        <v>0</v>
      </c>
      <c r="DX186">
        <v>0</v>
      </c>
      <c r="DY186">
        <v>3000</v>
      </c>
      <c r="DZ186">
        <v>13200</v>
      </c>
      <c r="EA186">
        <v>400</v>
      </c>
      <c r="EB186">
        <v>3000</v>
      </c>
      <c r="EC186">
        <v>400</v>
      </c>
      <c r="ED186">
        <v>12000</v>
      </c>
      <c r="EE186">
        <v>8000</v>
      </c>
      <c r="EF186">
        <v>0</v>
      </c>
      <c r="EG186">
        <v>0</v>
      </c>
      <c r="EH186">
        <v>1.8</v>
      </c>
      <c r="EI186">
        <v>8</v>
      </c>
      <c r="EJ186">
        <v>5.9</v>
      </c>
      <c r="EK186">
        <v>19</v>
      </c>
    </row>
    <row r="187" spans="1:141" x14ac:dyDescent="0.25">
      <c r="A187" t="str">
        <f>[1]ingredient!B186</f>
        <v>Kichererbsen-Sprossen</v>
      </c>
      <c r="B187" t="s">
        <v>290</v>
      </c>
      <c r="C187" s="7">
        <f>_xlfn.XLOOKUP(A187,[1]ingredient!$B$2:$B$521,[1]ingredient!$A$2:$A$521)</f>
        <v>185</v>
      </c>
      <c r="D187">
        <v>32</v>
      </c>
      <c r="E187">
        <v>0.34</v>
      </c>
      <c r="F187">
        <v>5</v>
      </c>
      <c r="G187">
        <v>2</v>
      </c>
      <c r="H187">
        <v>2</v>
      </c>
      <c r="I187">
        <v>1</v>
      </c>
      <c r="J187">
        <v>0.04</v>
      </c>
      <c r="K187">
        <v>90</v>
      </c>
      <c r="L187">
        <v>17</v>
      </c>
      <c r="M187">
        <v>9</v>
      </c>
      <c r="N187">
        <v>0</v>
      </c>
      <c r="O187">
        <v>102</v>
      </c>
      <c r="P187">
        <v>170</v>
      </c>
      <c r="Q187">
        <v>150</v>
      </c>
      <c r="R187">
        <v>940</v>
      </c>
      <c r="S187">
        <v>1740</v>
      </c>
      <c r="T187">
        <v>1140</v>
      </c>
      <c r="U187">
        <v>220</v>
      </c>
      <c r="V187">
        <v>6</v>
      </c>
      <c r="W187">
        <v>92</v>
      </c>
      <c r="X187">
        <v>0</v>
      </c>
      <c r="Y187">
        <v>22000</v>
      </c>
      <c r="Z187">
        <v>0</v>
      </c>
      <c r="AA187">
        <v>90</v>
      </c>
      <c r="AB187">
        <v>7</v>
      </c>
      <c r="AC187">
        <v>20</v>
      </c>
      <c r="AD187">
        <v>173</v>
      </c>
      <c r="AE187">
        <v>56</v>
      </c>
      <c r="AF187">
        <v>18</v>
      </c>
      <c r="AG187">
        <v>94</v>
      </c>
      <c r="AH187">
        <v>50</v>
      </c>
      <c r="AI187">
        <v>20</v>
      </c>
      <c r="AJ187">
        <v>980</v>
      </c>
      <c r="AK187">
        <v>630</v>
      </c>
      <c r="AL187">
        <v>190</v>
      </c>
      <c r="AM187">
        <v>110</v>
      </c>
      <c r="AN187">
        <v>10</v>
      </c>
      <c r="AO187">
        <v>5</v>
      </c>
      <c r="AP187">
        <v>0</v>
      </c>
      <c r="AQ187">
        <v>0</v>
      </c>
      <c r="AR187">
        <v>0</v>
      </c>
      <c r="AS187">
        <v>0</v>
      </c>
      <c r="AT187">
        <v>370</v>
      </c>
      <c r="AU187">
        <v>37</v>
      </c>
      <c r="AV187">
        <v>0</v>
      </c>
      <c r="AW187">
        <v>407</v>
      </c>
      <c r="AX187">
        <v>241</v>
      </c>
      <c r="AY187">
        <v>0</v>
      </c>
      <c r="AZ187">
        <v>0</v>
      </c>
      <c r="BA187">
        <v>241</v>
      </c>
      <c r="BB187">
        <v>74</v>
      </c>
      <c r="BC187">
        <v>0</v>
      </c>
      <c r="BD187">
        <v>0</v>
      </c>
      <c r="BE187">
        <v>1128</v>
      </c>
      <c r="BF187">
        <v>1128</v>
      </c>
      <c r="BG187">
        <f t="shared" si="17"/>
        <v>107.82608695652173</v>
      </c>
      <c r="BH187">
        <v>300</v>
      </c>
      <c r="BI187">
        <v>402</v>
      </c>
      <c r="BJ187">
        <v>364</v>
      </c>
      <c r="BK187">
        <v>59</v>
      </c>
      <c r="BL187">
        <v>65</v>
      </c>
      <c r="BM187">
        <v>257</v>
      </c>
      <c r="BN187">
        <v>187</v>
      </c>
      <c r="BO187">
        <v>208</v>
      </c>
      <c r="BP187">
        <v>48</v>
      </c>
      <c r="BQ187">
        <v>252</v>
      </c>
      <c r="BR187">
        <v>428</v>
      </c>
      <c r="BS187">
        <v>145</v>
      </c>
      <c r="BT187">
        <v>2715</v>
      </c>
      <c r="BU187">
        <v>230</v>
      </c>
      <c r="BV187">
        <v>626</v>
      </c>
      <c r="BW187">
        <v>856</v>
      </c>
      <c r="BX187">
        <v>214</v>
      </c>
      <c r="BY187">
        <v>225</v>
      </c>
      <c r="BZ187">
        <v>273</v>
      </c>
      <c r="CA187">
        <v>2424</v>
      </c>
      <c r="CB187">
        <v>12</v>
      </c>
      <c r="CC187">
        <v>5</v>
      </c>
      <c r="CD187">
        <v>7</v>
      </c>
      <c r="CE187">
        <v>147</v>
      </c>
      <c r="CF187">
        <v>21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31</v>
      </c>
      <c r="CO187">
        <v>0</v>
      </c>
      <c r="CP187">
        <v>4</v>
      </c>
      <c r="CQ187">
        <v>0</v>
      </c>
      <c r="CR187">
        <v>0</v>
      </c>
      <c r="CS187">
        <v>0</v>
      </c>
      <c r="CT187">
        <v>35</v>
      </c>
      <c r="CU187">
        <v>0</v>
      </c>
      <c r="CV187">
        <v>0</v>
      </c>
      <c r="CW187">
        <v>0</v>
      </c>
      <c r="CX187">
        <v>0</v>
      </c>
      <c r="CY187">
        <v>74</v>
      </c>
      <c r="CZ187">
        <v>0</v>
      </c>
      <c r="DA187">
        <v>0</v>
      </c>
      <c r="DB187">
        <v>0</v>
      </c>
      <c r="DC187">
        <v>74</v>
      </c>
      <c r="DD187">
        <v>0</v>
      </c>
      <c r="DE187">
        <v>0</v>
      </c>
      <c r="DF187">
        <v>147</v>
      </c>
      <c r="DG187">
        <v>7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154</v>
      </c>
      <c r="DT187">
        <v>263</v>
      </c>
      <c r="DU187">
        <v>77</v>
      </c>
      <c r="DV187">
        <v>0</v>
      </c>
      <c r="DW187">
        <v>0</v>
      </c>
      <c r="DX187">
        <v>0</v>
      </c>
      <c r="DY187">
        <v>278</v>
      </c>
      <c r="DZ187">
        <v>749</v>
      </c>
      <c r="EA187">
        <v>278</v>
      </c>
      <c r="EB187">
        <v>792</v>
      </c>
      <c r="EC187">
        <v>43</v>
      </c>
      <c r="ED187">
        <v>1070</v>
      </c>
      <c r="EE187">
        <v>1070</v>
      </c>
      <c r="EF187">
        <v>0</v>
      </c>
      <c r="EG187">
        <v>0.3</v>
      </c>
      <c r="EH187">
        <v>0.5</v>
      </c>
      <c r="EI187">
        <v>1.1000000000000001</v>
      </c>
      <c r="EJ187">
        <v>0.3</v>
      </c>
      <c r="EK187">
        <v>5.2</v>
      </c>
    </row>
    <row r="188" spans="1:141" x14ac:dyDescent="0.25">
      <c r="A188" t="str">
        <f>[1]ingredient!B187</f>
        <v>Kichererbsenwaffeln</v>
      </c>
      <c r="B188" t="s">
        <v>291</v>
      </c>
      <c r="C188" s="7">
        <f>_xlfn.XLOOKUP(A188,[1]ingredient!$B$2:$B$521,[1]ingredient!$A$2:$A$521)</f>
        <v>186</v>
      </c>
      <c r="D188">
        <v>357</v>
      </c>
      <c r="E188">
        <v>5</v>
      </c>
      <c r="F188">
        <v>19</v>
      </c>
      <c r="G188">
        <v>61</v>
      </c>
      <c r="H188">
        <v>9</v>
      </c>
      <c r="I188">
        <v>2</v>
      </c>
      <c r="J188">
        <v>0.48</v>
      </c>
      <c r="K188">
        <v>2</v>
      </c>
      <c r="L188">
        <v>0</v>
      </c>
      <c r="M188">
        <v>8</v>
      </c>
      <c r="N188">
        <v>0</v>
      </c>
      <c r="O188">
        <v>100</v>
      </c>
      <c r="P188">
        <v>400</v>
      </c>
      <c r="Q188">
        <v>100</v>
      </c>
      <c r="R188">
        <v>1600</v>
      </c>
      <c r="S188">
        <v>4700</v>
      </c>
      <c r="T188">
        <v>1100</v>
      </c>
      <c r="U188">
        <v>400</v>
      </c>
      <c r="V188">
        <v>6</v>
      </c>
      <c r="W188">
        <v>195</v>
      </c>
      <c r="X188">
        <v>0</v>
      </c>
      <c r="Y188">
        <v>2800</v>
      </c>
      <c r="Z188">
        <v>0</v>
      </c>
      <c r="AA188">
        <v>0</v>
      </c>
      <c r="AB188">
        <v>0</v>
      </c>
      <c r="AC188">
        <v>196</v>
      </c>
      <c r="AD188">
        <v>596</v>
      </c>
      <c r="AE188">
        <v>89</v>
      </c>
      <c r="AF188">
        <v>115</v>
      </c>
      <c r="AG188">
        <v>311</v>
      </c>
      <c r="AH188">
        <v>141</v>
      </c>
      <c r="AI188">
        <v>289</v>
      </c>
      <c r="AJ188">
        <v>5000</v>
      </c>
      <c r="AK188">
        <v>2500</v>
      </c>
      <c r="AL188">
        <v>600</v>
      </c>
      <c r="AM188">
        <v>1700</v>
      </c>
      <c r="AN188">
        <v>0</v>
      </c>
      <c r="AO188">
        <v>22</v>
      </c>
      <c r="AP188">
        <v>0</v>
      </c>
      <c r="AQ188">
        <v>0</v>
      </c>
      <c r="AR188">
        <v>0</v>
      </c>
      <c r="AS188">
        <v>0</v>
      </c>
      <c r="AT188">
        <v>316</v>
      </c>
      <c r="AU188">
        <v>316</v>
      </c>
      <c r="AV188">
        <v>0</v>
      </c>
      <c r="AW188">
        <v>633</v>
      </c>
      <c r="AX188">
        <v>1500</v>
      </c>
      <c r="AY188">
        <v>0</v>
      </c>
      <c r="AZ188">
        <v>0</v>
      </c>
      <c r="BA188">
        <v>1468</v>
      </c>
      <c r="BB188">
        <v>900</v>
      </c>
      <c r="BC188">
        <v>1910</v>
      </c>
      <c r="BD188">
        <v>0</v>
      </c>
      <c r="BE188">
        <v>58000</v>
      </c>
      <c r="BF188">
        <v>0</v>
      </c>
      <c r="BG188">
        <f t="shared" si="17"/>
        <v>113.50114416475972</v>
      </c>
      <c r="BH188">
        <v>1077</v>
      </c>
      <c r="BI188">
        <v>1508</v>
      </c>
      <c r="BJ188">
        <v>1263</v>
      </c>
      <c r="BK188">
        <v>258</v>
      </c>
      <c r="BL188">
        <v>238</v>
      </c>
      <c r="BM188">
        <v>963</v>
      </c>
      <c r="BN188">
        <v>700</v>
      </c>
      <c r="BO188">
        <v>753</v>
      </c>
      <c r="BP188">
        <v>190</v>
      </c>
      <c r="BQ188">
        <v>987</v>
      </c>
      <c r="BR188">
        <v>1578</v>
      </c>
      <c r="BS188">
        <v>527</v>
      </c>
      <c r="BT188">
        <v>10042</v>
      </c>
      <c r="BU188">
        <v>895</v>
      </c>
      <c r="BV188">
        <v>2242</v>
      </c>
      <c r="BW188">
        <v>3153</v>
      </c>
      <c r="BX188">
        <v>808</v>
      </c>
      <c r="BY188">
        <v>839</v>
      </c>
      <c r="BZ188">
        <v>1021</v>
      </c>
      <c r="CA188">
        <v>8958</v>
      </c>
      <c r="CB188">
        <v>116</v>
      </c>
      <c r="CC188">
        <v>39</v>
      </c>
      <c r="CD188">
        <v>100</v>
      </c>
      <c r="CE188">
        <v>2100</v>
      </c>
      <c r="CF188">
        <v>21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</v>
      </c>
      <c r="CM188">
        <v>0</v>
      </c>
      <c r="CN188">
        <v>620</v>
      </c>
      <c r="CO188">
        <v>0</v>
      </c>
      <c r="CP188">
        <v>79</v>
      </c>
      <c r="CQ188">
        <v>0.3</v>
      </c>
      <c r="CR188">
        <v>0</v>
      </c>
      <c r="CS188">
        <v>0</v>
      </c>
      <c r="CT188">
        <v>700</v>
      </c>
      <c r="CU188">
        <v>0</v>
      </c>
      <c r="CV188">
        <v>0</v>
      </c>
      <c r="CW188">
        <v>0.4</v>
      </c>
      <c r="CX188">
        <v>0</v>
      </c>
      <c r="CY188">
        <v>1068</v>
      </c>
      <c r="CZ188">
        <v>0</v>
      </c>
      <c r="DA188">
        <v>0</v>
      </c>
      <c r="DB188">
        <v>0</v>
      </c>
      <c r="DC188">
        <v>1100</v>
      </c>
      <c r="DD188">
        <v>0</v>
      </c>
      <c r="DE188">
        <v>0</v>
      </c>
      <c r="DF188">
        <v>2100</v>
      </c>
      <c r="DG188">
        <v>100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2200</v>
      </c>
      <c r="DT188">
        <v>3932</v>
      </c>
      <c r="DU188">
        <v>1068</v>
      </c>
      <c r="DV188">
        <v>0</v>
      </c>
      <c r="DW188">
        <v>0</v>
      </c>
      <c r="DX188">
        <v>0</v>
      </c>
      <c r="DY188">
        <v>1330</v>
      </c>
      <c r="DZ188">
        <v>6098</v>
      </c>
      <c r="EA188">
        <v>248</v>
      </c>
      <c r="EB188">
        <v>1395</v>
      </c>
      <c r="EC188">
        <v>229</v>
      </c>
      <c r="ED188">
        <v>5594</v>
      </c>
      <c r="EE188">
        <v>3706</v>
      </c>
      <c r="EF188">
        <v>0</v>
      </c>
      <c r="EG188">
        <v>0</v>
      </c>
      <c r="EH188">
        <v>1.7</v>
      </c>
      <c r="EI188">
        <v>3.7</v>
      </c>
      <c r="EJ188">
        <v>5</v>
      </c>
      <c r="EK188">
        <v>19.399999999999999</v>
      </c>
    </row>
    <row r="189" spans="1:141" x14ac:dyDescent="0.25">
      <c r="A189" t="str">
        <f>[1]ingredient!B188</f>
        <v>Kidneybohnen</v>
      </c>
      <c r="B189" t="s">
        <v>193</v>
      </c>
      <c r="C189" s="7">
        <f>_xlfn.XLOOKUP(A189,[1]ingredient!$B$2:$B$521,[1]ingredient!$A$2:$A$521)</f>
        <v>187</v>
      </c>
      <c r="D189">
        <v>325</v>
      </c>
      <c r="E189">
        <v>2</v>
      </c>
      <c r="F189">
        <v>24</v>
      </c>
      <c r="G189">
        <v>40</v>
      </c>
      <c r="H189">
        <v>23</v>
      </c>
      <c r="I189">
        <v>1</v>
      </c>
      <c r="J189">
        <v>0.02</v>
      </c>
      <c r="K189">
        <v>2</v>
      </c>
      <c r="L189">
        <v>2</v>
      </c>
      <c r="M189">
        <v>1</v>
      </c>
      <c r="N189">
        <v>0</v>
      </c>
      <c r="O189">
        <v>12</v>
      </c>
      <c r="P189">
        <v>642</v>
      </c>
      <c r="Q189">
        <v>188</v>
      </c>
      <c r="R189">
        <v>2188</v>
      </c>
      <c r="S189">
        <v>6221</v>
      </c>
      <c r="T189">
        <v>770</v>
      </c>
      <c r="U189">
        <v>395</v>
      </c>
      <c r="V189">
        <v>11</v>
      </c>
      <c r="W189">
        <v>160</v>
      </c>
      <c r="X189">
        <v>0</v>
      </c>
      <c r="Y189">
        <v>3948</v>
      </c>
      <c r="Z189">
        <v>0</v>
      </c>
      <c r="AA189">
        <v>570</v>
      </c>
      <c r="AB189">
        <v>0</v>
      </c>
      <c r="AC189">
        <v>20</v>
      </c>
      <c r="AD189">
        <v>1502</v>
      </c>
      <c r="AE189">
        <v>110</v>
      </c>
      <c r="AF189">
        <v>165</v>
      </c>
      <c r="AG189">
        <v>450</v>
      </c>
      <c r="AH189">
        <v>186</v>
      </c>
      <c r="AI189">
        <v>2</v>
      </c>
      <c r="AJ189">
        <v>7019</v>
      </c>
      <c r="AK189">
        <v>3290</v>
      </c>
      <c r="AL189">
        <v>746</v>
      </c>
      <c r="AM189">
        <v>1316</v>
      </c>
      <c r="AN189">
        <v>13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1201</v>
      </c>
      <c r="AY189">
        <v>0</v>
      </c>
      <c r="AZ189">
        <v>0</v>
      </c>
      <c r="BA189">
        <v>1201</v>
      </c>
      <c r="BB189">
        <v>3202</v>
      </c>
      <c r="BC189">
        <v>3948</v>
      </c>
      <c r="BD189">
        <v>0</v>
      </c>
      <c r="BE189">
        <v>35626</v>
      </c>
      <c r="BF189">
        <v>35626</v>
      </c>
      <c r="BG189">
        <f t="shared" si="17"/>
        <v>92.753623188405797</v>
      </c>
      <c r="BH189">
        <v>1104</v>
      </c>
      <c r="BI189">
        <v>2020</v>
      </c>
      <c r="BJ189">
        <v>1939</v>
      </c>
      <c r="BK189">
        <v>296</v>
      </c>
      <c r="BL189">
        <v>216</v>
      </c>
      <c r="BM189">
        <v>1399</v>
      </c>
      <c r="BN189">
        <v>673</v>
      </c>
      <c r="BO189">
        <v>1077</v>
      </c>
      <c r="BP189">
        <v>242</v>
      </c>
      <c r="BQ189">
        <v>1239</v>
      </c>
      <c r="BR189">
        <v>1535</v>
      </c>
      <c r="BS189">
        <v>755</v>
      </c>
      <c r="BT189">
        <v>12495</v>
      </c>
      <c r="BU189">
        <v>1103</v>
      </c>
      <c r="BV189">
        <v>3231</v>
      </c>
      <c r="BW189">
        <v>3932</v>
      </c>
      <c r="BX189">
        <v>1023</v>
      </c>
      <c r="BY189">
        <v>943</v>
      </c>
      <c r="BZ189">
        <v>1508</v>
      </c>
      <c r="CA189">
        <v>11740</v>
      </c>
      <c r="CB189">
        <v>161</v>
      </c>
      <c r="CC189">
        <v>67</v>
      </c>
      <c r="CD189">
        <v>570</v>
      </c>
      <c r="CE189">
        <v>321</v>
      </c>
      <c r="CF189">
        <v>0.56000000000000005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166</v>
      </c>
      <c r="CO189">
        <v>0</v>
      </c>
      <c r="CP189">
        <v>20</v>
      </c>
      <c r="CQ189">
        <v>0</v>
      </c>
      <c r="CR189">
        <v>0</v>
      </c>
      <c r="CS189">
        <v>0</v>
      </c>
      <c r="CT189">
        <v>186</v>
      </c>
      <c r="CU189">
        <v>0</v>
      </c>
      <c r="CV189">
        <v>0</v>
      </c>
      <c r="CW189">
        <v>0</v>
      </c>
      <c r="CX189">
        <v>0</v>
      </c>
      <c r="CY189">
        <v>113</v>
      </c>
      <c r="CZ189">
        <v>0</v>
      </c>
      <c r="DA189">
        <v>0</v>
      </c>
      <c r="DB189">
        <v>0</v>
      </c>
      <c r="DC189">
        <v>113</v>
      </c>
      <c r="DD189">
        <v>0</v>
      </c>
      <c r="DE189">
        <v>0</v>
      </c>
      <c r="DF189">
        <v>321</v>
      </c>
      <c r="DG189">
        <v>570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891</v>
      </c>
      <c r="DT189">
        <v>1190</v>
      </c>
      <c r="DU189">
        <v>345</v>
      </c>
      <c r="DV189">
        <v>0</v>
      </c>
      <c r="DW189">
        <v>0</v>
      </c>
      <c r="DX189">
        <v>0</v>
      </c>
      <c r="DY189">
        <v>3037</v>
      </c>
      <c r="DZ189">
        <v>8176</v>
      </c>
      <c r="EA189">
        <v>3037</v>
      </c>
      <c r="EB189">
        <v>8643</v>
      </c>
      <c r="EC189">
        <v>467</v>
      </c>
      <c r="ED189">
        <v>11680</v>
      </c>
      <c r="EE189">
        <v>11680</v>
      </c>
      <c r="EF189">
        <v>0</v>
      </c>
      <c r="EG189">
        <v>0.27</v>
      </c>
      <c r="EH189">
        <v>4.2</v>
      </c>
      <c r="EI189">
        <v>11.7</v>
      </c>
      <c r="EJ189">
        <v>1.5</v>
      </c>
      <c r="EK189">
        <v>24.8</v>
      </c>
    </row>
    <row r="190" spans="1:141" x14ac:dyDescent="0.25">
      <c r="A190" t="str">
        <f>[1]ingredient!B189</f>
        <v>Kidneybohnen, gekocht</v>
      </c>
      <c r="B190" t="s">
        <v>292</v>
      </c>
      <c r="C190" s="7">
        <f>_xlfn.XLOOKUP(A190,[1]ingredient!$B$2:$B$521,[1]ingredient!$A$2:$A$521)</f>
        <v>188</v>
      </c>
      <c r="D190">
        <v>126</v>
      </c>
      <c r="E190">
        <v>1</v>
      </c>
      <c r="F190">
        <v>9</v>
      </c>
      <c r="G190">
        <v>15</v>
      </c>
      <c r="H190">
        <v>9</v>
      </c>
      <c r="I190">
        <v>0.46</v>
      </c>
      <c r="J190">
        <v>1</v>
      </c>
      <c r="K190">
        <v>61</v>
      </c>
      <c r="L190">
        <v>2</v>
      </c>
      <c r="M190">
        <v>0.42</v>
      </c>
      <c r="N190">
        <v>0</v>
      </c>
      <c r="O190">
        <v>5</v>
      </c>
      <c r="P190">
        <v>90</v>
      </c>
      <c r="Q190">
        <v>53</v>
      </c>
      <c r="R190">
        <v>484</v>
      </c>
      <c r="S190">
        <v>2051</v>
      </c>
      <c r="T190">
        <v>115</v>
      </c>
      <c r="U190">
        <v>66</v>
      </c>
      <c r="V190">
        <v>2</v>
      </c>
      <c r="W190">
        <v>36</v>
      </c>
      <c r="X190">
        <v>0</v>
      </c>
      <c r="Y190">
        <v>377</v>
      </c>
      <c r="Z190">
        <v>0</v>
      </c>
      <c r="AA190">
        <v>244</v>
      </c>
      <c r="AB190">
        <v>0</v>
      </c>
      <c r="AC190">
        <v>264</v>
      </c>
      <c r="AD190">
        <v>484</v>
      </c>
      <c r="AE190">
        <v>53</v>
      </c>
      <c r="AF190">
        <v>63</v>
      </c>
      <c r="AG190">
        <v>175</v>
      </c>
      <c r="AH190">
        <v>73</v>
      </c>
      <c r="AI190">
        <v>399</v>
      </c>
      <c r="AJ190">
        <v>2565</v>
      </c>
      <c r="AK190">
        <v>1274</v>
      </c>
      <c r="AL190">
        <v>225</v>
      </c>
      <c r="AM190">
        <v>511</v>
      </c>
      <c r="AN190">
        <v>26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463</v>
      </c>
      <c r="AY190">
        <v>0</v>
      </c>
      <c r="AZ190">
        <v>0</v>
      </c>
      <c r="BA190">
        <v>463</v>
      </c>
      <c r="BB190">
        <v>1237</v>
      </c>
      <c r="BC190">
        <v>1696</v>
      </c>
      <c r="BD190">
        <v>0</v>
      </c>
      <c r="BE190">
        <v>13769</v>
      </c>
      <c r="BF190">
        <v>13769</v>
      </c>
      <c r="BG190">
        <f t="shared" si="17"/>
        <v>95.169082125603865</v>
      </c>
      <c r="BH190">
        <v>426</v>
      </c>
      <c r="BI190">
        <v>780</v>
      </c>
      <c r="BJ190">
        <v>750</v>
      </c>
      <c r="BK190">
        <v>114</v>
      </c>
      <c r="BL190">
        <v>83</v>
      </c>
      <c r="BM190">
        <v>540</v>
      </c>
      <c r="BN190">
        <v>261</v>
      </c>
      <c r="BO190">
        <v>416</v>
      </c>
      <c r="BP190">
        <v>94</v>
      </c>
      <c r="BQ190">
        <v>479</v>
      </c>
      <c r="BR190">
        <v>593</v>
      </c>
      <c r="BS190">
        <v>291</v>
      </c>
      <c r="BT190">
        <v>4827</v>
      </c>
      <c r="BU190">
        <v>426</v>
      </c>
      <c r="BV190">
        <v>1249</v>
      </c>
      <c r="BW190">
        <v>1520</v>
      </c>
      <c r="BX190">
        <v>395</v>
      </c>
      <c r="BY190">
        <v>365</v>
      </c>
      <c r="BZ190">
        <v>583</v>
      </c>
      <c r="CA190">
        <v>4538</v>
      </c>
      <c r="CB190">
        <v>63</v>
      </c>
      <c r="CC190">
        <v>26</v>
      </c>
      <c r="CD190">
        <v>220</v>
      </c>
      <c r="CE190">
        <v>124</v>
      </c>
      <c r="CF190">
        <v>0.56000000000000005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65</v>
      </c>
      <c r="CO190">
        <v>0</v>
      </c>
      <c r="CP190">
        <v>7</v>
      </c>
      <c r="CQ190">
        <v>0</v>
      </c>
      <c r="CR190">
        <v>0</v>
      </c>
      <c r="CS190">
        <v>0</v>
      </c>
      <c r="CT190">
        <v>72</v>
      </c>
      <c r="CU190">
        <v>0</v>
      </c>
      <c r="CV190">
        <v>0</v>
      </c>
      <c r="CW190">
        <v>0</v>
      </c>
      <c r="CX190">
        <v>0</v>
      </c>
      <c r="CY190">
        <v>44</v>
      </c>
      <c r="CZ190">
        <v>0</v>
      </c>
      <c r="DA190">
        <v>0</v>
      </c>
      <c r="DB190">
        <v>0</v>
      </c>
      <c r="DC190">
        <v>44</v>
      </c>
      <c r="DD190">
        <v>0</v>
      </c>
      <c r="DE190">
        <v>0</v>
      </c>
      <c r="DF190">
        <v>124</v>
      </c>
      <c r="DG190">
        <v>220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344</v>
      </c>
      <c r="DT190">
        <v>460</v>
      </c>
      <c r="DU190">
        <v>133</v>
      </c>
      <c r="DV190">
        <v>0</v>
      </c>
      <c r="DW190">
        <v>0</v>
      </c>
      <c r="DX190">
        <v>0</v>
      </c>
      <c r="DY190">
        <v>1213</v>
      </c>
      <c r="DZ190">
        <v>3264</v>
      </c>
      <c r="EA190">
        <v>1213</v>
      </c>
      <c r="EB190">
        <v>3451</v>
      </c>
      <c r="EC190">
        <v>187</v>
      </c>
      <c r="ED190">
        <v>4664</v>
      </c>
      <c r="EE190">
        <v>4664</v>
      </c>
      <c r="EF190">
        <v>0</v>
      </c>
      <c r="EG190">
        <v>0.06</v>
      </c>
      <c r="EH190">
        <v>2.2000000000000002</v>
      </c>
      <c r="EI190">
        <v>4.7</v>
      </c>
      <c r="EJ190">
        <v>0.6</v>
      </c>
      <c r="EK190">
        <v>9.6</v>
      </c>
    </row>
    <row r="191" spans="1:141" x14ac:dyDescent="0.25">
      <c r="A191" t="str">
        <f>[1]ingredient!B190</f>
        <v>Kimchi</v>
      </c>
      <c r="B191" t="s">
        <v>293</v>
      </c>
      <c r="C191" s="7">
        <f>_xlfn.XLOOKUP(A191,[1]ingredient!$B$2:$B$521,[1]ingredient!$A$2:$A$521)</f>
        <v>189</v>
      </c>
      <c r="D191">
        <v>49</v>
      </c>
      <c r="E191">
        <v>0.2</v>
      </c>
      <c r="F191">
        <v>1</v>
      </c>
      <c r="G191">
        <v>9</v>
      </c>
      <c r="H191">
        <v>3</v>
      </c>
      <c r="I191">
        <v>1</v>
      </c>
      <c r="J191">
        <v>2</v>
      </c>
      <c r="K191">
        <v>84</v>
      </c>
      <c r="L191">
        <v>200</v>
      </c>
      <c r="M191">
        <v>1100</v>
      </c>
      <c r="N191">
        <v>1100</v>
      </c>
      <c r="O191">
        <v>0</v>
      </c>
      <c r="P191">
        <v>0</v>
      </c>
      <c r="Q191">
        <v>0</v>
      </c>
      <c r="R191">
        <v>400</v>
      </c>
      <c r="S191">
        <v>700</v>
      </c>
      <c r="T191">
        <v>200</v>
      </c>
      <c r="U191">
        <v>100</v>
      </c>
      <c r="V191">
        <v>1</v>
      </c>
      <c r="W191">
        <v>22</v>
      </c>
      <c r="X191">
        <v>0</v>
      </c>
      <c r="Y191">
        <v>18100</v>
      </c>
      <c r="Z191">
        <v>0</v>
      </c>
      <c r="AA191">
        <v>0</v>
      </c>
      <c r="AB191">
        <v>0</v>
      </c>
      <c r="AC191">
        <v>800</v>
      </c>
      <c r="AD191">
        <v>138</v>
      </c>
      <c r="AE191">
        <v>40</v>
      </c>
      <c r="AF191">
        <v>14</v>
      </c>
      <c r="AG191">
        <v>31</v>
      </c>
      <c r="AH191">
        <v>46</v>
      </c>
      <c r="AI191">
        <v>1611</v>
      </c>
      <c r="AJ191">
        <v>600</v>
      </c>
      <c r="AK191">
        <v>300</v>
      </c>
      <c r="AL191">
        <v>100</v>
      </c>
      <c r="AM191">
        <v>200</v>
      </c>
      <c r="AN191">
        <v>0</v>
      </c>
      <c r="AO191">
        <v>41</v>
      </c>
      <c r="AP191">
        <v>50</v>
      </c>
      <c r="AQ191">
        <v>0</v>
      </c>
      <c r="AR191">
        <v>0</v>
      </c>
      <c r="AS191">
        <v>50</v>
      </c>
      <c r="AT191">
        <v>619</v>
      </c>
      <c r="AU191">
        <v>511</v>
      </c>
      <c r="AV191">
        <v>0</v>
      </c>
      <c r="AW191">
        <v>1130</v>
      </c>
      <c r="AX191">
        <v>300</v>
      </c>
      <c r="AY191">
        <v>0</v>
      </c>
      <c r="AZ191">
        <v>0</v>
      </c>
      <c r="BA191">
        <v>270</v>
      </c>
      <c r="BB191">
        <v>5700</v>
      </c>
      <c r="BC191">
        <v>0</v>
      </c>
      <c r="BD191">
        <v>0</v>
      </c>
      <c r="BE191">
        <v>1550</v>
      </c>
      <c r="BF191">
        <v>0</v>
      </c>
      <c r="BG191">
        <f t="shared" si="17"/>
        <v>137.70491803278688</v>
      </c>
      <c r="BH191">
        <v>77</v>
      </c>
      <c r="BI191">
        <v>84</v>
      </c>
      <c r="BJ191">
        <v>75</v>
      </c>
      <c r="BK191">
        <v>33</v>
      </c>
      <c r="BL191">
        <v>16</v>
      </c>
      <c r="BM191">
        <v>59</v>
      </c>
      <c r="BN191">
        <v>43</v>
      </c>
      <c r="BO191">
        <v>66</v>
      </c>
      <c r="BP191">
        <v>24</v>
      </c>
      <c r="BQ191">
        <v>80</v>
      </c>
      <c r="BR191">
        <v>98</v>
      </c>
      <c r="BS191">
        <v>30</v>
      </c>
      <c r="BT191">
        <v>683</v>
      </c>
      <c r="BU191">
        <v>83</v>
      </c>
      <c r="BV191">
        <v>146</v>
      </c>
      <c r="BW191">
        <v>339</v>
      </c>
      <c r="BX191">
        <v>49</v>
      </c>
      <c r="BY191">
        <v>43</v>
      </c>
      <c r="BZ191">
        <v>57</v>
      </c>
      <c r="CA191">
        <v>717</v>
      </c>
      <c r="CB191">
        <v>20</v>
      </c>
      <c r="CC191">
        <v>8</v>
      </c>
      <c r="CD191">
        <v>0</v>
      </c>
      <c r="CE191">
        <v>100</v>
      </c>
      <c r="CG191">
        <v>0</v>
      </c>
      <c r="CH191">
        <v>0</v>
      </c>
      <c r="CI191">
        <v>0.1</v>
      </c>
      <c r="CJ191">
        <v>0.2</v>
      </c>
      <c r="CK191">
        <v>1</v>
      </c>
      <c r="CL191">
        <v>2</v>
      </c>
      <c r="CM191">
        <v>0</v>
      </c>
      <c r="CN191">
        <v>35</v>
      </c>
      <c r="CO191">
        <v>0</v>
      </c>
      <c r="CP191">
        <v>6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2</v>
      </c>
      <c r="CX191">
        <v>0</v>
      </c>
      <c r="CY191">
        <v>21</v>
      </c>
      <c r="CZ191">
        <v>0.1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100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100</v>
      </c>
      <c r="DT191">
        <v>162</v>
      </c>
      <c r="DU191">
        <v>37</v>
      </c>
      <c r="DV191">
        <v>0</v>
      </c>
      <c r="DW191">
        <v>0</v>
      </c>
      <c r="DX191">
        <v>0.2</v>
      </c>
      <c r="DY191">
        <v>513</v>
      </c>
      <c r="DZ191">
        <v>494</v>
      </c>
      <c r="EA191">
        <v>784</v>
      </c>
      <c r="EB191">
        <v>945</v>
      </c>
      <c r="EC191">
        <v>185</v>
      </c>
      <c r="ED191">
        <v>1378</v>
      </c>
      <c r="EE191">
        <v>1822</v>
      </c>
      <c r="EF191">
        <v>0</v>
      </c>
      <c r="EG191">
        <v>0</v>
      </c>
      <c r="EH191">
        <v>2.7</v>
      </c>
      <c r="EI191">
        <v>1.8</v>
      </c>
      <c r="EJ191">
        <v>0.2</v>
      </c>
      <c r="EK191">
        <v>1.5</v>
      </c>
    </row>
    <row r="192" spans="1:141" x14ac:dyDescent="0.25">
      <c r="A192" t="str">
        <f>[1]ingredient!B191</f>
        <v>Kirschen</v>
      </c>
      <c r="B192" t="s">
        <v>294</v>
      </c>
      <c r="C192" s="7">
        <f>_xlfn.XLOOKUP(A192,[1]ingredient!$B$2:$B$521,[1]ingredient!$A$2:$A$521)</f>
        <v>190</v>
      </c>
      <c r="D192">
        <v>52</v>
      </c>
      <c r="E192">
        <v>1</v>
      </c>
      <c r="F192">
        <v>1</v>
      </c>
      <c r="G192">
        <v>10</v>
      </c>
      <c r="H192">
        <v>1</v>
      </c>
      <c r="I192">
        <v>10</v>
      </c>
      <c r="J192">
        <v>0.02</v>
      </c>
      <c r="K192">
        <v>85</v>
      </c>
      <c r="L192">
        <v>40</v>
      </c>
      <c r="M192">
        <v>20</v>
      </c>
      <c r="N192">
        <v>0</v>
      </c>
      <c r="O192">
        <v>240</v>
      </c>
      <c r="P192">
        <v>50</v>
      </c>
      <c r="Q192">
        <v>60</v>
      </c>
      <c r="R192">
        <v>400</v>
      </c>
      <c r="S192">
        <v>550</v>
      </c>
      <c r="T192">
        <v>230</v>
      </c>
      <c r="U192">
        <v>50</v>
      </c>
      <c r="V192">
        <v>0.4</v>
      </c>
      <c r="W192">
        <v>75</v>
      </c>
      <c r="X192">
        <v>0</v>
      </c>
      <c r="Y192">
        <v>12000</v>
      </c>
      <c r="Z192">
        <v>0</v>
      </c>
      <c r="AA192">
        <v>130</v>
      </c>
      <c r="AB192">
        <v>0</v>
      </c>
      <c r="AC192">
        <v>2</v>
      </c>
      <c r="AD192">
        <v>114</v>
      </c>
      <c r="AE192">
        <v>8</v>
      </c>
      <c r="AF192">
        <v>8</v>
      </c>
      <c r="AG192">
        <v>19</v>
      </c>
      <c r="AH192">
        <v>8</v>
      </c>
      <c r="AI192">
        <v>21</v>
      </c>
      <c r="AJ192">
        <v>600</v>
      </c>
      <c r="AK192">
        <v>100</v>
      </c>
      <c r="AL192">
        <v>100</v>
      </c>
      <c r="AM192">
        <v>80</v>
      </c>
      <c r="AN192">
        <v>18</v>
      </c>
      <c r="AO192">
        <v>0.2</v>
      </c>
      <c r="AP192">
        <v>0</v>
      </c>
      <c r="AQ192">
        <v>1020</v>
      </c>
      <c r="AR192">
        <v>0</v>
      </c>
      <c r="AS192">
        <v>1020</v>
      </c>
      <c r="AT192">
        <v>5180</v>
      </c>
      <c r="AU192">
        <v>4283</v>
      </c>
      <c r="AV192">
        <v>0</v>
      </c>
      <c r="AW192">
        <v>9463</v>
      </c>
      <c r="AX192">
        <v>417</v>
      </c>
      <c r="AY192">
        <v>0</v>
      </c>
      <c r="AZ192">
        <v>0</v>
      </c>
      <c r="BA192">
        <v>417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f t="shared" si="17"/>
        <v>34.782608695652172</v>
      </c>
      <c r="BH192">
        <v>18</v>
      </c>
      <c r="BI192">
        <v>26</v>
      </c>
      <c r="BJ192">
        <v>36</v>
      </c>
      <c r="BK192">
        <v>5</v>
      </c>
      <c r="BL192">
        <v>3</v>
      </c>
      <c r="BM192">
        <v>18</v>
      </c>
      <c r="BN192">
        <v>11</v>
      </c>
      <c r="BO192">
        <v>21</v>
      </c>
      <c r="BP192">
        <v>9</v>
      </c>
      <c r="BQ192">
        <v>25</v>
      </c>
      <c r="BR192">
        <v>16</v>
      </c>
      <c r="BS192">
        <v>13</v>
      </c>
      <c r="BT192">
        <v>201</v>
      </c>
      <c r="BU192">
        <v>28</v>
      </c>
      <c r="BV192">
        <v>553</v>
      </c>
      <c r="BW192">
        <v>36</v>
      </c>
      <c r="BX192">
        <v>22</v>
      </c>
      <c r="BY192">
        <v>30</v>
      </c>
      <c r="BZ192">
        <v>30</v>
      </c>
      <c r="CA192">
        <v>699</v>
      </c>
      <c r="CB192">
        <v>17</v>
      </c>
      <c r="CC192">
        <v>7</v>
      </c>
      <c r="CD192">
        <v>73</v>
      </c>
      <c r="CE192">
        <v>77</v>
      </c>
      <c r="CF192">
        <v>1.05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3</v>
      </c>
      <c r="CM192">
        <v>0</v>
      </c>
      <c r="CN192">
        <v>80</v>
      </c>
      <c r="CO192">
        <v>0</v>
      </c>
      <c r="CP192">
        <v>27</v>
      </c>
      <c r="CQ192">
        <v>0</v>
      </c>
      <c r="CR192">
        <v>0</v>
      </c>
      <c r="CS192">
        <v>0</v>
      </c>
      <c r="CT192">
        <v>110</v>
      </c>
      <c r="CU192">
        <v>0</v>
      </c>
      <c r="CV192">
        <v>0</v>
      </c>
      <c r="CW192">
        <v>2</v>
      </c>
      <c r="CX192">
        <v>0</v>
      </c>
      <c r="CY192">
        <v>135</v>
      </c>
      <c r="CZ192">
        <v>0</v>
      </c>
      <c r="DA192">
        <v>0</v>
      </c>
      <c r="DB192">
        <v>0</v>
      </c>
      <c r="DC192">
        <v>137</v>
      </c>
      <c r="DD192">
        <v>0</v>
      </c>
      <c r="DE192">
        <v>0</v>
      </c>
      <c r="DF192">
        <v>77</v>
      </c>
      <c r="DG192">
        <v>73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150</v>
      </c>
      <c r="DT192">
        <v>397</v>
      </c>
      <c r="DU192">
        <v>100</v>
      </c>
      <c r="DV192">
        <v>0</v>
      </c>
      <c r="DW192">
        <v>0</v>
      </c>
      <c r="DX192">
        <v>0</v>
      </c>
      <c r="DY192">
        <v>363</v>
      </c>
      <c r="DZ192">
        <v>287</v>
      </c>
      <c r="EA192">
        <v>303</v>
      </c>
      <c r="EB192">
        <v>146</v>
      </c>
      <c r="EC192">
        <v>1</v>
      </c>
      <c r="ED192">
        <v>570</v>
      </c>
      <c r="EE192">
        <v>470</v>
      </c>
      <c r="EF192">
        <v>0</v>
      </c>
      <c r="EG192">
        <v>2</v>
      </c>
      <c r="EH192">
        <v>0.5</v>
      </c>
      <c r="EI192">
        <v>0.5</v>
      </c>
      <c r="EJ192">
        <v>0.5</v>
      </c>
      <c r="EK192">
        <v>1</v>
      </c>
    </row>
    <row r="193" spans="1:141" x14ac:dyDescent="0.25">
      <c r="A193" t="str">
        <f>[1]ingredient!B192</f>
        <v>Kirschen, gefroren</v>
      </c>
      <c r="B193" t="s">
        <v>295</v>
      </c>
      <c r="C193" s="7">
        <f>_xlfn.XLOOKUP(A193,[1]ingredient!$B$2:$B$521,[1]ingredient!$A$2:$A$521)</f>
        <v>191</v>
      </c>
      <c r="D193">
        <v>54</v>
      </c>
      <c r="E193">
        <v>1</v>
      </c>
      <c r="F193">
        <v>1</v>
      </c>
      <c r="G193">
        <v>10</v>
      </c>
      <c r="H193">
        <v>1</v>
      </c>
      <c r="I193">
        <v>9</v>
      </c>
      <c r="J193">
        <v>0.02</v>
      </c>
      <c r="K193">
        <v>85</v>
      </c>
      <c r="L193">
        <v>38</v>
      </c>
      <c r="M193">
        <v>19</v>
      </c>
      <c r="N193">
        <v>0</v>
      </c>
      <c r="O193">
        <v>226</v>
      </c>
      <c r="P193">
        <v>47</v>
      </c>
      <c r="Q193">
        <v>56</v>
      </c>
      <c r="R193">
        <v>376</v>
      </c>
      <c r="S193">
        <v>526</v>
      </c>
      <c r="T193">
        <v>216</v>
      </c>
      <c r="U193">
        <v>47</v>
      </c>
      <c r="V193">
        <v>0.4</v>
      </c>
      <c r="W193">
        <v>71</v>
      </c>
      <c r="X193">
        <v>0</v>
      </c>
      <c r="Y193">
        <v>10028</v>
      </c>
      <c r="Z193">
        <v>0</v>
      </c>
      <c r="AA193">
        <v>122</v>
      </c>
      <c r="AB193">
        <v>0</v>
      </c>
      <c r="AC193">
        <v>2</v>
      </c>
      <c r="AD193">
        <v>119</v>
      </c>
      <c r="AE193">
        <v>8</v>
      </c>
      <c r="AF193">
        <v>8</v>
      </c>
      <c r="AG193">
        <v>20</v>
      </c>
      <c r="AH193">
        <v>8</v>
      </c>
      <c r="AI193">
        <v>22</v>
      </c>
      <c r="AJ193">
        <v>627</v>
      </c>
      <c r="AK193">
        <v>104</v>
      </c>
      <c r="AL193">
        <v>104</v>
      </c>
      <c r="AM193">
        <v>84</v>
      </c>
      <c r="AN193">
        <v>19</v>
      </c>
      <c r="AO193">
        <v>0.2</v>
      </c>
      <c r="AP193">
        <v>0</v>
      </c>
      <c r="AQ193">
        <v>965</v>
      </c>
      <c r="AR193">
        <v>0</v>
      </c>
      <c r="AS193">
        <v>965</v>
      </c>
      <c r="AT193">
        <v>4905</v>
      </c>
      <c r="AU193">
        <v>4055</v>
      </c>
      <c r="AV193">
        <v>0</v>
      </c>
      <c r="AW193">
        <v>8960</v>
      </c>
      <c r="AX193">
        <v>395</v>
      </c>
      <c r="AY193">
        <v>0</v>
      </c>
      <c r="AZ193">
        <v>0</v>
      </c>
      <c r="BA193">
        <v>395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f t="shared" si="17"/>
        <v>34.782608695652172</v>
      </c>
      <c r="BH193">
        <v>19</v>
      </c>
      <c r="BI193">
        <v>27</v>
      </c>
      <c r="BJ193">
        <v>38</v>
      </c>
      <c r="BK193">
        <v>5</v>
      </c>
      <c r="BL193">
        <v>3</v>
      </c>
      <c r="BM193">
        <v>19</v>
      </c>
      <c r="BN193">
        <v>11</v>
      </c>
      <c r="BO193">
        <v>22</v>
      </c>
      <c r="BP193">
        <v>9</v>
      </c>
      <c r="BQ193">
        <v>26</v>
      </c>
      <c r="BR193">
        <v>17</v>
      </c>
      <c r="BS193">
        <v>14</v>
      </c>
      <c r="BT193">
        <v>210</v>
      </c>
      <c r="BU193">
        <v>29</v>
      </c>
      <c r="BV193">
        <v>578</v>
      </c>
      <c r="BW193">
        <v>38</v>
      </c>
      <c r="BX193">
        <v>23</v>
      </c>
      <c r="BY193">
        <v>31</v>
      </c>
      <c r="BZ193">
        <v>31</v>
      </c>
      <c r="CA193">
        <v>730</v>
      </c>
      <c r="CB193">
        <v>18</v>
      </c>
      <c r="CC193">
        <v>8</v>
      </c>
      <c r="CD193">
        <v>76</v>
      </c>
      <c r="CE193">
        <v>81</v>
      </c>
      <c r="CF193">
        <v>1.07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3</v>
      </c>
      <c r="CM193">
        <v>0</v>
      </c>
      <c r="CN193">
        <v>85</v>
      </c>
      <c r="CO193">
        <v>0</v>
      </c>
      <c r="CP193">
        <v>28</v>
      </c>
      <c r="CQ193">
        <v>0</v>
      </c>
      <c r="CR193">
        <v>0</v>
      </c>
      <c r="CS193">
        <v>0</v>
      </c>
      <c r="CT193">
        <v>116</v>
      </c>
      <c r="CU193">
        <v>0</v>
      </c>
      <c r="CV193">
        <v>0</v>
      </c>
      <c r="CW193">
        <v>2</v>
      </c>
      <c r="CX193">
        <v>0</v>
      </c>
      <c r="CY193">
        <v>142</v>
      </c>
      <c r="CZ193">
        <v>0</v>
      </c>
      <c r="DA193">
        <v>0</v>
      </c>
      <c r="DB193">
        <v>0</v>
      </c>
      <c r="DC193">
        <v>144</v>
      </c>
      <c r="DD193">
        <v>0</v>
      </c>
      <c r="DE193">
        <v>0</v>
      </c>
      <c r="DF193">
        <v>81</v>
      </c>
      <c r="DG193">
        <v>76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157</v>
      </c>
      <c r="DT193">
        <v>417</v>
      </c>
      <c r="DU193">
        <v>105</v>
      </c>
      <c r="DV193">
        <v>0</v>
      </c>
      <c r="DW193">
        <v>0</v>
      </c>
      <c r="DX193">
        <v>0</v>
      </c>
      <c r="DY193">
        <v>379</v>
      </c>
      <c r="DZ193">
        <v>300</v>
      </c>
      <c r="EA193">
        <v>317</v>
      </c>
      <c r="EB193">
        <v>153</v>
      </c>
      <c r="EC193">
        <v>1</v>
      </c>
      <c r="ED193">
        <v>595</v>
      </c>
      <c r="EE193">
        <v>491</v>
      </c>
      <c r="EF193">
        <v>0</v>
      </c>
      <c r="EG193">
        <v>2</v>
      </c>
      <c r="EH193">
        <v>0.5</v>
      </c>
      <c r="EI193">
        <v>0.5</v>
      </c>
      <c r="EJ193">
        <v>0.5</v>
      </c>
      <c r="EK193">
        <v>1</v>
      </c>
    </row>
    <row r="194" spans="1:141" x14ac:dyDescent="0.25">
      <c r="A194" t="str">
        <f>[1]ingredient!B193</f>
        <v>Kirschpflaumen</v>
      </c>
      <c r="B194" t="s">
        <v>296</v>
      </c>
      <c r="C194" s="7">
        <f>_xlfn.XLOOKUP(A194,[1]ingredient!$B$2:$B$521,[1]ingredient!$A$2:$A$521)</f>
        <v>192</v>
      </c>
      <c r="D194">
        <v>64</v>
      </c>
      <c r="E194">
        <v>0.2</v>
      </c>
      <c r="F194">
        <v>1</v>
      </c>
      <c r="G194">
        <v>14</v>
      </c>
      <c r="H194">
        <v>1</v>
      </c>
      <c r="I194">
        <v>14</v>
      </c>
      <c r="J194">
        <v>0</v>
      </c>
      <c r="K194">
        <v>82</v>
      </c>
      <c r="L194">
        <v>35</v>
      </c>
      <c r="M194">
        <v>18</v>
      </c>
      <c r="N194">
        <v>0</v>
      </c>
      <c r="O194">
        <v>210</v>
      </c>
      <c r="P194">
        <v>60</v>
      </c>
      <c r="Q194">
        <v>40</v>
      </c>
      <c r="R194">
        <v>600</v>
      </c>
      <c r="S194">
        <v>600</v>
      </c>
      <c r="T194">
        <v>200</v>
      </c>
      <c r="U194">
        <v>50</v>
      </c>
      <c r="V194">
        <v>1</v>
      </c>
      <c r="W194">
        <v>3</v>
      </c>
      <c r="X194">
        <v>0</v>
      </c>
      <c r="Y194">
        <v>7000</v>
      </c>
      <c r="Z194">
        <v>0</v>
      </c>
      <c r="AA194">
        <v>500</v>
      </c>
      <c r="AB194">
        <v>10</v>
      </c>
      <c r="AC194">
        <v>0</v>
      </c>
      <c r="AD194">
        <v>230</v>
      </c>
      <c r="AE194">
        <v>12</v>
      </c>
      <c r="AF194">
        <v>15</v>
      </c>
      <c r="AG194">
        <v>33</v>
      </c>
      <c r="AH194">
        <v>10</v>
      </c>
      <c r="AI194">
        <v>3</v>
      </c>
      <c r="AJ194">
        <v>500</v>
      </c>
      <c r="AK194">
        <v>100</v>
      </c>
      <c r="AL194">
        <v>90</v>
      </c>
      <c r="AM194">
        <v>90</v>
      </c>
      <c r="AN194">
        <v>2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5096</v>
      </c>
      <c r="AU194">
        <v>4298</v>
      </c>
      <c r="AV194">
        <v>0</v>
      </c>
      <c r="AW194">
        <v>9394</v>
      </c>
      <c r="AX194">
        <v>4606</v>
      </c>
      <c r="AY194">
        <v>0</v>
      </c>
      <c r="AZ194">
        <v>0</v>
      </c>
      <c r="BA194">
        <v>4606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f t="shared" si="17"/>
        <v>0</v>
      </c>
      <c r="BH194">
        <v>14</v>
      </c>
      <c r="BI194">
        <v>19</v>
      </c>
      <c r="BJ194">
        <v>15</v>
      </c>
      <c r="BK194">
        <v>6</v>
      </c>
      <c r="BL194">
        <v>4</v>
      </c>
      <c r="BM194">
        <v>15</v>
      </c>
      <c r="BN194">
        <v>6</v>
      </c>
      <c r="BO194">
        <v>14</v>
      </c>
      <c r="BP194">
        <v>0</v>
      </c>
      <c r="BQ194">
        <v>17</v>
      </c>
      <c r="BR194">
        <v>11</v>
      </c>
      <c r="BS194">
        <v>11</v>
      </c>
      <c r="BT194">
        <v>132</v>
      </c>
      <c r="BU194">
        <v>26</v>
      </c>
      <c r="BV194">
        <v>219</v>
      </c>
      <c r="BW194">
        <v>33</v>
      </c>
      <c r="BX194">
        <v>11</v>
      </c>
      <c r="BY194">
        <v>30</v>
      </c>
      <c r="BZ194">
        <v>18</v>
      </c>
      <c r="CA194">
        <v>337</v>
      </c>
      <c r="CB194">
        <v>20</v>
      </c>
      <c r="CC194">
        <v>8</v>
      </c>
      <c r="CD194">
        <v>35</v>
      </c>
      <c r="CE194">
        <v>64</v>
      </c>
      <c r="CF194">
        <v>1.83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29</v>
      </c>
      <c r="CO194">
        <v>0</v>
      </c>
      <c r="CP194">
        <v>6</v>
      </c>
      <c r="CQ194">
        <v>0</v>
      </c>
      <c r="CR194">
        <v>0</v>
      </c>
      <c r="CS194">
        <v>0</v>
      </c>
      <c r="CT194">
        <v>35</v>
      </c>
      <c r="CU194">
        <v>0</v>
      </c>
      <c r="CV194">
        <v>0</v>
      </c>
      <c r="CW194">
        <v>2</v>
      </c>
      <c r="CX194">
        <v>0</v>
      </c>
      <c r="CY194">
        <v>24</v>
      </c>
      <c r="CZ194">
        <v>0</v>
      </c>
      <c r="DA194">
        <v>0</v>
      </c>
      <c r="DB194">
        <v>0</v>
      </c>
      <c r="DC194">
        <v>26</v>
      </c>
      <c r="DD194">
        <v>0</v>
      </c>
      <c r="DE194">
        <v>0</v>
      </c>
      <c r="DF194">
        <v>64</v>
      </c>
      <c r="DG194">
        <v>35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99</v>
      </c>
      <c r="DT194">
        <v>160</v>
      </c>
      <c r="DU194">
        <v>40</v>
      </c>
      <c r="DV194">
        <v>0</v>
      </c>
      <c r="DW194">
        <v>0</v>
      </c>
      <c r="DX194">
        <v>0</v>
      </c>
      <c r="DY194">
        <v>130</v>
      </c>
      <c r="DZ194">
        <v>108</v>
      </c>
      <c r="EA194">
        <v>625</v>
      </c>
      <c r="EB194">
        <v>190</v>
      </c>
      <c r="EC194">
        <v>247</v>
      </c>
      <c r="ED194">
        <v>551</v>
      </c>
      <c r="EE194">
        <v>749</v>
      </c>
      <c r="EF194">
        <v>0</v>
      </c>
      <c r="EG194">
        <v>1</v>
      </c>
      <c r="EH194">
        <v>0.5</v>
      </c>
      <c r="EI194">
        <v>0.7</v>
      </c>
      <c r="EJ194">
        <v>0.2</v>
      </c>
      <c r="EK194">
        <v>0.5</v>
      </c>
    </row>
    <row r="195" spans="1:141" x14ac:dyDescent="0.25">
      <c r="A195" t="str">
        <f>[1]ingredient!B194</f>
        <v>Kiwi gold</v>
      </c>
      <c r="B195" t="s">
        <v>297</v>
      </c>
      <c r="C195" s="7">
        <f>_xlfn.XLOOKUP(A195,[1]ingredient!$B$2:$B$521,[1]ingredient!$A$2:$A$521)</f>
        <v>193</v>
      </c>
      <c r="D195">
        <v>61</v>
      </c>
      <c r="E195">
        <v>1</v>
      </c>
      <c r="F195">
        <v>1</v>
      </c>
      <c r="G195">
        <v>11</v>
      </c>
      <c r="H195">
        <v>4</v>
      </c>
      <c r="I195">
        <v>10</v>
      </c>
      <c r="J195">
        <v>7.0000000000000007E-2</v>
      </c>
      <c r="K195">
        <v>81</v>
      </c>
      <c r="L195">
        <v>62</v>
      </c>
      <c r="M195">
        <v>31</v>
      </c>
      <c r="N195">
        <v>0</v>
      </c>
      <c r="O195">
        <v>370</v>
      </c>
      <c r="P195">
        <v>17</v>
      </c>
      <c r="Q195">
        <v>50</v>
      </c>
      <c r="R195">
        <v>410</v>
      </c>
      <c r="S195">
        <v>577</v>
      </c>
      <c r="T195">
        <v>200</v>
      </c>
      <c r="U195">
        <v>18</v>
      </c>
      <c r="V195">
        <v>1</v>
      </c>
      <c r="W195">
        <v>20</v>
      </c>
      <c r="X195">
        <v>0</v>
      </c>
      <c r="Y195">
        <v>71000</v>
      </c>
      <c r="Z195">
        <v>0</v>
      </c>
      <c r="AA195">
        <v>500</v>
      </c>
      <c r="AB195">
        <v>10</v>
      </c>
      <c r="AC195">
        <v>4</v>
      </c>
      <c r="AD195">
        <v>295</v>
      </c>
      <c r="AE195">
        <v>38</v>
      </c>
      <c r="AF195">
        <v>24</v>
      </c>
      <c r="AG195">
        <v>31</v>
      </c>
      <c r="AH195">
        <v>15</v>
      </c>
      <c r="AI195">
        <v>66</v>
      </c>
      <c r="AJ195">
        <v>800</v>
      </c>
      <c r="AK195">
        <v>450</v>
      </c>
      <c r="AL195">
        <v>120</v>
      </c>
      <c r="AM195">
        <v>50</v>
      </c>
      <c r="AN195">
        <v>10</v>
      </c>
      <c r="AO195">
        <v>2</v>
      </c>
      <c r="AP195">
        <v>0</v>
      </c>
      <c r="AQ195">
        <v>0</v>
      </c>
      <c r="AR195">
        <v>0</v>
      </c>
      <c r="AS195">
        <v>0</v>
      </c>
      <c r="AT195">
        <v>4707</v>
      </c>
      <c r="AU195">
        <v>4405</v>
      </c>
      <c r="AV195">
        <v>0</v>
      </c>
      <c r="AW195">
        <v>9112</v>
      </c>
      <c r="AX195">
        <v>1346</v>
      </c>
      <c r="AY195">
        <v>0</v>
      </c>
      <c r="AZ195">
        <v>0</v>
      </c>
      <c r="BA195">
        <v>1346</v>
      </c>
      <c r="BB195">
        <v>0</v>
      </c>
      <c r="BC195">
        <v>0</v>
      </c>
      <c r="BD195">
        <v>0</v>
      </c>
      <c r="BE195">
        <v>312</v>
      </c>
      <c r="BF195">
        <v>312</v>
      </c>
      <c r="BG195">
        <f t="shared" si="17"/>
        <v>65.217391304347828</v>
      </c>
      <c r="BH195">
        <v>30</v>
      </c>
      <c r="BI195">
        <v>50</v>
      </c>
      <c r="BJ195">
        <v>50</v>
      </c>
      <c r="BK195">
        <v>10</v>
      </c>
      <c r="BL195">
        <v>5</v>
      </c>
      <c r="BM195">
        <v>25</v>
      </c>
      <c r="BN195">
        <v>20</v>
      </c>
      <c r="BO195">
        <v>30</v>
      </c>
      <c r="BP195">
        <v>10</v>
      </c>
      <c r="BQ195">
        <v>35</v>
      </c>
      <c r="BR195">
        <v>35</v>
      </c>
      <c r="BS195">
        <v>15</v>
      </c>
      <c r="BT195">
        <v>315</v>
      </c>
      <c r="BU195">
        <v>45</v>
      </c>
      <c r="BV195">
        <v>90</v>
      </c>
      <c r="BW195">
        <v>100</v>
      </c>
      <c r="BX195">
        <v>35</v>
      </c>
      <c r="BY195">
        <v>35</v>
      </c>
      <c r="BZ195">
        <v>40</v>
      </c>
      <c r="CA195">
        <v>345</v>
      </c>
      <c r="CB195">
        <v>19</v>
      </c>
      <c r="CC195">
        <v>8</v>
      </c>
      <c r="CD195">
        <v>48</v>
      </c>
      <c r="CE195">
        <v>201</v>
      </c>
      <c r="CF195">
        <v>4.1900000000000004</v>
      </c>
      <c r="CG195">
        <v>0</v>
      </c>
      <c r="CH195">
        <v>0</v>
      </c>
      <c r="CI195">
        <v>0</v>
      </c>
      <c r="CJ195">
        <v>0</v>
      </c>
      <c r="CK195">
        <v>3</v>
      </c>
      <c r="CL195">
        <v>5</v>
      </c>
      <c r="CM195">
        <v>0</v>
      </c>
      <c r="CN195">
        <v>121</v>
      </c>
      <c r="CO195">
        <v>0</v>
      </c>
      <c r="CP195">
        <v>20</v>
      </c>
      <c r="CQ195">
        <v>0</v>
      </c>
      <c r="CR195">
        <v>0</v>
      </c>
      <c r="CS195">
        <v>0</v>
      </c>
      <c r="CT195">
        <v>149</v>
      </c>
      <c r="CU195">
        <v>0</v>
      </c>
      <c r="CV195">
        <v>0</v>
      </c>
      <c r="CW195">
        <v>5</v>
      </c>
      <c r="CX195">
        <v>0</v>
      </c>
      <c r="CY195">
        <v>101</v>
      </c>
      <c r="CZ195">
        <v>0</v>
      </c>
      <c r="DA195">
        <v>0</v>
      </c>
      <c r="DB195">
        <v>0</v>
      </c>
      <c r="DC195">
        <v>106</v>
      </c>
      <c r="DD195">
        <v>0</v>
      </c>
      <c r="DE195">
        <v>0</v>
      </c>
      <c r="DF195">
        <v>201</v>
      </c>
      <c r="DG195">
        <v>48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249</v>
      </c>
      <c r="DT195">
        <v>504</v>
      </c>
      <c r="DU195">
        <v>126</v>
      </c>
      <c r="DV195">
        <v>0</v>
      </c>
      <c r="DW195">
        <v>0</v>
      </c>
      <c r="DX195">
        <v>0</v>
      </c>
      <c r="DY195">
        <v>858</v>
      </c>
      <c r="DZ195">
        <v>663</v>
      </c>
      <c r="EA195">
        <v>858</v>
      </c>
      <c r="EB195">
        <v>819</v>
      </c>
      <c r="EC195">
        <v>702</v>
      </c>
      <c r="ED195">
        <v>1084</v>
      </c>
      <c r="EE195">
        <v>2816</v>
      </c>
      <c r="EF195">
        <v>0</v>
      </c>
      <c r="EG195">
        <v>2</v>
      </c>
      <c r="EH195">
        <v>0.7</v>
      </c>
      <c r="EI195">
        <v>2.8</v>
      </c>
      <c r="EJ195">
        <v>0.6</v>
      </c>
      <c r="EK195">
        <v>0.7</v>
      </c>
    </row>
    <row r="196" spans="1:141" x14ac:dyDescent="0.25">
      <c r="A196" t="str">
        <f>[1]ingredient!B195</f>
        <v>Kiwi grün</v>
      </c>
      <c r="B196" t="s">
        <v>297</v>
      </c>
      <c r="C196" s="7">
        <f>_xlfn.XLOOKUP(A196,[1]ingredient!$B$2:$B$521,[1]ingredient!$A$2:$A$521)</f>
        <v>194</v>
      </c>
      <c r="D196">
        <v>61</v>
      </c>
      <c r="E196">
        <v>1</v>
      </c>
      <c r="F196">
        <v>1</v>
      </c>
      <c r="G196">
        <v>11</v>
      </c>
      <c r="H196">
        <v>4</v>
      </c>
      <c r="I196">
        <v>10</v>
      </c>
      <c r="J196">
        <v>7.0000000000000007E-2</v>
      </c>
      <c r="K196">
        <v>81</v>
      </c>
      <c r="L196">
        <v>62</v>
      </c>
      <c r="M196">
        <v>31</v>
      </c>
      <c r="N196">
        <v>0</v>
      </c>
      <c r="O196">
        <v>370</v>
      </c>
      <c r="P196">
        <v>17</v>
      </c>
      <c r="Q196">
        <v>50</v>
      </c>
      <c r="R196">
        <v>410</v>
      </c>
      <c r="S196">
        <v>577</v>
      </c>
      <c r="T196">
        <v>200</v>
      </c>
      <c r="U196">
        <v>18</v>
      </c>
      <c r="V196">
        <v>1</v>
      </c>
      <c r="W196">
        <v>20</v>
      </c>
      <c r="X196">
        <v>0</v>
      </c>
      <c r="Y196">
        <v>71000</v>
      </c>
      <c r="Z196">
        <v>0</v>
      </c>
      <c r="AA196">
        <v>500</v>
      </c>
      <c r="AB196">
        <v>10</v>
      </c>
      <c r="AC196">
        <v>4</v>
      </c>
      <c r="AD196">
        <v>295</v>
      </c>
      <c r="AE196">
        <v>38</v>
      </c>
      <c r="AF196">
        <v>24</v>
      </c>
      <c r="AG196">
        <v>31</v>
      </c>
      <c r="AH196">
        <v>15</v>
      </c>
      <c r="AI196">
        <v>66</v>
      </c>
      <c r="AJ196">
        <v>800</v>
      </c>
      <c r="AK196">
        <v>450</v>
      </c>
      <c r="AL196">
        <v>120</v>
      </c>
      <c r="AM196">
        <v>50</v>
      </c>
      <c r="AN196">
        <v>10</v>
      </c>
      <c r="AO196">
        <v>2</v>
      </c>
      <c r="AP196">
        <v>0</v>
      </c>
      <c r="AQ196">
        <v>0</v>
      </c>
      <c r="AR196">
        <v>0</v>
      </c>
      <c r="AS196">
        <v>0</v>
      </c>
      <c r="AT196">
        <v>4707</v>
      </c>
      <c r="AU196">
        <v>4405</v>
      </c>
      <c r="AV196">
        <v>0</v>
      </c>
      <c r="AW196">
        <v>9112</v>
      </c>
      <c r="AX196">
        <v>1346</v>
      </c>
      <c r="AY196">
        <v>0</v>
      </c>
      <c r="AZ196">
        <v>0</v>
      </c>
      <c r="BA196">
        <v>1346</v>
      </c>
      <c r="BB196">
        <v>0</v>
      </c>
      <c r="BC196">
        <v>0</v>
      </c>
      <c r="BD196">
        <v>0</v>
      </c>
      <c r="BE196">
        <v>312</v>
      </c>
      <c r="BF196">
        <v>312</v>
      </c>
      <c r="BG196">
        <f t="shared" si="17"/>
        <v>65.217391304347828</v>
      </c>
      <c r="BH196">
        <v>30</v>
      </c>
      <c r="BI196">
        <v>50</v>
      </c>
      <c r="BJ196">
        <v>50</v>
      </c>
      <c r="BK196">
        <v>10</v>
      </c>
      <c r="BL196">
        <v>5</v>
      </c>
      <c r="BM196">
        <v>25</v>
      </c>
      <c r="BN196">
        <v>20</v>
      </c>
      <c r="BO196">
        <v>30</v>
      </c>
      <c r="BP196">
        <v>10</v>
      </c>
      <c r="BQ196">
        <v>35</v>
      </c>
      <c r="BR196">
        <v>35</v>
      </c>
      <c r="BS196">
        <v>15</v>
      </c>
      <c r="BT196">
        <v>315</v>
      </c>
      <c r="BU196">
        <v>45</v>
      </c>
      <c r="BV196">
        <v>90</v>
      </c>
      <c r="BW196">
        <v>100</v>
      </c>
      <c r="BX196">
        <v>35</v>
      </c>
      <c r="BY196">
        <v>35</v>
      </c>
      <c r="BZ196">
        <v>40</v>
      </c>
      <c r="CA196">
        <v>345</v>
      </c>
      <c r="CB196">
        <v>19</v>
      </c>
      <c r="CC196">
        <v>8</v>
      </c>
      <c r="CD196">
        <v>48</v>
      </c>
      <c r="CE196">
        <v>201</v>
      </c>
      <c r="CF196">
        <v>4.1900000000000004</v>
      </c>
      <c r="CG196">
        <v>0</v>
      </c>
      <c r="CH196">
        <v>0</v>
      </c>
      <c r="CI196">
        <v>0</v>
      </c>
      <c r="CJ196">
        <v>0</v>
      </c>
      <c r="CK196">
        <v>3</v>
      </c>
      <c r="CL196">
        <v>5</v>
      </c>
      <c r="CM196">
        <v>0</v>
      </c>
      <c r="CN196">
        <v>121</v>
      </c>
      <c r="CO196">
        <v>0</v>
      </c>
      <c r="CP196">
        <v>20</v>
      </c>
      <c r="CQ196">
        <v>0</v>
      </c>
      <c r="CR196">
        <v>0</v>
      </c>
      <c r="CS196">
        <v>0</v>
      </c>
      <c r="CT196">
        <v>149</v>
      </c>
      <c r="CU196">
        <v>0</v>
      </c>
      <c r="CV196">
        <v>0</v>
      </c>
      <c r="CW196">
        <v>5</v>
      </c>
      <c r="CX196">
        <v>0</v>
      </c>
      <c r="CY196">
        <v>101</v>
      </c>
      <c r="CZ196">
        <v>0</v>
      </c>
      <c r="DA196">
        <v>0</v>
      </c>
      <c r="DB196">
        <v>0</v>
      </c>
      <c r="DC196">
        <v>106</v>
      </c>
      <c r="DD196">
        <v>0</v>
      </c>
      <c r="DE196">
        <v>0</v>
      </c>
      <c r="DF196">
        <v>201</v>
      </c>
      <c r="DG196">
        <v>48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249</v>
      </c>
      <c r="DT196">
        <v>504</v>
      </c>
      <c r="DU196">
        <v>126</v>
      </c>
      <c r="DV196">
        <v>0</v>
      </c>
      <c r="DW196">
        <v>0</v>
      </c>
      <c r="DX196">
        <v>0</v>
      </c>
      <c r="DY196">
        <v>858</v>
      </c>
      <c r="DZ196">
        <v>663</v>
      </c>
      <c r="EA196">
        <v>858</v>
      </c>
      <c r="EB196">
        <v>819</v>
      </c>
      <c r="EC196">
        <v>702</v>
      </c>
      <c r="ED196">
        <v>1084</v>
      </c>
      <c r="EE196">
        <v>2816</v>
      </c>
      <c r="EF196">
        <v>0</v>
      </c>
      <c r="EG196">
        <v>2</v>
      </c>
      <c r="EH196">
        <v>0.7</v>
      </c>
      <c r="EI196">
        <v>2.8</v>
      </c>
      <c r="EJ196">
        <v>0.6</v>
      </c>
      <c r="EK196">
        <v>0.7</v>
      </c>
    </row>
    <row r="197" spans="1:141" x14ac:dyDescent="0.25">
      <c r="A197" t="str">
        <f>[1]ingredient!B196</f>
        <v>Knoblauch</v>
      </c>
      <c r="B197" t="s">
        <v>298</v>
      </c>
      <c r="C197" s="7">
        <f>_xlfn.XLOOKUP(A197,[1]ingredient!$B$2:$B$521,[1]ingredient!$A$2:$A$521)</f>
        <v>195</v>
      </c>
      <c r="D197">
        <v>142</v>
      </c>
      <c r="E197">
        <v>0.12</v>
      </c>
      <c r="F197">
        <v>6</v>
      </c>
      <c r="G197">
        <v>28</v>
      </c>
      <c r="H197">
        <v>2</v>
      </c>
      <c r="I197">
        <v>2</v>
      </c>
      <c r="J197">
        <v>0.05</v>
      </c>
      <c r="K197">
        <v>62</v>
      </c>
      <c r="L197">
        <v>0</v>
      </c>
      <c r="M197">
        <v>0.08</v>
      </c>
      <c r="N197">
        <v>0</v>
      </c>
      <c r="O197">
        <v>1</v>
      </c>
      <c r="P197">
        <v>200</v>
      </c>
      <c r="Q197">
        <v>80</v>
      </c>
      <c r="R197">
        <v>600</v>
      </c>
      <c r="S197">
        <v>2333</v>
      </c>
      <c r="T197">
        <v>150</v>
      </c>
      <c r="U197">
        <v>380</v>
      </c>
      <c r="V197">
        <v>2</v>
      </c>
      <c r="W197">
        <v>20</v>
      </c>
      <c r="X197">
        <v>0</v>
      </c>
      <c r="Y197">
        <v>14000</v>
      </c>
      <c r="Z197">
        <v>0</v>
      </c>
      <c r="AA197">
        <v>10</v>
      </c>
      <c r="AB197">
        <v>0</v>
      </c>
      <c r="AC197">
        <v>19</v>
      </c>
      <c r="AD197">
        <v>530</v>
      </c>
      <c r="AE197">
        <v>38</v>
      </c>
      <c r="AF197">
        <v>35</v>
      </c>
      <c r="AG197">
        <v>134</v>
      </c>
      <c r="AH197">
        <v>50</v>
      </c>
      <c r="AI197">
        <v>30</v>
      </c>
      <c r="AJ197">
        <v>1400</v>
      </c>
      <c r="AK197">
        <v>577</v>
      </c>
      <c r="AL197">
        <v>149</v>
      </c>
      <c r="AM197">
        <v>460</v>
      </c>
      <c r="AN197">
        <v>50</v>
      </c>
      <c r="AO197">
        <v>3</v>
      </c>
      <c r="AP197">
        <v>0</v>
      </c>
      <c r="AQ197">
        <v>0</v>
      </c>
      <c r="AR197">
        <v>0</v>
      </c>
      <c r="AS197">
        <v>0</v>
      </c>
      <c r="AT197">
        <v>400</v>
      </c>
      <c r="AU197">
        <v>600</v>
      </c>
      <c r="AV197">
        <v>0</v>
      </c>
      <c r="AW197">
        <v>1000</v>
      </c>
      <c r="AX197">
        <v>600</v>
      </c>
      <c r="AY197">
        <v>0</v>
      </c>
      <c r="AZ197">
        <v>0</v>
      </c>
      <c r="BA197">
        <v>600</v>
      </c>
      <c r="BB197">
        <v>3749</v>
      </c>
      <c r="BC197">
        <v>0</v>
      </c>
      <c r="BD197">
        <v>0</v>
      </c>
      <c r="BE197">
        <v>0</v>
      </c>
      <c r="BF197">
        <v>0</v>
      </c>
      <c r="BG197">
        <f t="shared" si="17"/>
        <v>126.04166666666667</v>
      </c>
      <c r="BH197">
        <v>303</v>
      </c>
      <c r="BI197">
        <v>476</v>
      </c>
      <c r="BJ197">
        <v>363</v>
      </c>
      <c r="BK197">
        <v>147</v>
      </c>
      <c r="BL197">
        <v>87</v>
      </c>
      <c r="BM197">
        <v>241</v>
      </c>
      <c r="BN197">
        <v>104</v>
      </c>
      <c r="BO197">
        <v>241</v>
      </c>
      <c r="BP197">
        <v>104</v>
      </c>
      <c r="BQ197">
        <v>397</v>
      </c>
      <c r="BR197">
        <v>864</v>
      </c>
      <c r="BS197">
        <v>156</v>
      </c>
      <c r="BT197">
        <v>3483</v>
      </c>
      <c r="BU197">
        <v>173</v>
      </c>
      <c r="BV197">
        <v>657</v>
      </c>
      <c r="BW197">
        <v>1089</v>
      </c>
      <c r="BX197">
        <v>269</v>
      </c>
      <c r="BY197">
        <v>130</v>
      </c>
      <c r="BZ197">
        <v>250</v>
      </c>
      <c r="CA197">
        <v>2568</v>
      </c>
      <c r="CB197">
        <v>15</v>
      </c>
      <c r="CC197">
        <v>6</v>
      </c>
      <c r="CD197">
        <v>6</v>
      </c>
      <c r="CE197">
        <v>62</v>
      </c>
      <c r="CF197">
        <v>10.33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0</v>
      </c>
      <c r="CM197">
        <v>0</v>
      </c>
      <c r="CN197">
        <v>24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25</v>
      </c>
      <c r="CU197">
        <v>0</v>
      </c>
      <c r="CV197">
        <v>0</v>
      </c>
      <c r="CW197">
        <v>0</v>
      </c>
      <c r="CX197">
        <v>0</v>
      </c>
      <c r="CY197">
        <v>3</v>
      </c>
      <c r="CZ197">
        <v>0</v>
      </c>
      <c r="DA197">
        <v>0</v>
      </c>
      <c r="DB197">
        <v>0</v>
      </c>
      <c r="DC197">
        <v>3</v>
      </c>
      <c r="DD197">
        <v>0</v>
      </c>
      <c r="DE197">
        <v>0</v>
      </c>
      <c r="DF197">
        <v>62</v>
      </c>
      <c r="DG197">
        <v>6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68</v>
      </c>
      <c r="DT197">
        <v>95</v>
      </c>
      <c r="DU197">
        <v>24</v>
      </c>
      <c r="DV197">
        <v>0</v>
      </c>
      <c r="DW197">
        <v>0</v>
      </c>
      <c r="DX197">
        <v>0</v>
      </c>
      <c r="DY197">
        <v>91</v>
      </c>
      <c r="DZ197">
        <v>652</v>
      </c>
      <c r="EA197">
        <v>507</v>
      </c>
      <c r="EB197">
        <v>525</v>
      </c>
      <c r="EC197">
        <v>36</v>
      </c>
      <c r="ED197">
        <v>887</v>
      </c>
      <c r="EE197">
        <v>923</v>
      </c>
      <c r="EF197">
        <v>0</v>
      </c>
      <c r="EG197">
        <v>0.2</v>
      </c>
      <c r="EH197">
        <v>1.4</v>
      </c>
      <c r="EI197">
        <v>0.9</v>
      </c>
      <c r="EJ197">
        <v>0.1</v>
      </c>
      <c r="EK197">
        <v>6.1</v>
      </c>
    </row>
    <row r="198" spans="1:141" x14ac:dyDescent="0.25">
      <c r="A198" t="str">
        <f>[1]ingredient!B197</f>
        <v>Knoblauchpulver</v>
      </c>
      <c r="B198" t="s">
        <v>299</v>
      </c>
      <c r="C198" s="7">
        <f>_xlfn.XLOOKUP(A198,[1]ingredient!$B$2:$B$521,[1]ingredient!$A$2:$A$521)</f>
        <v>196</v>
      </c>
      <c r="D198">
        <v>358</v>
      </c>
      <c r="E198">
        <v>0.32</v>
      </c>
      <c r="F198">
        <v>16</v>
      </c>
      <c r="G198">
        <v>71</v>
      </c>
      <c r="H198">
        <v>5</v>
      </c>
      <c r="I198">
        <v>21</v>
      </c>
      <c r="J198">
        <v>0.11</v>
      </c>
      <c r="K198">
        <v>4</v>
      </c>
      <c r="L198">
        <v>1</v>
      </c>
      <c r="M198">
        <v>0.25</v>
      </c>
      <c r="N198">
        <v>0</v>
      </c>
      <c r="O198">
        <v>3</v>
      </c>
      <c r="P198">
        <v>449</v>
      </c>
      <c r="Q198">
        <v>200</v>
      </c>
      <c r="R198">
        <v>1343</v>
      </c>
      <c r="S198">
        <v>5926</v>
      </c>
      <c r="T198">
        <v>316</v>
      </c>
      <c r="U198">
        <v>801</v>
      </c>
      <c r="V198">
        <v>4</v>
      </c>
      <c r="W198">
        <v>26</v>
      </c>
      <c r="X198">
        <v>0</v>
      </c>
      <c r="Y198">
        <v>14750</v>
      </c>
      <c r="Z198">
        <v>0</v>
      </c>
      <c r="AA198">
        <v>23</v>
      </c>
      <c r="AB198">
        <v>0</v>
      </c>
      <c r="AC198">
        <v>41</v>
      </c>
      <c r="AD198">
        <v>1187</v>
      </c>
      <c r="AE198">
        <v>91</v>
      </c>
      <c r="AF198">
        <v>83</v>
      </c>
      <c r="AG198">
        <v>319</v>
      </c>
      <c r="AH198">
        <v>119</v>
      </c>
      <c r="AI198">
        <v>70</v>
      </c>
      <c r="AJ198">
        <v>3135</v>
      </c>
      <c r="AK198">
        <v>1366</v>
      </c>
      <c r="AL198">
        <v>353</v>
      </c>
      <c r="AM198">
        <v>1092</v>
      </c>
      <c r="AN198">
        <v>119</v>
      </c>
      <c r="AO198">
        <v>6</v>
      </c>
      <c r="AP198">
        <v>0</v>
      </c>
      <c r="AQ198">
        <v>0</v>
      </c>
      <c r="AR198">
        <v>0</v>
      </c>
      <c r="AS198">
        <v>0</v>
      </c>
      <c r="AT198">
        <v>5315</v>
      </c>
      <c r="AU198">
        <v>7975</v>
      </c>
      <c r="AV198">
        <v>0</v>
      </c>
      <c r="AW198">
        <v>13290</v>
      </c>
      <c r="AX198">
        <v>7973</v>
      </c>
      <c r="AY198">
        <v>0</v>
      </c>
      <c r="AZ198">
        <v>0</v>
      </c>
      <c r="BA198">
        <v>7973</v>
      </c>
      <c r="BB198">
        <v>49826</v>
      </c>
      <c r="BC198">
        <v>0</v>
      </c>
      <c r="BD198">
        <v>0</v>
      </c>
      <c r="BE198">
        <v>0</v>
      </c>
      <c r="BF198">
        <v>0</v>
      </c>
      <c r="BG198">
        <f t="shared" si="17"/>
        <v>124.609375</v>
      </c>
      <c r="BH198">
        <v>799</v>
      </c>
      <c r="BI198">
        <v>1255</v>
      </c>
      <c r="BJ198">
        <v>957</v>
      </c>
      <c r="BK198">
        <v>386</v>
      </c>
      <c r="BL198">
        <v>228</v>
      </c>
      <c r="BM198">
        <v>635</v>
      </c>
      <c r="BN198">
        <v>275</v>
      </c>
      <c r="BO198">
        <v>635</v>
      </c>
      <c r="BP198">
        <v>275</v>
      </c>
      <c r="BQ198">
        <v>1045</v>
      </c>
      <c r="BR198">
        <v>2276</v>
      </c>
      <c r="BS198">
        <v>410</v>
      </c>
      <c r="BT198">
        <v>9176</v>
      </c>
      <c r="BU198">
        <v>456</v>
      </c>
      <c r="BV198">
        <v>1729</v>
      </c>
      <c r="BW198">
        <v>2868</v>
      </c>
      <c r="BX198">
        <v>708</v>
      </c>
      <c r="BY198">
        <v>342</v>
      </c>
      <c r="BZ198">
        <v>659</v>
      </c>
      <c r="CA198">
        <v>6762</v>
      </c>
      <c r="CB198">
        <v>39</v>
      </c>
      <c r="CC198">
        <v>16</v>
      </c>
      <c r="CD198">
        <v>16</v>
      </c>
      <c r="CE198">
        <v>165</v>
      </c>
      <c r="CF198">
        <v>10.31</v>
      </c>
      <c r="CG198">
        <v>0</v>
      </c>
      <c r="CH198">
        <v>0</v>
      </c>
      <c r="CI198">
        <v>0</v>
      </c>
      <c r="CJ198">
        <v>0</v>
      </c>
      <c r="CK198">
        <v>3</v>
      </c>
      <c r="CL198">
        <v>0</v>
      </c>
      <c r="CM198">
        <v>0</v>
      </c>
      <c r="CN198">
        <v>62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65</v>
      </c>
      <c r="CU198">
        <v>0</v>
      </c>
      <c r="CV198">
        <v>0</v>
      </c>
      <c r="CW198">
        <v>0</v>
      </c>
      <c r="CX198">
        <v>0</v>
      </c>
      <c r="CY198">
        <v>8</v>
      </c>
      <c r="CZ198">
        <v>0</v>
      </c>
      <c r="DA198">
        <v>0</v>
      </c>
      <c r="DB198">
        <v>0</v>
      </c>
      <c r="DC198">
        <v>8</v>
      </c>
      <c r="DD198">
        <v>0</v>
      </c>
      <c r="DE198">
        <v>0</v>
      </c>
      <c r="DF198">
        <v>165</v>
      </c>
      <c r="DG198">
        <v>16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181</v>
      </c>
      <c r="DT198">
        <v>254</v>
      </c>
      <c r="DU198">
        <v>62</v>
      </c>
      <c r="DV198">
        <v>0</v>
      </c>
      <c r="DW198">
        <v>0</v>
      </c>
      <c r="DX198">
        <v>0</v>
      </c>
      <c r="DY198">
        <v>239</v>
      </c>
      <c r="DZ198">
        <v>1716</v>
      </c>
      <c r="EA198">
        <v>1335</v>
      </c>
      <c r="EB198">
        <v>1382</v>
      </c>
      <c r="EC198">
        <v>96</v>
      </c>
      <c r="ED198">
        <v>2336</v>
      </c>
      <c r="EE198">
        <v>2432</v>
      </c>
      <c r="EF198">
        <v>0</v>
      </c>
      <c r="EG198">
        <v>1</v>
      </c>
      <c r="EH198">
        <v>3.4</v>
      </c>
      <c r="EI198">
        <v>2.4</v>
      </c>
      <c r="EJ198">
        <v>0.3</v>
      </c>
      <c r="EK198">
        <v>16.100000000000001</v>
      </c>
    </row>
    <row r="199" spans="1:141" x14ac:dyDescent="0.25">
      <c r="A199" t="str">
        <f>[1]ingredient!B198</f>
        <v>Knollensellerie</v>
      </c>
      <c r="B199" t="s">
        <v>300</v>
      </c>
      <c r="C199" s="7">
        <f>_xlfn.XLOOKUP(A199,[1]ingredient!$B$2:$B$521,[1]ingredient!$A$2:$A$521)</f>
        <v>197</v>
      </c>
      <c r="D199">
        <v>19</v>
      </c>
      <c r="E199">
        <v>0.3</v>
      </c>
      <c r="F199">
        <v>2</v>
      </c>
      <c r="G199">
        <v>2</v>
      </c>
      <c r="H199">
        <v>4</v>
      </c>
      <c r="I199">
        <v>2</v>
      </c>
      <c r="J199">
        <v>0.23</v>
      </c>
      <c r="K199">
        <v>90</v>
      </c>
      <c r="L199">
        <v>3</v>
      </c>
      <c r="M199">
        <v>1</v>
      </c>
      <c r="N199">
        <v>0</v>
      </c>
      <c r="O199">
        <v>15</v>
      </c>
      <c r="P199">
        <v>36</v>
      </c>
      <c r="Q199">
        <v>70</v>
      </c>
      <c r="R199">
        <v>900</v>
      </c>
      <c r="S199">
        <v>1267</v>
      </c>
      <c r="T199">
        <v>510</v>
      </c>
      <c r="U199">
        <v>200</v>
      </c>
      <c r="V199">
        <v>1</v>
      </c>
      <c r="W199">
        <v>12</v>
      </c>
      <c r="X199">
        <v>0</v>
      </c>
      <c r="Y199">
        <v>8250</v>
      </c>
      <c r="Z199">
        <v>0</v>
      </c>
      <c r="AA199">
        <v>539</v>
      </c>
      <c r="AB199">
        <v>100</v>
      </c>
      <c r="AC199">
        <v>77</v>
      </c>
      <c r="AD199">
        <v>321</v>
      </c>
      <c r="AE199">
        <v>68</v>
      </c>
      <c r="AF199">
        <v>9</v>
      </c>
      <c r="AG199">
        <v>80</v>
      </c>
      <c r="AH199">
        <v>15</v>
      </c>
      <c r="AI199">
        <v>150</v>
      </c>
      <c r="AJ199">
        <v>530</v>
      </c>
      <c r="AK199">
        <v>369</v>
      </c>
      <c r="AL199">
        <v>116</v>
      </c>
      <c r="AM199">
        <v>150</v>
      </c>
      <c r="AN199">
        <v>14</v>
      </c>
      <c r="AO199">
        <v>3</v>
      </c>
      <c r="AP199">
        <v>0</v>
      </c>
      <c r="AQ199">
        <v>0</v>
      </c>
      <c r="AR199">
        <v>0</v>
      </c>
      <c r="AS199">
        <v>0</v>
      </c>
      <c r="AT199">
        <v>45</v>
      </c>
      <c r="AU199">
        <v>90</v>
      </c>
      <c r="AV199">
        <v>0</v>
      </c>
      <c r="AW199">
        <v>135</v>
      </c>
      <c r="AX199">
        <v>1665</v>
      </c>
      <c r="AY199">
        <v>0</v>
      </c>
      <c r="AZ199">
        <v>0</v>
      </c>
      <c r="BA199">
        <v>1665</v>
      </c>
      <c r="BB199">
        <v>0</v>
      </c>
      <c r="BC199">
        <v>0</v>
      </c>
      <c r="BD199">
        <v>0</v>
      </c>
      <c r="BE199">
        <v>450</v>
      </c>
      <c r="BF199">
        <v>450</v>
      </c>
      <c r="BG199">
        <f t="shared" si="17"/>
        <v>52.173913043478258</v>
      </c>
      <c r="BH199">
        <v>51</v>
      </c>
      <c r="BI199">
        <v>80</v>
      </c>
      <c r="BJ199">
        <v>66</v>
      </c>
      <c r="BK199">
        <v>14</v>
      </c>
      <c r="BL199">
        <v>10</v>
      </c>
      <c r="BM199">
        <v>48</v>
      </c>
      <c r="BN199">
        <v>22</v>
      </c>
      <c r="BO199">
        <v>48</v>
      </c>
      <c r="BP199">
        <v>22</v>
      </c>
      <c r="BQ199">
        <v>68</v>
      </c>
      <c r="BR199">
        <v>51</v>
      </c>
      <c r="BS199">
        <v>27</v>
      </c>
      <c r="BT199">
        <v>507</v>
      </c>
      <c r="BU199">
        <v>56</v>
      </c>
      <c r="BV199">
        <v>292</v>
      </c>
      <c r="BW199">
        <v>221</v>
      </c>
      <c r="BX199">
        <v>54</v>
      </c>
      <c r="BY199">
        <v>43</v>
      </c>
      <c r="BZ199">
        <v>51</v>
      </c>
      <c r="CA199">
        <v>717</v>
      </c>
      <c r="CB199">
        <v>30</v>
      </c>
      <c r="CC199">
        <v>13</v>
      </c>
      <c r="CD199">
        <v>16</v>
      </c>
      <c r="CE199">
        <v>131</v>
      </c>
      <c r="CF199">
        <v>8.19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2</v>
      </c>
      <c r="CM199">
        <v>0</v>
      </c>
      <c r="CN199">
        <v>60</v>
      </c>
      <c r="CO199">
        <v>0</v>
      </c>
      <c r="CP199">
        <v>5</v>
      </c>
      <c r="CQ199">
        <v>0</v>
      </c>
      <c r="CR199">
        <v>0</v>
      </c>
      <c r="CS199">
        <v>0</v>
      </c>
      <c r="CT199">
        <v>67</v>
      </c>
      <c r="CU199">
        <v>0</v>
      </c>
      <c r="CV199">
        <v>0</v>
      </c>
      <c r="CW199">
        <v>2</v>
      </c>
      <c r="CX199">
        <v>0</v>
      </c>
      <c r="CY199">
        <v>24</v>
      </c>
      <c r="CZ199">
        <v>0</v>
      </c>
      <c r="DA199">
        <v>0</v>
      </c>
      <c r="DB199">
        <v>0</v>
      </c>
      <c r="DC199">
        <v>26</v>
      </c>
      <c r="DD199">
        <v>0</v>
      </c>
      <c r="DE199">
        <v>0</v>
      </c>
      <c r="DF199">
        <v>131</v>
      </c>
      <c r="DG199">
        <v>16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147</v>
      </c>
      <c r="DT199">
        <v>240</v>
      </c>
      <c r="DU199">
        <v>60</v>
      </c>
      <c r="DV199">
        <v>0</v>
      </c>
      <c r="DW199">
        <v>0</v>
      </c>
      <c r="DX199">
        <v>0</v>
      </c>
      <c r="DY199">
        <v>924</v>
      </c>
      <c r="DZ199">
        <v>756</v>
      </c>
      <c r="EA199">
        <v>1092</v>
      </c>
      <c r="EB199">
        <v>1386</v>
      </c>
      <c r="EC199">
        <v>42</v>
      </c>
      <c r="ED199">
        <v>840</v>
      </c>
      <c r="EE199">
        <v>3360</v>
      </c>
      <c r="EF199">
        <v>0</v>
      </c>
      <c r="EG199">
        <v>0.2</v>
      </c>
      <c r="EH199">
        <v>0.9</v>
      </c>
      <c r="EI199">
        <v>3.4</v>
      </c>
      <c r="EJ199">
        <v>0.3</v>
      </c>
      <c r="EK199">
        <v>1.3</v>
      </c>
    </row>
    <row r="200" spans="1:141" x14ac:dyDescent="0.25">
      <c r="A200" t="str">
        <f>[1]ingredient!B199</f>
        <v>Kohlrabi</v>
      </c>
      <c r="B200" t="s">
        <v>301</v>
      </c>
      <c r="C200" s="7">
        <f>_xlfn.XLOOKUP(A200,[1]ingredient!$B$2:$B$521,[1]ingredient!$A$2:$A$521)</f>
        <v>198</v>
      </c>
      <c r="D200">
        <v>25</v>
      </c>
      <c r="E200">
        <v>0.1</v>
      </c>
      <c r="F200">
        <v>2</v>
      </c>
      <c r="G200">
        <v>4</v>
      </c>
      <c r="H200">
        <v>2</v>
      </c>
      <c r="I200">
        <v>4</v>
      </c>
      <c r="J200">
        <v>0.09</v>
      </c>
      <c r="K200">
        <v>92</v>
      </c>
      <c r="L200">
        <v>33</v>
      </c>
      <c r="M200">
        <v>17</v>
      </c>
      <c r="N200">
        <v>0</v>
      </c>
      <c r="O200">
        <v>200</v>
      </c>
      <c r="P200">
        <v>48</v>
      </c>
      <c r="Q200">
        <v>46</v>
      </c>
      <c r="R200">
        <v>1800</v>
      </c>
      <c r="S200">
        <v>2133</v>
      </c>
      <c r="T200">
        <v>100</v>
      </c>
      <c r="U200">
        <v>120</v>
      </c>
      <c r="V200">
        <v>3</v>
      </c>
      <c r="W200">
        <v>25</v>
      </c>
      <c r="X200">
        <v>0</v>
      </c>
      <c r="Y200">
        <v>64000</v>
      </c>
      <c r="Z200">
        <v>0</v>
      </c>
      <c r="AA200">
        <v>400</v>
      </c>
      <c r="AB200">
        <v>7</v>
      </c>
      <c r="AC200">
        <v>32</v>
      </c>
      <c r="AD200">
        <v>380</v>
      </c>
      <c r="AE200">
        <v>68</v>
      </c>
      <c r="AF200">
        <v>43</v>
      </c>
      <c r="AG200">
        <v>50</v>
      </c>
      <c r="AH200">
        <v>50</v>
      </c>
      <c r="AI200">
        <v>57</v>
      </c>
      <c r="AJ200">
        <v>900</v>
      </c>
      <c r="AK200">
        <v>260</v>
      </c>
      <c r="AL200">
        <v>120</v>
      </c>
      <c r="AM200">
        <v>130</v>
      </c>
      <c r="AN200">
        <v>10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1295</v>
      </c>
      <c r="AU200">
        <v>1110</v>
      </c>
      <c r="AV200">
        <v>0</v>
      </c>
      <c r="AW200">
        <v>2405</v>
      </c>
      <c r="AX200">
        <v>1147</v>
      </c>
      <c r="AY200">
        <v>0</v>
      </c>
      <c r="AZ200">
        <v>0</v>
      </c>
      <c r="BA200">
        <v>1147</v>
      </c>
      <c r="BB200">
        <v>0</v>
      </c>
      <c r="BC200">
        <v>0</v>
      </c>
      <c r="BD200">
        <v>0</v>
      </c>
      <c r="BE200">
        <v>148</v>
      </c>
      <c r="BF200">
        <v>148</v>
      </c>
      <c r="BG200">
        <f t="shared" si="17"/>
        <v>65.217391304347828</v>
      </c>
      <c r="BH200">
        <v>82</v>
      </c>
      <c r="BI200">
        <v>90</v>
      </c>
      <c r="BJ200">
        <v>84</v>
      </c>
      <c r="BK200">
        <v>20</v>
      </c>
      <c r="BL200">
        <v>10</v>
      </c>
      <c r="BM200">
        <v>56</v>
      </c>
      <c r="BN200">
        <v>40</v>
      </c>
      <c r="BO200">
        <v>64</v>
      </c>
      <c r="BP200">
        <v>20</v>
      </c>
      <c r="BQ200">
        <v>76</v>
      </c>
      <c r="BR200">
        <v>124</v>
      </c>
      <c r="BS200">
        <v>42</v>
      </c>
      <c r="BT200">
        <v>708</v>
      </c>
      <c r="BU200">
        <v>96</v>
      </c>
      <c r="BV200">
        <v>204</v>
      </c>
      <c r="BW200">
        <v>320</v>
      </c>
      <c r="BX200">
        <v>76</v>
      </c>
      <c r="BY200">
        <v>354</v>
      </c>
      <c r="BZ200">
        <v>102</v>
      </c>
      <c r="CA200">
        <v>1152</v>
      </c>
      <c r="CB200">
        <v>30</v>
      </c>
      <c r="CC200">
        <v>13</v>
      </c>
      <c r="CD200">
        <v>33</v>
      </c>
      <c r="CE200">
        <v>24</v>
      </c>
      <c r="CF200">
        <v>0.73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</v>
      </c>
      <c r="CM200">
        <v>0</v>
      </c>
      <c r="CN200">
        <v>13</v>
      </c>
      <c r="CO200">
        <v>0</v>
      </c>
      <c r="CP200">
        <v>1</v>
      </c>
      <c r="CQ200">
        <v>0</v>
      </c>
      <c r="CR200">
        <v>0</v>
      </c>
      <c r="CS200">
        <v>0</v>
      </c>
      <c r="CT200">
        <v>15</v>
      </c>
      <c r="CU200">
        <v>0</v>
      </c>
      <c r="CV200">
        <v>0</v>
      </c>
      <c r="CW200">
        <v>0</v>
      </c>
      <c r="CX200">
        <v>0</v>
      </c>
      <c r="CY200">
        <v>8</v>
      </c>
      <c r="CZ200">
        <v>0</v>
      </c>
      <c r="DA200">
        <v>0</v>
      </c>
      <c r="DB200">
        <v>0</v>
      </c>
      <c r="DC200">
        <v>8</v>
      </c>
      <c r="DD200">
        <v>0</v>
      </c>
      <c r="DE200">
        <v>0</v>
      </c>
      <c r="DF200">
        <v>24</v>
      </c>
      <c r="DG200">
        <v>33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57</v>
      </c>
      <c r="DT200">
        <v>80</v>
      </c>
      <c r="DU200">
        <v>20</v>
      </c>
      <c r="DV200">
        <v>0</v>
      </c>
      <c r="DW200">
        <v>0</v>
      </c>
      <c r="DX200">
        <v>0</v>
      </c>
      <c r="DY200">
        <v>300</v>
      </c>
      <c r="DZ200">
        <v>225</v>
      </c>
      <c r="EA200">
        <v>300</v>
      </c>
      <c r="EB200">
        <v>600</v>
      </c>
      <c r="EC200">
        <v>75</v>
      </c>
      <c r="ED200">
        <v>495</v>
      </c>
      <c r="EE200">
        <v>1005</v>
      </c>
      <c r="EF200">
        <v>0</v>
      </c>
      <c r="EG200">
        <v>0.16</v>
      </c>
      <c r="EH200">
        <v>0.9</v>
      </c>
      <c r="EI200">
        <v>1</v>
      </c>
      <c r="EJ200">
        <v>0.1</v>
      </c>
      <c r="EK200">
        <v>2</v>
      </c>
    </row>
    <row r="201" spans="1:141" x14ac:dyDescent="0.25">
      <c r="A201" t="str">
        <f>[1]ingredient!B200</f>
        <v>Kohlrabi violett</v>
      </c>
      <c r="B201" t="s">
        <v>301</v>
      </c>
      <c r="C201" s="7">
        <f>_xlfn.XLOOKUP(A201,[1]ingredient!$B$2:$B$521,[1]ingredient!$A$2:$A$521)</f>
        <v>199</v>
      </c>
      <c r="D201">
        <v>25</v>
      </c>
      <c r="E201">
        <v>0.1</v>
      </c>
      <c r="F201">
        <v>2</v>
      </c>
      <c r="G201">
        <v>4</v>
      </c>
      <c r="H201">
        <v>2</v>
      </c>
      <c r="I201">
        <v>4</v>
      </c>
      <c r="J201">
        <v>0.09</v>
      </c>
      <c r="K201">
        <v>92</v>
      </c>
      <c r="L201">
        <v>33</v>
      </c>
      <c r="M201">
        <v>17</v>
      </c>
      <c r="N201">
        <v>0</v>
      </c>
      <c r="O201">
        <v>200</v>
      </c>
      <c r="P201">
        <v>48</v>
      </c>
      <c r="Q201">
        <v>46</v>
      </c>
      <c r="R201">
        <v>1800</v>
      </c>
      <c r="S201">
        <v>2133</v>
      </c>
      <c r="T201">
        <v>100</v>
      </c>
      <c r="U201">
        <v>120</v>
      </c>
      <c r="V201">
        <v>3</v>
      </c>
      <c r="W201">
        <v>25</v>
      </c>
      <c r="X201">
        <v>0</v>
      </c>
      <c r="Y201">
        <v>64000</v>
      </c>
      <c r="Z201">
        <v>0</v>
      </c>
      <c r="AA201">
        <v>400</v>
      </c>
      <c r="AB201">
        <v>7</v>
      </c>
      <c r="AC201">
        <v>32</v>
      </c>
      <c r="AD201">
        <v>380</v>
      </c>
      <c r="AE201">
        <v>68</v>
      </c>
      <c r="AF201">
        <v>43</v>
      </c>
      <c r="AG201">
        <v>50</v>
      </c>
      <c r="AH201">
        <v>50</v>
      </c>
      <c r="AI201">
        <v>57</v>
      </c>
      <c r="AJ201">
        <v>900</v>
      </c>
      <c r="AK201">
        <v>260</v>
      </c>
      <c r="AL201">
        <v>120</v>
      </c>
      <c r="AM201">
        <v>130</v>
      </c>
      <c r="AN201">
        <v>10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1295</v>
      </c>
      <c r="AU201">
        <v>1110</v>
      </c>
      <c r="AV201">
        <v>0</v>
      </c>
      <c r="AW201">
        <v>2405</v>
      </c>
      <c r="AX201">
        <v>1147</v>
      </c>
      <c r="AY201">
        <v>0</v>
      </c>
      <c r="AZ201">
        <v>0</v>
      </c>
      <c r="BA201">
        <v>1147</v>
      </c>
      <c r="BB201">
        <v>0</v>
      </c>
      <c r="BC201">
        <v>0</v>
      </c>
      <c r="BD201">
        <v>0</v>
      </c>
      <c r="BE201">
        <v>148</v>
      </c>
      <c r="BF201">
        <v>148</v>
      </c>
      <c r="BG201">
        <f t="shared" ref="BG201:BG265" si="30">IF($F201=0,"0",MIN(
BH201/(30*$F201),
BI201/(61*$F201),
BJ201/(48*$F201),
(BK201+BL201)/(23*$F201),
(BM201+BN201)/(41*$F201),
BO201/(25*$F201),
BP201/(6.6*$F201),
BQ201/(40*$F201),
BS201/(16*$F201)
)*100)</f>
        <v>65.217391304347828</v>
      </c>
      <c r="BH201">
        <v>82</v>
      </c>
      <c r="BI201">
        <v>90</v>
      </c>
      <c r="BJ201">
        <v>84</v>
      </c>
      <c r="BK201">
        <v>20</v>
      </c>
      <c r="BL201">
        <v>10</v>
      </c>
      <c r="BM201">
        <v>56</v>
      </c>
      <c r="BN201">
        <v>40</v>
      </c>
      <c r="BO201">
        <v>64</v>
      </c>
      <c r="BP201">
        <v>20</v>
      </c>
      <c r="BQ201">
        <v>76</v>
      </c>
      <c r="BR201">
        <v>124</v>
      </c>
      <c r="BS201">
        <v>42</v>
      </c>
      <c r="BT201">
        <v>708</v>
      </c>
      <c r="BU201">
        <v>96</v>
      </c>
      <c r="BV201">
        <v>204</v>
      </c>
      <c r="BW201">
        <v>320</v>
      </c>
      <c r="BX201">
        <v>76</v>
      </c>
      <c r="BY201">
        <v>354</v>
      </c>
      <c r="BZ201">
        <v>102</v>
      </c>
      <c r="CA201">
        <v>1152</v>
      </c>
      <c r="CB201">
        <v>30</v>
      </c>
      <c r="CC201">
        <v>13</v>
      </c>
      <c r="CD201">
        <v>33</v>
      </c>
      <c r="CE201">
        <v>24</v>
      </c>
      <c r="CF201">
        <v>0.73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</v>
      </c>
      <c r="CM201">
        <v>0</v>
      </c>
      <c r="CN201">
        <v>13</v>
      </c>
      <c r="CO201">
        <v>0</v>
      </c>
      <c r="CP201">
        <v>1</v>
      </c>
      <c r="CQ201">
        <v>0</v>
      </c>
      <c r="CR201">
        <v>0</v>
      </c>
      <c r="CS201">
        <v>0</v>
      </c>
      <c r="CT201">
        <v>15</v>
      </c>
      <c r="CU201">
        <v>0</v>
      </c>
      <c r="CV201">
        <v>0</v>
      </c>
      <c r="CW201">
        <v>0</v>
      </c>
      <c r="CX201">
        <v>0</v>
      </c>
      <c r="CY201">
        <v>8</v>
      </c>
      <c r="CZ201">
        <v>0</v>
      </c>
      <c r="DA201">
        <v>0</v>
      </c>
      <c r="DB201">
        <v>0</v>
      </c>
      <c r="DC201">
        <v>8</v>
      </c>
      <c r="DD201">
        <v>0</v>
      </c>
      <c r="DE201">
        <v>0</v>
      </c>
      <c r="DF201">
        <v>24</v>
      </c>
      <c r="DG201">
        <v>33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57</v>
      </c>
      <c r="DT201">
        <v>80</v>
      </c>
      <c r="DU201">
        <v>20</v>
      </c>
      <c r="DV201">
        <v>0</v>
      </c>
      <c r="DW201">
        <v>0</v>
      </c>
      <c r="DX201">
        <v>0</v>
      </c>
      <c r="DY201">
        <v>300</v>
      </c>
      <c r="DZ201">
        <v>225</v>
      </c>
      <c r="EA201">
        <v>300</v>
      </c>
      <c r="EB201">
        <v>600</v>
      </c>
      <c r="EC201">
        <v>75</v>
      </c>
      <c r="ED201">
        <v>495</v>
      </c>
      <c r="EE201">
        <v>1005</v>
      </c>
      <c r="EF201">
        <v>0</v>
      </c>
      <c r="EG201">
        <v>0.16</v>
      </c>
      <c r="EH201">
        <v>0.9</v>
      </c>
      <c r="EI201">
        <v>1</v>
      </c>
      <c r="EJ201">
        <v>0.1</v>
      </c>
      <c r="EK201">
        <v>2</v>
      </c>
    </row>
    <row r="202" spans="1:141" x14ac:dyDescent="0.25">
      <c r="A202" t="str">
        <f>[1]ingredient!B201</f>
        <v>Kokosjoghurt</v>
      </c>
      <c r="B202" t="s">
        <v>302</v>
      </c>
      <c r="C202" s="7">
        <f>_xlfn.XLOOKUP(A202,[1]ingredient!$B$2:$B$521,[1]ingredient!$A$2:$A$521)</f>
        <v>200</v>
      </c>
      <c r="D202">
        <v>95</v>
      </c>
      <c r="E202">
        <v>8</v>
      </c>
      <c r="F202">
        <v>1</v>
      </c>
      <c r="G202">
        <v>5</v>
      </c>
      <c r="H202">
        <v>1</v>
      </c>
      <c r="I202">
        <v>1</v>
      </c>
      <c r="J202">
        <v>0.27</v>
      </c>
      <c r="K202">
        <v>85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100</v>
      </c>
      <c r="S202">
        <v>200</v>
      </c>
      <c r="T202">
        <v>0</v>
      </c>
      <c r="U202">
        <v>0</v>
      </c>
      <c r="V202">
        <v>1</v>
      </c>
      <c r="W202">
        <v>4</v>
      </c>
      <c r="X202">
        <v>0</v>
      </c>
      <c r="Y202">
        <v>600</v>
      </c>
      <c r="Z202">
        <v>0</v>
      </c>
      <c r="AA202">
        <v>0</v>
      </c>
      <c r="AB202">
        <v>0</v>
      </c>
      <c r="AC202">
        <v>72</v>
      </c>
      <c r="AD202">
        <v>181</v>
      </c>
      <c r="AE202">
        <v>39</v>
      </c>
      <c r="AF202">
        <v>31</v>
      </c>
      <c r="AG202">
        <v>30</v>
      </c>
      <c r="AH202">
        <v>8</v>
      </c>
      <c r="AI202">
        <v>201</v>
      </c>
      <c r="AJ202">
        <v>400</v>
      </c>
      <c r="AK202">
        <v>200</v>
      </c>
      <c r="AL202">
        <v>200</v>
      </c>
      <c r="AM202">
        <v>300</v>
      </c>
      <c r="AN202">
        <v>0</v>
      </c>
      <c r="AO202">
        <v>5</v>
      </c>
      <c r="AP202">
        <v>0</v>
      </c>
      <c r="AQ202">
        <v>0</v>
      </c>
      <c r="AR202">
        <v>0</v>
      </c>
      <c r="AS202">
        <v>0</v>
      </c>
      <c r="AT202">
        <v>9</v>
      </c>
      <c r="AU202">
        <v>0</v>
      </c>
      <c r="AV202">
        <v>0</v>
      </c>
      <c r="AW202">
        <v>9</v>
      </c>
      <c r="AX202">
        <v>800</v>
      </c>
      <c r="AY202">
        <v>0</v>
      </c>
      <c r="AZ202">
        <v>0</v>
      </c>
      <c r="BA202">
        <v>791</v>
      </c>
      <c r="BB202">
        <v>1600</v>
      </c>
      <c r="BC202">
        <v>0</v>
      </c>
      <c r="BD202">
        <v>0</v>
      </c>
      <c r="BE202">
        <v>3000</v>
      </c>
      <c r="BF202">
        <v>0</v>
      </c>
      <c r="BG202">
        <f t="shared" si="30"/>
        <v>68.75</v>
      </c>
      <c r="BH202">
        <v>24</v>
      </c>
      <c r="BI202">
        <v>43</v>
      </c>
      <c r="BJ202">
        <v>33</v>
      </c>
      <c r="BK202">
        <v>11</v>
      </c>
      <c r="BL202">
        <v>14</v>
      </c>
      <c r="BM202">
        <v>28</v>
      </c>
      <c r="BN202">
        <v>19</v>
      </c>
      <c r="BO202">
        <v>24</v>
      </c>
      <c r="BP202">
        <v>6</v>
      </c>
      <c r="BQ202">
        <v>35</v>
      </c>
      <c r="BR202">
        <v>101</v>
      </c>
      <c r="BS202">
        <v>17</v>
      </c>
      <c r="BT202">
        <v>355</v>
      </c>
      <c r="BU202">
        <v>34</v>
      </c>
      <c r="BV202">
        <v>60</v>
      </c>
      <c r="BW202">
        <v>160</v>
      </c>
      <c r="BX202">
        <v>32</v>
      </c>
      <c r="BY202">
        <v>26</v>
      </c>
      <c r="BZ202">
        <v>33</v>
      </c>
      <c r="CA202">
        <v>345</v>
      </c>
      <c r="CB202">
        <v>1</v>
      </c>
      <c r="CC202">
        <v>1</v>
      </c>
      <c r="CD202">
        <v>1</v>
      </c>
      <c r="CE202">
        <v>100</v>
      </c>
      <c r="CF202">
        <v>100</v>
      </c>
      <c r="CG202">
        <v>2</v>
      </c>
      <c r="CH202">
        <v>64</v>
      </c>
      <c r="CI202">
        <v>702</v>
      </c>
      <c r="CJ202">
        <v>505</v>
      </c>
      <c r="CK202">
        <v>3680</v>
      </c>
      <c r="CL202">
        <v>1346</v>
      </c>
      <c r="CM202">
        <v>1</v>
      </c>
      <c r="CN202">
        <v>575</v>
      </c>
      <c r="CO202">
        <v>1</v>
      </c>
      <c r="CP202">
        <v>216</v>
      </c>
      <c r="CQ202">
        <v>6</v>
      </c>
      <c r="CR202">
        <v>1</v>
      </c>
      <c r="CS202">
        <v>2</v>
      </c>
      <c r="CT202">
        <v>7100</v>
      </c>
      <c r="CU202">
        <v>0</v>
      </c>
      <c r="CV202">
        <v>0</v>
      </c>
      <c r="CW202">
        <v>2</v>
      </c>
      <c r="CX202">
        <v>0</v>
      </c>
      <c r="CY202">
        <v>462</v>
      </c>
      <c r="CZ202">
        <v>2</v>
      </c>
      <c r="DA202">
        <v>0</v>
      </c>
      <c r="DB202">
        <v>0</v>
      </c>
      <c r="DC202">
        <v>500</v>
      </c>
      <c r="DD202">
        <v>0</v>
      </c>
      <c r="DE202">
        <v>0</v>
      </c>
      <c r="DF202">
        <v>100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1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100</v>
      </c>
      <c r="DT202">
        <v>6397</v>
      </c>
      <c r="DU202">
        <v>31</v>
      </c>
      <c r="DV202">
        <v>0</v>
      </c>
      <c r="DW202">
        <v>66</v>
      </c>
      <c r="DX202">
        <v>1207</v>
      </c>
      <c r="DY202">
        <v>18</v>
      </c>
      <c r="DZ202">
        <v>52</v>
      </c>
      <c r="EA202">
        <v>319</v>
      </c>
      <c r="EB202">
        <v>50</v>
      </c>
      <c r="EC202">
        <v>1</v>
      </c>
      <c r="ED202">
        <v>23</v>
      </c>
      <c r="EE202">
        <v>477</v>
      </c>
      <c r="EF202">
        <v>0</v>
      </c>
      <c r="EG202">
        <v>100</v>
      </c>
      <c r="EH202">
        <v>0.6</v>
      </c>
      <c r="EI202">
        <v>0.5</v>
      </c>
      <c r="EJ202">
        <v>7.7</v>
      </c>
      <c r="EK202">
        <v>0.7</v>
      </c>
    </row>
    <row r="203" spans="1:141" x14ac:dyDescent="0.25">
      <c r="A203" t="str">
        <f>[1]ingredient!B202</f>
        <v>Kokosmilch</v>
      </c>
      <c r="B203" t="s">
        <v>303</v>
      </c>
      <c r="C203" s="7">
        <f>_xlfn.XLOOKUP(A203,[1]ingredient!$B$2:$B$521,[1]ingredient!$A$2:$A$521)</f>
        <v>201</v>
      </c>
      <c r="D203">
        <v>10</v>
      </c>
      <c r="E203">
        <v>0.4</v>
      </c>
      <c r="F203">
        <v>0.25</v>
      </c>
      <c r="G203">
        <v>1</v>
      </c>
      <c r="H203">
        <v>0</v>
      </c>
      <c r="I203">
        <v>1</v>
      </c>
      <c r="J203">
        <v>0.24</v>
      </c>
      <c r="K203">
        <v>97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99</v>
      </c>
      <c r="S203">
        <v>132</v>
      </c>
      <c r="T203">
        <v>50</v>
      </c>
      <c r="U203">
        <v>30</v>
      </c>
      <c r="V203">
        <v>1</v>
      </c>
      <c r="W203">
        <v>10</v>
      </c>
      <c r="X203">
        <v>0</v>
      </c>
      <c r="Y203">
        <v>1980</v>
      </c>
      <c r="Z203">
        <v>0</v>
      </c>
      <c r="AA203">
        <v>0</v>
      </c>
      <c r="AB203">
        <v>0</v>
      </c>
      <c r="AC203">
        <v>62</v>
      </c>
      <c r="AD203">
        <v>279</v>
      </c>
      <c r="AE203">
        <v>27</v>
      </c>
      <c r="AF203">
        <v>30</v>
      </c>
      <c r="AG203">
        <v>33</v>
      </c>
      <c r="AH203">
        <v>24</v>
      </c>
      <c r="AI203">
        <v>181</v>
      </c>
      <c r="AJ203">
        <v>99</v>
      </c>
      <c r="AK203">
        <v>99</v>
      </c>
      <c r="AL203">
        <v>396</v>
      </c>
      <c r="AM203">
        <v>396</v>
      </c>
      <c r="AN203">
        <v>0</v>
      </c>
      <c r="AO203">
        <v>0.4</v>
      </c>
      <c r="AP203">
        <v>0</v>
      </c>
      <c r="AQ203">
        <v>0</v>
      </c>
      <c r="AR203">
        <v>0</v>
      </c>
      <c r="AS203">
        <v>0</v>
      </c>
      <c r="AT203">
        <v>42</v>
      </c>
      <c r="AU203">
        <v>0</v>
      </c>
      <c r="AV203">
        <v>0</v>
      </c>
      <c r="AW203">
        <v>42</v>
      </c>
      <c r="AX203">
        <v>1304</v>
      </c>
      <c r="AY203">
        <v>0</v>
      </c>
      <c r="AZ203">
        <v>0</v>
      </c>
      <c r="BA203">
        <v>1304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f t="shared" si="30"/>
        <v>75</v>
      </c>
      <c r="BH203">
        <v>12</v>
      </c>
      <c r="BI203">
        <v>19</v>
      </c>
      <c r="BJ203">
        <v>9</v>
      </c>
      <c r="BK203">
        <v>4</v>
      </c>
      <c r="BL203">
        <v>4</v>
      </c>
      <c r="BM203">
        <v>11</v>
      </c>
      <c r="BN203">
        <v>7</v>
      </c>
      <c r="BO203">
        <v>9</v>
      </c>
      <c r="BP203">
        <v>2</v>
      </c>
      <c r="BQ203">
        <v>14</v>
      </c>
      <c r="BR203">
        <v>32</v>
      </c>
      <c r="BS203">
        <v>5</v>
      </c>
      <c r="BT203">
        <v>128</v>
      </c>
      <c r="BU203">
        <v>12</v>
      </c>
      <c r="BV203">
        <v>24</v>
      </c>
      <c r="BW203">
        <v>51</v>
      </c>
      <c r="BX203">
        <v>12</v>
      </c>
      <c r="BY203">
        <v>10</v>
      </c>
      <c r="BZ203">
        <v>13</v>
      </c>
      <c r="CA203">
        <v>122</v>
      </c>
      <c r="CB203">
        <v>0</v>
      </c>
      <c r="CC203">
        <v>0</v>
      </c>
      <c r="CD203">
        <v>0</v>
      </c>
      <c r="CE203">
        <v>6</v>
      </c>
      <c r="CG203">
        <v>0</v>
      </c>
      <c r="CH203">
        <v>3</v>
      </c>
      <c r="CI203">
        <v>28</v>
      </c>
      <c r="CJ203">
        <v>24</v>
      </c>
      <c r="CK203">
        <v>176</v>
      </c>
      <c r="CL203">
        <v>65</v>
      </c>
      <c r="CM203">
        <v>0</v>
      </c>
      <c r="CN203">
        <v>33</v>
      </c>
      <c r="CO203">
        <v>0</v>
      </c>
      <c r="CP203">
        <v>11</v>
      </c>
      <c r="CQ203">
        <v>3</v>
      </c>
      <c r="CR203">
        <v>0</v>
      </c>
      <c r="CS203">
        <v>0</v>
      </c>
      <c r="CT203">
        <v>343</v>
      </c>
      <c r="CU203">
        <v>0</v>
      </c>
      <c r="CV203">
        <v>0</v>
      </c>
      <c r="CW203">
        <v>1</v>
      </c>
      <c r="CX203">
        <v>0</v>
      </c>
      <c r="CY203">
        <v>23</v>
      </c>
      <c r="CZ203">
        <v>0</v>
      </c>
      <c r="DA203">
        <v>0</v>
      </c>
      <c r="DB203">
        <v>0</v>
      </c>
      <c r="DC203">
        <v>24</v>
      </c>
      <c r="DD203">
        <v>0</v>
      </c>
      <c r="DE203">
        <v>0</v>
      </c>
      <c r="DF203">
        <v>6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6</v>
      </c>
      <c r="DT203">
        <v>318</v>
      </c>
      <c r="DU203">
        <v>23</v>
      </c>
      <c r="DV203">
        <v>0</v>
      </c>
      <c r="DW203">
        <v>3</v>
      </c>
      <c r="DX203">
        <v>52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0.7</v>
      </c>
      <c r="EI203">
        <v>0</v>
      </c>
      <c r="EJ203">
        <v>0.4</v>
      </c>
      <c r="EK203">
        <v>0.3</v>
      </c>
    </row>
    <row r="204" spans="1:141" x14ac:dyDescent="0.25">
      <c r="A204" t="str">
        <f>[1]ingredient!B203</f>
        <v>Kokosmus</v>
      </c>
      <c r="B204" t="s">
        <v>304</v>
      </c>
      <c r="C204" s="7">
        <f>_xlfn.XLOOKUP(A204,[1]ingredient!$B$2:$B$521,[1]ingredient!$A$2:$A$521)</f>
        <v>202</v>
      </c>
      <c r="D204">
        <v>878</v>
      </c>
      <c r="E204">
        <v>99</v>
      </c>
      <c r="F204">
        <v>1</v>
      </c>
      <c r="G204">
        <v>0.01</v>
      </c>
      <c r="H204">
        <v>0</v>
      </c>
      <c r="I204">
        <v>0.01</v>
      </c>
      <c r="J204">
        <v>0</v>
      </c>
      <c r="K204">
        <v>0.09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117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2121</v>
      </c>
      <c r="AB204">
        <v>10</v>
      </c>
      <c r="AC204">
        <v>2</v>
      </c>
      <c r="AD204">
        <v>2</v>
      </c>
      <c r="AE204">
        <v>2</v>
      </c>
      <c r="AF204">
        <v>0</v>
      </c>
      <c r="AG204">
        <v>1</v>
      </c>
      <c r="AH204">
        <v>0</v>
      </c>
      <c r="AI204">
        <v>0</v>
      </c>
      <c r="AJ204">
        <v>20</v>
      </c>
      <c r="AK204">
        <v>0</v>
      </c>
      <c r="AL204">
        <v>2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10</v>
      </c>
      <c r="AY204">
        <v>0</v>
      </c>
      <c r="AZ204">
        <v>0</v>
      </c>
      <c r="BA204">
        <v>10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f t="shared" si="30"/>
        <v>62.5</v>
      </c>
      <c r="BH204">
        <v>38</v>
      </c>
      <c r="BI204">
        <v>59</v>
      </c>
      <c r="BJ204">
        <v>30</v>
      </c>
      <c r="BK204">
        <v>14</v>
      </c>
      <c r="BL204">
        <v>14</v>
      </c>
      <c r="BM204">
        <v>35</v>
      </c>
      <c r="BN204">
        <v>23</v>
      </c>
      <c r="BO204">
        <v>27</v>
      </c>
      <c r="BP204">
        <v>7</v>
      </c>
      <c r="BQ204">
        <v>43</v>
      </c>
      <c r="BR204">
        <v>101</v>
      </c>
      <c r="BS204">
        <v>15</v>
      </c>
      <c r="BT204">
        <v>406</v>
      </c>
      <c r="BU204">
        <v>39</v>
      </c>
      <c r="BV204">
        <v>75</v>
      </c>
      <c r="BW204">
        <v>166</v>
      </c>
      <c r="BX204">
        <v>38</v>
      </c>
      <c r="BY204">
        <v>31</v>
      </c>
      <c r="BZ204">
        <v>41</v>
      </c>
      <c r="CA204">
        <v>390</v>
      </c>
      <c r="CB204">
        <v>0</v>
      </c>
      <c r="CC204">
        <v>0</v>
      </c>
      <c r="CD204">
        <v>0</v>
      </c>
      <c r="CE204">
        <v>1399</v>
      </c>
      <c r="CG204">
        <v>0</v>
      </c>
      <c r="CH204">
        <v>466</v>
      </c>
      <c r="CI204">
        <v>7461</v>
      </c>
      <c r="CJ204">
        <v>5595</v>
      </c>
      <c r="CK204">
        <v>44205</v>
      </c>
      <c r="CL204">
        <v>16507</v>
      </c>
      <c r="CM204">
        <v>0</v>
      </c>
      <c r="CN204">
        <v>8393</v>
      </c>
      <c r="CO204">
        <v>0</v>
      </c>
      <c r="CP204">
        <v>2331</v>
      </c>
      <c r="CQ204">
        <v>933</v>
      </c>
      <c r="CR204">
        <v>0</v>
      </c>
      <c r="CS204">
        <v>0</v>
      </c>
      <c r="CT204">
        <v>85891</v>
      </c>
      <c r="CU204">
        <v>0</v>
      </c>
      <c r="CV204">
        <v>0</v>
      </c>
      <c r="CW204">
        <v>373</v>
      </c>
      <c r="CX204">
        <v>0</v>
      </c>
      <c r="CY204">
        <v>5595</v>
      </c>
      <c r="CZ204">
        <v>0</v>
      </c>
      <c r="DA204">
        <v>0</v>
      </c>
      <c r="DB204">
        <v>0</v>
      </c>
      <c r="DC204">
        <v>5968</v>
      </c>
      <c r="DD204">
        <v>0</v>
      </c>
      <c r="DE204">
        <v>0</v>
      </c>
      <c r="DF204">
        <v>1399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1399</v>
      </c>
      <c r="DT204">
        <v>79736</v>
      </c>
      <c r="DU204">
        <v>5742</v>
      </c>
      <c r="DV204">
        <v>1</v>
      </c>
      <c r="DW204">
        <v>466</v>
      </c>
      <c r="DX204">
        <v>13056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0.1</v>
      </c>
      <c r="EI204">
        <v>0</v>
      </c>
      <c r="EJ204">
        <v>99</v>
      </c>
      <c r="EK204">
        <v>0.8</v>
      </c>
    </row>
    <row r="205" spans="1:141" x14ac:dyDescent="0.25">
      <c r="A205" t="str">
        <f>[1]ingredient!B204</f>
        <v>Kokosnüsse</v>
      </c>
      <c r="B205" t="s">
        <v>305</v>
      </c>
      <c r="C205" s="7">
        <f>_xlfn.XLOOKUP(A205,[1]ingredient!$B$2:$B$521,[1]ingredient!$A$2:$A$521)</f>
        <v>203</v>
      </c>
      <c r="D205">
        <v>361</v>
      </c>
      <c r="E205">
        <v>37</v>
      </c>
      <c r="F205">
        <v>5</v>
      </c>
      <c r="G205">
        <v>5</v>
      </c>
      <c r="H205">
        <v>9</v>
      </c>
      <c r="I205">
        <v>5</v>
      </c>
      <c r="J205">
        <v>0.16</v>
      </c>
      <c r="K205">
        <v>44</v>
      </c>
      <c r="L205">
        <v>0</v>
      </c>
      <c r="M205">
        <v>0</v>
      </c>
      <c r="N205">
        <v>0</v>
      </c>
      <c r="O205">
        <v>0</v>
      </c>
      <c r="P205">
        <v>61</v>
      </c>
      <c r="Q205">
        <v>8</v>
      </c>
      <c r="R205">
        <v>380</v>
      </c>
      <c r="S205">
        <v>1080</v>
      </c>
      <c r="T205">
        <v>200</v>
      </c>
      <c r="U205">
        <v>60</v>
      </c>
      <c r="V205">
        <v>12</v>
      </c>
      <c r="W205">
        <v>30</v>
      </c>
      <c r="X205">
        <v>0</v>
      </c>
      <c r="Y205">
        <v>2000</v>
      </c>
      <c r="Z205">
        <v>0</v>
      </c>
      <c r="AA205">
        <v>700</v>
      </c>
      <c r="AB205">
        <v>0</v>
      </c>
      <c r="AC205">
        <v>35</v>
      </c>
      <c r="AD205">
        <v>379</v>
      </c>
      <c r="AE205">
        <v>20</v>
      </c>
      <c r="AF205">
        <v>39</v>
      </c>
      <c r="AG205">
        <v>94</v>
      </c>
      <c r="AH205">
        <v>44</v>
      </c>
      <c r="AI205">
        <v>122</v>
      </c>
      <c r="AJ205">
        <v>2250</v>
      </c>
      <c r="AK205">
        <v>785</v>
      </c>
      <c r="AL205">
        <v>0</v>
      </c>
      <c r="AM205">
        <v>1310</v>
      </c>
      <c r="AN205">
        <v>10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143</v>
      </c>
      <c r="AU205">
        <v>0</v>
      </c>
      <c r="AV205">
        <v>0</v>
      </c>
      <c r="AW205">
        <v>143</v>
      </c>
      <c r="AX205">
        <v>4637</v>
      </c>
      <c r="AY205">
        <v>0</v>
      </c>
      <c r="AZ205">
        <v>0</v>
      </c>
      <c r="BA205">
        <v>4637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f t="shared" si="30"/>
        <v>67.083333333333329</v>
      </c>
      <c r="BH205">
        <v>214</v>
      </c>
      <c r="BI205">
        <v>332</v>
      </c>
      <c r="BJ205">
        <v>161</v>
      </c>
      <c r="BK205">
        <v>75</v>
      </c>
      <c r="BL205">
        <v>76</v>
      </c>
      <c r="BM205">
        <v>193</v>
      </c>
      <c r="BN205">
        <v>128</v>
      </c>
      <c r="BO205">
        <v>139</v>
      </c>
      <c r="BP205">
        <v>42</v>
      </c>
      <c r="BQ205">
        <v>235</v>
      </c>
      <c r="BR205">
        <v>524</v>
      </c>
      <c r="BS205">
        <v>76</v>
      </c>
      <c r="BT205">
        <v>2195</v>
      </c>
      <c r="BU205">
        <v>244</v>
      </c>
      <c r="BV205">
        <v>468</v>
      </c>
      <c r="BW205">
        <v>1035</v>
      </c>
      <c r="BX205">
        <v>233</v>
      </c>
      <c r="BY205">
        <v>194</v>
      </c>
      <c r="BZ205">
        <v>254</v>
      </c>
      <c r="CA205">
        <v>2428</v>
      </c>
      <c r="CB205">
        <v>0</v>
      </c>
      <c r="CC205">
        <v>0</v>
      </c>
      <c r="CD205">
        <v>0</v>
      </c>
      <c r="CE205">
        <v>669</v>
      </c>
      <c r="CG205">
        <v>0</v>
      </c>
      <c r="CH205">
        <v>237</v>
      </c>
      <c r="CI205">
        <v>2754</v>
      </c>
      <c r="CJ205">
        <v>2164</v>
      </c>
      <c r="CK205">
        <v>15935</v>
      </c>
      <c r="CL205">
        <v>6000</v>
      </c>
      <c r="CM205">
        <v>0</v>
      </c>
      <c r="CN205">
        <v>3049</v>
      </c>
      <c r="CO205">
        <v>0</v>
      </c>
      <c r="CP205">
        <v>1082</v>
      </c>
      <c r="CQ205">
        <v>334</v>
      </c>
      <c r="CR205">
        <v>0</v>
      </c>
      <c r="CS205">
        <v>0</v>
      </c>
      <c r="CT205">
        <v>31555</v>
      </c>
      <c r="CU205">
        <v>0</v>
      </c>
      <c r="CV205">
        <v>0</v>
      </c>
      <c r="CW205">
        <v>128</v>
      </c>
      <c r="CX205">
        <v>0</v>
      </c>
      <c r="CY205">
        <v>2065</v>
      </c>
      <c r="CZ205">
        <v>0</v>
      </c>
      <c r="DA205">
        <v>0</v>
      </c>
      <c r="DB205">
        <v>0</v>
      </c>
      <c r="DC205">
        <v>2193</v>
      </c>
      <c r="DD205">
        <v>0</v>
      </c>
      <c r="DE205">
        <v>0</v>
      </c>
      <c r="DF205">
        <v>669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669</v>
      </c>
      <c r="DT205">
        <v>29262</v>
      </c>
      <c r="DU205">
        <v>2082</v>
      </c>
      <c r="DV205">
        <v>0</v>
      </c>
      <c r="DW205">
        <v>237</v>
      </c>
      <c r="DX205">
        <v>4918</v>
      </c>
      <c r="DY205">
        <v>1350</v>
      </c>
      <c r="DZ205">
        <v>5940</v>
      </c>
      <c r="EA205">
        <v>180</v>
      </c>
      <c r="EB205">
        <v>1350</v>
      </c>
      <c r="EC205">
        <v>180</v>
      </c>
      <c r="ED205">
        <v>2100</v>
      </c>
      <c r="EE205">
        <v>6900</v>
      </c>
      <c r="EF205">
        <v>0</v>
      </c>
      <c r="EG205">
        <v>0</v>
      </c>
      <c r="EH205">
        <v>1.2</v>
      </c>
      <c r="EI205">
        <v>6.9</v>
      </c>
      <c r="EJ205">
        <v>36.5</v>
      </c>
      <c r="EK205">
        <v>4.5999999999999996</v>
      </c>
    </row>
    <row r="206" spans="1:141" x14ac:dyDescent="0.25">
      <c r="A206" t="str">
        <f>[1]ingredient!B205</f>
        <v>Kokosraspeln</v>
      </c>
      <c r="B206" t="s">
        <v>306</v>
      </c>
      <c r="C206" s="7">
        <f>_xlfn.XLOOKUP(A206,[1]ingredient!$B$2:$B$521,[1]ingredient!$A$2:$A$521)</f>
        <v>204</v>
      </c>
      <c r="D206">
        <v>639</v>
      </c>
      <c r="E206">
        <v>65</v>
      </c>
      <c r="F206">
        <v>7</v>
      </c>
      <c r="G206">
        <v>8</v>
      </c>
      <c r="H206">
        <v>15</v>
      </c>
      <c r="I206">
        <v>7</v>
      </c>
      <c r="J206">
        <v>0.26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40</v>
      </c>
      <c r="Q206">
        <v>0</v>
      </c>
      <c r="R206">
        <v>900</v>
      </c>
      <c r="S206">
        <v>1733</v>
      </c>
      <c r="T206">
        <v>0</v>
      </c>
      <c r="U206">
        <v>110</v>
      </c>
      <c r="V206">
        <v>10</v>
      </c>
      <c r="W206">
        <v>11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20</v>
      </c>
      <c r="AD206">
        <v>912</v>
      </c>
      <c r="AE206">
        <v>13</v>
      </c>
      <c r="AF206">
        <v>116</v>
      </c>
      <c r="AG206">
        <v>194</v>
      </c>
      <c r="AH206">
        <v>0</v>
      </c>
      <c r="AI206">
        <v>238</v>
      </c>
      <c r="AJ206">
        <v>2990</v>
      </c>
      <c r="AK206">
        <v>1460</v>
      </c>
      <c r="AL206">
        <v>795</v>
      </c>
      <c r="AM206">
        <v>2130</v>
      </c>
      <c r="AN206">
        <v>0</v>
      </c>
      <c r="AO206">
        <v>6</v>
      </c>
      <c r="AP206">
        <v>0</v>
      </c>
      <c r="AQ206">
        <v>680</v>
      </c>
      <c r="AR206">
        <v>0</v>
      </c>
      <c r="AS206">
        <v>680</v>
      </c>
      <c r="AT206">
        <v>0</v>
      </c>
      <c r="AU206">
        <v>0</v>
      </c>
      <c r="AV206">
        <v>0</v>
      </c>
      <c r="AW206">
        <v>0</v>
      </c>
      <c r="AX206">
        <v>6570</v>
      </c>
      <c r="AY206">
        <v>0</v>
      </c>
      <c r="AZ206">
        <v>0</v>
      </c>
      <c r="BA206">
        <v>6570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f t="shared" si="30"/>
        <v>89.285714285714292</v>
      </c>
      <c r="BH206">
        <v>230</v>
      </c>
      <c r="BI206">
        <v>440</v>
      </c>
      <c r="BJ206">
        <v>300</v>
      </c>
      <c r="BK206">
        <v>110</v>
      </c>
      <c r="BL206">
        <v>130</v>
      </c>
      <c r="BM206">
        <v>300</v>
      </c>
      <c r="BN206">
        <v>190</v>
      </c>
      <c r="BO206">
        <v>230</v>
      </c>
      <c r="BP206">
        <v>50</v>
      </c>
      <c r="BQ206">
        <v>380</v>
      </c>
      <c r="BR206">
        <v>1040</v>
      </c>
      <c r="BS206">
        <v>160</v>
      </c>
      <c r="BT206">
        <v>3560</v>
      </c>
      <c r="BU206">
        <v>350</v>
      </c>
      <c r="BV206">
        <v>590</v>
      </c>
      <c r="BW206">
        <v>1470</v>
      </c>
      <c r="BX206">
        <v>320</v>
      </c>
      <c r="BY206">
        <v>260</v>
      </c>
      <c r="BZ206">
        <v>340</v>
      </c>
      <c r="CA206">
        <v>3330</v>
      </c>
      <c r="CB206">
        <v>0</v>
      </c>
      <c r="CC206">
        <v>0</v>
      </c>
      <c r="CD206">
        <v>7</v>
      </c>
      <c r="CE206">
        <v>456</v>
      </c>
      <c r="CF206">
        <v>65.14</v>
      </c>
      <c r="CG206">
        <v>13</v>
      </c>
      <c r="CH206">
        <v>560</v>
      </c>
      <c r="CI206">
        <v>6119</v>
      </c>
      <c r="CJ206">
        <v>4392</v>
      </c>
      <c r="CK206">
        <v>31990</v>
      </c>
      <c r="CL206">
        <v>11700</v>
      </c>
      <c r="CM206">
        <v>7</v>
      </c>
      <c r="CN206">
        <v>4913</v>
      </c>
      <c r="CO206">
        <v>7</v>
      </c>
      <c r="CP206">
        <v>1870</v>
      </c>
      <c r="CQ206">
        <v>46</v>
      </c>
      <c r="CR206">
        <v>7</v>
      </c>
      <c r="CS206">
        <v>13</v>
      </c>
      <c r="CT206">
        <v>61637</v>
      </c>
      <c r="CU206">
        <v>0</v>
      </c>
      <c r="CV206">
        <v>0</v>
      </c>
      <c r="CW206">
        <v>7</v>
      </c>
      <c r="CX206">
        <v>0</v>
      </c>
      <c r="CY206">
        <v>2932</v>
      </c>
      <c r="CZ206">
        <v>13</v>
      </c>
      <c r="DA206">
        <v>0</v>
      </c>
      <c r="DB206">
        <v>0</v>
      </c>
      <c r="DC206">
        <v>2952</v>
      </c>
      <c r="DD206">
        <v>0</v>
      </c>
      <c r="DE206">
        <v>0</v>
      </c>
      <c r="DF206">
        <v>456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7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463</v>
      </c>
      <c r="DT206">
        <v>53968</v>
      </c>
      <c r="DU206">
        <v>0</v>
      </c>
      <c r="DV206">
        <v>0</v>
      </c>
      <c r="DW206">
        <v>573</v>
      </c>
      <c r="DX206">
        <v>10511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14800</v>
      </c>
      <c r="EF206">
        <v>0</v>
      </c>
      <c r="EG206">
        <v>0</v>
      </c>
      <c r="EH206">
        <v>2</v>
      </c>
      <c r="EI206">
        <v>14.8</v>
      </c>
      <c r="EJ206">
        <v>65.2</v>
      </c>
      <c r="EK206">
        <v>6.9</v>
      </c>
    </row>
    <row r="207" spans="1:141" x14ac:dyDescent="0.25">
      <c r="A207" t="str">
        <f>[1]ingredient!B206</f>
        <v>Kombuflocken</v>
      </c>
      <c r="B207" t="s">
        <v>307</v>
      </c>
      <c r="C207" s="7">
        <f>_xlfn.XLOOKUP(A207,[1]ingredient!$B$2:$B$521,[1]ingredient!$A$2:$A$521)</f>
        <v>205</v>
      </c>
      <c r="D207">
        <v>301</v>
      </c>
      <c r="E207">
        <v>4</v>
      </c>
      <c r="F207">
        <v>11</v>
      </c>
      <c r="G207">
        <v>53</v>
      </c>
      <c r="H207">
        <v>9</v>
      </c>
      <c r="I207">
        <v>53</v>
      </c>
      <c r="J207">
        <v>1</v>
      </c>
      <c r="K207">
        <v>15</v>
      </c>
      <c r="L207">
        <v>451</v>
      </c>
      <c r="M207">
        <v>226</v>
      </c>
      <c r="N207">
        <v>0</v>
      </c>
      <c r="O207">
        <v>2708</v>
      </c>
      <c r="P207">
        <v>293</v>
      </c>
      <c r="Q207">
        <v>973</v>
      </c>
      <c r="R207">
        <v>3055</v>
      </c>
      <c r="S207">
        <v>6338</v>
      </c>
      <c r="T207">
        <v>1109</v>
      </c>
      <c r="U207">
        <v>646</v>
      </c>
      <c r="V207">
        <v>0</v>
      </c>
      <c r="W207">
        <v>1231</v>
      </c>
      <c r="X207">
        <v>7</v>
      </c>
      <c r="Y207">
        <v>75217</v>
      </c>
      <c r="Z207">
        <v>0</v>
      </c>
      <c r="AA207">
        <v>5354</v>
      </c>
      <c r="AB207">
        <v>2055</v>
      </c>
      <c r="AC207">
        <v>1354</v>
      </c>
      <c r="AD207">
        <v>517</v>
      </c>
      <c r="AE207">
        <v>1034</v>
      </c>
      <c r="AF207">
        <v>742</v>
      </c>
      <c r="AG207">
        <v>259</v>
      </c>
      <c r="AH207">
        <v>306</v>
      </c>
      <c r="AI207">
        <v>75</v>
      </c>
      <c r="AJ207">
        <v>16566</v>
      </c>
      <c r="AK207">
        <v>7572</v>
      </c>
      <c r="AL207">
        <v>803</v>
      </c>
      <c r="AM207">
        <v>1231</v>
      </c>
      <c r="AN207">
        <v>612</v>
      </c>
      <c r="AO207">
        <v>308</v>
      </c>
      <c r="AP207">
        <v>0</v>
      </c>
      <c r="AQ207">
        <v>0</v>
      </c>
      <c r="AR207">
        <v>0</v>
      </c>
      <c r="AS207">
        <v>0</v>
      </c>
      <c r="AT207">
        <v>21308</v>
      </c>
      <c r="AU207">
        <v>21308</v>
      </c>
      <c r="AV207">
        <v>0</v>
      </c>
      <c r="AW207">
        <v>42616</v>
      </c>
      <c r="AX207">
        <v>10123</v>
      </c>
      <c r="AY207">
        <v>0</v>
      </c>
      <c r="AZ207">
        <v>0</v>
      </c>
      <c r="BA207">
        <v>10123</v>
      </c>
      <c r="BB207">
        <v>0</v>
      </c>
      <c r="BC207">
        <v>0</v>
      </c>
      <c r="BD207">
        <v>0</v>
      </c>
      <c r="BE207">
        <v>531</v>
      </c>
      <c r="BF207">
        <v>531</v>
      </c>
      <c r="BG207">
        <f t="shared" si="30"/>
        <v>46.590909090909086</v>
      </c>
      <c r="BH207">
        <v>408</v>
      </c>
      <c r="BI207">
        <v>680</v>
      </c>
      <c r="BJ207">
        <v>320</v>
      </c>
      <c r="BK207">
        <v>197</v>
      </c>
      <c r="BL207">
        <v>184</v>
      </c>
      <c r="BM207">
        <v>503</v>
      </c>
      <c r="BN207">
        <v>408</v>
      </c>
      <c r="BO207">
        <v>320</v>
      </c>
      <c r="BP207">
        <v>197</v>
      </c>
      <c r="BQ207">
        <v>898</v>
      </c>
      <c r="BR207">
        <v>408</v>
      </c>
      <c r="BS207">
        <v>82</v>
      </c>
      <c r="BT207">
        <v>4605</v>
      </c>
      <c r="BU207">
        <v>782</v>
      </c>
      <c r="BV207">
        <v>1381</v>
      </c>
      <c r="BW207">
        <v>2791</v>
      </c>
      <c r="BX207">
        <v>456</v>
      </c>
      <c r="BY207">
        <v>592</v>
      </c>
      <c r="BZ207">
        <v>367</v>
      </c>
      <c r="CA207">
        <v>6369</v>
      </c>
      <c r="CB207">
        <v>102</v>
      </c>
      <c r="CC207">
        <v>43</v>
      </c>
      <c r="CD207">
        <v>102</v>
      </c>
      <c r="CE207">
        <v>218</v>
      </c>
      <c r="CF207">
        <v>2.14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211</v>
      </c>
      <c r="CM207">
        <v>0</v>
      </c>
      <c r="CN207">
        <v>897</v>
      </c>
      <c r="CO207">
        <v>0</v>
      </c>
      <c r="CP207">
        <v>585</v>
      </c>
      <c r="CQ207">
        <v>0</v>
      </c>
      <c r="CR207">
        <v>0</v>
      </c>
      <c r="CS207">
        <v>0</v>
      </c>
      <c r="CT207">
        <v>1693</v>
      </c>
      <c r="CU207">
        <v>0</v>
      </c>
      <c r="CV207">
        <v>0</v>
      </c>
      <c r="CW207">
        <v>82</v>
      </c>
      <c r="CX207">
        <v>0</v>
      </c>
      <c r="CY207">
        <v>585</v>
      </c>
      <c r="CZ207">
        <v>0</v>
      </c>
      <c r="DA207">
        <v>0</v>
      </c>
      <c r="DB207">
        <v>0</v>
      </c>
      <c r="DC207">
        <v>667</v>
      </c>
      <c r="DD207">
        <v>0</v>
      </c>
      <c r="DE207">
        <v>0</v>
      </c>
      <c r="DF207">
        <v>136</v>
      </c>
      <c r="DG207">
        <v>27</v>
      </c>
      <c r="DH207">
        <v>27</v>
      </c>
      <c r="DI207">
        <v>0</v>
      </c>
      <c r="DJ207">
        <v>0</v>
      </c>
      <c r="DK207">
        <v>0</v>
      </c>
      <c r="DL207">
        <v>82</v>
      </c>
      <c r="DM207">
        <v>48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320</v>
      </c>
      <c r="DT207">
        <v>2680</v>
      </c>
      <c r="DU207">
        <v>1150</v>
      </c>
      <c r="DV207">
        <v>0</v>
      </c>
      <c r="DW207">
        <v>0</v>
      </c>
      <c r="DX207">
        <v>0</v>
      </c>
      <c r="DY207">
        <v>1333</v>
      </c>
      <c r="DZ207">
        <v>1776</v>
      </c>
      <c r="EA207">
        <v>2402</v>
      </c>
      <c r="EB207">
        <v>3116</v>
      </c>
      <c r="EC207">
        <v>265</v>
      </c>
      <c r="ED207">
        <v>2667</v>
      </c>
      <c r="EE207">
        <v>6225</v>
      </c>
      <c r="EF207">
        <v>0</v>
      </c>
      <c r="EG207">
        <v>1</v>
      </c>
      <c r="EH207">
        <v>6.2</v>
      </c>
      <c r="EI207">
        <v>6.2</v>
      </c>
      <c r="EJ207">
        <v>3.8</v>
      </c>
      <c r="EK207">
        <v>11.3</v>
      </c>
    </row>
    <row r="208" spans="1:141" x14ac:dyDescent="0.25">
      <c r="A208" t="str">
        <f>[1]ingredient!B207</f>
        <v>Kopfsalat</v>
      </c>
      <c r="B208" t="s">
        <v>308</v>
      </c>
      <c r="C208" s="7">
        <f>_xlfn.XLOOKUP(A208,[1]ingredient!$B$2:$B$521,[1]ingredient!$A$2:$A$521)</f>
        <v>206</v>
      </c>
      <c r="D208">
        <v>12</v>
      </c>
      <c r="E208">
        <v>0.22</v>
      </c>
      <c r="F208">
        <v>1</v>
      </c>
      <c r="G208">
        <v>1</v>
      </c>
      <c r="H208">
        <v>2</v>
      </c>
      <c r="I208">
        <v>1</v>
      </c>
      <c r="J208">
        <v>7.0000000000000007E-2</v>
      </c>
      <c r="K208">
        <v>95</v>
      </c>
      <c r="L208">
        <v>240</v>
      </c>
      <c r="M208">
        <v>120</v>
      </c>
      <c r="N208">
        <v>0</v>
      </c>
      <c r="O208">
        <v>1437</v>
      </c>
      <c r="P208">
        <v>62</v>
      </c>
      <c r="Q208">
        <v>80</v>
      </c>
      <c r="R208">
        <v>400</v>
      </c>
      <c r="S208">
        <v>633</v>
      </c>
      <c r="T208">
        <v>110</v>
      </c>
      <c r="U208">
        <v>55</v>
      </c>
      <c r="V208">
        <v>2</v>
      </c>
      <c r="W208">
        <v>37</v>
      </c>
      <c r="X208">
        <v>0</v>
      </c>
      <c r="Y208">
        <v>13000</v>
      </c>
      <c r="Z208">
        <v>0</v>
      </c>
      <c r="AA208">
        <v>601</v>
      </c>
      <c r="AB208">
        <v>133</v>
      </c>
      <c r="AC208">
        <v>10</v>
      </c>
      <c r="AD208">
        <v>224</v>
      </c>
      <c r="AE208">
        <v>37</v>
      </c>
      <c r="AF208">
        <v>11</v>
      </c>
      <c r="AG208">
        <v>33</v>
      </c>
      <c r="AH208">
        <v>16</v>
      </c>
      <c r="AI208">
        <v>57</v>
      </c>
      <c r="AJ208">
        <v>1000</v>
      </c>
      <c r="AK208">
        <v>372</v>
      </c>
      <c r="AL208">
        <v>49</v>
      </c>
      <c r="AM208">
        <v>176</v>
      </c>
      <c r="AN208">
        <v>32</v>
      </c>
      <c r="AO208">
        <v>3</v>
      </c>
      <c r="AP208">
        <v>0</v>
      </c>
      <c r="AQ208">
        <v>0</v>
      </c>
      <c r="AR208">
        <v>0</v>
      </c>
      <c r="AS208">
        <v>0</v>
      </c>
      <c r="AT208">
        <v>424</v>
      </c>
      <c r="AU208">
        <v>530</v>
      </c>
      <c r="AV208">
        <v>0</v>
      </c>
      <c r="AW208">
        <v>954</v>
      </c>
      <c r="AX208">
        <v>95</v>
      </c>
      <c r="AY208">
        <v>0</v>
      </c>
      <c r="AZ208">
        <v>0</v>
      </c>
      <c r="BA208">
        <v>95</v>
      </c>
      <c r="BB208">
        <v>0</v>
      </c>
      <c r="BC208">
        <v>0</v>
      </c>
      <c r="BD208">
        <v>0</v>
      </c>
      <c r="BE208">
        <v>11</v>
      </c>
      <c r="BF208">
        <v>11</v>
      </c>
      <c r="BG208">
        <f t="shared" si="30"/>
        <v>104.34782608695652</v>
      </c>
      <c r="BH208">
        <v>81</v>
      </c>
      <c r="BI208">
        <v>82</v>
      </c>
      <c r="BJ208">
        <v>63</v>
      </c>
      <c r="BK208">
        <v>15</v>
      </c>
      <c r="BL208">
        <v>9</v>
      </c>
      <c r="BM208">
        <v>56</v>
      </c>
      <c r="BN208">
        <v>35</v>
      </c>
      <c r="BO208">
        <v>48</v>
      </c>
      <c r="BP208">
        <v>14</v>
      </c>
      <c r="BQ208">
        <v>63</v>
      </c>
      <c r="BR208">
        <v>60</v>
      </c>
      <c r="BS208">
        <v>20</v>
      </c>
      <c r="BT208">
        <v>546</v>
      </c>
      <c r="BU208">
        <v>54</v>
      </c>
      <c r="BV208">
        <v>138</v>
      </c>
      <c r="BW208">
        <v>153</v>
      </c>
      <c r="BX208">
        <v>50</v>
      </c>
      <c r="BY208">
        <v>65</v>
      </c>
      <c r="BZ208">
        <v>44</v>
      </c>
      <c r="CA208">
        <v>504</v>
      </c>
      <c r="CB208">
        <v>10</v>
      </c>
      <c r="CC208">
        <v>4</v>
      </c>
      <c r="CD208">
        <v>94</v>
      </c>
      <c r="CE208">
        <v>39</v>
      </c>
      <c r="CF208">
        <v>0.41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30</v>
      </c>
      <c r="CO208">
        <v>0</v>
      </c>
      <c r="CP208">
        <v>4</v>
      </c>
      <c r="CQ208">
        <v>0</v>
      </c>
      <c r="CR208">
        <v>0</v>
      </c>
      <c r="CS208">
        <v>0</v>
      </c>
      <c r="CT208">
        <v>34</v>
      </c>
      <c r="CU208">
        <v>0</v>
      </c>
      <c r="CV208">
        <v>0</v>
      </c>
      <c r="CW208">
        <v>2</v>
      </c>
      <c r="CX208">
        <v>0</v>
      </c>
      <c r="CY208">
        <v>7</v>
      </c>
      <c r="CZ208">
        <v>0</v>
      </c>
      <c r="DA208">
        <v>0</v>
      </c>
      <c r="DB208">
        <v>0</v>
      </c>
      <c r="DC208">
        <v>9</v>
      </c>
      <c r="DD208">
        <v>0</v>
      </c>
      <c r="DE208">
        <v>0</v>
      </c>
      <c r="DF208">
        <v>39</v>
      </c>
      <c r="DG208">
        <v>94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133</v>
      </c>
      <c r="DT208">
        <v>176</v>
      </c>
      <c r="DU208">
        <v>44</v>
      </c>
      <c r="DV208">
        <v>0</v>
      </c>
      <c r="DW208">
        <v>0</v>
      </c>
      <c r="DX208">
        <v>0</v>
      </c>
      <c r="DY208">
        <v>192</v>
      </c>
      <c r="DZ208">
        <v>160</v>
      </c>
      <c r="EA208">
        <v>432</v>
      </c>
      <c r="EB208">
        <v>800</v>
      </c>
      <c r="EC208">
        <v>16</v>
      </c>
      <c r="ED208">
        <v>240</v>
      </c>
      <c r="EE208">
        <v>1360</v>
      </c>
      <c r="EF208">
        <v>0</v>
      </c>
      <c r="EG208">
        <v>0.13</v>
      </c>
      <c r="EH208">
        <v>0.7</v>
      </c>
      <c r="EI208">
        <v>1.4</v>
      </c>
      <c r="EJ208">
        <v>0.2</v>
      </c>
      <c r="EK208">
        <v>1.1000000000000001</v>
      </c>
    </row>
    <row r="209" spans="1:141" x14ac:dyDescent="0.25">
      <c r="A209" t="str">
        <f>[1]ingredient!B208</f>
        <v>Koriander</v>
      </c>
      <c r="B209" t="s">
        <v>309</v>
      </c>
      <c r="C209" s="7">
        <f>_xlfn.XLOOKUP(A209,[1]ingredient!$B$2:$B$521,[1]ingredient!$A$2:$A$521)</f>
        <v>207</v>
      </c>
      <c r="D209">
        <v>23</v>
      </c>
      <c r="E209">
        <v>1</v>
      </c>
      <c r="F209">
        <v>2</v>
      </c>
      <c r="G209">
        <v>1</v>
      </c>
      <c r="H209">
        <v>3</v>
      </c>
      <c r="I209">
        <v>1</v>
      </c>
      <c r="J209">
        <v>0.2</v>
      </c>
      <c r="K209">
        <v>92</v>
      </c>
      <c r="L209">
        <v>700</v>
      </c>
      <c r="M209">
        <v>325</v>
      </c>
      <c r="N209">
        <v>0</v>
      </c>
      <c r="O209">
        <v>3900</v>
      </c>
      <c r="P209">
        <v>100</v>
      </c>
      <c r="Q209">
        <v>200</v>
      </c>
      <c r="R209">
        <v>1100</v>
      </c>
      <c r="S209">
        <v>1900</v>
      </c>
      <c r="T209">
        <v>600</v>
      </c>
      <c r="U209">
        <v>100</v>
      </c>
      <c r="V209">
        <v>0</v>
      </c>
      <c r="W209">
        <v>62</v>
      </c>
      <c r="X209">
        <v>0</v>
      </c>
      <c r="Y209">
        <v>27000</v>
      </c>
      <c r="Z209">
        <v>0</v>
      </c>
      <c r="AA209">
        <v>0</v>
      </c>
      <c r="AB209">
        <v>0</v>
      </c>
      <c r="AC209">
        <v>46</v>
      </c>
      <c r="AD209">
        <v>521</v>
      </c>
      <c r="AE209">
        <v>67</v>
      </c>
      <c r="AF209">
        <v>26</v>
      </c>
      <c r="AG209">
        <v>48</v>
      </c>
      <c r="AH209">
        <v>190</v>
      </c>
      <c r="AI209">
        <v>156</v>
      </c>
      <c r="AJ209">
        <v>1800</v>
      </c>
      <c r="AK209">
        <v>500</v>
      </c>
      <c r="AL209">
        <v>200</v>
      </c>
      <c r="AM209">
        <v>400</v>
      </c>
      <c r="AN209">
        <v>100</v>
      </c>
      <c r="AO209">
        <v>3</v>
      </c>
      <c r="AP209">
        <v>0</v>
      </c>
      <c r="AQ209">
        <v>0</v>
      </c>
      <c r="AR209">
        <v>0</v>
      </c>
      <c r="AS209">
        <v>0</v>
      </c>
      <c r="AT209">
        <v>543</v>
      </c>
      <c r="AU209">
        <v>328</v>
      </c>
      <c r="AV209">
        <v>0</v>
      </c>
      <c r="AW209">
        <v>870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f t="shared" si="30"/>
        <v>47.826086956521742</v>
      </c>
      <c r="BH209">
        <v>112</v>
      </c>
      <c r="BI209">
        <v>156</v>
      </c>
      <c r="BJ209">
        <v>146</v>
      </c>
      <c r="BK209">
        <v>11</v>
      </c>
      <c r="BL209">
        <v>11</v>
      </c>
      <c r="BM209">
        <v>127</v>
      </c>
      <c r="BN209">
        <v>65</v>
      </c>
      <c r="BO209">
        <v>97</v>
      </c>
      <c r="BP209">
        <v>46</v>
      </c>
      <c r="BQ209">
        <v>156</v>
      </c>
      <c r="BR209">
        <v>89</v>
      </c>
      <c r="BS209">
        <v>52</v>
      </c>
      <c r="BT209">
        <v>1067</v>
      </c>
      <c r="BU209">
        <v>164</v>
      </c>
      <c r="BV209">
        <v>253</v>
      </c>
      <c r="BW209">
        <v>208</v>
      </c>
      <c r="BX209">
        <v>112</v>
      </c>
      <c r="BY209">
        <v>223</v>
      </c>
      <c r="BZ209">
        <v>104</v>
      </c>
      <c r="CA209">
        <v>1063</v>
      </c>
      <c r="CB209">
        <v>57</v>
      </c>
      <c r="CC209">
        <v>24</v>
      </c>
      <c r="CD209">
        <v>0</v>
      </c>
      <c r="CE209">
        <v>0</v>
      </c>
      <c r="CF209">
        <v>1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13</v>
      </c>
      <c r="CO209">
        <v>0</v>
      </c>
      <c r="CP209">
        <v>1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69</v>
      </c>
      <c r="CX209">
        <v>0</v>
      </c>
      <c r="CY209">
        <v>206</v>
      </c>
      <c r="CZ209">
        <v>0</v>
      </c>
      <c r="DA209">
        <v>0</v>
      </c>
      <c r="DB209">
        <v>0</v>
      </c>
      <c r="DC209">
        <v>300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329</v>
      </c>
      <c r="DU209">
        <v>191</v>
      </c>
      <c r="DV209">
        <v>0</v>
      </c>
      <c r="DW209">
        <v>0</v>
      </c>
      <c r="DX209">
        <v>0</v>
      </c>
      <c r="DY209">
        <v>568</v>
      </c>
      <c r="DZ209">
        <v>568</v>
      </c>
      <c r="EA209">
        <v>199</v>
      </c>
      <c r="EB209">
        <v>1069</v>
      </c>
      <c r="EC209">
        <v>397</v>
      </c>
      <c r="ED209">
        <v>700</v>
      </c>
      <c r="EE209">
        <v>2100</v>
      </c>
      <c r="EF209">
        <v>0</v>
      </c>
      <c r="EG209">
        <v>230</v>
      </c>
      <c r="EH209">
        <v>1.1000000000000001</v>
      </c>
      <c r="EI209">
        <v>2.1</v>
      </c>
      <c r="EJ209">
        <v>0.5</v>
      </c>
      <c r="EK209">
        <v>2.2999999999999998</v>
      </c>
    </row>
    <row r="210" spans="1:141" x14ac:dyDescent="0.25">
      <c r="A210" t="str">
        <f>[1]ingredient!B209</f>
        <v>Koriander, gemahlen</v>
      </c>
      <c r="B210" t="s">
        <v>310</v>
      </c>
      <c r="C210" s="7">
        <f>_xlfn.XLOOKUP(A210,[1]ingredient!$B$2:$B$521,[1]ingredient!$A$2:$A$521)</f>
        <v>208</v>
      </c>
      <c r="D210">
        <v>313</v>
      </c>
      <c r="E210">
        <v>18</v>
      </c>
      <c r="F210">
        <v>12</v>
      </c>
      <c r="G210">
        <v>26</v>
      </c>
      <c r="H210">
        <v>29</v>
      </c>
      <c r="I210">
        <v>25</v>
      </c>
      <c r="J210">
        <v>0.1</v>
      </c>
      <c r="K210">
        <v>9</v>
      </c>
      <c r="L210">
        <v>0</v>
      </c>
      <c r="M210">
        <v>0.08</v>
      </c>
      <c r="N210">
        <v>0</v>
      </c>
      <c r="O210">
        <v>1</v>
      </c>
      <c r="P210">
        <v>240</v>
      </c>
      <c r="Q210">
        <v>290</v>
      </c>
      <c r="R210">
        <v>2100</v>
      </c>
      <c r="S210">
        <v>4167</v>
      </c>
      <c r="T210">
        <v>500</v>
      </c>
      <c r="U210">
        <v>200</v>
      </c>
      <c r="V210">
        <v>10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35</v>
      </c>
      <c r="AD210">
        <v>1270</v>
      </c>
      <c r="AE210">
        <v>660</v>
      </c>
      <c r="AF210">
        <v>330</v>
      </c>
      <c r="AG210">
        <v>400</v>
      </c>
      <c r="AH210">
        <v>100</v>
      </c>
      <c r="AI210">
        <v>60</v>
      </c>
      <c r="AJ210">
        <v>16320</v>
      </c>
      <c r="AK210">
        <v>4700</v>
      </c>
      <c r="AL210">
        <v>970</v>
      </c>
      <c r="AM210">
        <v>1900</v>
      </c>
      <c r="AN210">
        <v>50</v>
      </c>
      <c r="AO210">
        <v>5</v>
      </c>
      <c r="AP210">
        <v>0</v>
      </c>
      <c r="AQ210">
        <v>0</v>
      </c>
      <c r="AR210">
        <v>0</v>
      </c>
      <c r="AS210">
        <v>0</v>
      </c>
      <c r="AT210">
        <v>12950</v>
      </c>
      <c r="AU210">
        <v>10619</v>
      </c>
      <c r="AV210">
        <v>0</v>
      </c>
      <c r="AW210">
        <v>23569</v>
      </c>
      <c r="AX210">
        <v>1036</v>
      </c>
      <c r="AY210">
        <v>0</v>
      </c>
      <c r="AZ210">
        <v>0</v>
      </c>
      <c r="BA210">
        <v>1036</v>
      </c>
      <c r="BB210">
        <v>0</v>
      </c>
      <c r="BC210">
        <v>0</v>
      </c>
      <c r="BD210">
        <v>0</v>
      </c>
      <c r="BE210">
        <v>1295</v>
      </c>
      <c r="BF210">
        <v>1295</v>
      </c>
      <c r="BG210">
        <f t="shared" si="30"/>
        <v>84.699453551912569</v>
      </c>
      <c r="BH210">
        <v>372</v>
      </c>
      <c r="BI210">
        <v>620</v>
      </c>
      <c r="BJ210">
        <v>620</v>
      </c>
      <c r="BK210">
        <v>186</v>
      </c>
      <c r="BL210">
        <v>124</v>
      </c>
      <c r="BM210">
        <v>434</v>
      </c>
      <c r="BN210">
        <v>248</v>
      </c>
      <c r="BO210">
        <v>310</v>
      </c>
      <c r="BP210">
        <v>124</v>
      </c>
      <c r="BQ210">
        <v>496</v>
      </c>
      <c r="BR210">
        <v>558</v>
      </c>
      <c r="BS210">
        <v>186</v>
      </c>
      <c r="BT210">
        <v>4278</v>
      </c>
      <c r="BU210">
        <v>744</v>
      </c>
      <c r="BV210">
        <v>1860</v>
      </c>
      <c r="BW210">
        <v>1736</v>
      </c>
      <c r="BX210">
        <v>496</v>
      </c>
      <c r="BY210">
        <v>434</v>
      </c>
      <c r="BZ210">
        <v>496</v>
      </c>
      <c r="CA210">
        <v>5766</v>
      </c>
      <c r="CB210">
        <v>60</v>
      </c>
      <c r="CC210">
        <v>25</v>
      </c>
      <c r="CD210">
        <v>0</v>
      </c>
      <c r="CE210">
        <v>1748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16</v>
      </c>
      <c r="CM210">
        <v>0</v>
      </c>
      <c r="CN210">
        <v>850</v>
      </c>
      <c r="CO210">
        <v>0</v>
      </c>
      <c r="CP210">
        <v>114</v>
      </c>
      <c r="CQ210">
        <v>0</v>
      </c>
      <c r="CR210">
        <v>0</v>
      </c>
      <c r="CS210">
        <v>0</v>
      </c>
      <c r="CT210">
        <v>980</v>
      </c>
      <c r="CU210">
        <v>0</v>
      </c>
      <c r="CV210">
        <v>0</v>
      </c>
      <c r="CW210">
        <v>98</v>
      </c>
      <c r="CX210">
        <v>0</v>
      </c>
      <c r="CY210">
        <v>13514</v>
      </c>
      <c r="CZ210">
        <v>0</v>
      </c>
      <c r="DA210">
        <v>0</v>
      </c>
      <c r="DB210">
        <v>0</v>
      </c>
      <c r="DC210">
        <v>13612</v>
      </c>
      <c r="DD210">
        <v>0</v>
      </c>
      <c r="DE210">
        <v>0</v>
      </c>
      <c r="DF210">
        <v>1748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1748</v>
      </c>
      <c r="DT210">
        <v>16340</v>
      </c>
      <c r="DU210">
        <v>1460</v>
      </c>
      <c r="DV210">
        <v>0</v>
      </c>
      <c r="DW210">
        <v>0</v>
      </c>
      <c r="DX210">
        <v>0</v>
      </c>
      <c r="DY210">
        <v>6406</v>
      </c>
      <c r="DZ210">
        <v>5242</v>
      </c>
      <c r="EA210">
        <v>5824</v>
      </c>
      <c r="EB210">
        <v>5824</v>
      </c>
      <c r="EC210">
        <v>5824</v>
      </c>
      <c r="ED210">
        <v>8736</v>
      </c>
      <c r="EE210">
        <v>20384</v>
      </c>
      <c r="EF210">
        <v>0</v>
      </c>
      <c r="EG210">
        <v>0.1</v>
      </c>
      <c r="EH210">
        <v>6</v>
      </c>
      <c r="EI210">
        <v>20.399999999999999</v>
      </c>
      <c r="EJ210">
        <v>17.8</v>
      </c>
      <c r="EK210">
        <v>10.199999999999999</v>
      </c>
    </row>
    <row r="211" spans="1:141" x14ac:dyDescent="0.25">
      <c r="A211" t="str">
        <f>[1]ingredient!B210</f>
        <v>Koriandersamen</v>
      </c>
      <c r="B211" t="s">
        <v>311</v>
      </c>
      <c r="C211" s="7">
        <f>_xlfn.XLOOKUP(A211,[1]ingredient!$B$2:$B$521,[1]ingredient!$A$2:$A$521)</f>
        <v>209</v>
      </c>
      <c r="D211">
        <v>313</v>
      </c>
      <c r="E211">
        <v>18</v>
      </c>
      <c r="F211">
        <v>12</v>
      </c>
      <c r="G211">
        <v>26</v>
      </c>
      <c r="H211">
        <v>29</v>
      </c>
      <c r="I211">
        <v>25</v>
      </c>
      <c r="J211">
        <v>0.1</v>
      </c>
      <c r="K211">
        <v>9</v>
      </c>
      <c r="L211">
        <v>0</v>
      </c>
      <c r="M211">
        <v>0.08</v>
      </c>
      <c r="N211">
        <v>0</v>
      </c>
      <c r="O211">
        <v>1</v>
      </c>
      <c r="P211">
        <v>240</v>
      </c>
      <c r="Q211">
        <v>290</v>
      </c>
      <c r="R211">
        <v>2100</v>
      </c>
      <c r="S211">
        <v>4650</v>
      </c>
      <c r="T211">
        <v>500</v>
      </c>
      <c r="U211">
        <v>200</v>
      </c>
      <c r="V211">
        <v>10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35</v>
      </c>
      <c r="AD211">
        <v>1270</v>
      </c>
      <c r="AE211">
        <v>660</v>
      </c>
      <c r="AF211">
        <v>330</v>
      </c>
      <c r="AG211">
        <v>400</v>
      </c>
      <c r="AH211">
        <v>100</v>
      </c>
      <c r="AI211">
        <v>60</v>
      </c>
      <c r="AJ211">
        <v>16320</v>
      </c>
      <c r="AK211">
        <v>4700</v>
      </c>
      <c r="AL211">
        <v>970</v>
      </c>
      <c r="AM211">
        <v>1900</v>
      </c>
      <c r="AN211">
        <v>50</v>
      </c>
      <c r="AO211">
        <v>5</v>
      </c>
      <c r="AP211">
        <v>0</v>
      </c>
      <c r="AQ211">
        <v>0</v>
      </c>
      <c r="AR211">
        <v>0</v>
      </c>
      <c r="AS211">
        <v>0</v>
      </c>
      <c r="AT211">
        <v>12950</v>
      </c>
      <c r="AU211">
        <v>10619</v>
      </c>
      <c r="AV211">
        <v>0</v>
      </c>
      <c r="AW211">
        <v>23569</v>
      </c>
      <c r="AX211">
        <v>1036</v>
      </c>
      <c r="AY211">
        <v>0</v>
      </c>
      <c r="AZ211">
        <v>0</v>
      </c>
      <c r="BA211">
        <v>1036</v>
      </c>
      <c r="BB211">
        <v>0</v>
      </c>
      <c r="BC211">
        <v>0</v>
      </c>
      <c r="BD211">
        <v>0</v>
      </c>
      <c r="BE211">
        <v>1295</v>
      </c>
      <c r="BF211">
        <v>1295</v>
      </c>
      <c r="BG211">
        <f t="shared" si="30"/>
        <v>104.50819672131149</v>
      </c>
      <c r="BH211">
        <v>459</v>
      </c>
      <c r="BI211">
        <v>765</v>
      </c>
      <c r="BJ211">
        <v>765</v>
      </c>
      <c r="BK211">
        <v>230</v>
      </c>
      <c r="BL211">
        <v>153</v>
      </c>
      <c r="BM211">
        <v>536</v>
      </c>
      <c r="BN211">
        <v>306</v>
      </c>
      <c r="BO211">
        <v>383</v>
      </c>
      <c r="BP211">
        <v>153</v>
      </c>
      <c r="BQ211">
        <v>612</v>
      </c>
      <c r="BR211">
        <v>689</v>
      </c>
      <c r="BS211">
        <v>230</v>
      </c>
      <c r="BT211">
        <v>5281</v>
      </c>
      <c r="BU211">
        <v>919</v>
      </c>
      <c r="BV211">
        <v>2296</v>
      </c>
      <c r="BW211">
        <v>2143</v>
      </c>
      <c r="BX211">
        <v>612</v>
      </c>
      <c r="BY211">
        <v>536</v>
      </c>
      <c r="BZ211">
        <v>612</v>
      </c>
      <c r="CA211">
        <v>7118</v>
      </c>
      <c r="CB211">
        <v>60</v>
      </c>
      <c r="CC211">
        <v>20</v>
      </c>
      <c r="CD211">
        <v>0</v>
      </c>
      <c r="CE211">
        <v>1748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16</v>
      </c>
      <c r="CM211">
        <v>0</v>
      </c>
      <c r="CN211">
        <v>850</v>
      </c>
      <c r="CO211">
        <v>0</v>
      </c>
      <c r="CP211">
        <v>114</v>
      </c>
      <c r="CQ211">
        <v>0</v>
      </c>
      <c r="CR211">
        <v>0</v>
      </c>
      <c r="CS211">
        <v>0</v>
      </c>
      <c r="CT211">
        <v>980</v>
      </c>
      <c r="CU211">
        <v>0</v>
      </c>
      <c r="CV211">
        <v>0</v>
      </c>
      <c r="CW211">
        <v>98</v>
      </c>
      <c r="CX211">
        <v>0</v>
      </c>
      <c r="CY211">
        <v>13514</v>
      </c>
      <c r="CZ211">
        <v>0</v>
      </c>
      <c r="DA211">
        <v>0</v>
      </c>
      <c r="DB211">
        <v>0</v>
      </c>
      <c r="DC211">
        <v>13612</v>
      </c>
      <c r="DD211">
        <v>0</v>
      </c>
      <c r="DE211">
        <v>0</v>
      </c>
      <c r="DF211">
        <v>1748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1748</v>
      </c>
      <c r="DT211">
        <v>16340</v>
      </c>
      <c r="DU211">
        <v>1460</v>
      </c>
      <c r="DV211">
        <v>0</v>
      </c>
      <c r="DW211">
        <v>0</v>
      </c>
      <c r="DX211">
        <v>0</v>
      </c>
      <c r="DY211">
        <v>6406</v>
      </c>
      <c r="DZ211">
        <v>5242</v>
      </c>
      <c r="EA211">
        <v>5824</v>
      </c>
      <c r="EB211">
        <v>5824</v>
      </c>
      <c r="EC211">
        <v>5824</v>
      </c>
      <c r="ED211">
        <v>8736</v>
      </c>
      <c r="EE211">
        <v>20384</v>
      </c>
      <c r="EF211">
        <v>0</v>
      </c>
      <c r="EG211">
        <v>0.1</v>
      </c>
      <c r="EH211">
        <v>6</v>
      </c>
      <c r="EI211">
        <v>20.399999999999999</v>
      </c>
      <c r="EJ211">
        <v>17.8</v>
      </c>
      <c r="EK211">
        <v>12.6</v>
      </c>
    </row>
    <row r="212" spans="1:141" x14ac:dyDescent="0.25">
      <c r="A212" t="str">
        <f>[1]ingredient!B211</f>
        <v>Korianderkraut, getrocknet</v>
      </c>
      <c r="B212" t="s">
        <v>310</v>
      </c>
      <c r="C212" s="7">
        <f>_xlfn.XLOOKUP(A212,[1]ingredient!$B$2:$B$521,[1]ingredient!$A$2:$A$521)</f>
        <v>210</v>
      </c>
      <c r="D212">
        <v>313</v>
      </c>
      <c r="E212">
        <v>18</v>
      </c>
      <c r="F212">
        <v>12</v>
      </c>
      <c r="G212">
        <v>26</v>
      </c>
      <c r="H212">
        <v>29</v>
      </c>
      <c r="I212">
        <v>25</v>
      </c>
      <c r="J212">
        <v>0.1</v>
      </c>
      <c r="K212">
        <v>9</v>
      </c>
      <c r="L212">
        <v>0</v>
      </c>
      <c r="M212">
        <v>0.08</v>
      </c>
      <c r="N212">
        <v>0</v>
      </c>
      <c r="O212">
        <v>1</v>
      </c>
      <c r="P212">
        <v>240</v>
      </c>
      <c r="Q212">
        <v>290</v>
      </c>
      <c r="R212">
        <v>2100</v>
      </c>
      <c r="S212">
        <v>4167</v>
      </c>
      <c r="T212">
        <v>500</v>
      </c>
      <c r="U212">
        <v>200</v>
      </c>
      <c r="V212">
        <v>10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35</v>
      </c>
      <c r="AD212">
        <v>1270</v>
      </c>
      <c r="AE212">
        <v>660</v>
      </c>
      <c r="AF212">
        <v>330</v>
      </c>
      <c r="AG212">
        <v>400</v>
      </c>
      <c r="AH212">
        <v>100</v>
      </c>
      <c r="AI212">
        <v>60</v>
      </c>
      <c r="AJ212">
        <v>16320</v>
      </c>
      <c r="AK212">
        <v>4700</v>
      </c>
      <c r="AL212">
        <v>970</v>
      </c>
      <c r="AM212">
        <v>1900</v>
      </c>
      <c r="AN212">
        <v>50</v>
      </c>
      <c r="AO212">
        <v>5</v>
      </c>
      <c r="AP212">
        <v>0</v>
      </c>
      <c r="AQ212">
        <v>0</v>
      </c>
      <c r="AR212">
        <v>0</v>
      </c>
      <c r="AS212">
        <v>0</v>
      </c>
      <c r="AT212">
        <v>12950</v>
      </c>
      <c r="AU212">
        <v>10619</v>
      </c>
      <c r="AV212">
        <v>0</v>
      </c>
      <c r="AW212">
        <v>23569</v>
      </c>
      <c r="AX212">
        <v>1036</v>
      </c>
      <c r="AY212">
        <v>0</v>
      </c>
      <c r="AZ212">
        <v>0</v>
      </c>
      <c r="BA212">
        <v>1036</v>
      </c>
      <c r="BB212">
        <v>0</v>
      </c>
      <c r="BC212">
        <v>0</v>
      </c>
      <c r="BD212">
        <v>0</v>
      </c>
      <c r="BE212">
        <v>1295</v>
      </c>
      <c r="BF212">
        <v>1295</v>
      </c>
      <c r="BG212">
        <f t="shared" si="30"/>
        <v>84.699453551912569</v>
      </c>
      <c r="BH212">
        <v>372</v>
      </c>
      <c r="BI212">
        <v>620</v>
      </c>
      <c r="BJ212">
        <v>620</v>
      </c>
      <c r="BK212">
        <v>186</v>
      </c>
      <c r="BL212">
        <v>124</v>
      </c>
      <c r="BM212">
        <v>434</v>
      </c>
      <c r="BN212">
        <v>248</v>
      </c>
      <c r="BO212">
        <v>310</v>
      </c>
      <c r="BP212">
        <v>124</v>
      </c>
      <c r="BQ212">
        <v>496</v>
      </c>
      <c r="BR212">
        <v>558</v>
      </c>
      <c r="BS212">
        <v>186</v>
      </c>
      <c r="BT212">
        <v>4278</v>
      </c>
      <c r="BU212">
        <v>744</v>
      </c>
      <c r="BV212">
        <v>1860</v>
      </c>
      <c r="BW212">
        <v>1736</v>
      </c>
      <c r="BX212">
        <v>496</v>
      </c>
      <c r="BY212">
        <v>434</v>
      </c>
      <c r="BZ212">
        <v>496</v>
      </c>
      <c r="CA212">
        <v>5766</v>
      </c>
      <c r="CB212">
        <v>60</v>
      </c>
      <c r="CC212">
        <v>25</v>
      </c>
      <c r="CD212">
        <v>0</v>
      </c>
      <c r="CE212">
        <v>1748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16</v>
      </c>
      <c r="CM212">
        <v>0</v>
      </c>
      <c r="CN212">
        <v>850</v>
      </c>
      <c r="CO212">
        <v>0</v>
      </c>
      <c r="CP212">
        <v>114</v>
      </c>
      <c r="CQ212">
        <v>0</v>
      </c>
      <c r="CR212">
        <v>0</v>
      </c>
      <c r="CS212">
        <v>0</v>
      </c>
      <c r="CT212">
        <v>980</v>
      </c>
      <c r="CU212">
        <v>0</v>
      </c>
      <c r="CV212">
        <v>0</v>
      </c>
      <c r="CW212">
        <v>98</v>
      </c>
      <c r="CX212">
        <v>0</v>
      </c>
      <c r="CY212">
        <v>13514</v>
      </c>
      <c r="CZ212">
        <v>0</v>
      </c>
      <c r="DA212">
        <v>0</v>
      </c>
      <c r="DB212">
        <v>0</v>
      </c>
      <c r="DC212">
        <v>13612</v>
      </c>
      <c r="DD212">
        <v>0</v>
      </c>
      <c r="DE212">
        <v>0</v>
      </c>
      <c r="DF212">
        <v>1748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1748</v>
      </c>
      <c r="DT212">
        <v>16340</v>
      </c>
      <c r="DU212">
        <v>1460</v>
      </c>
      <c r="DV212">
        <v>0</v>
      </c>
      <c r="DW212">
        <v>0</v>
      </c>
      <c r="DX212">
        <v>0</v>
      </c>
      <c r="DY212">
        <v>6406</v>
      </c>
      <c r="DZ212">
        <v>5242</v>
      </c>
      <c r="EA212">
        <v>5824</v>
      </c>
      <c r="EB212">
        <v>5824</v>
      </c>
      <c r="EC212">
        <v>5824</v>
      </c>
      <c r="ED212">
        <v>8736</v>
      </c>
      <c r="EE212">
        <v>20384</v>
      </c>
      <c r="EF212">
        <v>0</v>
      </c>
      <c r="EG212">
        <v>0.1</v>
      </c>
      <c r="EH212">
        <v>6</v>
      </c>
      <c r="EI212">
        <v>20.399999999999999</v>
      </c>
      <c r="EJ212">
        <v>17.8</v>
      </c>
      <c r="EK212">
        <v>10.199999999999999</v>
      </c>
    </row>
    <row r="213" spans="1:141" x14ac:dyDescent="0.25">
      <c r="A213" t="str">
        <f>[1]ingredient!B212</f>
        <v>Kräuter der Provence</v>
      </c>
      <c r="B213" t="s">
        <v>312</v>
      </c>
      <c r="C213" s="7">
        <f>_xlfn.XLOOKUP(A213,[1]ingredient!$B$2:$B$521,[1]ingredient!$A$2:$A$521)</f>
        <v>211</v>
      </c>
      <c r="D213">
        <v>103</v>
      </c>
      <c r="E213">
        <v>3</v>
      </c>
      <c r="F213">
        <v>3</v>
      </c>
      <c r="G213">
        <v>15</v>
      </c>
      <c r="H213">
        <v>8</v>
      </c>
      <c r="I213">
        <v>15</v>
      </c>
      <c r="J213">
        <v>7.0000000000000007E-2</v>
      </c>
      <c r="K213">
        <v>69</v>
      </c>
      <c r="L213">
        <v>175</v>
      </c>
      <c r="M213">
        <v>87</v>
      </c>
      <c r="N213">
        <v>0</v>
      </c>
      <c r="O213">
        <v>1049</v>
      </c>
      <c r="P213">
        <v>64</v>
      </c>
      <c r="Q213">
        <v>132</v>
      </c>
      <c r="R213">
        <v>945</v>
      </c>
      <c r="S213">
        <v>1545</v>
      </c>
      <c r="T213">
        <v>36</v>
      </c>
      <c r="U213">
        <v>35</v>
      </c>
      <c r="V213">
        <v>0.4</v>
      </c>
      <c r="W213">
        <v>10</v>
      </c>
      <c r="X213">
        <v>0</v>
      </c>
      <c r="Y213">
        <v>4999</v>
      </c>
      <c r="Z213">
        <v>0</v>
      </c>
      <c r="AA213">
        <v>182</v>
      </c>
      <c r="AB213">
        <v>0</v>
      </c>
      <c r="AC213">
        <v>8</v>
      </c>
      <c r="AD213">
        <v>227</v>
      </c>
      <c r="AE213">
        <v>350</v>
      </c>
      <c r="AF213">
        <v>57</v>
      </c>
      <c r="AG213">
        <v>38</v>
      </c>
      <c r="AH213">
        <v>30</v>
      </c>
      <c r="AI213">
        <v>60</v>
      </c>
      <c r="AJ213">
        <v>13701</v>
      </c>
      <c r="AK213">
        <v>1252</v>
      </c>
      <c r="AL213">
        <v>175</v>
      </c>
      <c r="AM213">
        <v>2519</v>
      </c>
      <c r="AN213">
        <v>105</v>
      </c>
      <c r="AO213">
        <v>2</v>
      </c>
      <c r="AP213">
        <v>0</v>
      </c>
      <c r="AQ213">
        <v>0</v>
      </c>
      <c r="AR213">
        <v>0</v>
      </c>
      <c r="AS213">
        <v>0</v>
      </c>
      <c r="AT213">
        <v>6156</v>
      </c>
      <c r="AU213">
        <v>6156</v>
      </c>
      <c r="AV213">
        <v>0</v>
      </c>
      <c r="AW213">
        <v>12312</v>
      </c>
      <c r="AX213">
        <v>2924</v>
      </c>
      <c r="AY213">
        <v>0</v>
      </c>
      <c r="AZ213">
        <v>0</v>
      </c>
      <c r="BA213">
        <v>2924</v>
      </c>
      <c r="BB213">
        <v>0</v>
      </c>
      <c r="BC213">
        <v>0</v>
      </c>
      <c r="BD213">
        <v>0</v>
      </c>
      <c r="BE213">
        <v>154</v>
      </c>
      <c r="BF213">
        <v>154</v>
      </c>
      <c r="BG213">
        <f t="shared" si="30"/>
        <v>114.49275362318841</v>
      </c>
      <c r="BH213">
        <v>146</v>
      </c>
      <c r="BI213">
        <v>220</v>
      </c>
      <c r="BJ213">
        <v>184</v>
      </c>
      <c r="BK213">
        <v>43</v>
      </c>
      <c r="BL213">
        <v>36</v>
      </c>
      <c r="BM213">
        <v>110</v>
      </c>
      <c r="BN213">
        <v>74</v>
      </c>
      <c r="BO213">
        <v>128</v>
      </c>
      <c r="BP213">
        <v>36</v>
      </c>
      <c r="BQ213">
        <v>146</v>
      </c>
      <c r="BR213">
        <v>146</v>
      </c>
      <c r="BS213">
        <v>55</v>
      </c>
      <c r="BT213">
        <v>1324</v>
      </c>
      <c r="BU213">
        <v>184</v>
      </c>
      <c r="BV213">
        <v>367</v>
      </c>
      <c r="BW213">
        <v>550</v>
      </c>
      <c r="BX213">
        <v>103</v>
      </c>
      <c r="BY213">
        <v>146</v>
      </c>
      <c r="BZ213">
        <v>110</v>
      </c>
      <c r="CA213">
        <v>1460</v>
      </c>
      <c r="CB213">
        <v>60</v>
      </c>
      <c r="CC213">
        <v>20</v>
      </c>
      <c r="CD213">
        <v>567</v>
      </c>
      <c r="CE213">
        <v>493</v>
      </c>
      <c r="CF213">
        <v>0.87</v>
      </c>
      <c r="CG213">
        <v>0</v>
      </c>
      <c r="CH213">
        <v>0</v>
      </c>
      <c r="CI213">
        <v>35</v>
      </c>
      <c r="CJ213">
        <v>33</v>
      </c>
      <c r="CK213">
        <v>135</v>
      </c>
      <c r="CL213">
        <v>85</v>
      </c>
      <c r="CM213">
        <v>0</v>
      </c>
      <c r="CN213">
        <v>596</v>
      </c>
      <c r="CO213">
        <v>0</v>
      </c>
      <c r="CP213">
        <v>124</v>
      </c>
      <c r="CQ213">
        <v>0</v>
      </c>
      <c r="CR213">
        <v>0</v>
      </c>
      <c r="CS213">
        <v>0</v>
      </c>
      <c r="CT213">
        <v>1008</v>
      </c>
      <c r="CU213">
        <v>0</v>
      </c>
      <c r="CV213">
        <v>0</v>
      </c>
      <c r="CW213">
        <v>41</v>
      </c>
      <c r="CX213">
        <v>0</v>
      </c>
      <c r="CY213">
        <v>426</v>
      </c>
      <c r="CZ213">
        <v>0</v>
      </c>
      <c r="DA213">
        <v>0</v>
      </c>
      <c r="DB213">
        <v>0</v>
      </c>
      <c r="DC213">
        <v>467</v>
      </c>
      <c r="DD213">
        <v>0</v>
      </c>
      <c r="DE213">
        <v>0</v>
      </c>
      <c r="DF213">
        <v>493</v>
      </c>
      <c r="DG213">
        <v>567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1060</v>
      </c>
      <c r="DT213">
        <v>2467</v>
      </c>
      <c r="DU213">
        <v>729</v>
      </c>
      <c r="DV213">
        <v>0</v>
      </c>
      <c r="DW213">
        <v>0</v>
      </c>
      <c r="DX213">
        <v>68</v>
      </c>
      <c r="DY213">
        <v>1142</v>
      </c>
      <c r="DZ213">
        <v>1523</v>
      </c>
      <c r="EA213">
        <v>2055</v>
      </c>
      <c r="EB213">
        <v>2664</v>
      </c>
      <c r="EC213">
        <v>228</v>
      </c>
      <c r="ED213">
        <v>2283</v>
      </c>
      <c r="EE213">
        <v>5329</v>
      </c>
      <c r="EF213">
        <v>0</v>
      </c>
      <c r="EG213">
        <v>0.11</v>
      </c>
      <c r="EH213">
        <v>1.6</v>
      </c>
      <c r="EI213">
        <v>5.3</v>
      </c>
      <c r="EJ213">
        <v>3.3</v>
      </c>
      <c r="EK213">
        <v>3</v>
      </c>
    </row>
    <row r="214" spans="1:141" x14ac:dyDescent="0.25">
      <c r="A214" t="str">
        <f>[1]ingredient!B213</f>
        <v>Kräuterseitlinge</v>
      </c>
      <c r="B214" t="s">
        <v>313</v>
      </c>
      <c r="C214" s="7">
        <f>_xlfn.XLOOKUP(A214,[1]ingredient!$B$2:$B$521,[1]ingredient!$A$2:$A$521)</f>
        <v>212</v>
      </c>
      <c r="D214">
        <v>33</v>
      </c>
      <c r="E214">
        <v>0.4</v>
      </c>
      <c r="F214">
        <v>3</v>
      </c>
      <c r="G214">
        <v>4</v>
      </c>
      <c r="H214">
        <v>2</v>
      </c>
      <c r="I214">
        <v>1</v>
      </c>
      <c r="J214">
        <v>0.09</v>
      </c>
      <c r="K214">
        <v>89</v>
      </c>
      <c r="L214">
        <v>0</v>
      </c>
      <c r="M214">
        <v>0</v>
      </c>
      <c r="N214">
        <v>0</v>
      </c>
      <c r="O214">
        <v>0</v>
      </c>
      <c r="P214">
        <v>100</v>
      </c>
      <c r="Q214">
        <v>300</v>
      </c>
      <c r="R214">
        <v>5000</v>
      </c>
      <c r="S214">
        <v>5500</v>
      </c>
      <c r="T214">
        <v>0</v>
      </c>
      <c r="U214">
        <v>100</v>
      </c>
      <c r="V214">
        <v>16</v>
      </c>
      <c r="W214">
        <v>38</v>
      </c>
      <c r="X214">
        <v>0.1</v>
      </c>
      <c r="Y214">
        <v>600</v>
      </c>
      <c r="Z214">
        <v>1</v>
      </c>
      <c r="AA214">
        <v>0</v>
      </c>
      <c r="AB214">
        <v>0</v>
      </c>
      <c r="AC214">
        <v>18</v>
      </c>
      <c r="AD214">
        <v>420</v>
      </c>
      <c r="AE214">
        <v>3</v>
      </c>
      <c r="AF214">
        <v>18</v>
      </c>
      <c r="AG214">
        <v>120</v>
      </c>
      <c r="AH214">
        <v>34</v>
      </c>
      <c r="AI214">
        <v>67</v>
      </c>
      <c r="AJ214">
        <v>1300</v>
      </c>
      <c r="AK214">
        <v>800</v>
      </c>
      <c r="AL214">
        <v>200</v>
      </c>
      <c r="AM214">
        <v>100</v>
      </c>
      <c r="AN214">
        <v>0</v>
      </c>
      <c r="AO214">
        <v>3</v>
      </c>
      <c r="AP214">
        <v>2680</v>
      </c>
      <c r="AQ214">
        <v>0</v>
      </c>
      <c r="AR214">
        <v>0</v>
      </c>
      <c r="AS214">
        <v>2680</v>
      </c>
      <c r="AT214">
        <v>1110</v>
      </c>
      <c r="AU214">
        <v>0</v>
      </c>
      <c r="AV214">
        <v>0</v>
      </c>
      <c r="AW214">
        <v>1110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f t="shared" si="30"/>
        <v>108.19672131147541</v>
      </c>
      <c r="BH214">
        <v>128</v>
      </c>
      <c r="BI214">
        <v>198</v>
      </c>
      <c r="BJ214">
        <v>174</v>
      </c>
      <c r="BK214">
        <v>58</v>
      </c>
      <c r="BL214">
        <v>217</v>
      </c>
      <c r="BM214">
        <v>116</v>
      </c>
      <c r="BN214">
        <v>245</v>
      </c>
      <c r="BO214">
        <v>140</v>
      </c>
      <c r="BP214">
        <v>35</v>
      </c>
      <c r="BQ214">
        <v>163</v>
      </c>
      <c r="BR214">
        <v>272</v>
      </c>
      <c r="BS214">
        <v>58</v>
      </c>
      <c r="BT214">
        <v>1804</v>
      </c>
      <c r="BU214">
        <v>272</v>
      </c>
      <c r="BV214">
        <v>250</v>
      </c>
      <c r="BW214">
        <v>375</v>
      </c>
      <c r="BX214">
        <v>146</v>
      </c>
      <c r="BY214">
        <v>299</v>
      </c>
      <c r="BZ214">
        <v>164</v>
      </c>
      <c r="CA214">
        <v>1506</v>
      </c>
      <c r="CB214">
        <v>50</v>
      </c>
      <c r="CC214">
        <v>17</v>
      </c>
      <c r="CD214">
        <v>0</v>
      </c>
      <c r="CE214">
        <v>100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62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100</v>
      </c>
      <c r="CU214">
        <v>0</v>
      </c>
      <c r="CV214">
        <v>0</v>
      </c>
      <c r="CW214">
        <v>0</v>
      </c>
      <c r="CX214">
        <v>0</v>
      </c>
      <c r="CY214">
        <v>31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100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100</v>
      </c>
      <c r="DT214">
        <v>216</v>
      </c>
      <c r="DU214">
        <v>194</v>
      </c>
      <c r="DV214">
        <v>0</v>
      </c>
      <c r="DW214">
        <v>0</v>
      </c>
      <c r="DX214">
        <v>0</v>
      </c>
      <c r="DY214">
        <v>0</v>
      </c>
      <c r="DZ214">
        <v>943</v>
      </c>
      <c r="EA214">
        <v>23</v>
      </c>
      <c r="EB214">
        <v>1311</v>
      </c>
      <c r="EC214">
        <v>23</v>
      </c>
      <c r="ED214">
        <v>437</v>
      </c>
      <c r="EE214">
        <v>1863</v>
      </c>
      <c r="EF214">
        <v>0</v>
      </c>
      <c r="EG214">
        <v>200</v>
      </c>
      <c r="EH214">
        <v>0.7</v>
      </c>
      <c r="EI214">
        <v>1.9</v>
      </c>
      <c r="EJ214">
        <v>0.4</v>
      </c>
      <c r="EK214">
        <v>3.5</v>
      </c>
    </row>
    <row r="215" spans="1:141" x14ac:dyDescent="0.25">
      <c r="A215" t="str">
        <f>[1]ingredient!B214</f>
        <v>Kresse-Sprossen</v>
      </c>
      <c r="B215" t="s">
        <v>314</v>
      </c>
      <c r="C215" s="7">
        <f>_xlfn.XLOOKUP(A215,[1]ingredient!$B$2:$B$521,[1]ingredient!$A$2:$A$521)</f>
        <v>213</v>
      </c>
      <c r="D215">
        <v>35</v>
      </c>
      <c r="E215">
        <v>1</v>
      </c>
      <c r="F215">
        <v>4</v>
      </c>
      <c r="G215">
        <v>2</v>
      </c>
      <c r="H215">
        <v>4</v>
      </c>
      <c r="I215">
        <v>2</v>
      </c>
      <c r="J215">
        <v>0.11</v>
      </c>
      <c r="K215">
        <v>87</v>
      </c>
      <c r="L215">
        <v>365</v>
      </c>
      <c r="M215">
        <v>183</v>
      </c>
      <c r="N215">
        <v>0</v>
      </c>
      <c r="O215">
        <v>2190</v>
      </c>
      <c r="P215">
        <v>150</v>
      </c>
      <c r="Q215">
        <v>190</v>
      </c>
      <c r="R215">
        <v>1750</v>
      </c>
      <c r="S215">
        <v>2667</v>
      </c>
      <c r="T215">
        <v>180</v>
      </c>
      <c r="U215">
        <v>300</v>
      </c>
      <c r="V215">
        <v>1</v>
      </c>
      <c r="W215">
        <v>110</v>
      </c>
      <c r="X215">
        <v>0</v>
      </c>
      <c r="Y215">
        <v>59000</v>
      </c>
      <c r="Z215">
        <v>0</v>
      </c>
      <c r="AA215">
        <v>700</v>
      </c>
      <c r="AB215">
        <v>0</v>
      </c>
      <c r="AC215">
        <v>5</v>
      </c>
      <c r="AD215">
        <v>550</v>
      </c>
      <c r="AE215">
        <v>214</v>
      </c>
      <c r="AF215">
        <v>40</v>
      </c>
      <c r="AG215">
        <v>38</v>
      </c>
      <c r="AH215">
        <v>200</v>
      </c>
      <c r="AI215">
        <v>100</v>
      </c>
      <c r="AJ215">
        <v>2900</v>
      </c>
      <c r="AK215">
        <v>150</v>
      </c>
      <c r="AL215">
        <v>130</v>
      </c>
      <c r="AM215">
        <v>350</v>
      </c>
      <c r="AN215">
        <v>24</v>
      </c>
      <c r="AO215">
        <v>2</v>
      </c>
      <c r="AP215">
        <v>0</v>
      </c>
      <c r="AQ215">
        <v>0</v>
      </c>
      <c r="AR215">
        <v>0</v>
      </c>
      <c r="AS215">
        <v>0</v>
      </c>
      <c r="AT215">
        <v>1488</v>
      </c>
      <c r="AU215">
        <v>620</v>
      </c>
      <c r="AV215">
        <v>0</v>
      </c>
      <c r="AW215">
        <v>2108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372</v>
      </c>
      <c r="BF215">
        <v>372</v>
      </c>
      <c r="BG215">
        <f t="shared" si="30"/>
        <v>90.217391304347828</v>
      </c>
      <c r="BH215">
        <v>221</v>
      </c>
      <c r="BI215">
        <v>314</v>
      </c>
      <c r="BJ215">
        <v>321</v>
      </c>
      <c r="BK215">
        <v>78</v>
      </c>
      <c r="BL215">
        <v>5</v>
      </c>
      <c r="BM215">
        <v>226</v>
      </c>
      <c r="BN215">
        <v>149</v>
      </c>
      <c r="BO215">
        <v>210</v>
      </c>
      <c r="BP215">
        <v>55</v>
      </c>
      <c r="BQ215">
        <v>281</v>
      </c>
      <c r="BR215">
        <v>266</v>
      </c>
      <c r="BS215">
        <v>110</v>
      </c>
      <c r="BT215">
        <v>2236</v>
      </c>
      <c r="BU215">
        <v>243</v>
      </c>
      <c r="BV215">
        <v>487</v>
      </c>
      <c r="BW215">
        <v>570</v>
      </c>
      <c r="BX215">
        <v>226</v>
      </c>
      <c r="BY215">
        <v>226</v>
      </c>
      <c r="BZ215">
        <v>211</v>
      </c>
      <c r="CA215">
        <v>1963</v>
      </c>
      <c r="CB215">
        <v>28</v>
      </c>
      <c r="CC215">
        <v>12</v>
      </c>
      <c r="CD215">
        <v>321</v>
      </c>
      <c r="CE215">
        <v>106</v>
      </c>
      <c r="CF215">
        <v>0.33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96</v>
      </c>
      <c r="CO215">
        <v>0</v>
      </c>
      <c r="CP215">
        <v>7</v>
      </c>
      <c r="CQ215">
        <v>0</v>
      </c>
      <c r="CR215">
        <v>0</v>
      </c>
      <c r="CS215">
        <v>0</v>
      </c>
      <c r="CT215">
        <v>103</v>
      </c>
      <c r="CU215">
        <v>0</v>
      </c>
      <c r="CV215">
        <v>0</v>
      </c>
      <c r="CW215">
        <v>11</v>
      </c>
      <c r="CX215">
        <v>0</v>
      </c>
      <c r="CY215">
        <v>4</v>
      </c>
      <c r="CZ215">
        <v>0</v>
      </c>
      <c r="DA215">
        <v>0</v>
      </c>
      <c r="DB215">
        <v>0</v>
      </c>
      <c r="DC215">
        <v>15</v>
      </c>
      <c r="DD215">
        <v>0</v>
      </c>
      <c r="DE215">
        <v>0</v>
      </c>
      <c r="DF215">
        <v>106</v>
      </c>
      <c r="DG215">
        <v>321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427</v>
      </c>
      <c r="DT215">
        <v>545</v>
      </c>
      <c r="DU215">
        <v>155</v>
      </c>
      <c r="DV215">
        <v>0</v>
      </c>
      <c r="DW215">
        <v>0</v>
      </c>
      <c r="DX215">
        <v>0</v>
      </c>
      <c r="DY215">
        <v>458</v>
      </c>
      <c r="DZ215">
        <v>493</v>
      </c>
      <c r="EA215">
        <v>845</v>
      </c>
      <c r="EB215">
        <v>1584</v>
      </c>
      <c r="EC215">
        <v>141</v>
      </c>
      <c r="ED215">
        <v>1480</v>
      </c>
      <c r="EE215">
        <v>2040</v>
      </c>
      <c r="EF215">
        <v>0</v>
      </c>
      <c r="EG215">
        <v>0.4</v>
      </c>
      <c r="EH215">
        <v>1.9</v>
      </c>
      <c r="EI215">
        <v>2</v>
      </c>
      <c r="EJ215">
        <v>0.7</v>
      </c>
      <c r="EK215">
        <v>4.3</v>
      </c>
    </row>
    <row r="216" spans="1:141" x14ac:dyDescent="0.25">
      <c r="A216" t="str">
        <f>[1]ingredient!B215</f>
        <v>Kreuzkümmel</v>
      </c>
      <c r="B216" t="s">
        <v>315</v>
      </c>
      <c r="C216" s="7">
        <f>_xlfn.XLOOKUP(A216,[1]ingredient!$B$2:$B$521,[1]ingredient!$A$2:$A$521)</f>
        <v>214</v>
      </c>
      <c r="D216">
        <v>408</v>
      </c>
      <c r="E216">
        <v>22</v>
      </c>
      <c r="F216">
        <v>18</v>
      </c>
      <c r="G216">
        <v>34</v>
      </c>
      <c r="H216">
        <v>11</v>
      </c>
      <c r="I216">
        <v>7</v>
      </c>
      <c r="J216">
        <v>0.21</v>
      </c>
      <c r="K216">
        <v>8</v>
      </c>
      <c r="L216">
        <v>127</v>
      </c>
      <c r="M216">
        <v>63</v>
      </c>
      <c r="N216">
        <v>0</v>
      </c>
      <c r="O216">
        <v>760</v>
      </c>
      <c r="P216">
        <v>590</v>
      </c>
      <c r="Q216">
        <v>350</v>
      </c>
      <c r="R216">
        <v>3600</v>
      </c>
      <c r="S216">
        <v>8050</v>
      </c>
      <c r="T216">
        <v>500</v>
      </c>
      <c r="U216">
        <v>200</v>
      </c>
      <c r="V216">
        <v>10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150</v>
      </c>
      <c r="AD216">
        <v>1380</v>
      </c>
      <c r="AE216">
        <v>970</v>
      </c>
      <c r="AF216">
        <v>370</v>
      </c>
      <c r="AG216">
        <v>510</v>
      </c>
      <c r="AH216">
        <v>100</v>
      </c>
      <c r="AI216">
        <v>60</v>
      </c>
      <c r="AJ216">
        <v>69000</v>
      </c>
      <c r="AK216">
        <v>4200</v>
      </c>
      <c r="AL216">
        <v>1290</v>
      </c>
      <c r="AM216">
        <v>3000</v>
      </c>
      <c r="AN216">
        <v>50</v>
      </c>
      <c r="AO216">
        <v>5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6800</v>
      </c>
      <c r="AY216">
        <v>0</v>
      </c>
      <c r="AZ216">
        <v>0</v>
      </c>
      <c r="BA216">
        <v>6800</v>
      </c>
      <c r="BB216">
        <v>0</v>
      </c>
      <c r="BC216">
        <v>0</v>
      </c>
      <c r="BD216">
        <v>0</v>
      </c>
      <c r="BE216">
        <v>27200</v>
      </c>
      <c r="BF216">
        <v>27200</v>
      </c>
      <c r="BG216">
        <f t="shared" si="30"/>
        <v>76.273148148148152</v>
      </c>
      <c r="BH216">
        <v>819</v>
      </c>
      <c r="BI216">
        <v>1210</v>
      </c>
      <c r="BJ216">
        <v>659</v>
      </c>
      <c r="BK216">
        <v>374</v>
      </c>
      <c r="BL216">
        <v>338</v>
      </c>
      <c r="BM216">
        <v>801</v>
      </c>
      <c r="BN216">
        <v>587</v>
      </c>
      <c r="BO216">
        <v>641</v>
      </c>
      <c r="BP216">
        <v>267</v>
      </c>
      <c r="BQ216">
        <v>961</v>
      </c>
      <c r="BR216">
        <v>1778</v>
      </c>
      <c r="BS216">
        <v>481</v>
      </c>
      <c r="BT216">
        <v>8916</v>
      </c>
      <c r="BU216">
        <v>837</v>
      </c>
      <c r="BV216">
        <v>1727</v>
      </c>
      <c r="BW216">
        <v>3738</v>
      </c>
      <c r="BX216">
        <v>926</v>
      </c>
      <c r="BY216">
        <v>748</v>
      </c>
      <c r="BZ216">
        <v>819</v>
      </c>
      <c r="CA216">
        <v>8795</v>
      </c>
      <c r="CB216">
        <v>149</v>
      </c>
      <c r="CC216">
        <v>62</v>
      </c>
      <c r="CD216">
        <v>218</v>
      </c>
      <c r="CE216">
        <v>4752</v>
      </c>
      <c r="CF216">
        <v>21.8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67</v>
      </c>
      <c r="CM216">
        <v>0</v>
      </c>
      <c r="CN216">
        <v>705</v>
      </c>
      <c r="CO216">
        <v>0</v>
      </c>
      <c r="CP216">
        <v>168</v>
      </c>
      <c r="CQ216">
        <v>0</v>
      </c>
      <c r="CR216">
        <v>0</v>
      </c>
      <c r="CS216">
        <v>0</v>
      </c>
      <c r="CT216">
        <v>940</v>
      </c>
      <c r="CU216">
        <v>0</v>
      </c>
      <c r="CV216">
        <v>0</v>
      </c>
      <c r="CW216">
        <v>134</v>
      </c>
      <c r="CX216">
        <v>0</v>
      </c>
      <c r="CY216">
        <v>10748</v>
      </c>
      <c r="CZ216">
        <v>0</v>
      </c>
      <c r="DA216">
        <v>0</v>
      </c>
      <c r="DB216">
        <v>0</v>
      </c>
      <c r="DC216">
        <v>10882</v>
      </c>
      <c r="DD216">
        <v>0</v>
      </c>
      <c r="DE216">
        <v>0</v>
      </c>
      <c r="DF216">
        <v>4752</v>
      </c>
      <c r="DG216">
        <v>218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4970</v>
      </c>
      <c r="DT216">
        <v>16792</v>
      </c>
      <c r="DU216">
        <v>5478</v>
      </c>
      <c r="DV216">
        <v>0</v>
      </c>
      <c r="DW216">
        <v>0</v>
      </c>
      <c r="DX216">
        <v>0</v>
      </c>
      <c r="DY216">
        <v>1575</v>
      </c>
      <c r="DZ216">
        <v>6930</v>
      </c>
      <c r="EA216">
        <v>210</v>
      </c>
      <c r="EB216">
        <v>1575</v>
      </c>
      <c r="EC216">
        <v>210</v>
      </c>
      <c r="ED216">
        <v>4200</v>
      </c>
      <c r="EE216">
        <v>6300</v>
      </c>
      <c r="EF216">
        <v>0</v>
      </c>
      <c r="EG216">
        <v>0.3</v>
      </c>
      <c r="EH216">
        <v>7.6</v>
      </c>
      <c r="EI216">
        <v>6.3</v>
      </c>
      <c r="EJ216">
        <v>22.3</v>
      </c>
      <c r="EK216">
        <v>18.2</v>
      </c>
    </row>
    <row r="217" spans="1:141" x14ac:dyDescent="0.25">
      <c r="A217" t="str">
        <f>[1]ingredient!B216</f>
        <v>Kreuzkümmel, gemahlen</v>
      </c>
      <c r="B217" t="s">
        <v>315</v>
      </c>
      <c r="C217" s="7">
        <f>_xlfn.XLOOKUP(A217,[1]ingredient!$B$2:$B$521,[1]ingredient!$A$2:$A$521)</f>
        <v>215</v>
      </c>
      <c r="D217">
        <v>408</v>
      </c>
      <c r="E217">
        <v>22</v>
      </c>
      <c r="F217">
        <v>18</v>
      </c>
      <c r="G217">
        <v>34</v>
      </c>
      <c r="H217">
        <v>11</v>
      </c>
      <c r="I217">
        <v>7</v>
      </c>
      <c r="J217">
        <v>0.21</v>
      </c>
      <c r="K217">
        <v>8</v>
      </c>
      <c r="L217">
        <v>127</v>
      </c>
      <c r="M217">
        <v>63</v>
      </c>
      <c r="N217">
        <v>0</v>
      </c>
      <c r="O217">
        <v>760</v>
      </c>
      <c r="P217">
        <v>590</v>
      </c>
      <c r="Q217">
        <v>350</v>
      </c>
      <c r="R217">
        <v>3600</v>
      </c>
      <c r="S217">
        <v>8050</v>
      </c>
      <c r="T217">
        <v>500</v>
      </c>
      <c r="U217">
        <v>200</v>
      </c>
      <c r="V217">
        <v>10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150</v>
      </c>
      <c r="AD217">
        <v>1380</v>
      </c>
      <c r="AE217">
        <v>970</v>
      </c>
      <c r="AF217">
        <v>370</v>
      </c>
      <c r="AG217">
        <v>510</v>
      </c>
      <c r="AH217">
        <v>100</v>
      </c>
      <c r="AI217">
        <v>60</v>
      </c>
      <c r="AJ217">
        <v>69000</v>
      </c>
      <c r="AK217">
        <v>4200</v>
      </c>
      <c r="AL217">
        <v>1290</v>
      </c>
      <c r="AM217">
        <v>3000</v>
      </c>
      <c r="AN217">
        <v>50</v>
      </c>
      <c r="AO217">
        <v>5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6800</v>
      </c>
      <c r="AY217">
        <v>0</v>
      </c>
      <c r="AZ217">
        <v>0</v>
      </c>
      <c r="BA217">
        <v>6800</v>
      </c>
      <c r="BB217">
        <v>0</v>
      </c>
      <c r="BC217">
        <v>0</v>
      </c>
      <c r="BD217">
        <v>0</v>
      </c>
      <c r="BE217">
        <v>27200</v>
      </c>
      <c r="BF217">
        <v>27200</v>
      </c>
      <c r="BG217">
        <f t="shared" si="30"/>
        <v>76.273148148148152</v>
      </c>
      <c r="BH217">
        <v>819</v>
      </c>
      <c r="BI217">
        <v>1210</v>
      </c>
      <c r="BJ217">
        <v>659</v>
      </c>
      <c r="BK217">
        <v>374</v>
      </c>
      <c r="BL217">
        <v>338</v>
      </c>
      <c r="BM217">
        <v>801</v>
      </c>
      <c r="BN217">
        <v>587</v>
      </c>
      <c r="BO217">
        <v>641</v>
      </c>
      <c r="BP217">
        <v>267</v>
      </c>
      <c r="BQ217">
        <v>961</v>
      </c>
      <c r="BR217">
        <v>1778</v>
      </c>
      <c r="BS217">
        <v>481</v>
      </c>
      <c r="BT217">
        <v>8916</v>
      </c>
      <c r="BU217">
        <v>837</v>
      </c>
      <c r="BV217">
        <v>1727</v>
      </c>
      <c r="BW217">
        <v>3738</v>
      </c>
      <c r="BX217">
        <v>926</v>
      </c>
      <c r="BY217">
        <v>748</v>
      </c>
      <c r="BZ217">
        <v>819</v>
      </c>
      <c r="CA217">
        <v>8795</v>
      </c>
      <c r="CB217">
        <v>149</v>
      </c>
      <c r="CC217">
        <v>62</v>
      </c>
      <c r="CD217">
        <v>218</v>
      </c>
      <c r="CE217">
        <v>4752</v>
      </c>
      <c r="CF217">
        <v>21.8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67</v>
      </c>
      <c r="CM217">
        <v>0</v>
      </c>
      <c r="CN217">
        <v>705</v>
      </c>
      <c r="CO217">
        <v>0</v>
      </c>
      <c r="CP217">
        <v>168</v>
      </c>
      <c r="CQ217">
        <v>0</v>
      </c>
      <c r="CR217">
        <v>0</v>
      </c>
      <c r="CS217">
        <v>0</v>
      </c>
      <c r="CT217">
        <v>940</v>
      </c>
      <c r="CU217">
        <v>0</v>
      </c>
      <c r="CV217">
        <v>0</v>
      </c>
      <c r="CW217">
        <v>134</v>
      </c>
      <c r="CX217">
        <v>0</v>
      </c>
      <c r="CY217">
        <v>10748</v>
      </c>
      <c r="CZ217">
        <v>0</v>
      </c>
      <c r="DA217">
        <v>0</v>
      </c>
      <c r="DB217">
        <v>0</v>
      </c>
      <c r="DC217">
        <v>10882</v>
      </c>
      <c r="DD217">
        <v>0</v>
      </c>
      <c r="DE217">
        <v>0</v>
      </c>
      <c r="DF217">
        <v>4752</v>
      </c>
      <c r="DG217">
        <v>218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4970</v>
      </c>
      <c r="DT217">
        <v>16792</v>
      </c>
      <c r="DU217">
        <v>5478</v>
      </c>
      <c r="DV217">
        <v>0</v>
      </c>
      <c r="DW217">
        <v>0</v>
      </c>
      <c r="DX217">
        <v>0</v>
      </c>
      <c r="DY217">
        <v>1575</v>
      </c>
      <c r="DZ217">
        <v>6930</v>
      </c>
      <c r="EA217">
        <v>210</v>
      </c>
      <c r="EB217">
        <v>1575</v>
      </c>
      <c r="EC217">
        <v>210</v>
      </c>
      <c r="ED217">
        <v>4200</v>
      </c>
      <c r="EE217">
        <v>6300</v>
      </c>
      <c r="EF217">
        <v>0</v>
      </c>
      <c r="EG217">
        <v>0.3</v>
      </c>
      <c r="EH217">
        <v>7.6</v>
      </c>
      <c r="EI217">
        <v>6.3</v>
      </c>
      <c r="EJ217">
        <v>22.3</v>
      </c>
      <c r="EK217">
        <v>18.2</v>
      </c>
    </row>
    <row r="218" spans="1:141" x14ac:dyDescent="0.25">
      <c r="A218" t="str">
        <f>[1]ingredient!B217</f>
        <v>Kümmel</v>
      </c>
      <c r="B218" t="s">
        <v>316</v>
      </c>
      <c r="C218" s="7">
        <f>_xlfn.XLOOKUP(A218,[1]ingredient!$B$2:$B$521,[1]ingredient!$A$2:$A$521)</f>
        <v>216</v>
      </c>
      <c r="D218">
        <v>362</v>
      </c>
      <c r="E218">
        <v>15</v>
      </c>
      <c r="F218">
        <v>20</v>
      </c>
      <c r="G218">
        <v>37</v>
      </c>
      <c r="H218">
        <v>13</v>
      </c>
      <c r="I218">
        <v>7</v>
      </c>
      <c r="J218">
        <v>0.08</v>
      </c>
      <c r="K218">
        <v>9</v>
      </c>
      <c r="L218">
        <v>36</v>
      </c>
      <c r="M218">
        <v>18</v>
      </c>
      <c r="N218">
        <v>0</v>
      </c>
      <c r="O218">
        <v>215</v>
      </c>
      <c r="P218">
        <v>380</v>
      </c>
      <c r="Q218">
        <v>380</v>
      </c>
      <c r="R218">
        <v>3600</v>
      </c>
      <c r="S218">
        <v>8550</v>
      </c>
      <c r="T218">
        <v>500</v>
      </c>
      <c r="U218">
        <v>200</v>
      </c>
      <c r="V218">
        <v>10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17</v>
      </c>
      <c r="AD218">
        <v>1350</v>
      </c>
      <c r="AE218">
        <v>950</v>
      </c>
      <c r="AF218">
        <v>260</v>
      </c>
      <c r="AG218">
        <v>510</v>
      </c>
      <c r="AH218">
        <v>100</v>
      </c>
      <c r="AI218">
        <v>60</v>
      </c>
      <c r="AJ218">
        <v>16230</v>
      </c>
      <c r="AK218">
        <v>5200</v>
      </c>
      <c r="AL218">
        <v>1060</v>
      </c>
      <c r="AM218">
        <v>2500</v>
      </c>
      <c r="AN218">
        <v>50</v>
      </c>
      <c r="AO218">
        <v>5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7460</v>
      </c>
      <c r="AY218">
        <v>0</v>
      </c>
      <c r="AZ218">
        <v>0</v>
      </c>
      <c r="BA218">
        <v>7460</v>
      </c>
      <c r="BB218">
        <v>0</v>
      </c>
      <c r="BC218">
        <v>0</v>
      </c>
      <c r="BD218">
        <v>0</v>
      </c>
      <c r="BE218">
        <v>29840</v>
      </c>
      <c r="BF218">
        <v>29840</v>
      </c>
      <c r="BG218">
        <f t="shared" si="30"/>
        <v>76.354166666666671</v>
      </c>
      <c r="BH218">
        <v>911</v>
      </c>
      <c r="BI218">
        <v>1346</v>
      </c>
      <c r="BJ218">
        <v>733</v>
      </c>
      <c r="BK218">
        <v>416</v>
      </c>
      <c r="BL218">
        <v>376</v>
      </c>
      <c r="BM218">
        <v>891</v>
      </c>
      <c r="BN218">
        <v>653</v>
      </c>
      <c r="BO218">
        <v>713</v>
      </c>
      <c r="BP218">
        <v>297</v>
      </c>
      <c r="BQ218">
        <v>1069</v>
      </c>
      <c r="BR218">
        <v>1978</v>
      </c>
      <c r="BS218">
        <v>535</v>
      </c>
      <c r="BT218">
        <v>9918</v>
      </c>
      <c r="BU218">
        <v>931</v>
      </c>
      <c r="BV218">
        <v>1921</v>
      </c>
      <c r="BW218">
        <v>4158</v>
      </c>
      <c r="BX218">
        <v>1030</v>
      </c>
      <c r="BY218">
        <v>832</v>
      </c>
      <c r="BZ218">
        <v>911</v>
      </c>
      <c r="CA218">
        <v>9783</v>
      </c>
      <c r="CB218">
        <v>150</v>
      </c>
      <c r="CC218">
        <v>63</v>
      </c>
      <c r="CD218">
        <v>143</v>
      </c>
      <c r="CE218">
        <v>3115</v>
      </c>
      <c r="CF218">
        <v>21.78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44</v>
      </c>
      <c r="CM218">
        <v>0</v>
      </c>
      <c r="CN218">
        <v>462</v>
      </c>
      <c r="CO218">
        <v>0</v>
      </c>
      <c r="CP218">
        <v>110</v>
      </c>
      <c r="CQ218">
        <v>0</v>
      </c>
      <c r="CR218">
        <v>0</v>
      </c>
      <c r="CS218">
        <v>0</v>
      </c>
      <c r="CT218">
        <v>616</v>
      </c>
      <c r="CU218">
        <v>0</v>
      </c>
      <c r="CV218">
        <v>0</v>
      </c>
      <c r="CW218">
        <v>88</v>
      </c>
      <c r="CX218">
        <v>0</v>
      </c>
      <c r="CY218">
        <v>7046</v>
      </c>
      <c r="CZ218">
        <v>0</v>
      </c>
      <c r="DA218">
        <v>0</v>
      </c>
      <c r="DB218">
        <v>0</v>
      </c>
      <c r="DC218">
        <v>7134</v>
      </c>
      <c r="DD218">
        <v>0</v>
      </c>
      <c r="DE218">
        <v>0</v>
      </c>
      <c r="DF218">
        <v>3115</v>
      </c>
      <c r="DG218">
        <v>143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3258</v>
      </c>
      <c r="DT218">
        <v>11008</v>
      </c>
      <c r="DU218">
        <v>3592</v>
      </c>
      <c r="DV218">
        <v>0</v>
      </c>
      <c r="DW218">
        <v>0</v>
      </c>
      <c r="DX218">
        <v>0</v>
      </c>
      <c r="DY218">
        <v>1905</v>
      </c>
      <c r="DZ218">
        <v>8382</v>
      </c>
      <c r="EA218">
        <v>254</v>
      </c>
      <c r="EB218">
        <v>1905</v>
      </c>
      <c r="EC218">
        <v>254</v>
      </c>
      <c r="ED218">
        <v>5080</v>
      </c>
      <c r="EE218">
        <v>7620</v>
      </c>
      <c r="EF218">
        <v>0</v>
      </c>
      <c r="EG218">
        <v>0.33</v>
      </c>
      <c r="EH218">
        <v>5.9</v>
      </c>
      <c r="EI218">
        <v>7.6</v>
      </c>
      <c r="EJ218">
        <v>14.6</v>
      </c>
      <c r="EK218">
        <v>20.2</v>
      </c>
    </row>
    <row r="219" spans="1:141" x14ac:dyDescent="0.25">
      <c r="A219" t="str">
        <f>[1]ingredient!B218</f>
        <v>Kürbis, Butternut</v>
      </c>
      <c r="B219" t="s">
        <v>317</v>
      </c>
      <c r="C219" s="7">
        <f>_xlfn.XLOOKUP(A219,[1]ingredient!$B$2:$B$521,[1]ingredient!$A$2:$A$521)</f>
        <v>217</v>
      </c>
      <c r="D219">
        <v>46</v>
      </c>
      <c r="E219">
        <v>0.1</v>
      </c>
      <c r="F219">
        <v>1</v>
      </c>
      <c r="G219">
        <v>10</v>
      </c>
      <c r="H219">
        <v>2</v>
      </c>
      <c r="I219">
        <v>2</v>
      </c>
      <c r="J219">
        <v>0.08</v>
      </c>
      <c r="K219">
        <v>87</v>
      </c>
      <c r="L219">
        <v>500</v>
      </c>
      <c r="M219">
        <v>267</v>
      </c>
      <c r="N219">
        <v>0</v>
      </c>
      <c r="O219">
        <v>3200</v>
      </c>
      <c r="P219">
        <v>100</v>
      </c>
      <c r="Q219">
        <v>0</v>
      </c>
      <c r="R219">
        <v>1200</v>
      </c>
      <c r="S219">
        <v>1400</v>
      </c>
      <c r="T219">
        <v>400</v>
      </c>
      <c r="U219">
        <v>200</v>
      </c>
      <c r="V219">
        <v>0</v>
      </c>
      <c r="W219">
        <v>27</v>
      </c>
      <c r="X219">
        <v>0</v>
      </c>
      <c r="Y219">
        <v>21000</v>
      </c>
      <c r="Z219">
        <v>0</v>
      </c>
      <c r="AA219">
        <v>0</v>
      </c>
      <c r="AB219">
        <v>1</v>
      </c>
      <c r="AC219">
        <v>4</v>
      </c>
      <c r="AD219">
        <v>352</v>
      </c>
      <c r="AE219">
        <v>48</v>
      </c>
      <c r="AF219">
        <v>34</v>
      </c>
      <c r="AG219">
        <v>33</v>
      </c>
      <c r="AH219">
        <v>9</v>
      </c>
      <c r="AI219">
        <v>77</v>
      </c>
      <c r="AJ219">
        <v>700</v>
      </c>
      <c r="AK219">
        <v>200</v>
      </c>
      <c r="AL219">
        <v>100</v>
      </c>
      <c r="AM219">
        <v>200</v>
      </c>
      <c r="AN219">
        <v>0</v>
      </c>
      <c r="AO219">
        <v>1</v>
      </c>
      <c r="AP219">
        <v>690</v>
      </c>
      <c r="AQ219">
        <v>0</v>
      </c>
      <c r="AR219">
        <v>100</v>
      </c>
      <c r="AS219">
        <v>790</v>
      </c>
      <c r="AT219">
        <v>990</v>
      </c>
      <c r="AU219">
        <v>990</v>
      </c>
      <c r="AV219">
        <v>0</v>
      </c>
      <c r="AW219">
        <v>1980</v>
      </c>
      <c r="AX219">
        <v>200</v>
      </c>
      <c r="AY219">
        <v>0</v>
      </c>
      <c r="AZ219">
        <v>0</v>
      </c>
      <c r="BA219">
        <v>220</v>
      </c>
      <c r="BB219">
        <v>3700</v>
      </c>
      <c r="BC219">
        <v>0</v>
      </c>
      <c r="BD219">
        <v>0</v>
      </c>
      <c r="BE219">
        <v>3000</v>
      </c>
      <c r="BF219">
        <v>0</v>
      </c>
      <c r="BG219">
        <f t="shared" si="30"/>
        <v>40</v>
      </c>
      <c r="BH219">
        <v>39</v>
      </c>
      <c r="BI219">
        <v>57</v>
      </c>
      <c r="BJ219">
        <v>37</v>
      </c>
      <c r="BK219">
        <v>12</v>
      </c>
      <c r="BL219">
        <v>9</v>
      </c>
      <c r="BM219">
        <v>39</v>
      </c>
      <c r="BN219">
        <v>34</v>
      </c>
      <c r="BO219">
        <v>10</v>
      </c>
      <c r="BP219">
        <v>14</v>
      </c>
      <c r="BQ219">
        <v>43</v>
      </c>
      <c r="BR219">
        <v>56</v>
      </c>
      <c r="BS219">
        <v>19</v>
      </c>
      <c r="BT219">
        <v>369</v>
      </c>
      <c r="BU219">
        <v>42</v>
      </c>
      <c r="BV219">
        <v>107</v>
      </c>
      <c r="BW219">
        <v>175</v>
      </c>
      <c r="BX219">
        <v>37</v>
      </c>
      <c r="BY219">
        <v>36</v>
      </c>
      <c r="BZ219">
        <v>37</v>
      </c>
      <c r="CA219">
        <v>434</v>
      </c>
      <c r="CB219">
        <v>44</v>
      </c>
      <c r="CC219">
        <v>15</v>
      </c>
      <c r="CD219">
        <v>0</v>
      </c>
      <c r="CE219">
        <v>0</v>
      </c>
      <c r="CF219">
        <v>1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0</v>
      </c>
      <c r="CN219">
        <v>18</v>
      </c>
      <c r="CO219">
        <v>0</v>
      </c>
      <c r="CP219">
        <v>2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7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70</v>
      </c>
      <c r="DU219">
        <v>30</v>
      </c>
      <c r="DV219">
        <v>0</v>
      </c>
      <c r="DW219">
        <v>0</v>
      </c>
      <c r="DX219">
        <v>0</v>
      </c>
      <c r="DY219">
        <v>200</v>
      </c>
      <c r="DZ219">
        <v>300</v>
      </c>
      <c r="EA219">
        <v>600</v>
      </c>
      <c r="EB219">
        <v>800</v>
      </c>
      <c r="EC219">
        <v>180</v>
      </c>
      <c r="ED219">
        <v>77</v>
      </c>
      <c r="EE219">
        <v>1923</v>
      </c>
      <c r="EF219">
        <v>0</v>
      </c>
      <c r="EG219">
        <v>0</v>
      </c>
      <c r="EH219">
        <v>0.6</v>
      </c>
      <c r="EI219">
        <v>1.9</v>
      </c>
      <c r="EJ219">
        <v>0.1</v>
      </c>
      <c r="EK219">
        <v>0.9</v>
      </c>
    </row>
    <row r="220" spans="1:141" x14ac:dyDescent="0.25">
      <c r="A220" t="str">
        <f>[1]ingredient!B219</f>
        <v>Kürbis, Hokkaido</v>
      </c>
      <c r="B220" t="s">
        <v>318</v>
      </c>
      <c r="C220" s="7">
        <f>_xlfn.XLOOKUP(A220,[1]ingredient!$B$2:$B$521,[1]ingredient!$A$2:$A$521)</f>
        <v>218</v>
      </c>
      <c r="D220">
        <v>27</v>
      </c>
      <c r="E220">
        <v>0.2</v>
      </c>
      <c r="F220">
        <v>1</v>
      </c>
      <c r="G220">
        <v>5</v>
      </c>
      <c r="H220">
        <v>1</v>
      </c>
      <c r="I220">
        <v>4</v>
      </c>
      <c r="J220">
        <v>0.04</v>
      </c>
      <c r="K220">
        <v>92</v>
      </c>
      <c r="L220">
        <v>233</v>
      </c>
      <c r="M220">
        <v>117</v>
      </c>
      <c r="N220">
        <v>0</v>
      </c>
      <c r="O220">
        <v>1400</v>
      </c>
      <c r="P220">
        <v>90</v>
      </c>
      <c r="Q220">
        <v>60</v>
      </c>
      <c r="R220">
        <v>1600</v>
      </c>
      <c r="S220">
        <v>1883</v>
      </c>
      <c r="T220">
        <v>400</v>
      </c>
      <c r="U220">
        <v>150</v>
      </c>
      <c r="V220">
        <v>0.4</v>
      </c>
      <c r="W220">
        <v>17</v>
      </c>
      <c r="X220">
        <v>0</v>
      </c>
      <c r="Y220">
        <v>14000</v>
      </c>
      <c r="Z220">
        <v>0</v>
      </c>
      <c r="AA220">
        <v>100</v>
      </c>
      <c r="AB220">
        <v>5</v>
      </c>
      <c r="AC220">
        <v>7</v>
      </c>
      <c r="AD220">
        <v>351</v>
      </c>
      <c r="AE220">
        <v>27</v>
      </c>
      <c r="AF220">
        <v>23</v>
      </c>
      <c r="AG220">
        <v>43</v>
      </c>
      <c r="AH220">
        <v>10</v>
      </c>
      <c r="AI220">
        <v>30</v>
      </c>
      <c r="AJ220">
        <v>770</v>
      </c>
      <c r="AK220">
        <v>100</v>
      </c>
      <c r="AL220">
        <v>100</v>
      </c>
      <c r="AM220">
        <v>220</v>
      </c>
      <c r="AN220">
        <v>20</v>
      </c>
      <c r="AO220">
        <v>1</v>
      </c>
      <c r="AP220">
        <v>28</v>
      </c>
      <c r="AQ220">
        <v>0</v>
      </c>
      <c r="AR220">
        <v>18</v>
      </c>
      <c r="AS220">
        <v>46</v>
      </c>
      <c r="AT220">
        <v>1331</v>
      </c>
      <c r="AU220">
        <v>1561</v>
      </c>
      <c r="AV220">
        <v>0</v>
      </c>
      <c r="AW220">
        <v>2892</v>
      </c>
      <c r="AX220">
        <v>734</v>
      </c>
      <c r="AY220">
        <v>0</v>
      </c>
      <c r="AZ220">
        <v>0</v>
      </c>
      <c r="BA220">
        <v>734</v>
      </c>
      <c r="BB220">
        <v>0</v>
      </c>
      <c r="BC220">
        <v>0</v>
      </c>
      <c r="BD220">
        <v>0</v>
      </c>
      <c r="BE220">
        <v>918</v>
      </c>
      <c r="BF220">
        <v>918</v>
      </c>
      <c r="BG220">
        <f t="shared" si="30"/>
        <v>121.73913043478262</v>
      </c>
      <c r="BH220">
        <v>53</v>
      </c>
      <c r="BI220">
        <v>77</v>
      </c>
      <c r="BJ220">
        <v>71</v>
      </c>
      <c r="BK220">
        <v>17</v>
      </c>
      <c r="BL220">
        <v>11</v>
      </c>
      <c r="BM220">
        <v>45</v>
      </c>
      <c r="BN220">
        <v>36</v>
      </c>
      <c r="BO220">
        <v>35</v>
      </c>
      <c r="BP220">
        <v>17</v>
      </c>
      <c r="BQ220">
        <v>55</v>
      </c>
      <c r="BR220">
        <v>59</v>
      </c>
      <c r="BS220">
        <v>24</v>
      </c>
      <c r="BT220">
        <v>500</v>
      </c>
      <c r="BU220">
        <v>63</v>
      </c>
      <c r="BV220">
        <v>168</v>
      </c>
      <c r="BW220">
        <v>215</v>
      </c>
      <c r="BX220">
        <v>45</v>
      </c>
      <c r="BY220">
        <v>41</v>
      </c>
      <c r="BZ220">
        <v>60</v>
      </c>
      <c r="CA220">
        <v>592</v>
      </c>
      <c r="CB220">
        <v>7</v>
      </c>
      <c r="CC220">
        <v>3</v>
      </c>
      <c r="CD220">
        <v>59</v>
      </c>
      <c r="CE220">
        <v>36</v>
      </c>
      <c r="CF220">
        <v>0.61</v>
      </c>
      <c r="CG220">
        <v>0</v>
      </c>
      <c r="CH220">
        <v>0</v>
      </c>
      <c r="CI220">
        <v>0</v>
      </c>
      <c r="CJ220">
        <v>0</v>
      </c>
      <c r="CK220">
        <v>1</v>
      </c>
      <c r="CL220">
        <v>1</v>
      </c>
      <c r="CM220">
        <v>0</v>
      </c>
      <c r="CN220">
        <v>41</v>
      </c>
      <c r="CO220">
        <v>0</v>
      </c>
      <c r="CP220">
        <v>5</v>
      </c>
      <c r="CQ220">
        <v>0</v>
      </c>
      <c r="CR220">
        <v>0</v>
      </c>
      <c r="CS220">
        <v>0</v>
      </c>
      <c r="CT220">
        <v>48</v>
      </c>
      <c r="CU220">
        <v>0</v>
      </c>
      <c r="CV220">
        <v>0</v>
      </c>
      <c r="CW220">
        <v>1</v>
      </c>
      <c r="CX220">
        <v>0</v>
      </c>
      <c r="CY220">
        <v>16</v>
      </c>
      <c r="CZ220">
        <v>0</v>
      </c>
      <c r="DA220">
        <v>0</v>
      </c>
      <c r="DB220">
        <v>0</v>
      </c>
      <c r="DC220">
        <v>17</v>
      </c>
      <c r="DD220">
        <v>0</v>
      </c>
      <c r="DE220">
        <v>0</v>
      </c>
      <c r="DF220">
        <v>36</v>
      </c>
      <c r="DG220">
        <v>59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95</v>
      </c>
      <c r="DT220">
        <v>160</v>
      </c>
      <c r="DU220">
        <v>40</v>
      </c>
      <c r="DV220">
        <v>0</v>
      </c>
      <c r="DW220">
        <v>0</v>
      </c>
      <c r="DX220">
        <v>0</v>
      </c>
      <c r="DY220">
        <v>78</v>
      </c>
      <c r="DZ220">
        <v>117</v>
      </c>
      <c r="EA220">
        <v>234</v>
      </c>
      <c r="EB220">
        <v>312</v>
      </c>
      <c r="EC220">
        <v>39</v>
      </c>
      <c r="ED220">
        <v>187</v>
      </c>
      <c r="EE220">
        <v>593</v>
      </c>
      <c r="EF220">
        <v>0</v>
      </c>
      <c r="EG220">
        <v>0.25</v>
      </c>
      <c r="EH220">
        <v>0.7</v>
      </c>
      <c r="EI220">
        <v>0.6</v>
      </c>
      <c r="EJ220">
        <v>0.2</v>
      </c>
      <c r="EK220">
        <v>1.1000000000000001</v>
      </c>
    </row>
    <row r="221" spans="1:141" x14ac:dyDescent="0.25">
      <c r="A221" t="str">
        <f>[1]ingredient!B220</f>
        <v>Kürbis, Muskat</v>
      </c>
      <c r="B221" t="s">
        <v>318</v>
      </c>
      <c r="C221" s="7">
        <f>_xlfn.XLOOKUP(A221,[1]ingredient!$B$2:$B$521,[1]ingredient!$A$2:$A$521)</f>
        <v>219</v>
      </c>
      <c r="D221">
        <v>27</v>
      </c>
      <c r="E221">
        <v>0.2</v>
      </c>
      <c r="F221">
        <v>1</v>
      </c>
      <c r="G221">
        <v>5</v>
      </c>
      <c r="H221">
        <v>1</v>
      </c>
      <c r="I221">
        <v>4</v>
      </c>
      <c r="J221">
        <v>0.04</v>
      </c>
      <c r="K221">
        <v>92</v>
      </c>
      <c r="L221">
        <v>233</v>
      </c>
      <c r="M221">
        <v>117</v>
      </c>
      <c r="N221">
        <v>0</v>
      </c>
      <c r="O221">
        <v>1400</v>
      </c>
      <c r="P221">
        <v>90</v>
      </c>
      <c r="Q221">
        <v>60</v>
      </c>
      <c r="R221">
        <v>1600</v>
      </c>
      <c r="S221">
        <v>1883</v>
      </c>
      <c r="T221">
        <v>400</v>
      </c>
      <c r="U221">
        <v>150</v>
      </c>
      <c r="V221">
        <v>0.4</v>
      </c>
      <c r="W221">
        <v>17</v>
      </c>
      <c r="X221">
        <v>0</v>
      </c>
      <c r="Y221">
        <v>14000</v>
      </c>
      <c r="Z221">
        <v>0</v>
      </c>
      <c r="AA221">
        <v>100</v>
      </c>
      <c r="AB221">
        <v>5</v>
      </c>
      <c r="AC221">
        <v>7</v>
      </c>
      <c r="AD221">
        <v>351</v>
      </c>
      <c r="AE221">
        <v>27</v>
      </c>
      <c r="AF221">
        <v>23</v>
      </c>
      <c r="AG221">
        <v>43</v>
      </c>
      <c r="AH221">
        <v>10</v>
      </c>
      <c r="AI221">
        <v>30</v>
      </c>
      <c r="AJ221">
        <v>770</v>
      </c>
      <c r="AK221">
        <v>100</v>
      </c>
      <c r="AL221">
        <v>100</v>
      </c>
      <c r="AM221">
        <v>220</v>
      </c>
      <c r="AN221">
        <v>20</v>
      </c>
      <c r="AO221">
        <v>1</v>
      </c>
      <c r="AP221">
        <v>28</v>
      </c>
      <c r="AQ221">
        <v>0</v>
      </c>
      <c r="AR221">
        <v>18</v>
      </c>
      <c r="AS221">
        <v>46</v>
      </c>
      <c r="AT221">
        <v>1331</v>
      </c>
      <c r="AU221">
        <v>1561</v>
      </c>
      <c r="AV221">
        <v>0</v>
      </c>
      <c r="AW221">
        <v>2892</v>
      </c>
      <c r="AX221">
        <v>734</v>
      </c>
      <c r="AY221">
        <v>0</v>
      </c>
      <c r="AZ221">
        <v>0</v>
      </c>
      <c r="BA221">
        <v>734</v>
      </c>
      <c r="BB221">
        <v>0</v>
      </c>
      <c r="BC221">
        <v>0</v>
      </c>
      <c r="BD221">
        <v>0</v>
      </c>
      <c r="BE221">
        <v>918</v>
      </c>
      <c r="BF221">
        <v>918</v>
      </c>
      <c r="BG221">
        <f t="shared" si="30"/>
        <v>121.73913043478262</v>
      </c>
      <c r="BH221">
        <v>53</v>
      </c>
      <c r="BI221">
        <v>77</v>
      </c>
      <c r="BJ221">
        <v>71</v>
      </c>
      <c r="BK221">
        <v>17</v>
      </c>
      <c r="BL221">
        <v>11</v>
      </c>
      <c r="BM221">
        <v>45</v>
      </c>
      <c r="BN221">
        <v>36</v>
      </c>
      <c r="BO221">
        <v>35</v>
      </c>
      <c r="BP221">
        <v>17</v>
      </c>
      <c r="BQ221">
        <v>55</v>
      </c>
      <c r="BR221">
        <v>59</v>
      </c>
      <c r="BS221">
        <v>24</v>
      </c>
      <c r="BT221">
        <v>500</v>
      </c>
      <c r="BU221">
        <v>63</v>
      </c>
      <c r="BV221">
        <v>168</v>
      </c>
      <c r="BW221">
        <v>215</v>
      </c>
      <c r="BX221">
        <v>45</v>
      </c>
      <c r="BY221">
        <v>41</v>
      </c>
      <c r="BZ221">
        <v>60</v>
      </c>
      <c r="CA221">
        <v>592</v>
      </c>
      <c r="CB221">
        <v>7</v>
      </c>
      <c r="CC221">
        <v>3</v>
      </c>
      <c r="CD221">
        <v>59</v>
      </c>
      <c r="CE221">
        <v>36</v>
      </c>
      <c r="CF221">
        <v>0.61</v>
      </c>
      <c r="CG221">
        <v>0</v>
      </c>
      <c r="CH221">
        <v>0</v>
      </c>
      <c r="CI221">
        <v>0</v>
      </c>
      <c r="CJ221">
        <v>0</v>
      </c>
      <c r="CK221">
        <v>1</v>
      </c>
      <c r="CL221">
        <v>1</v>
      </c>
      <c r="CM221">
        <v>0</v>
      </c>
      <c r="CN221">
        <v>41</v>
      </c>
      <c r="CO221">
        <v>0</v>
      </c>
      <c r="CP221">
        <v>5</v>
      </c>
      <c r="CQ221">
        <v>0</v>
      </c>
      <c r="CR221">
        <v>0</v>
      </c>
      <c r="CS221">
        <v>0</v>
      </c>
      <c r="CT221">
        <v>48</v>
      </c>
      <c r="CU221">
        <v>0</v>
      </c>
      <c r="CV221">
        <v>0</v>
      </c>
      <c r="CW221">
        <v>1</v>
      </c>
      <c r="CX221">
        <v>0</v>
      </c>
      <c r="CY221">
        <v>16</v>
      </c>
      <c r="CZ221">
        <v>0</v>
      </c>
      <c r="DA221">
        <v>0</v>
      </c>
      <c r="DB221">
        <v>0</v>
      </c>
      <c r="DC221">
        <v>17</v>
      </c>
      <c r="DD221">
        <v>0</v>
      </c>
      <c r="DE221">
        <v>0</v>
      </c>
      <c r="DF221">
        <v>36</v>
      </c>
      <c r="DG221">
        <v>59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95</v>
      </c>
      <c r="DT221">
        <v>160</v>
      </c>
      <c r="DU221">
        <v>40</v>
      </c>
      <c r="DV221">
        <v>0</v>
      </c>
      <c r="DW221">
        <v>0</v>
      </c>
      <c r="DX221">
        <v>0</v>
      </c>
      <c r="DY221">
        <v>78</v>
      </c>
      <c r="DZ221">
        <v>117</v>
      </c>
      <c r="EA221">
        <v>234</v>
      </c>
      <c r="EB221">
        <v>312</v>
      </c>
      <c r="EC221">
        <v>39</v>
      </c>
      <c r="ED221">
        <v>187</v>
      </c>
      <c r="EE221">
        <v>593</v>
      </c>
      <c r="EF221">
        <v>0</v>
      </c>
      <c r="EG221">
        <v>0.25</v>
      </c>
      <c r="EH221">
        <v>0.7</v>
      </c>
      <c r="EI221">
        <v>0.6</v>
      </c>
      <c r="EJ221">
        <v>0.2</v>
      </c>
      <c r="EK221">
        <v>1.1000000000000001</v>
      </c>
    </row>
    <row r="222" spans="1:141" x14ac:dyDescent="0.25">
      <c r="A222" t="str">
        <f>[1]ingredient!B221</f>
        <v>Kürbis, Spaghetti</v>
      </c>
      <c r="B222" t="s">
        <v>319</v>
      </c>
      <c r="C222" s="7">
        <f>_xlfn.XLOOKUP(A222,[1]ingredient!$B$2:$B$521,[1]ingredient!$A$2:$A$521)</f>
        <v>220</v>
      </c>
      <c r="D222">
        <v>13</v>
      </c>
      <c r="E222">
        <v>0.2</v>
      </c>
      <c r="F222">
        <v>1</v>
      </c>
      <c r="G222">
        <v>2</v>
      </c>
      <c r="H222">
        <v>1</v>
      </c>
      <c r="I222">
        <v>2</v>
      </c>
      <c r="J222">
        <v>0.03</v>
      </c>
      <c r="K222">
        <v>95</v>
      </c>
      <c r="L222">
        <v>18</v>
      </c>
      <c r="M222">
        <v>9</v>
      </c>
      <c r="N222">
        <v>0</v>
      </c>
      <c r="O222">
        <v>110</v>
      </c>
      <c r="P222">
        <v>80</v>
      </c>
      <c r="Q222">
        <v>70</v>
      </c>
      <c r="R222">
        <v>200</v>
      </c>
      <c r="S222">
        <v>300</v>
      </c>
      <c r="T222">
        <v>100</v>
      </c>
      <c r="U222">
        <v>30</v>
      </c>
      <c r="V222">
        <v>0.4</v>
      </c>
      <c r="W222">
        <v>23</v>
      </c>
      <c r="X222">
        <v>0</v>
      </c>
      <c r="Y222">
        <v>11000</v>
      </c>
      <c r="Z222">
        <v>0</v>
      </c>
      <c r="AA222">
        <v>500</v>
      </c>
      <c r="AB222">
        <v>5</v>
      </c>
      <c r="AC222">
        <v>1</v>
      </c>
      <c r="AD222">
        <v>140</v>
      </c>
      <c r="AE222">
        <v>18</v>
      </c>
      <c r="AF222">
        <v>10</v>
      </c>
      <c r="AG222">
        <v>17</v>
      </c>
      <c r="AH222">
        <v>6</v>
      </c>
      <c r="AI222">
        <v>30</v>
      </c>
      <c r="AJ222">
        <v>200</v>
      </c>
      <c r="AK222">
        <v>200</v>
      </c>
      <c r="AL222">
        <v>20</v>
      </c>
      <c r="AM222">
        <v>157</v>
      </c>
      <c r="AN222">
        <v>20</v>
      </c>
      <c r="AO222">
        <v>1</v>
      </c>
      <c r="AP222">
        <v>13</v>
      </c>
      <c r="AQ222">
        <v>0</v>
      </c>
      <c r="AR222">
        <v>9</v>
      </c>
      <c r="AS222">
        <v>22</v>
      </c>
      <c r="AT222">
        <v>638</v>
      </c>
      <c r="AU222">
        <v>748</v>
      </c>
      <c r="AV222">
        <v>0</v>
      </c>
      <c r="AW222">
        <v>1386</v>
      </c>
      <c r="AX222">
        <v>352</v>
      </c>
      <c r="AY222">
        <v>0</v>
      </c>
      <c r="AZ222">
        <v>0</v>
      </c>
      <c r="BA222">
        <v>352</v>
      </c>
      <c r="BB222">
        <v>0</v>
      </c>
      <c r="BC222">
        <v>0</v>
      </c>
      <c r="BD222">
        <v>0</v>
      </c>
      <c r="BE222">
        <v>440</v>
      </c>
      <c r="BF222">
        <v>440</v>
      </c>
      <c r="BG222">
        <f t="shared" si="30"/>
        <v>43.478260869565219</v>
      </c>
      <c r="BH222">
        <v>19</v>
      </c>
      <c r="BI222">
        <v>28</v>
      </c>
      <c r="BJ222">
        <v>26</v>
      </c>
      <c r="BK222">
        <v>6</v>
      </c>
      <c r="BL222">
        <v>4</v>
      </c>
      <c r="BM222">
        <v>16</v>
      </c>
      <c r="BN222">
        <v>13</v>
      </c>
      <c r="BO222">
        <v>13</v>
      </c>
      <c r="BP222">
        <v>6</v>
      </c>
      <c r="BQ222">
        <v>20</v>
      </c>
      <c r="BR222">
        <v>21</v>
      </c>
      <c r="BS222">
        <v>9</v>
      </c>
      <c r="BT222">
        <v>181</v>
      </c>
      <c r="BU222">
        <v>23</v>
      </c>
      <c r="BV222">
        <v>60</v>
      </c>
      <c r="BW222">
        <v>73</v>
      </c>
      <c r="BX222">
        <v>16</v>
      </c>
      <c r="BY222">
        <v>15</v>
      </c>
      <c r="BZ222">
        <v>22</v>
      </c>
      <c r="CA222">
        <v>209</v>
      </c>
      <c r="CB222">
        <v>7</v>
      </c>
      <c r="CC222">
        <v>3</v>
      </c>
      <c r="CD222">
        <v>59</v>
      </c>
      <c r="CE222">
        <v>36</v>
      </c>
      <c r="CF222">
        <v>0.61</v>
      </c>
      <c r="CG222">
        <v>0</v>
      </c>
      <c r="CH222">
        <v>0</v>
      </c>
      <c r="CI222">
        <v>0</v>
      </c>
      <c r="CJ222">
        <v>0</v>
      </c>
      <c r="CK222">
        <v>1</v>
      </c>
      <c r="CL222">
        <v>1</v>
      </c>
      <c r="CM222">
        <v>0</v>
      </c>
      <c r="CN222">
        <v>41</v>
      </c>
      <c r="CO222">
        <v>0</v>
      </c>
      <c r="CP222">
        <v>5</v>
      </c>
      <c r="CQ222">
        <v>0</v>
      </c>
      <c r="CR222">
        <v>0</v>
      </c>
      <c r="CS222">
        <v>0</v>
      </c>
      <c r="CT222">
        <v>48</v>
      </c>
      <c r="CU222">
        <v>0</v>
      </c>
      <c r="CV222">
        <v>0</v>
      </c>
      <c r="CW222">
        <v>1</v>
      </c>
      <c r="CX222">
        <v>0</v>
      </c>
      <c r="CY222">
        <v>16</v>
      </c>
      <c r="CZ222">
        <v>0</v>
      </c>
      <c r="DA222">
        <v>0</v>
      </c>
      <c r="DB222">
        <v>0</v>
      </c>
      <c r="DC222">
        <v>17</v>
      </c>
      <c r="DD222">
        <v>0</v>
      </c>
      <c r="DE222">
        <v>0</v>
      </c>
      <c r="DF222">
        <v>36</v>
      </c>
      <c r="DG222">
        <v>59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95</v>
      </c>
      <c r="DT222">
        <v>160</v>
      </c>
      <c r="DU222">
        <v>40</v>
      </c>
      <c r="DV222">
        <v>0</v>
      </c>
      <c r="DW222">
        <v>0</v>
      </c>
      <c r="DX222">
        <v>0</v>
      </c>
      <c r="DY222">
        <v>110</v>
      </c>
      <c r="DZ222">
        <v>165</v>
      </c>
      <c r="EA222">
        <v>330</v>
      </c>
      <c r="EB222">
        <v>440</v>
      </c>
      <c r="EC222">
        <v>55</v>
      </c>
      <c r="ED222">
        <v>264</v>
      </c>
      <c r="EE222">
        <v>836</v>
      </c>
      <c r="EF222">
        <v>0</v>
      </c>
      <c r="EG222">
        <v>0.22</v>
      </c>
      <c r="EH222">
        <v>0.7</v>
      </c>
      <c r="EI222">
        <v>0.8</v>
      </c>
      <c r="EJ222">
        <v>0.2</v>
      </c>
      <c r="EK222">
        <v>0.4</v>
      </c>
    </row>
    <row r="223" spans="1:141" x14ac:dyDescent="0.25">
      <c r="A223" s="9" t="str">
        <f>[1]ingredient!B222</f>
        <v>Kürbisgewürz</v>
      </c>
      <c r="C223" s="7">
        <f>_xlfn.XLOOKUP(A223,[1]ingredient!$B$2:$B$521,[1]ingredient!$A$2:$A$521)</f>
        <v>221</v>
      </c>
      <c r="D223" s="10">
        <f t="shared" ref="D223:BF223" si="31">(3*D461+2*D166+2*D276+D316+D280)/9</f>
        <v>342.55555555555554</v>
      </c>
      <c r="E223" s="10">
        <f t="shared" si="31"/>
        <v>12.222222222222221</v>
      </c>
      <c r="F223" s="10">
        <f t="shared" si="31"/>
        <v>5.2222222222222223</v>
      </c>
      <c r="G223" s="10">
        <f t="shared" si="31"/>
        <v>43.777777777777779</v>
      </c>
      <c r="H223" s="10">
        <f t="shared" si="31"/>
        <v>23.444444444444443</v>
      </c>
      <c r="I223" s="10">
        <f t="shared" si="31"/>
        <v>29.555555555555557</v>
      </c>
      <c r="J223" s="10">
        <f t="shared" si="31"/>
        <v>0.20111111111111107</v>
      </c>
      <c r="K223" s="10">
        <f t="shared" si="31"/>
        <v>11.555555555555555</v>
      </c>
      <c r="L223" s="10">
        <f t="shared" si="31"/>
        <v>22.333333333333332</v>
      </c>
      <c r="M223" s="10">
        <f t="shared" si="31"/>
        <v>16.777777777777779</v>
      </c>
      <c r="N223" s="10">
        <f t="shared" si="31"/>
        <v>0</v>
      </c>
      <c r="O223" s="10">
        <f t="shared" si="31"/>
        <v>200.55555555555554</v>
      </c>
      <c r="P223" s="10">
        <f t="shared" si="31"/>
        <v>145.55555555555554</v>
      </c>
      <c r="Q223" s="10">
        <f t="shared" si="31"/>
        <v>125.55555555555556</v>
      </c>
      <c r="R223" s="10">
        <f t="shared" si="31"/>
        <v>2344.4444444444443</v>
      </c>
      <c r="S223" s="10">
        <f t="shared" si="31"/>
        <v>3157.4444444444443</v>
      </c>
      <c r="T223" s="10">
        <f t="shared" si="31"/>
        <v>448.88888888888891</v>
      </c>
      <c r="U223" s="10">
        <f t="shared" si="31"/>
        <v>291.11111111111109</v>
      </c>
      <c r="V223" s="10">
        <f t="shared" si="31"/>
        <v>3.3333333333333335</v>
      </c>
      <c r="W223" s="10">
        <f t="shared" si="31"/>
        <v>0</v>
      </c>
      <c r="X223" s="10">
        <f t="shared" si="31"/>
        <v>0</v>
      </c>
      <c r="Y223" s="10">
        <f t="shared" si="31"/>
        <v>0</v>
      </c>
      <c r="Z223" s="10">
        <f t="shared" si="31"/>
        <v>0</v>
      </c>
      <c r="AA223" s="10">
        <f t="shared" si="31"/>
        <v>0</v>
      </c>
      <c r="AB223" s="10">
        <f t="shared" si="31"/>
        <v>0</v>
      </c>
      <c r="AC223" s="10">
        <f t="shared" si="31"/>
        <v>75.666666666666671</v>
      </c>
      <c r="AD223" s="10">
        <f t="shared" si="31"/>
        <v>684.44444444444446</v>
      </c>
      <c r="AE223" s="10">
        <f t="shared" si="31"/>
        <v>625.33333333333337</v>
      </c>
      <c r="AF223" s="10">
        <f t="shared" si="31"/>
        <v>130.88888888888889</v>
      </c>
      <c r="AG223" s="10">
        <f t="shared" si="31"/>
        <v>122.55555555555556</v>
      </c>
      <c r="AH223" s="10">
        <f t="shared" si="31"/>
        <v>111.11111111111111</v>
      </c>
      <c r="AI223" s="10">
        <f t="shared" si="31"/>
        <v>124.44444444444444</v>
      </c>
      <c r="AJ223" s="10">
        <f t="shared" si="31"/>
        <v>17337.777777777777</v>
      </c>
      <c r="AK223" s="10">
        <f t="shared" si="31"/>
        <v>2560</v>
      </c>
      <c r="AL223" s="10">
        <f t="shared" si="31"/>
        <v>611.11111111111109</v>
      </c>
      <c r="AM223" s="10">
        <f t="shared" si="31"/>
        <v>5900</v>
      </c>
      <c r="AN223" s="10">
        <f t="shared" si="31"/>
        <v>150</v>
      </c>
      <c r="AO223" s="10">
        <f t="shared" si="31"/>
        <v>5</v>
      </c>
      <c r="AP223" s="10">
        <f t="shared" si="31"/>
        <v>0</v>
      </c>
      <c r="AQ223" s="10">
        <f t="shared" si="31"/>
        <v>0</v>
      </c>
      <c r="AR223" s="10">
        <f t="shared" si="31"/>
        <v>0</v>
      </c>
      <c r="AS223" s="10">
        <f t="shared" si="31"/>
        <v>0</v>
      </c>
      <c r="AT223" s="10">
        <f t="shared" si="31"/>
        <v>11111.666666666666</v>
      </c>
      <c r="AU223" s="10">
        <f t="shared" si="31"/>
        <v>10106.666666666666</v>
      </c>
      <c r="AV223" s="10">
        <f t="shared" si="31"/>
        <v>0</v>
      </c>
      <c r="AW223" s="10">
        <f t="shared" si="31"/>
        <v>21218.333333333332</v>
      </c>
      <c r="AX223" s="10">
        <f t="shared" si="31"/>
        <v>8422.2222222222226</v>
      </c>
      <c r="AY223" s="10">
        <f t="shared" si="31"/>
        <v>0</v>
      </c>
      <c r="AZ223" s="10">
        <f t="shared" si="31"/>
        <v>0</v>
      </c>
      <c r="BA223" s="10">
        <f t="shared" si="31"/>
        <v>8432.2222222222226</v>
      </c>
      <c r="BB223" s="10">
        <f t="shared" si="31"/>
        <v>6666.666666666667</v>
      </c>
      <c r="BC223" s="10">
        <f t="shared" si="31"/>
        <v>0</v>
      </c>
      <c r="BD223" s="10">
        <f t="shared" si="31"/>
        <v>0</v>
      </c>
      <c r="BE223" s="10">
        <f t="shared" si="31"/>
        <v>7405</v>
      </c>
      <c r="BF223" s="10">
        <f t="shared" si="31"/>
        <v>5471.666666666667</v>
      </c>
      <c r="BG223">
        <f t="shared" si="30"/>
        <v>90.292553191489361</v>
      </c>
      <c r="BH223" s="10">
        <f t="shared" ref="BH223:DS223" si="32">(3*BH461+2*BH166+2*BH276+BH316+BH280)/9</f>
        <v>184</v>
      </c>
      <c r="BI223" s="10">
        <f t="shared" si="32"/>
        <v>288</v>
      </c>
      <c r="BJ223" s="10">
        <f t="shared" si="32"/>
        <v>226.33333333333334</v>
      </c>
      <c r="BK223" s="10">
        <f t="shared" si="32"/>
        <v>56.333333333333336</v>
      </c>
      <c r="BL223" s="10">
        <f t="shared" si="32"/>
        <v>171.22222222222223</v>
      </c>
      <c r="BM223" s="10">
        <f t="shared" si="32"/>
        <v>170.11111111111111</v>
      </c>
      <c r="BN223" s="10">
        <f t="shared" si="32"/>
        <v>115</v>
      </c>
      <c r="BO223" s="10">
        <f t="shared" si="32"/>
        <v>149.11111111111111</v>
      </c>
      <c r="BP223" s="10">
        <f t="shared" si="32"/>
        <v>49.444444444444443</v>
      </c>
      <c r="BQ223" s="10">
        <f t="shared" si="32"/>
        <v>243.55555555555554</v>
      </c>
      <c r="BR223" s="10">
        <f t="shared" si="32"/>
        <v>275.77777777777777</v>
      </c>
      <c r="BS223" s="10">
        <f t="shared" si="32"/>
        <v>104.55555555555556</v>
      </c>
      <c r="BT223" s="10">
        <f t="shared" si="32"/>
        <v>2033.4444444444443</v>
      </c>
      <c r="BU223" s="10">
        <f t="shared" si="32"/>
        <v>182.77777777777777</v>
      </c>
      <c r="BV223" s="10">
        <f t="shared" si="32"/>
        <v>700.66666666666663</v>
      </c>
      <c r="BW223" s="10">
        <f t="shared" si="32"/>
        <v>786.11111111111109</v>
      </c>
      <c r="BX223" s="10">
        <f t="shared" si="32"/>
        <v>185.22222222222223</v>
      </c>
      <c r="BY223" s="10">
        <f t="shared" si="32"/>
        <v>189.11111111111111</v>
      </c>
      <c r="BZ223" s="10">
        <f t="shared" si="32"/>
        <v>186.33333333333334</v>
      </c>
      <c r="CA223" s="10">
        <f t="shared" si="32"/>
        <v>2230.2222222222222</v>
      </c>
      <c r="CB223" s="10">
        <f t="shared" si="32"/>
        <v>49</v>
      </c>
      <c r="CC223" s="10">
        <f t="shared" si="32"/>
        <v>20.333333333333332</v>
      </c>
      <c r="CD223" s="10">
        <f t="shared" si="32"/>
        <v>48</v>
      </c>
      <c r="CE223" s="10">
        <f t="shared" si="32"/>
        <v>840.33333333333337</v>
      </c>
      <c r="CF223" s="10">
        <f t="shared" si="32"/>
        <v>11.037777777777778</v>
      </c>
      <c r="CG223" s="10">
        <f t="shared" si="32"/>
        <v>0</v>
      </c>
      <c r="CH223" s="10">
        <f t="shared" si="32"/>
        <v>0</v>
      </c>
      <c r="CI223" s="10">
        <f t="shared" si="32"/>
        <v>6.666666666666667</v>
      </c>
      <c r="CJ223" s="10">
        <f t="shared" si="32"/>
        <v>13.777777777777779</v>
      </c>
      <c r="CK223" s="10">
        <f t="shared" si="32"/>
        <v>157.88888888888889</v>
      </c>
      <c r="CL223" s="10">
        <f t="shared" si="32"/>
        <v>5238.5555555555557</v>
      </c>
      <c r="CM223" s="10">
        <f t="shared" si="32"/>
        <v>0</v>
      </c>
      <c r="CN223" s="10">
        <f t="shared" si="32"/>
        <v>1359.1111111111111</v>
      </c>
      <c r="CO223" s="10">
        <f t="shared" si="32"/>
        <v>0</v>
      </c>
      <c r="CP223" s="10">
        <f t="shared" si="32"/>
        <v>384.66666666666669</v>
      </c>
      <c r="CQ223" s="10">
        <f t="shared" si="32"/>
        <v>0</v>
      </c>
      <c r="CR223" s="10">
        <f t="shared" si="32"/>
        <v>0</v>
      </c>
      <c r="CS223" s="10">
        <f t="shared" si="32"/>
        <v>0</v>
      </c>
      <c r="CT223" s="10">
        <f t="shared" si="32"/>
        <v>7160.666666666667</v>
      </c>
      <c r="CU223" s="10">
        <f t="shared" si="32"/>
        <v>0</v>
      </c>
      <c r="CV223" s="10">
        <f t="shared" si="32"/>
        <v>0</v>
      </c>
      <c r="CW223" s="10">
        <f t="shared" si="32"/>
        <v>391.44444444444446</v>
      </c>
      <c r="CX223" s="10">
        <f t="shared" si="32"/>
        <v>0</v>
      </c>
      <c r="CY223" s="10">
        <f t="shared" si="32"/>
        <v>1375.1111111111111</v>
      </c>
      <c r="CZ223" s="10">
        <f t="shared" si="32"/>
        <v>6.666666666666667</v>
      </c>
      <c r="DA223" s="10">
        <f t="shared" si="32"/>
        <v>0</v>
      </c>
      <c r="DB223" s="10">
        <f t="shared" si="32"/>
        <v>0</v>
      </c>
      <c r="DC223" s="10">
        <f t="shared" si="32"/>
        <v>1778.8888888888889</v>
      </c>
      <c r="DD223" s="10">
        <f t="shared" si="32"/>
        <v>0</v>
      </c>
      <c r="DE223" s="10">
        <f t="shared" si="32"/>
        <v>0</v>
      </c>
      <c r="DF223" s="10">
        <f t="shared" si="32"/>
        <v>840.33333333333337</v>
      </c>
      <c r="DG223" s="10">
        <f t="shared" si="32"/>
        <v>48</v>
      </c>
      <c r="DH223" s="10">
        <f t="shared" si="32"/>
        <v>0</v>
      </c>
      <c r="DI223" s="10">
        <f t="shared" si="32"/>
        <v>0</v>
      </c>
      <c r="DJ223" s="10">
        <f t="shared" si="32"/>
        <v>0</v>
      </c>
      <c r="DK223" s="10">
        <f t="shared" si="32"/>
        <v>0</v>
      </c>
      <c r="DL223" s="10">
        <f t="shared" si="32"/>
        <v>0</v>
      </c>
      <c r="DM223" s="10">
        <f t="shared" si="32"/>
        <v>0</v>
      </c>
      <c r="DN223" s="10">
        <f t="shared" si="32"/>
        <v>0</v>
      </c>
      <c r="DO223" s="10">
        <f t="shared" si="32"/>
        <v>0</v>
      </c>
      <c r="DP223" s="10">
        <f t="shared" si="32"/>
        <v>0</v>
      </c>
      <c r="DQ223" s="10">
        <f t="shared" si="32"/>
        <v>0</v>
      </c>
      <c r="DR223" s="10">
        <f t="shared" si="32"/>
        <v>0</v>
      </c>
      <c r="DS223" s="10">
        <f t="shared" si="32"/>
        <v>888.33333333333337</v>
      </c>
      <c r="DT223" s="10">
        <f t="shared" ref="DT223:EK223" si="33">(3*DT461+2*DT166+2*DT276+DT316+DT280)/9</f>
        <v>9799.4444444444453</v>
      </c>
      <c r="DU223" s="10">
        <f t="shared" si="33"/>
        <v>2446.7777777777778</v>
      </c>
      <c r="DV223" s="10">
        <f t="shared" si="33"/>
        <v>0</v>
      </c>
      <c r="DW223" s="10">
        <f t="shared" si="33"/>
        <v>0</v>
      </c>
      <c r="DX223" s="10">
        <f t="shared" si="33"/>
        <v>20.444444444444443</v>
      </c>
      <c r="DY223" s="10">
        <f t="shared" si="33"/>
        <v>3715.4444444444443</v>
      </c>
      <c r="DZ223" s="10">
        <f t="shared" si="33"/>
        <v>3628</v>
      </c>
      <c r="EA223" s="10">
        <f t="shared" si="33"/>
        <v>6117.1111111111113</v>
      </c>
      <c r="EB223" s="10">
        <f t="shared" si="33"/>
        <v>8714.1111111111113</v>
      </c>
      <c r="EC223" s="10">
        <f t="shared" si="33"/>
        <v>1172</v>
      </c>
      <c r="ED223" s="10">
        <f t="shared" si="33"/>
        <v>6234.1111111111113</v>
      </c>
      <c r="EE223" s="10">
        <f t="shared" si="33"/>
        <v>17112.777777777777</v>
      </c>
      <c r="EF223" s="10">
        <f t="shared" si="33"/>
        <v>0</v>
      </c>
      <c r="EG223" s="10">
        <f t="shared" si="33"/>
        <v>0.15444444444444444</v>
      </c>
      <c r="EH223" s="10">
        <f t="shared" si="33"/>
        <v>3.5222222222222226</v>
      </c>
      <c r="EI223" s="10">
        <f t="shared" si="33"/>
        <v>17.077777777777776</v>
      </c>
      <c r="EJ223" s="10">
        <f t="shared" si="33"/>
        <v>12.266666666666667</v>
      </c>
      <c r="EK223" s="10">
        <f t="shared" si="33"/>
        <v>4.4222222222222225</v>
      </c>
    </row>
    <row r="224" spans="1:141" x14ac:dyDescent="0.25">
      <c r="A224" t="str">
        <f>[1]ingredient!B223</f>
        <v>Kürbiskerne</v>
      </c>
      <c r="B224" t="s">
        <v>320</v>
      </c>
      <c r="C224" s="7">
        <f>_xlfn.XLOOKUP(A224,[1]ingredient!$B$2:$B$521,[1]ingredient!$A$2:$A$521)</f>
        <v>222</v>
      </c>
      <c r="D224">
        <v>590</v>
      </c>
      <c r="E224">
        <v>48</v>
      </c>
      <c r="F224">
        <v>37</v>
      </c>
      <c r="G224">
        <v>3</v>
      </c>
      <c r="H224">
        <v>9</v>
      </c>
      <c r="I224">
        <v>1</v>
      </c>
      <c r="J224">
        <v>0.11</v>
      </c>
      <c r="K224">
        <v>1</v>
      </c>
      <c r="L224">
        <v>40</v>
      </c>
      <c r="M224">
        <v>20</v>
      </c>
      <c r="N224">
        <v>0</v>
      </c>
      <c r="O224">
        <v>238</v>
      </c>
      <c r="P224">
        <v>551</v>
      </c>
      <c r="Q224">
        <v>39</v>
      </c>
      <c r="R224">
        <v>1707</v>
      </c>
      <c r="S224">
        <v>11024</v>
      </c>
      <c r="T224">
        <v>564</v>
      </c>
      <c r="U224">
        <v>87</v>
      </c>
      <c r="V224">
        <v>10</v>
      </c>
      <c r="W224">
        <v>42</v>
      </c>
      <c r="X224">
        <v>0</v>
      </c>
      <c r="Y224">
        <v>188</v>
      </c>
      <c r="Z224">
        <v>0</v>
      </c>
      <c r="AA224">
        <v>4180</v>
      </c>
      <c r="AB224">
        <v>0</v>
      </c>
      <c r="AC224">
        <v>29</v>
      </c>
      <c r="AD224">
        <v>596</v>
      </c>
      <c r="AE224">
        <v>10</v>
      </c>
      <c r="AF224">
        <v>298</v>
      </c>
      <c r="AG224">
        <v>539</v>
      </c>
      <c r="AH224">
        <v>167</v>
      </c>
      <c r="AI224">
        <v>84</v>
      </c>
      <c r="AJ224">
        <v>5111</v>
      </c>
      <c r="AK224">
        <v>6426</v>
      </c>
      <c r="AL224">
        <v>870</v>
      </c>
      <c r="AM224">
        <v>2893</v>
      </c>
      <c r="AN224">
        <v>94</v>
      </c>
      <c r="AO224">
        <v>3</v>
      </c>
      <c r="AP224">
        <v>0</v>
      </c>
      <c r="AQ224">
        <v>0</v>
      </c>
      <c r="AR224">
        <v>0</v>
      </c>
      <c r="AS224">
        <v>0</v>
      </c>
      <c r="AT224">
        <v>85</v>
      </c>
      <c r="AU224">
        <v>71</v>
      </c>
      <c r="AV224">
        <v>0</v>
      </c>
      <c r="AW224">
        <v>156</v>
      </c>
      <c r="AX224">
        <v>797</v>
      </c>
      <c r="AY224">
        <v>0</v>
      </c>
      <c r="AZ224">
        <v>0</v>
      </c>
      <c r="BA224">
        <v>797</v>
      </c>
      <c r="BB224">
        <v>0</v>
      </c>
      <c r="BC224">
        <v>0</v>
      </c>
      <c r="BD224">
        <v>0</v>
      </c>
      <c r="BE224">
        <v>1910</v>
      </c>
      <c r="BF224">
        <v>1910</v>
      </c>
      <c r="BG224">
        <f t="shared" si="30"/>
        <v>122.15330084182543</v>
      </c>
      <c r="BH224">
        <v>1640</v>
      </c>
      <c r="BI224">
        <v>2757</v>
      </c>
      <c r="BJ224">
        <v>2385</v>
      </c>
      <c r="BK224">
        <v>707</v>
      </c>
      <c r="BL224">
        <v>410</v>
      </c>
      <c r="BM224">
        <v>1603</v>
      </c>
      <c r="BN224">
        <v>1342</v>
      </c>
      <c r="BO224">
        <v>1156</v>
      </c>
      <c r="BP224">
        <v>559</v>
      </c>
      <c r="BQ224">
        <v>2571</v>
      </c>
      <c r="BR224">
        <v>5368</v>
      </c>
      <c r="BS224">
        <v>857</v>
      </c>
      <c r="BT224">
        <v>21355</v>
      </c>
      <c r="BU224">
        <v>1528</v>
      </c>
      <c r="BV224">
        <v>3280</v>
      </c>
      <c r="BW224">
        <v>5777</v>
      </c>
      <c r="BX224">
        <v>2348</v>
      </c>
      <c r="BY224">
        <v>1304</v>
      </c>
      <c r="BZ224">
        <v>1491</v>
      </c>
      <c r="CA224">
        <v>15728</v>
      </c>
      <c r="CB224">
        <v>0</v>
      </c>
      <c r="CC224">
        <v>0</v>
      </c>
      <c r="CD224">
        <v>0</v>
      </c>
      <c r="CE224">
        <v>19807</v>
      </c>
      <c r="CG224">
        <v>0</v>
      </c>
      <c r="CH224">
        <v>0</v>
      </c>
      <c r="CI224">
        <v>0</v>
      </c>
      <c r="CJ224">
        <v>0</v>
      </c>
      <c r="CK224">
        <v>240</v>
      </c>
      <c r="CL224">
        <v>0</v>
      </c>
      <c r="CM224">
        <v>0</v>
      </c>
      <c r="CN224">
        <v>5764</v>
      </c>
      <c r="CO224">
        <v>0</v>
      </c>
      <c r="CP224">
        <v>3098</v>
      </c>
      <c r="CQ224">
        <v>13</v>
      </c>
      <c r="CR224">
        <v>0</v>
      </c>
      <c r="CS224">
        <v>0</v>
      </c>
      <c r="CT224">
        <v>9115</v>
      </c>
      <c r="CU224">
        <v>0</v>
      </c>
      <c r="CV224">
        <v>0</v>
      </c>
      <c r="CW224">
        <v>57</v>
      </c>
      <c r="CX224">
        <v>0</v>
      </c>
      <c r="CY224">
        <v>17292</v>
      </c>
      <c r="CZ224">
        <v>52</v>
      </c>
      <c r="DA224">
        <v>0</v>
      </c>
      <c r="DB224">
        <v>0</v>
      </c>
      <c r="DC224">
        <v>17401</v>
      </c>
      <c r="DD224">
        <v>0</v>
      </c>
      <c r="DE224">
        <v>0</v>
      </c>
      <c r="DF224">
        <v>19807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19807</v>
      </c>
      <c r="DT224">
        <v>46323</v>
      </c>
      <c r="DU224">
        <v>2097</v>
      </c>
      <c r="DV224">
        <v>0</v>
      </c>
      <c r="DW224">
        <v>0</v>
      </c>
      <c r="DX224">
        <v>0</v>
      </c>
      <c r="DY224">
        <v>1357</v>
      </c>
      <c r="DZ224">
        <v>5973</v>
      </c>
      <c r="EA224">
        <v>181</v>
      </c>
      <c r="EB224">
        <v>1357</v>
      </c>
      <c r="EC224">
        <v>181</v>
      </c>
      <c r="ED224">
        <v>1810</v>
      </c>
      <c r="EE224">
        <v>7239</v>
      </c>
      <c r="EF224">
        <v>0</v>
      </c>
      <c r="EG224">
        <v>0</v>
      </c>
      <c r="EH224">
        <v>1.5</v>
      </c>
      <c r="EI224">
        <v>7.2</v>
      </c>
      <c r="EJ224">
        <v>48.4</v>
      </c>
      <c r="EK224">
        <v>37.1</v>
      </c>
    </row>
    <row r="225" spans="1:141" x14ac:dyDescent="0.25">
      <c r="A225" t="str">
        <f>[1]ingredient!B224</f>
        <v>Kurkuma</v>
      </c>
      <c r="B225" t="s">
        <v>321</v>
      </c>
      <c r="C225" s="7">
        <f>_xlfn.XLOOKUP(A225,[1]ingredient!$B$2:$B$521,[1]ingredient!$A$2:$A$521)</f>
        <v>223</v>
      </c>
      <c r="D225">
        <v>356</v>
      </c>
      <c r="E225">
        <v>10</v>
      </c>
      <c r="F225">
        <v>8</v>
      </c>
      <c r="G225">
        <v>58</v>
      </c>
      <c r="H225">
        <v>7</v>
      </c>
      <c r="I225">
        <v>58</v>
      </c>
      <c r="J225">
        <v>0.26</v>
      </c>
      <c r="K225">
        <v>6</v>
      </c>
      <c r="L225">
        <v>0</v>
      </c>
      <c r="M225">
        <v>0</v>
      </c>
      <c r="N225">
        <v>0</v>
      </c>
      <c r="O225">
        <v>0</v>
      </c>
      <c r="P225">
        <v>150</v>
      </c>
      <c r="Q225">
        <v>230</v>
      </c>
      <c r="R225">
        <v>5140</v>
      </c>
      <c r="S225">
        <v>5923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25900</v>
      </c>
      <c r="Z225">
        <v>0</v>
      </c>
      <c r="AA225">
        <v>0</v>
      </c>
      <c r="AB225">
        <v>0</v>
      </c>
      <c r="AC225">
        <v>38</v>
      </c>
      <c r="AD225">
        <v>2525</v>
      </c>
      <c r="AE225">
        <v>182</v>
      </c>
      <c r="AF225">
        <v>193</v>
      </c>
      <c r="AG225">
        <v>268</v>
      </c>
      <c r="AH225">
        <v>100</v>
      </c>
      <c r="AI225">
        <v>220</v>
      </c>
      <c r="AJ225">
        <v>41420</v>
      </c>
      <c r="AK225">
        <v>4350</v>
      </c>
      <c r="AL225">
        <v>200</v>
      </c>
      <c r="AM225">
        <v>10000</v>
      </c>
      <c r="AN225">
        <v>50</v>
      </c>
      <c r="AO225">
        <v>5</v>
      </c>
      <c r="AP225">
        <v>0</v>
      </c>
      <c r="AQ225">
        <v>0</v>
      </c>
      <c r="AR225">
        <v>0</v>
      </c>
      <c r="AS225">
        <v>0</v>
      </c>
      <c r="AT225">
        <v>23280</v>
      </c>
      <c r="AU225">
        <v>23280</v>
      </c>
      <c r="AV225">
        <v>0</v>
      </c>
      <c r="AW225">
        <v>46560</v>
      </c>
      <c r="AX225">
        <v>11058</v>
      </c>
      <c r="AY225">
        <v>0</v>
      </c>
      <c r="AZ225">
        <v>0</v>
      </c>
      <c r="BA225">
        <v>11058</v>
      </c>
      <c r="BB225">
        <v>0</v>
      </c>
      <c r="BC225">
        <v>0</v>
      </c>
      <c r="BD225">
        <v>0</v>
      </c>
      <c r="BE225">
        <v>582</v>
      </c>
      <c r="BF225">
        <v>582</v>
      </c>
      <c r="BG225">
        <f t="shared" si="30"/>
        <v>46.739130434782609</v>
      </c>
      <c r="BH225">
        <v>226</v>
      </c>
      <c r="BI225">
        <v>328</v>
      </c>
      <c r="BJ225">
        <v>250</v>
      </c>
      <c r="BK225">
        <v>55</v>
      </c>
      <c r="BL225">
        <v>31</v>
      </c>
      <c r="BM225">
        <v>195</v>
      </c>
      <c r="BN225">
        <v>86</v>
      </c>
      <c r="BO225">
        <v>156</v>
      </c>
      <c r="BP225">
        <v>47</v>
      </c>
      <c r="BQ225">
        <v>320</v>
      </c>
      <c r="BR225">
        <v>187</v>
      </c>
      <c r="BS225">
        <v>133</v>
      </c>
      <c r="BT225">
        <v>2014</v>
      </c>
      <c r="BU225">
        <v>133</v>
      </c>
      <c r="BV225">
        <v>928</v>
      </c>
      <c r="BW225">
        <v>725</v>
      </c>
      <c r="BX225">
        <v>187</v>
      </c>
      <c r="BY225">
        <v>179</v>
      </c>
      <c r="BZ225">
        <v>195</v>
      </c>
      <c r="CA225">
        <v>2347</v>
      </c>
      <c r="CB225">
        <v>70</v>
      </c>
      <c r="CC225">
        <v>29</v>
      </c>
      <c r="CD225">
        <v>457</v>
      </c>
      <c r="CE225">
        <v>1622</v>
      </c>
      <c r="CF225">
        <v>3.55</v>
      </c>
      <c r="CG225">
        <v>0</v>
      </c>
      <c r="CH225">
        <v>0</v>
      </c>
      <c r="CI225">
        <v>90</v>
      </c>
      <c r="CJ225">
        <v>187</v>
      </c>
      <c r="CK225">
        <v>506</v>
      </c>
      <c r="CL225">
        <v>243</v>
      </c>
      <c r="CM225">
        <v>0</v>
      </c>
      <c r="CN225">
        <v>1622</v>
      </c>
      <c r="CO225">
        <v>0</v>
      </c>
      <c r="CP225">
        <v>222</v>
      </c>
      <c r="CQ225">
        <v>0</v>
      </c>
      <c r="CR225">
        <v>0</v>
      </c>
      <c r="CS225">
        <v>0</v>
      </c>
      <c r="CT225">
        <v>2870</v>
      </c>
      <c r="CU225">
        <v>0</v>
      </c>
      <c r="CV225">
        <v>0</v>
      </c>
      <c r="CW225">
        <v>284</v>
      </c>
      <c r="CX225">
        <v>0</v>
      </c>
      <c r="CY225">
        <v>1608</v>
      </c>
      <c r="CZ225">
        <v>90</v>
      </c>
      <c r="DA225">
        <v>0</v>
      </c>
      <c r="DB225">
        <v>0</v>
      </c>
      <c r="DC225">
        <v>1982</v>
      </c>
      <c r="DD225">
        <v>0</v>
      </c>
      <c r="DE225">
        <v>0</v>
      </c>
      <c r="DF225">
        <v>1622</v>
      </c>
      <c r="DG225">
        <v>457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2079</v>
      </c>
      <c r="DT225">
        <v>6654</v>
      </c>
      <c r="DU225">
        <v>2970</v>
      </c>
      <c r="DV225">
        <v>0</v>
      </c>
      <c r="DW225">
        <v>0</v>
      </c>
      <c r="DX225">
        <v>277</v>
      </c>
      <c r="DY225">
        <v>1005</v>
      </c>
      <c r="DZ225">
        <v>1005</v>
      </c>
      <c r="EA225">
        <v>1809</v>
      </c>
      <c r="EB225">
        <v>2680</v>
      </c>
      <c r="EC225">
        <v>201</v>
      </c>
      <c r="ED225">
        <v>1675</v>
      </c>
      <c r="EE225">
        <v>5025</v>
      </c>
      <c r="EF225">
        <v>0</v>
      </c>
      <c r="EG225">
        <v>0.21</v>
      </c>
      <c r="EH225">
        <v>11.2</v>
      </c>
      <c r="EI225">
        <v>5</v>
      </c>
      <c r="EJ225">
        <v>9.9</v>
      </c>
      <c r="EK225">
        <v>4.5999999999999996</v>
      </c>
    </row>
    <row r="226" spans="1:141" x14ac:dyDescent="0.25">
      <c r="A226" t="str">
        <f>[1]ingredient!B225</f>
        <v>Kurkuma, ganz</v>
      </c>
      <c r="C226" s="7">
        <f>_xlfn.XLOOKUP(A226,[1]ingredient!$B$2:$B$521,[1]ingredient!$A$2:$A$521)</f>
        <v>224</v>
      </c>
      <c r="D226">
        <v>39</v>
      </c>
      <c r="E226">
        <v>0.41</v>
      </c>
      <c r="F226">
        <v>1.2</v>
      </c>
      <c r="G226">
        <v>8.4</v>
      </c>
      <c r="H226">
        <f>H225/6.66</f>
        <v>1.0510510510510511</v>
      </c>
      <c r="I226">
        <f>I225/6.66</f>
        <v>8.7087087087087092</v>
      </c>
      <c r="J226">
        <f>J225/6.66</f>
        <v>3.903903903903904E-2</v>
      </c>
      <c r="K226">
        <v>15</v>
      </c>
      <c r="L226">
        <f t="shared" ref="L226:BF226" si="34">L225/6.66</f>
        <v>0</v>
      </c>
      <c r="M226">
        <f t="shared" si="34"/>
        <v>0</v>
      </c>
      <c r="N226">
        <f t="shared" si="34"/>
        <v>0</v>
      </c>
      <c r="O226">
        <f t="shared" si="34"/>
        <v>0</v>
      </c>
      <c r="P226">
        <f t="shared" si="34"/>
        <v>22.522522522522522</v>
      </c>
      <c r="Q226">
        <f t="shared" si="34"/>
        <v>34.534534534534536</v>
      </c>
      <c r="R226">
        <f t="shared" si="34"/>
        <v>771.7717717717718</v>
      </c>
      <c r="S226">
        <f t="shared" si="34"/>
        <v>889.33933933933929</v>
      </c>
      <c r="T226">
        <f t="shared" si="34"/>
        <v>0</v>
      </c>
      <c r="U226">
        <f t="shared" si="34"/>
        <v>0</v>
      </c>
      <c r="V226">
        <f t="shared" si="34"/>
        <v>0</v>
      </c>
      <c r="W226">
        <f t="shared" si="34"/>
        <v>0</v>
      </c>
      <c r="X226">
        <f t="shared" si="34"/>
        <v>0</v>
      </c>
      <c r="Y226">
        <f t="shared" si="34"/>
        <v>3888.8888888888887</v>
      </c>
      <c r="Z226">
        <f t="shared" si="34"/>
        <v>0</v>
      </c>
      <c r="AA226">
        <f t="shared" si="34"/>
        <v>0</v>
      </c>
      <c r="AB226">
        <f t="shared" si="34"/>
        <v>0</v>
      </c>
      <c r="AC226">
        <f t="shared" si="34"/>
        <v>5.7057057057057055</v>
      </c>
      <c r="AD226">
        <f t="shared" si="34"/>
        <v>379.12912912912913</v>
      </c>
      <c r="AE226">
        <f t="shared" si="34"/>
        <v>27.327327327327328</v>
      </c>
      <c r="AF226">
        <f t="shared" si="34"/>
        <v>28.978978978978979</v>
      </c>
      <c r="AG226">
        <f t="shared" si="34"/>
        <v>40.24024024024024</v>
      </c>
      <c r="AH226">
        <f t="shared" si="34"/>
        <v>15.015015015015015</v>
      </c>
      <c r="AI226">
        <f t="shared" si="34"/>
        <v>33.033033033033036</v>
      </c>
      <c r="AJ226">
        <f t="shared" si="34"/>
        <v>6219.2192192192188</v>
      </c>
      <c r="AK226">
        <f t="shared" si="34"/>
        <v>653.15315315315308</v>
      </c>
      <c r="AL226">
        <f t="shared" si="34"/>
        <v>30.03003003003003</v>
      </c>
      <c r="AM226">
        <f t="shared" si="34"/>
        <v>1501.5015015015015</v>
      </c>
      <c r="AN226">
        <f t="shared" si="34"/>
        <v>7.5075075075075075</v>
      </c>
      <c r="AO226">
        <f t="shared" si="34"/>
        <v>0.75075075075075071</v>
      </c>
      <c r="AP226">
        <f t="shared" si="34"/>
        <v>0</v>
      </c>
      <c r="AQ226">
        <f t="shared" si="34"/>
        <v>0</v>
      </c>
      <c r="AR226">
        <f t="shared" si="34"/>
        <v>0</v>
      </c>
      <c r="AS226">
        <f t="shared" si="34"/>
        <v>0</v>
      </c>
      <c r="AT226">
        <f t="shared" si="34"/>
        <v>3495.4954954954956</v>
      </c>
      <c r="AU226">
        <f t="shared" si="34"/>
        <v>3495.4954954954956</v>
      </c>
      <c r="AV226">
        <f t="shared" si="34"/>
        <v>0</v>
      </c>
      <c r="AW226">
        <f t="shared" si="34"/>
        <v>6990.9909909909911</v>
      </c>
      <c r="AX226">
        <f t="shared" si="34"/>
        <v>1660.3603603603603</v>
      </c>
      <c r="AY226">
        <f t="shared" si="34"/>
        <v>0</v>
      </c>
      <c r="AZ226">
        <f t="shared" si="34"/>
        <v>0</v>
      </c>
      <c r="BA226">
        <f t="shared" si="34"/>
        <v>1660.3603603603603</v>
      </c>
      <c r="BB226">
        <f t="shared" si="34"/>
        <v>0</v>
      </c>
      <c r="BC226">
        <f t="shared" si="34"/>
        <v>0</v>
      </c>
      <c r="BD226">
        <f t="shared" si="34"/>
        <v>0</v>
      </c>
      <c r="BE226">
        <f t="shared" si="34"/>
        <v>87.387387387387392</v>
      </c>
      <c r="BF226">
        <f t="shared" si="34"/>
        <v>87.387387387387392</v>
      </c>
      <c r="BG226">
        <f t="shared" si="30"/>
        <v>46.78591635113375</v>
      </c>
      <c r="BH226">
        <f t="shared" ref="BH226:DS226" si="35">BH225/6.66</f>
        <v>33.933933933933936</v>
      </c>
      <c r="BI226">
        <f t="shared" si="35"/>
        <v>49.249249249249246</v>
      </c>
      <c r="BJ226">
        <f t="shared" si="35"/>
        <v>37.537537537537538</v>
      </c>
      <c r="BK226">
        <f t="shared" si="35"/>
        <v>8.2582582582582589</v>
      </c>
      <c r="BL226">
        <f t="shared" si="35"/>
        <v>4.6546546546546548</v>
      </c>
      <c r="BM226">
        <f t="shared" si="35"/>
        <v>29.27927927927928</v>
      </c>
      <c r="BN226">
        <f t="shared" si="35"/>
        <v>12.912912912912912</v>
      </c>
      <c r="BO226">
        <f t="shared" si="35"/>
        <v>23.423423423423422</v>
      </c>
      <c r="BP226">
        <f t="shared" si="35"/>
        <v>7.0570570570570572</v>
      </c>
      <c r="BQ226">
        <f t="shared" si="35"/>
        <v>48.048048048048045</v>
      </c>
      <c r="BR226">
        <f t="shared" si="35"/>
        <v>28.078078078078079</v>
      </c>
      <c r="BS226">
        <f t="shared" si="35"/>
        <v>19.96996996996997</v>
      </c>
      <c r="BT226">
        <f t="shared" si="35"/>
        <v>302.4024024024024</v>
      </c>
      <c r="BU226">
        <f t="shared" si="35"/>
        <v>19.96996996996997</v>
      </c>
      <c r="BV226">
        <f t="shared" si="35"/>
        <v>139.33933933933935</v>
      </c>
      <c r="BW226">
        <f t="shared" si="35"/>
        <v>108.85885885885885</v>
      </c>
      <c r="BX226">
        <f t="shared" si="35"/>
        <v>28.078078078078079</v>
      </c>
      <c r="BY226">
        <f t="shared" si="35"/>
        <v>26.876876876876878</v>
      </c>
      <c r="BZ226">
        <f t="shared" si="35"/>
        <v>29.27927927927928</v>
      </c>
      <c r="CA226">
        <f t="shared" si="35"/>
        <v>352.4024024024024</v>
      </c>
      <c r="CB226">
        <f t="shared" si="35"/>
        <v>10.51051051051051</v>
      </c>
      <c r="CC226">
        <f t="shared" si="35"/>
        <v>4.3543543543543546</v>
      </c>
      <c r="CD226">
        <f t="shared" si="35"/>
        <v>68.618618618618612</v>
      </c>
      <c r="CE226">
        <f t="shared" si="35"/>
        <v>243.54354354354354</v>
      </c>
      <c r="CF226">
        <f t="shared" si="35"/>
        <v>0.53303303303303295</v>
      </c>
      <c r="CG226">
        <f t="shared" si="35"/>
        <v>0</v>
      </c>
      <c r="CH226">
        <f t="shared" si="35"/>
        <v>0</v>
      </c>
      <c r="CI226">
        <f t="shared" si="35"/>
        <v>13.513513513513514</v>
      </c>
      <c r="CJ226">
        <f t="shared" si="35"/>
        <v>28.078078078078079</v>
      </c>
      <c r="CK226">
        <f t="shared" si="35"/>
        <v>75.97597597597597</v>
      </c>
      <c r="CL226">
        <f t="shared" si="35"/>
        <v>36.486486486486484</v>
      </c>
      <c r="CM226">
        <f t="shared" si="35"/>
        <v>0</v>
      </c>
      <c r="CN226">
        <f t="shared" si="35"/>
        <v>243.54354354354354</v>
      </c>
      <c r="CO226">
        <f t="shared" si="35"/>
        <v>0</v>
      </c>
      <c r="CP226">
        <f t="shared" si="35"/>
        <v>33.333333333333336</v>
      </c>
      <c r="CQ226">
        <f t="shared" si="35"/>
        <v>0</v>
      </c>
      <c r="CR226">
        <f t="shared" si="35"/>
        <v>0</v>
      </c>
      <c r="CS226">
        <f t="shared" si="35"/>
        <v>0</v>
      </c>
      <c r="CT226">
        <f t="shared" si="35"/>
        <v>430.93093093093091</v>
      </c>
      <c r="CU226">
        <f t="shared" si="35"/>
        <v>0</v>
      </c>
      <c r="CV226">
        <f t="shared" si="35"/>
        <v>0</v>
      </c>
      <c r="CW226">
        <f t="shared" si="35"/>
        <v>42.642642642642642</v>
      </c>
      <c r="CX226">
        <f t="shared" si="35"/>
        <v>0</v>
      </c>
      <c r="CY226">
        <f t="shared" si="35"/>
        <v>241.44144144144144</v>
      </c>
      <c r="CZ226">
        <f t="shared" si="35"/>
        <v>13.513513513513514</v>
      </c>
      <c r="DA226">
        <f t="shared" si="35"/>
        <v>0</v>
      </c>
      <c r="DB226">
        <f t="shared" si="35"/>
        <v>0</v>
      </c>
      <c r="DC226">
        <f t="shared" si="35"/>
        <v>297.5975975975976</v>
      </c>
      <c r="DD226">
        <f t="shared" si="35"/>
        <v>0</v>
      </c>
      <c r="DE226">
        <f t="shared" si="35"/>
        <v>0</v>
      </c>
      <c r="DF226">
        <f t="shared" si="35"/>
        <v>243.54354354354354</v>
      </c>
      <c r="DG226">
        <f t="shared" si="35"/>
        <v>68.618618618618612</v>
      </c>
      <c r="DH226">
        <f t="shared" si="35"/>
        <v>0</v>
      </c>
      <c r="DI226">
        <f t="shared" si="35"/>
        <v>0</v>
      </c>
      <c r="DJ226">
        <f t="shared" si="35"/>
        <v>0</v>
      </c>
      <c r="DK226">
        <f t="shared" si="35"/>
        <v>0</v>
      </c>
      <c r="DL226">
        <f t="shared" si="35"/>
        <v>0</v>
      </c>
      <c r="DM226">
        <f t="shared" si="35"/>
        <v>0</v>
      </c>
      <c r="DN226">
        <f t="shared" si="35"/>
        <v>0</v>
      </c>
      <c r="DO226">
        <f t="shared" si="35"/>
        <v>0</v>
      </c>
      <c r="DP226">
        <f t="shared" si="35"/>
        <v>0</v>
      </c>
      <c r="DQ226">
        <f t="shared" si="35"/>
        <v>0</v>
      </c>
      <c r="DR226">
        <f t="shared" si="35"/>
        <v>0</v>
      </c>
      <c r="DS226">
        <f t="shared" si="35"/>
        <v>312.16216216216213</v>
      </c>
      <c r="DT226">
        <f t="shared" ref="DT226:EK226" si="36">DT225/6.66</f>
        <v>999.09909909909902</v>
      </c>
      <c r="DU226">
        <f t="shared" si="36"/>
        <v>445.94594594594594</v>
      </c>
      <c r="DV226">
        <f t="shared" si="36"/>
        <v>0</v>
      </c>
      <c r="DW226">
        <f t="shared" si="36"/>
        <v>0</v>
      </c>
      <c r="DX226">
        <f t="shared" si="36"/>
        <v>41.591591591591587</v>
      </c>
      <c r="DY226">
        <f t="shared" si="36"/>
        <v>150.90090090090089</v>
      </c>
      <c r="DZ226">
        <f t="shared" si="36"/>
        <v>150.90090090090089</v>
      </c>
      <c r="EA226">
        <f t="shared" si="36"/>
        <v>271.62162162162161</v>
      </c>
      <c r="EB226">
        <f t="shared" si="36"/>
        <v>402.4024024024024</v>
      </c>
      <c r="EC226">
        <f t="shared" si="36"/>
        <v>30.18018018018018</v>
      </c>
      <c r="ED226">
        <f t="shared" si="36"/>
        <v>251.50150150150151</v>
      </c>
      <c r="EE226">
        <f t="shared" si="36"/>
        <v>754.50450450450444</v>
      </c>
      <c r="EF226">
        <f t="shared" si="36"/>
        <v>0</v>
      </c>
      <c r="EG226">
        <f t="shared" si="36"/>
        <v>3.1531531531531529E-2</v>
      </c>
      <c r="EH226">
        <f t="shared" si="36"/>
        <v>1.6816816816816815</v>
      </c>
      <c r="EI226">
        <f t="shared" si="36"/>
        <v>0.75075075075075071</v>
      </c>
      <c r="EJ226">
        <f t="shared" si="36"/>
        <v>1.4864864864864864</v>
      </c>
      <c r="EK226">
        <f t="shared" si="36"/>
        <v>0.69069069069069067</v>
      </c>
    </row>
    <row r="227" spans="1:141" x14ac:dyDescent="0.25">
      <c r="A227" t="str">
        <f>[1]ingredient!B226</f>
        <v>Lauch</v>
      </c>
      <c r="B227" t="s">
        <v>322</v>
      </c>
      <c r="C227" s="7">
        <f>_xlfn.XLOOKUP(A227,[1]ingredient!$B$2:$B$521,[1]ingredient!$A$2:$A$521)</f>
        <v>225</v>
      </c>
      <c r="D227">
        <v>26</v>
      </c>
      <c r="E227">
        <v>0.34</v>
      </c>
      <c r="F227">
        <v>2</v>
      </c>
      <c r="G227">
        <v>3</v>
      </c>
      <c r="H227">
        <v>2</v>
      </c>
      <c r="I227">
        <v>3</v>
      </c>
      <c r="J227">
        <v>0.03</v>
      </c>
      <c r="K227">
        <v>90</v>
      </c>
      <c r="L227">
        <v>167</v>
      </c>
      <c r="M227">
        <v>83</v>
      </c>
      <c r="N227">
        <v>0</v>
      </c>
      <c r="O227">
        <v>1000</v>
      </c>
      <c r="P227">
        <v>86</v>
      </c>
      <c r="Q227">
        <v>68</v>
      </c>
      <c r="R227">
        <v>530</v>
      </c>
      <c r="S227">
        <v>797</v>
      </c>
      <c r="T227">
        <v>140</v>
      </c>
      <c r="U227">
        <v>250</v>
      </c>
      <c r="V227">
        <v>2</v>
      </c>
      <c r="W227">
        <v>56</v>
      </c>
      <c r="X227">
        <v>0</v>
      </c>
      <c r="Y227">
        <v>24000</v>
      </c>
      <c r="Z227">
        <v>0</v>
      </c>
      <c r="AA227">
        <v>529</v>
      </c>
      <c r="AB227">
        <v>200</v>
      </c>
      <c r="AC227">
        <v>5</v>
      </c>
      <c r="AD227">
        <v>235</v>
      </c>
      <c r="AE227">
        <v>87</v>
      </c>
      <c r="AF227">
        <v>18</v>
      </c>
      <c r="AG227">
        <v>46</v>
      </c>
      <c r="AH227">
        <v>58</v>
      </c>
      <c r="AI227">
        <v>24</v>
      </c>
      <c r="AJ227">
        <v>1000</v>
      </c>
      <c r="AK227">
        <v>310</v>
      </c>
      <c r="AL227">
        <v>55</v>
      </c>
      <c r="AM227">
        <v>190</v>
      </c>
      <c r="AN227">
        <v>10</v>
      </c>
      <c r="AO227">
        <v>1</v>
      </c>
      <c r="AP227">
        <v>96</v>
      </c>
      <c r="AQ227">
        <v>0</v>
      </c>
      <c r="AR227">
        <v>0</v>
      </c>
      <c r="AS227">
        <v>96</v>
      </c>
      <c r="AT227">
        <v>899</v>
      </c>
      <c r="AU227">
        <v>1155</v>
      </c>
      <c r="AV227">
        <v>0</v>
      </c>
      <c r="AW227">
        <v>2054</v>
      </c>
      <c r="AX227">
        <v>530</v>
      </c>
      <c r="AY227">
        <v>48</v>
      </c>
      <c r="AZ227">
        <v>0</v>
      </c>
      <c r="BA227">
        <v>578</v>
      </c>
      <c r="BB227">
        <v>482</v>
      </c>
      <c r="BC227">
        <v>720</v>
      </c>
      <c r="BD227">
        <v>0</v>
      </c>
      <c r="BE227">
        <v>0</v>
      </c>
      <c r="BF227">
        <v>0</v>
      </c>
      <c r="BG227">
        <f t="shared" si="30"/>
        <v>82.608695652173907</v>
      </c>
      <c r="BH227">
        <v>67</v>
      </c>
      <c r="BI227">
        <v>112</v>
      </c>
      <c r="BJ227">
        <v>112</v>
      </c>
      <c r="BK227">
        <v>25</v>
      </c>
      <c r="BL227">
        <v>13</v>
      </c>
      <c r="BM227">
        <v>63</v>
      </c>
      <c r="BN227">
        <v>38</v>
      </c>
      <c r="BO227">
        <v>74</v>
      </c>
      <c r="BP227">
        <v>16</v>
      </c>
      <c r="BQ227">
        <v>83</v>
      </c>
      <c r="BR227">
        <v>114</v>
      </c>
      <c r="BS227">
        <v>36</v>
      </c>
      <c r="BT227">
        <v>753</v>
      </c>
      <c r="BU227">
        <v>90</v>
      </c>
      <c r="BV227">
        <v>170</v>
      </c>
      <c r="BW227">
        <v>340</v>
      </c>
      <c r="BX227">
        <v>74</v>
      </c>
      <c r="BY227">
        <v>67</v>
      </c>
      <c r="BZ227">
        <v>74</v>
      </c>
      <c r="CA227">
        <v>815</v>
      </c>
      <c r="CB227">
        <v>40</v>
      </c>
      <c r="CC227">
        <v>17</v>
      </c>
      <c r="CD227">
        <v>95</v>
      </c>
      <c r="CE227">
        <v>112</v>
      </c>
      <c r="CF227">
        <v>1.18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54</v>
      </c>
      <c r="CO227">
        <v>0</v>
      </c>
      <c r="CP227">
        <v>3</v>
      </c>
      <c r="CQ227">
        <v>0</v>
      </c>
      <c r="CR227">
        <v>0</v>
      </c>
      <c r="CS227">
        <v>0</v>
      </c>
      <c r="CT227">
        <v>57</v>
      </c>
      <c r="CU227">
        <v>0</v>
      </c>
      <c r="CV227">
        <v>0</v>
      </c>
      <c r="CW227">
        <v>0</v>
      </c>
      <c r="CX227">
        <v>0</v>
      </c>
      <c r="CY227">
        <v>8</v>
      </c>
      <c r="CZ227">
        <v>0</v>
      </c>
      <c r="DA227">
        <v>0</v>
      </c>
      <c r="DB227">
        <v>0</v>
      </c>
      <c r="DC227">
        <v>8</v>
      </c>
      <c r="DD227">
        <v>0</v>
      </c>
      <c r="DE227">
        <v>0</v>
      </c>
      <c r="DF227">
        <v>112</v>
      </c>
      <c r="DG227">
        <v>95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207</v>
      </c>
      <c r="DT227">
        <v>272</v>
      </c>
      <c r="DU227">
        <v>68</v>
      </c>
      <c r="DV227">
        <v>0</v>
      </c>
      <c r="DW227">
        <v>0</v>
      </c>
      <c r="DX227">
        <v>0</v>
      </c>
      <c r="DY227">
        <v>110</v>
      </c>
      <c r="DZ227">
        <v>1056</v>
      </c>
      <c r="EA227">
        <v>286</v>
      </c>
      <c r="EB227">
        <v>660</v>
      </c>
      <c r="EC227">
        <v>88</v>
      </c>
      <c r="ED227">
        <v>506</v>
      </c>
      <c r="EE227">
        <v>1694</v>
      </c>
      <c r="EF227">
        <v>0</v>
      </c>
      <c r="EG227">
        <v>0.22</v>
      </c>
      <c r="EH227">
        <v>0.9</v>
      </c>
      <c r="EI227">
        <v>1.7</v>
      </c>
      <c r="EJ227">
        <v>0.3</v>
      </c>
      <c r="EK227">
        <v>1.7</v>
      </c>
    </row>
    <row r="228" spans="1:141" x14ac:dyDescent="0.25">
      <c r="A228" t="str">
        <f>[1]ingredient!B227</f>
        <v>Lavendel</v>
      </c>
      <c r="B228" t="s">
        <v>323</v>
      </c>
      <c r="C228" s="7">
        <f>_xlfn.XLOOKUP(A228,[1]ingredient!$B$2:$B$521,[1]ingredient!$A$2:$A$521)</f>
        <v>226</v>
      </c>
      <c r="D228">
        <v>254</v>
      </c>
      <c r="E228">
        <v>3</v>
      </c>
      <c r="F228">
        <v>8</v>
      </c>
      <c r="G228">
        <v>26</v>
      </c>
      <c r="H228">
        <v>45</v>
      </c>
      <c r="I228">
        <v>12</v>
      </c>
      <c r="J228">
        <v>0.21</v>
      </c>
      <c r="K228">
        <v>16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900</v>
      </c>
      <c r="R228">
        <v>8000</v>
      </c>
      <c r="S228">
        <v>9600</v>
      </c>
      <c r="T228">
        <v>1300</v>
      </c>
      <c r="U228">
        <v>300</v>
      </c>
      <c r="V228">
        <v>0.3</v>
      </c>
      <c r="W228">
        <v>60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8</v>
      </c>
      <c r="AD228">
        <v>370</v>
      </c>
      <c r="AE228">
        <v>300</v>
      </c>
      <c r="AF228">
        <v>280</v>
      </c>
      <c r="AG228">
        <v>30</v>
      </c>
      <c r="AH228">
        <v>100</v>
      </c>
      <c r="AI228">
        <v>200</v>
      </c>
      <c r="AJ228">
        <v>78000</v>
      </c>
      <c r="AK228">
        <v>2000</v>
      </c>
      <c r="AL228">
        <v>1500</v>
      </c>
      <c r="AM228">
        <v>50000</v>
      </c>
      <c r="AN228">
        <v>7000</v>
      </c>
      <c r="AO228">
        <v>11</v>
      </c>
      <c r="AP228">
        <v>0</v>
      </c>
      <c r="AQ228">
        <v>0</v>
      </c>
      <c r="AR228">
        <v>0</v>
      </c>
      <c r="AS228">
        <v>0</v>
      </c>
      <c r="AT228">
        <v>5220</v>
      </c>
      <c r="AU228">
        <v>5220</v>
      </c>
      <c r="AV228">
        <v>0</v>
      </c>
      <c r="AW228">
        <v>10440</v>
      </c>
      <c r="AX228">
        <v>1200</v>
      </c>
      <c r="AY228">
        <v>0</v>
      </c>
      <c r="AZ228">
        <v>0</v>
      </c>
      <c r="BA228">
        <v>1160</v>
      </c>
      <c r="BB228">
        <v>7300</v>
      </c>
      <c r="BC228">
        <v>0</v>
      </c>
      <c r="BD228">
        <v>0</v>
      </c>
      <c r="BE228">
        <v>7000</v>
      </c>
      <c r="BF228">
        <v>0</v>
      </c>
      <c r="BG228">
        <f t="shared" si="30"/>
        <v>100</v>
      </c>
      <c r="BH228">
        <v>293</v>
      </c>
      <c r="BI228">
        <v>488</v>
      </c>
      <c r="BJ228">
        <v>488</v>
      </c>
      <c r="BK228">
        <v>147</v>
      </c>
      <c r="BL228">
        <v>97</v>
      </c>
      <c r="BM228">
        <v>342</v>
      </c>
      <c r="BN228">
        <v>195</v>
      </c>
      <c r="BO228">
        <v>244</v>
      </c>
      <c r="BP228">
        <v>97</v>
      </c>
      <c r="BQ228">
        <v>390</v>
      </c>
      <c r="BR228">
        <v>439</v>
      </c>
      <c r="BS228">
        <v>147</v>
      </c>
      <c r="BT228">
        <v>3366</v>
      </c>
      <c r="BU228">
        <v>585</v>
      </c>
      <c r="BV228">
        <v>1463</v>
      </c>
      <c r="BW228">
        <v>1365</v>
      </c>
      <c r="BX228">
        <v>390</v>
      </c>
      <c r="BY228">
        <v>342</v>
      </c>
      <c r="BZ228">
        <v>390</v>
      </c>
      <c r="CA228">
        <v>4534</v>
      </c>
      <c r="CB228">
        <v>40</v>
      </c>
      <c r="CC228">
        <v>17</v>
      </c>
      <c r="CD228">
        <v>200</v>
      </c>
      <c r="CE228">
        <v>800</v>
      </c>
      <c r="CF228">
        <v>4</v>
      </c>
      <c r="CG228">
        <v>0</v>
      </c>
      <c r="CH228">
        <v>0</v>
      </c>
      <c r="CI228">
        <v>0</v>
      </c>
      <c r="CJ228">
        <v>0</v>
      </c>
      <c r="CK228">
        <v>17</v>
      </c>
      <c r="CL228">
        <v>34</v>
      </c>
      <c r="CM228">
        <v>0</v>
      </c>
      <c r="CN228">
        <v>814</v>
      </c>
      <c r="CO228">
        <v>0</v>
      </c>
      <c r="CP228">
        <v>136</v>
      </c>
      <c r="CQ228">
        <v>0</v>
      </c>
      <c r="CR228">
        <v>0</v>
      </c>
      <c r="CS228">
        <v>0</v>
      </c>
      <c r="CT228">
        <v>1000</v>
      </c>
      <c r="CU228">
        <v>0</v>
      </c>
      <c r="CV228">
        <v>0</v>
      </c>
      <c r="CW228">
        <v>20</v>
      </c>
      <c r="CX228">
        <v>0</v>
      </c>
      <c r="CY228">
        <v>398</v>
      </c>
      <c r="CZ228">
        <v>0</v>
      </c>
      <c r="DA228">
        <v>0</v>
      </c>
      <c r="DB228">
        <v>0</v>
      </c>
      <c r="DC228">
        <v>400</v>
      </c>
      <c r="DD228">
        <v>0</v>
      </c>
      <c r="DE228">
        <v>0</v>
      </c>
      <c r="DF228">
        <v>800</v>
      </c>
      <c r="DG228">
        <v>200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1000</v>
      </c>
      <c r="DT228">
        <v>2403</v>
      </c>
      <c r="DU228">
        <v>497</v>
      </c>
      <c r="DV228">
        <v>0</v>
      </c>
      <c r="DW228">
        <v>0</v>
      </c>
      <c r="DX228">
        <v>0</v>
      </c>
      <c r="DY228">
        <v>9867</v>
      </c>
      <c r="DZ228">
        <v>8073</v>
      </c>
      <c r="EA228">
        <v>8970</v>
      </c>
      <c r="EB228">
        <v>8970</v>
      </c>
      <c r="EC228">
        <v>8970</v>
      </c>
      <c r="ED228">
        <v>13455</v>
      </c>
      <c r="EE228">
        <v>31395</v>
      </c>
      <c r="EF228">
        <v>0</v>
      </c>
      <c r="EG228">
        <v>1000</v>
      </c>
      <c r="EH228">
        <v>1.4</v>
      </c>
      <c r="EI228">
        <v>31.4</v>
      </c>
      <c r="EJ228">
        <v>2.9</v>
      </c>
      <c r="EK228">
        <v>8</v>
      </c>
    </row>
    <row r="229" spans="1:141" x14ac:dyDescent="0.25">
      <c r="A229" t="str">
        <f>[1]ingredient!B228</f>
        <v>Leinöl</v>
      </c>
      <c r="B229" t="s">
        <v>324</v>
      </c>
      <c r="C229" s="7">
        <f>_xlfn.XLOOKUP(A229,[1]ingredient!$B$2:$B$521,[1]ingredient!$A$2:$A$521)</f>
        <v>227</v>
      </c>
      <c r="D229">
        <v>879</v>
      </c>
      <c r="E229">
        <v>100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0.49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5821</v>
      </c>
      <c r="AB229">
        <v>25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 t="str">
        <f t="shared" si="30"/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53650</v>
      </c>
      <c r="CE229">
        <v>13317</v>
      </c>
      <c r="CF229">
        <v>0.25</v>
      </c>
      <c r="CG229">
        <v>0</v>
      </c>
      <c r="CH229">
        <v>0</v>
      </c>
      <c r="CI229">
        <v>0</v>
      </c>
      <c r="CJ229">
        <v>0</v>
      </c>
      <c r="CK229">
        <v>95</v>
      </c>
      <c r="CL229">
        <v>95</v>
      </c>
      <c r="CM229">
        <v>0</v>
      </c>
      <c r="CN229">
        <v>5707</v>
      </c>
      <c r="CO229">
        <v>95</v>
      </c>
      <c r="CP229">
        <v>3805</v>
      </c>
      <c r="CQ229">
        <v>95</v>
      </c>
      <c r="CR229">
        <v>95</v>
      </c>
      <c r="CS229">
        <v>0</v>
      </c>
      <c r="CT229">
        <v>9987</v>
      </c>
      <c r="CU229">
        <v>0</v>
      </c>
      <c r="CV229">
        <v>0</v>
      </c>
      <c r="CW229">
        <v>95</v>
      </c>
      <c r="CX229">
        <v>0</v>
      </c>
      <c r="CY229">
        <v>18073</v>
      </c>
      <c r="CZ229">
        <v>0</v>
      </c>
      <c r="DA229">
        <v>0</v>
      </c>
      <c r="DB229">
        <v>0</v>
      </c>
      <c r="DC229">
        <v>18168</v>
      </c>
      <c r="DD229">
        <v>0</v>
      </c>
      <c r="DE229">
        <v>0</v>
      </c>
      <c r="DF229">
        <v>13317</v>
      </c>
      <c r="DG229">
        <v>53650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66967</v>
      </c>
      <c r="DT229">
        <v>95122</v>
      </c>
      <c r="DU229">
        <v>4378</v>
      </c>
      <c r="DV229">
        <v>7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99.5</v>
      </c>
      <c r="EK229">
        <v>0</v>
      </c>
    </row>
    <row r="230" spans="1:141" x14ac:dyDescent="0.25">
      <c r="A230" t="str">
        <f>[1]ingredient!B229</f>
        <v>Leinsamen</v>
      </c>
      <c r="B230" t="s">
        <v>325</v>
      </c>
      <c r="C230" s="7">
        <f>_xlfn.XLOOKUP(A230,[1]ingredient!$B$2:$B$521,[1]ingredient!$A$2:$A$521)</f>
        <v>228</v>
      </c>
      <c r="D230">
        <v>450</v>
      </c>
      <c r="E230">
        <v>37</v>
      </c>
      <c r="F230">
        <v>23</v>
      </c>
      <c r="G230">
        <v>8</v>
      </c>
      <c r="H230">
        <v>22</v>
      </c>
      <c r="I230">
        <v>8</v>
      </c>
      <c r="J230">
        <v>7.0000000000000007E-2</v>
      </c>
      <c r="K230">
        <v>8</v>
      </c>
      <c r="L230">
        <v>8</v>
      </c>
      <c r="M230">
        <v>2</v>
      </c>
      <c r="N230">
        <v>0</v>
      </c>
      <c r="O230">
        <v>24</v>
      </c>
      <c r="P230">
        <v>233</v>
      </c>
      <c r="Q230">
        <v>106</v>
      </c>
      <c r="R230">
        <v>1813</v>
      </c>
      <c r="S230">
        <v>8430</v>
      </c>
      <c r="T230">
        <v>0</v>
      </c>
      <c r="U230">
        <v>261</v>
      </c>
      <c r="V230">
        <v>8</v>
      </c>
      <c r="W230">
        <v>37</v>
      </c>
      <c r="X230">
        <v>0</v>
      </c>
      <c r="Y230">
        <v>0</v>
      </c>
      <c r="Z230">
        <v>1</v>
      </c>
      <c r="AA230">
        <v>8092</v>
      </c>
      <c r="AB230">
        <v>2</v>
      </c>
      <c r="AC230">
        <v>57</v>
      </c>
      <c r="AD230">
        <v>739</v>
      </c>
      <c r="AE230">
        <v>208</v>
      </c>
      <c r="AF230">
        <v>327</v>
      </c>
      <c r="AG230">
        <v>539</v>
      </c>
      <c r="AH230">
        <v>223</v>
      </c>
      <c r="AI230">
        <v>17</v>
      </c>
      <c r="AJ230">
        <v>6827</v>
      </c>
      <c r="AK230">
        <v>4218</v>
      </c>
      <c r="AL230">
        <v>1214</v>
      </c>
      <c r="AM230">
        <v>2286</v>
      </c>
      <c r="AN230">
        <v>68</v>
      </c>
      <c r="AO230">
        <v>2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7799</v>
      </c>
      <c r="AY230">
        <v>0</v>
      </c>
      <c r="AZ230">
        <v>0</v>
      </c>
      <c r="BA230">
        <v>7799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f t="shared" si="30"/>
        <v>83.423913043478265</v>
      </c>
      <c r="BH230">
        <v>963</v>
      </c>
      <c r="BI230">
        <v>1371</v>
      </c>
      <c r="BJ230">
        <v>921</v>
      </c>
      <c r="BK230">
        <v>450</v>
      </c>
      <c r="BL230">
        <v>429</v>
      </c>
      <c r="BM230">
        <v>1120</v>
      </c>
      <c r="BN230">
        <v>597</v>
      </c>
      <c r="BO230">
        <v>880</v>
      </c>
      <c r="BP230">
        <v>397</v>
      </c>
      <c r="BQ230">
        <v>1162</v>
      </c>
      <c r="BR230">
        <v>2261</v>
      </c>
      <c r="BS230">
        <v>524</v>
      </c>
      <c r="BT230">
        <v>11075</v>
      </c>
      <c r="BU230">
        <v>1078</v>
      </c>
      <c r="BV230">
        <v>2251</v>
      </c>
      <c r="BW230">
        <v>4752</v>
      </c>
      <c r="BX230">
        <v>1392</v>
      </c>
      <c r="BY230">
        <v>858</v>
      </c>
      <c r="BZ230">
        <v>1120</v>
      </c>
      <c r="CA230">
        <v>11451</v>
      </c>
      <c r="CB230">
        <v>0</v>
      </c>
      <c r="CC230">
        <v>0</v>
      </c>
      <c r="CD230">
        <v>20410</v>
      </c>
      <c r="CE230">
        <v>5516</v>
      </c>
      <c r="CF230">
        <v>0.27</v>
      </c>
      <c r="CG230">
        <v>0</v>
      </c>
      <c r="CH230">
        <v>0</v>
      </c>
      <c r="CI230">
        <v>0</v>
      </c>
      <c r="CJ230">
        <v>0</v>
      </c>
      <c r="CK230">
        <v>4</v>
      </c>
      <c r="CL230">
        <v>18</v>
      </c>
      <c r="CM230">
        <v>7</v>
      </c>
      <c r="CN230">
        <v>1987</v>
      </c>
      <c r="CO230">
        <v>22</v>
      </c>
      <c r="CP230">
        <v>1491</v>
      </c>
      <c r="CQ230">
        <v>57</v>
      </c>
      <c r="CR230">
        <v>57</v>
      </c>
      <c r="CS230">
        <v>33</v>
      </c>
      <c r="CT230">
        <v>3676</v>
      </c>
      <c r="CU230">
        <v>0</v>
      </c>
      <c r="CV230">
        <v>0</v>
      </c>
      <c r="CW230">
        <v>26</v>
      </c>
      <c r="CX230">
        <v>15</v>
      </c>
      <c r="CY230">
        <v>7223</v>
      </c>
      <c r="CZ230">
        <v>48</v>
      </c>
      <c r="DA230">
        <v>0</v>
      </c>
      <c r="DB230">
        <v>4</v>
      </c>
      <c r="DC230">
        <v>7316</v>
      </c>
      <c r="DD230">
        <v>0</v>
      </c>
      <c r="DE230">
        <v>0</v>
      </c>
      <c r="DF230">
        <v>5509</v>
      </c>
      <c r="DG230">
        <v>20410</v>
      </c>
      <c r="DH230">
        <v>0</v>
      </c>
      <c r="DI230">
        <v>0</v>
      </c>
      <c r="DJ230">
        <v>7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25926</v>
      </c>
      <c r="DT230">
        <v>36918</v>
      </c>
      <c r="DU230">
        <v>1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3.4</v>
      </c>
      <c r="EI230">
        <v>0</v>
      </c>
      <c r="EJ230">
        <v>36.9</v>
      </c>
      <c r="EK230">
        <v>22.5</v>
      </c>
    </row>
    <row r="231" spans="1:141" x14ac:dyDescent="0.25">
      <c r="A231" t="str">
        <f>[1]ingredient!B230</f>
        <v>Leinsamen-Sprossen</v>
      </c>
      <c r="B231" t="s">
        <v>326</v>
      </c>
      <c r="C231" s="7">
        <f>_xlfn.XLOOKUP(A231,[1]ingredient!$B$2:$B$521,[1]ingredient!$A$2:$A$521)</f>
        <v>229</v>
      </c>
      <c r="D231">
        <v>24</v>
      </c>
      <c r="E231">
        <v>0.3</v>
      </c>
      <c r="F231">
        <v>3</v>
      </c>
      <c r="G231">
        <v>2</v>
      </c>
      <c r="H231">
        <v>6</v>
      </c>
      <c r="I231">
        <v>1</v>
      </c>
      <c r="J231">
        <v>0.02</v>
      </c>
      <c r="K231">
        <v>88</v>
      </c>
      <c r="L231">
        <v>7</v>
      </c>
      <c r="M231">
        <v>3</v>
      </c>
      <c r="N231">
        <v>0</v>
      </c>
      <c r="O231">
        <v>40</v>
      </c>
      <c r="P231">
        <v>84</v>
      </c>
      <c r="Q231">
        <v>92</v>
      </c>
      <c r="R231">
        <v>750</v>
      </c>
      <c r="S231">
        <v>1817</v>
      </c>
      <c r="T231">
        <v>380</v>
      </c>
      <c r="U231">
        <v>88</v>
      </c>
      <c r="V231">
        <v>2</v>
      </c>
      <c r="W231">
        <v>61</v>
      </c>
      <c r="X231">
        <v>0</v>
      </c>
      <c r="Y231">
        <v>11000</v>
      </c>
      <c r="Z231">
        <v>0</v>
      </c>
      <c r="AA231">
        <v>90</v>
      </c>
      <c r="AB231">
        <v>5</v>
      </c>
      <c r="AC231">
        <v>5</v>
      </c>
      <c r="AD231">
        <v>134</v>
      </c>
      <c r="AE231">
        <v>13</v>
      </c>
      <c r="AF231">
        <v>18</v>
      </c>
      <c r="AG231">
        <v>49</v>
      </c>
      <c r="AH231">
        <v>70</v>
      </c>
      <c r="AI231">
        <v>15</v>
      </c>
      <c r="AJ231">
        <v>910</v>
      </c>
      <c r="AK231">
        <v>390</v>
      </c>
      <c r="AL231">
        <v>120</v>
      </c>
      <c r="AM231">
        <v>188</v>
      </c>
      <c r="AN231">
        <v>4</v>
      </c>
      <c r="AO231">
        <v>2</v>
      </c>
      <c r="AP231">
        <v>0</v>
      </c>
      <c r="AQ231">
        <v>0</v>
      </c>
      <c r="AR231">
        <v>0</v>
      </c>
      <c r="AS231">
        <v>0</v>
      </c>
      <c r="AT231">
        <v>282</v>
      </c>
      <c r="AU231">
        <v>88</v>
      </c>
      <c r="AV231">
        <v>0</v>
      </c>
      <c r="AW231">
        <v>370</v>
      </c>
      <c r="AX231">
        <v>364</v>
      </c>
      <c r="AY231">
        <v>0</v>
      </c>
      <c r="AZ231">
        <v>0</v>
      </c>
      <c r="BA231">
        <v>364</v>
      </c>
      <c r="BB231">
        <v>88</v>
      </c>
      <c r="BC231">
        <v>0</v>
      </c>
      <c r="BD231">
        <v>0</v>
      </c>
      <c r="BE231">
        <v>1038</v>
      </c>
      <c r="BF231">
        <v>1038</v>
      </c>
      <c r="BG231">
        <f t="shared" si="30"/>
        <v>82.608695652173907</v>
      </c>
      <c r="BH231">
        <v>138</v>
      </c>
      <c r="BI231">
        <v>195</v>
      </c>
      <c r="BJ231">
        <v>192</v>
      </c>
      <c r="BK231">
        <v>38</v>
      </c>
      <c r="BL231">
        <v>19</v>
      </c>
      <c r="BM231">
        <v>134</v>
      </c>
      <c r="BN231">
        <v>64</v>
      </c>
      <c r="BO231">
        <v>96</v>
      </c>
      <c r="BP231">
        <v>64</v>
      </c>
      <c r="BQ231">
        <v>144</v>
      </c>
      <c r="BR231">
        <v>231</v>
      </c>
      <c r="BS231">
        <v>74</v>
      </c>
      <c r="BT231">
        <v>1389</v>
      </c>
      <c r="BU231">
        <v>115</v>
      </c>
      <c r="BV231">
        <v>560</v>
      </c>
      <c r="BW231">
        <v>192</v>
      </c>
      <c r="BX231">
        <v>74</v>
      </c>
      <c r="BY231">
        <v>128</v>
      </c>
      <c r="BZ231">
        <v>38</v>
      </c>
      <c r="CA231">
        <v>1107</v>
      </c>
      <c r="CB231">
        <v>12</v>
      </c>
      <c r="CC231">
        <v>5</v>
      </c>
      <c r="CD231">
        <v>31</v>
      </c>
      <c r="CE231">
        <v>77</v>
      </c>
      <c r="CF231">
        <v>2.48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10</v>
      </c>
      <c r="CN231">
        <v>64</v>
      </c>
      <c r="CO231">
        <v>0</v>
      </c>
      <c r="CP231">
        <v>19</v>
      </c>
      <c r="CQ231">
        <v>0</v>
      </c>
      <c r="CR231">
        <v>0</v>
      </c>
      <c r="CS231">
        <v>0</v>
      </c>
      <c r="CT231">
        <v>83</v>
      </c>
      <c r="CU231">
        <v>0</v>
      </c>
      <c r="CV231">
        <v>0</v>
      </c>
      <c r="CW231">
        <v>0</v>
      </c>
      <c r="CX231">
        <v>0</v>
      </c>
      <c r="CY231">
        <v>41</v>
      </c>
      <c r="CZ231">
        <v>0</v>
      </c>
      <c r="DA231">
        <v>0</v>
      </c>
      <c r="DB231">
        <v>0</v>
      </c>
      <c r="DC231">
        <v>41</v>
      </c>
      <c r="DD231">
        <v>0</v>
      </c>
      <c r="DE231">
        <v>0</v>
      </c>
      <c r="DF231">
        <v>77</v>
      </c>
      <c r="DG231">
        <v>31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108</v>
      </c>
      <c r="DT231">
        <v>232</v>
      </c>
      <c r="DU231">
        <v>68</v>
      </c>
      <c r="DV231">
        <v>0</v>
      </c>
      <c r="DW231">
        <v>0</v>
      </c>
      <c r="DX231">
        <v>0</v>
      </c>
      <c r="DY231">
        <v>728</v>
      </c>
      <c r="DZ231">
        <v>1960</v>
      </c>
      <c r="EA231">
        <v>728</v>
      </c>
      <c r="EB231">
        <v>2072</v>
      </c>
      <c r="EC231">
        <v>112</v>
      </c>
      <c r="ED231">
        <v>2800</v>
      </c>
      <c r="EE231">
        <v>2800</v>
      </c>
      <c r="EF231">
        <v>0</v>
      </c>
      <c r="EG231">
        <v>0.25</v>
      </c>
      <c r="EH231">
        <v>0.4</v>
      </c>
      <c r="EI231">
        <v>2.8</v>
      </c>
      <c r="EJ231">
        <v>0.3</v>
      </c>
      <c r="EK231">
        <v>2.5</v>
      </c>
    </row>
    <row r="232" spans="1:141" x14ac:dyDescent="0.25">
      <c r="A232" t="str">
        <f>[1]ingredient!B231</f>
        <v>Liebstöckel</v>
      </c>
      <c r="B232" t="s">
        <v>327</v>
      </c>
      <c r="C232" s="7">
        <f>_xlfn.XLOOKUP(A232,[1]ingredient!$B$2:$B$521,[1]ingredient!$A$2:$A$521)</f>
        <v>230</v>
      </c>
      <c r="D232">
        <v>42</v>
      </c>
      <c r="E232">
        <v>1</v>
      </c>
      <c r="F232">
        <v>4</v>
      </c>
      <c r="G232">
        <v>5</v>
      </c>
      <c r="H232">
        <v>3</v>
      </c>
      <c r="I232">
        <v>5</v>
      </c>
      <c r="J232">
        <v>0.09</v>
      </c>
      <c r="K232">
        <v>86</v>
      </c>
      <c r="L232">
        <v>667</v>
      </c>
      <c r="M232">
        <v>333</v>
      </c>
      <c r="N232">
        <v>0</v>
      </c>
      <c r="O232">
        <v>4000</v>
      </c>
      <c r="P232">
        <v>80</v>
      </c>
      <c r="Q232">
        <v>150</v>
      </c>
      <c r="R232">
        <v>1100</v>
      </c>
      <c r="S232">
        <v>1683</v>
      </c>
      <c r="T232">
        <v>190</v>
      </c>
      <c r="U232">
        <v>50</v>
      </c>
      <c r="V232">
        <v>2</v>
      </c>
      <c r="W232">
        <v>30</v>
      </c>
      <c r="X232">
        <v>0</v>
      </c>
      <c r="Y232">
        <v>45000</v>
      </c>
      <c r="Z232">
        <v>0</v>
      </c>
      <c r="AA232">
        <v>1000</v>
      </c>
      <c r="AB232">
        <v>300</v>
      </c>
      <c r="AC232">
        <v>20</v>
      </c>
      <c r="AD232">
        <v>400</v>
      </c>
      <c r="AE232">
        <v>150</v>
      </c>
      <c r="AF232">
        <v>30</v>
      </c>
      <c r="AG232">
        <v>50</v>
      </c>
      <c r="AH232">
        <v>80</v>
      </c>
      <c r="AI232">
        <v>70</v>
      </c>
      <c r="AJ232">
        <v>2000</v>
      </c>
      <c r="AK232">
        <v>1200</v>
      </c>
      <c r="AL232">
        <v>120</v>
      </c>
      <c r="AM232">
        <v>500</v>
      </c>
      <c r="AN232">
        <v>50</v>
      </c>
      <c r="AO232">
        <v>4</v>
      </c>
      <c r="AP232">
        <v>0</v>
      </c>
      <c r="AQ232">
        <v>0</v>
      </c>
      <c r="AR232">
        <v>0</v>
      </c>
      <c r="AS232">
        <v>0</v>
      </c>
      <c r="AT232">
        <v>2000</v>
      </c>
      <c r="AU232">
        <v>2000</v>
      </c>
      <c r="AV232">
        <v>0</v>
      </c>
      <c r="AW232">
        <v>4000</v>
      </c>
      <c r="AX232">
        <v>950</v>
      </c>
      <c r="AY232">
        <v>0</v>
      </c>
      <c r="AZ232">
        <v>0</v>
      </c>
      <c r="BA232">
        <v>950</v>
      </c>
      <c r="BB232">
        <v>0</v>
      </c>
      <c r="BC232">
        <v>0</v>
      </c>
      <c r="BD232">
        <v>0</v>
      </c>
      <c r="BE232">
        <v>50</v>
      </c>
      <c r="BF232">
        <v>50</v>
      </c>
      <c r="BG232">
        <f t="shared" si="30"/>
        <v>82.8125</v>
      </c>
      <c r="BH232">
        <v>140</v>
      </c>
      <c r="BI232">
        <v>210</v>
      </c>
      <c r="BJ232">
        <v>175</v>
      </c>
      <c r="BK232">
        <v>42</v>
      </c>
      <c r="BL232">
        <v>35</v>
      </c>
      <c r="BM232">
        <v>105</v>
      </c>
      <c r="BN232">
        <v>70</v>
      </c>
      <c r="BO232">
        <v>123</v>
      </c>
      <c r="BP232">
        <v>35</v>
      </c>
      <c r="BQ232">
        <v>140</v>
      </c>
      <c r="BR232">
        <v>140</v>
      </c>
      <c r="BS232">
        <v>53</v>
      </c>
      <c r="BT232">
        <v>1268</v>
      </c>
      <c r="BU232">
        <v>175</v>
      </c>
      <c r="BV232">
        <v>350</v>
      </c>
      <c r="BW232">
        <v>525</v>
      </c>
      <c r="BX232">
        <v>98</v>
      </c>
      <c r="BY232">
        <v>140</v>
      </c>
      <c r="BZ232">
        <v>105</v>
      </c>
      <c r="CA232">
        <v>1393</v>
      </c>
      <c r="CB232">
        <v>15</v>
      </c>
      <c r="CC232">
        <v>6</v>
      </c>
      <c r="CD232">
        <v>192</v>
      </c>
      <c r="CE232">
        <v>256</v>
      </c>
      <c r="CF232">
        <v>1.33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3</v>
      </c>
      <c r="CM232">
        <v>0</v>
      </c>
      <c r="CN232">
        <v>125</v>
      </c>
      <c r="CO232">
        <v>0</v>
      </c>
      <c r="CP232">
        <v>19</v>
      </c>
      <c r="CQ232">
        <v>0</v>
      </c>
      <c r="CR232">
        <v>0</v>
      </c>
      <c r="CS232">
        <v>0</v>
      </c>
      <c r="CT232">
        <v>147</v>
      </c>
      <c r="CU232">
        <v>0</v>
      </c>
      <c r="CV232">
        <v>0</v>
      </c>
      <c r="CW232">
        <v>6</v>
      </c>
      <c r="CX232">
        <v>0</v>
      </c>
      <c r="CY232">
        <v>38</v>
      </c>
      <c r="CZ232">
        <v>0</v>
      </c>
      <c r="DA232">
        <v>0</v>
      </c>
      <c r="DB232">
        <v>0</v>
      </c>
      <c r="DC232">
        <v>44</v>
      </c>
      <c r="DD232">
        <v>0</v>
      </c>
      <c r="DE232">
        <v>0</v>
      </c>
      <c r="DF232">
        <v>256</v>
      </c>
      <c r="DG232">
        <v>192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448</v>
      </c>
      <c r="DT232">
        <v>639</v>
      </c>
      <c r="DU232">
        <v>160</v>
      </c>
      <c r="DV232">
        <v>0</v>
      </c>
      <c r="DW232">
        <v>0</v>
      </c>
      <c r="DX232">
        <v>0</v>
      </c>
      <c r="DY232">
        <v>450</v>
      </c>
      <c r="DZ232">
        <v>600</v>
      </c>
      <c r="EA232">
        <v>810</v>
      </c>
      <c r="EB232">
        <v>1050</v>
      </c>
      <c r="EC232">
        <v>90</v>
      </c>
      <c r="ED232">
        <v>900</v>
      </c>
      <c r="EE232">
        <v>2100</v>
      </c>
      <c r="EF232">
        <v>0</v>
      </c>
      <c r="EG232">
        <v>0.25</v>
      </c>
      <c r="EH232">
        <v>1</v>
      </c>
      <c r="EI232">
        <v>2.1</v>
      </c>
      <c r="EJ232">
        <v>0.8</v>
      </c>
      <c r="EK232">
        <v>2.7</v>
      </c>
    </row>
    <row r="233" spans="1:141" x14ac:dyDescent="0.25">
      <c r="A233" t="str">
        <f>[1]ingredient!B232</f>
        <v>Liebstöckel, getrocknet</v>
      </c>
      <c r="B233" t="s">
        <v>327</v>
      </c>
      <c r="C233" s="7">
        <f>_xlfn.XLOOKUP(A233,[1]ingredient!$B$2:$B$521,[1]ingredient!$A$2:$A$521)</f>
        <v>231</v>
      </c>
      <c r="D233">
        <v>42</v>
      </c>
      <c r="E233">
        <v>1</v>
      </c>
      <c r="F233">
        <v>4</v>
      </c>
      <c r="G233">
        <v>5</v>
      </c>
      <c r="H233">
        <v>3</v>
      </c>
      <c r="I233">
        <v>5</v>
      </c>
      <c r="J233">
        <v>0.09</v>
      </c>
      <c r="K233">
        <v>86</v>
      </c>
      <c r="L233">
        <v>667</v>
      </c>
      <c r="M233">
        <v>333</v>
      </c>
      <c r="N233">
        <v>0</v>
      </c>
      <c r="O233">
        <v>4000</v>
      </c>
      <c r="P233">
        <v>80</v>
      </c>
      <c r="Q233">
        <v>150</v>
      </c>
      <c r="R233">
        <v>1100</v>
      </c>
      <c r="S233">
        <v>1683</v>
      </c>
      <c r="T233">
        <v>190</v>
      </c>
      <c r="U233">
        <v>50</v>
      </c>
      <c r="V233">
        <v>2</v>
      </c>
      <c r="W233">
        <v>30</v>
      </c>
      <c r="X233">
        <v>0</v>
      </c>
      <c r="Y233">
        <v>45000</v>
      </c>
      <c r="Z233">
        <v>0</v>
      </c>
      <c r="AA233">
        <v>1000</v>
      </c>
      <c r="AB233">
        <v>300</v>
      </c>
      <c r="AC233">
        <v>20</v>
      </c>
      <c r="AD233">
        <v>400</v>
      </c>
      <c r="AE233">
        <v>150</v>
      </c>
      <c r="AF233">
        <v>30</v>
      </c>
      <c r="AG233">
        <v>50</v>
      </c>
      <c r="AH233">
        <v>80</v>
      </c>
      <c r="AI233">
        <v>70</v>
      </c>
      <c r="AJ233">
        <v>2000</v>
      </c>
      <c r="AK233">
        <v>1200</v>
      </c>
      <c r="AL233">
        <v>120</v>
      </c>
      <c r="AM233">
        <v>500</v>
      </c>
      <c r="AN233">
        <v>50</v>
      </c>
      <c r="AO233">
        <v>4</v>
      </c>
      <c r="AP233">
        <v>0</v>
      </c>
      <c r="AQ233">
        <v>0</v>
      </c>
      <c r="AR233">
        <v>0</v>
      </c>
      <c r="AS233">
        <v>0</v>
      </c>
      <c r="AT233">
        <v>2000</v>
      </c>
      <c r="AU233">
        <v>2000</v>
      </c>
      <c r="AV233">
        <v>0</v>
      </c>
      <c r="AW233">
        <v>4000</v>
      </c>
      <c r="AX233">
        <v>950</v>
      </c>
      <c r="AY233">
        <v>0</v>
      </c>
      <c r="AZ233">
        <v>0</v>
      </c>
      <c r="BA233">
        <v>950</v>
      </c>
      <c r="BB233">
        <v>0</v>
      </c>
      <c r="BC233">
        <v>0</v>
      </c>
      <c r="BD233">
        <v>0</v>
      </c>
      <c r="BE233">
        <v>50</v>
      </c>
      <c r="BF233">
        <v>50</v>
      </c>
      <c r="BG233">
        <f t="shared" si="30"/>
        <v>82.8125</v>
      </c>
      <c r="BH233">
        <v>140</v>
      </c>
      <c r="BI233">
        <v>210</v>
      </c>
      <c r="BJ233">
        <v>175</v>
      </c>
      <c r="BK233">
        <v>42</v>
      </c>
      <c r="BL233">
        <v>35</v>
      </c>
      <c r="BM233">
        <v>105</v>
      </c>
      <c r="BN233">
        <v>70</v>
      </c>
      <c r="BO233">
        <v>123</v>
      </c>
      <c r="BP233">
        <v>35</v>
      </c>
      <c r="BQ233">
        <v>140</v>
      </c>
      <c r="BR233">
        <v>140</v>
      </c>
      <c r="BS233">
        <v>53</v>
      </c>
      <c r="BT233">
        <v>1268</v>
      </c>
      <c r="BU233">
        <v>175</v>
      </c>
      <c r="BV233">
        <v>350</v>
      </c>
      <c r="BW233">
        <v>525</v>
      </c>
      <c r="BX233">
        <v>98</v>
      </c>
      <c r="BY233">
        <v>140</v>
      </c>
      <c r="BZ233">
        <v>105</v>
      </c>
      <c r="CA233">
        <v>1393</v>
      </c>
      <c r="CB233">
        <v>15</v>
      </c>
      <c r="CC233">
        <v>6</v>
      </c>
      <c r="CD233">
        <v>192</v>
      </c>
      <c r="CE233">
        <v>256</v>
      </c>
      <c r="CF233">
        <v>1.33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3</v>
      </c>
      <c r="CM233">
        <v>0</v>
      </c>
      <c r="CN233">
        <v>125</v>
      </c>
      <c r="CO233">
        <v>0</v>
      </c>
      <c r="CP233">
        <v>19</v>
      </c>
      <c r="CQ233">
        <v>0</v>
      </c>
      <c r="CR233">
        <v>0</v>
      </c>
      <c r="CS233">
        <v>0</v>
      </c>
      <c r="CT233">
        <v>147</v>
      </c>
      <c r="CU233">
        <v>0</v>
      </c>
      <c r="CV233">
        <v>0</v>
      </c>
      <c r="CW233">
        <v>6</v>
      </c>
      <c r="CX233">
        <v>0</v>
      </c>
      <c r="CY233">
        <v>38</v>
      </c>
      <c r="CZ233">
        <v>0</v>
      </c>
      <c r="DA233">
        <v>0</v>
      </c>
      <c r="DB233">
        <v>0</v>
      </c>
      <c r="DC233">
        <v>44</v>
      </c>
      <c r="DD233">
        <v>0</v>
      </c>
      <c r="DE233">
        <v>0</v>
      </c>
      <c r="DF233">
        <v>256</v>
      </c>
      <c r="DG233">
        <v>192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448</v>
      </c>
      <c r="DT233">
        <v>639</v>
      </c>
      <c r="DU233">
        <v>160</v>
      </c>
      <c r="DV233">
        <v>0</v>
      </c>
      <c r="DW233">
        <v>0</v>
      </c>
      <c r="DX233">
        <v>0</v>
      </c>
      <c r="DY233">
        <v>450</v>
      </c>
      <c r="DZ233">
        <v>600</v>
      </c>
      <c r="EA233">
        <v>810</v>
      </c>
      <c r="EB233">
        <v>1050</v>
      </c>
      <c r="EC233">
        <v>90</v>
      </c>
      <c r="ED233">
        <v>900</v>
      </c>
      <c r="EE233">
        <v>2100</v>
      </c>
      <c r="EF233">
        <v>0</v>
      </c>
      <c r="EG233">
        <v>0.25</v>
      </c>
      <c r="EH233">
        <v>1</v>
      </c>
      <c r="EI233">
        <v>2.1</v>
      </c>
      <c r="EJ233">
        <v>0.8</v>
      </c>
      <c r="EK233">
        <v>2.7</v>
      </c>
    </row>
    <row r="234" spans="1:141" x14ac:dyDescent="0.25">
      <c r="A234" t="str">
        <f>[1]ingredient!B233</f>
        <v>Limetten</v>
      </c>
      <c r="B234" t="s">
        <v>328</v>
      </c>
      <c r="C234" s="7">
        <f>_xlfn.XLOOKUP(A234,[1]ingredient!$B$2:$B$521,[1]ingredient!$A$2:$A$521)</f>
        <v>232</v>
      </c>
      <c r="D234">
        <v>47</v>
      </c>
      <c r="E234">
        <v>2</v>
      </c>
      <c r="F234">
        <v>1</v>
      </c>
      <c r="G234">
        <v>2</v>
      </c>
      <c r="H234">
        <v>1</v>
      </c>
      <c r="I234">
        <v>2</v>
      </c>
      <c r="J234">
        <v>0.01</v>
      </c>
      <c r="K234">
        <v>89</v>
      </c>
      <c r="L234">
        <v>2</v>
      </c>
      <c r="M234">
        <v>1</v>
      </c>
      <c r="N234">
        <v>0</v>
      </c>
      <c r="O234">
        <v>10</v>
      </c>
      <c r="P234">
        <v>28</v>
      </c>
      <c r="Q234">
        <v>20</v>
      </c>
      <c r="R234">
        <v>170</v>
      </c>
      <c r="S234">
        <v>220</v>
      </c>
      <c r="T234">
        <v>217</v>
      </c>
      <c r="U234">
        <v>50</v>
      </c>
      <c r="V234">
        <v>1</v>
      </c>
      <c r="W234">
        <v>8</v>
      </c>
      <c r="X234">
        <v>0</v>
      </c>
      <c r="Y234">
        <v>43500</v>
      </c>
      <c r="Z234">
        <v>0</v>
      </c>
      <c r="AA234">
        <v>400</v>
      </c>
      <c r="AB234">
        <v>3</v>
      </c>
      <c r="AC234">
        <v>2</v>
      </c>
      <c r="AD234">
        <v>82</v>
      </c>
      <c r="AE234">
        <v>13</v>
      </c>
      <c r="AF234">
        <v>15</v>
      </c>
      <c r="AG234">
        <v>11</v>
      </c>
      <c r="AH234">
        <v>10</v>
      </c>
      <c r="AI234">
        <v>5</v>
      </c>
      <c r="AJ234">
        <v>200</v>
      </c>
      <c r="AK234">
        <v>110</v>
      </c>
      <c r="AL234">
        <v>65</v>
      </c>
      <c r="AM234">
        <v>40</v>
      </c>
      <c r="AN234">
        <v>10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800</v>
      </c>
      <c r="AU234">
        <v>800</v>
      </c>
      <c r="AV234">
        <v>0</v>
      </c>
      <c r="AW234">
        <v>1600</v>
      </c>
      <c r="AX234">
        <v>300</v>
      </c>
      <c r="AY234">
        <v>0</v>
      </c>
      <c r="AZ234">
        <v>0</v>
      </c>
      <c r="BA234">
        <v>300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f t="shared" si="30"/>
        <v>21.311475409836063</v>
      </c>
      <c r="BH234">
        <v>14</v>
      </c>
      <c r="BI234">
        <v>13</v>
      </c>
      <c r="BJ234">
        <v>25</v>
      </c>
      <c r="BK234">
        <v>7</v>
      </c>
      <c r="BL234">
        <v>7</v>
      </c>
      <c r="BM234">
        <v>18</v>
      </c>
      <c r="BN234">
        <v>10</v>
      </c>
      <c r="BO234">
        <v>7</v>
      </c>
      <c r="BP234">
        <v>3</v>
      </c>
      <c r="BQ234">
        <v>18</v>
      </c>
      <c r="BR234">
        <v>30</v>
      </c>
      <c r="BS234">
        <v>7</v>
      </c>
      <c r="BT234">
        <v>159</v>
      </c>
      <c r="BU234">
        <v>30</v>
      </c>
      <c r="BV234">
        <v>66</v>
      </c>
      <c r="BW234">
        <v>57</v>
      </c>
      <c r="BX234">
        <v>48</v>
      </c>
      <c r="BY234">
        <v>27</v>
      </c>
      <c r="BZ234">
        <v>14</v>
      </c>
      <c r="CA234">
        <v>242</v>
      </c>
      <c r="CB234">
        <v>20</v>
      </c>
      <c r="CC234">
        <v>8</v>
      </c>
      <c r="CD234">
        <v>361</v>
      </c>
      <c r="CE234">
        <v>731</v>
      </c>
      <c r="CF234">
        <v>2.02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19</v>
      </c>
      <c r="CM234">
        <v>0</v>
      </c>
      <c r="CN234">
        <v>401</v>
      </c>
      <c r="CO234">
        <v>0</v>
      </c>
      <c r="CP234">
        <v>19</v>
      </c>
      <c r="CQ234">
        <v>0</v>
      </c>
      <c r="CR234">
        <v>0</v>
      </c>
      <c r="CS234">
        <v>0</v>
      </c>
      <c r="CT234">
        <v>439</v>
      </c>
      <c r="CU234">
        <v>0</v>
      </c>
      <c r="CV234">
        <v>0</v>
      </c>
      <c r="CW234">
        <v>63</v>
      </c>
      <c r="CX234">
        <v>0</v>
      </c>
      <c r="CY234">
        <v>326</v>
      </c>
      <c r="CZ234">
        <v>0</v>
      </c>
      <c r="DA234">
        <v>0</v>
      </c>
      <c r="DB234">
        <v>0</v>
      </c>
      <c r="DC234">
        <v>389</v>
      </c>
      <c r="DD234">
        <v>0</v>
      </c>
      <c r="DE234">
        <v>0</v>
      </c>
      <c r="DF234">
        <v>731</v>
      </c>
      <c r="DG234">
        <v>361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1092</v>
      </c>
      <c r="DT234">
        <v>1920</v>
      </c>
      <c r="DU234">
        <v>480</v>
      </c>
      <c r="DV234">
        <v>0</v>
      </c>
      <c r="DW234">
        <v>0</v>
      </c>
      <c r="DX234">
        <v>0</v>
      </c>
      <c r="DY234">
        <v>150</v>
      </c>
      <c r="DZ234">
        <v>100</v>
      </c>
      <c r="EA234">
        <v>150</v>
      </c>
      <c r="EB234">
        <v>500</v>
      </c>
      <c r="EC234">
        <v>100</v>
      </c>
      <c r="ED234">
        <v>290</v>
      </c>
      <c r="EE234">
        <v>710</v>
      </c>
      <c r="EF234">
        <v>0</v>
      </c>
      <c r="EG234">
        <v>5</v>
      </c>
      <c r="EH234">
        <v>0.2</v>
      </c>
      <c r="EI234">
        <v>0.7</v>
      </c>
      <c r="EJ234">
        <v>2.4</v>
      </c>
      <c r="EK234">
        <v>0.5</v>
      </c>
    </row>
    <row r="235" spans="1:141" x14ac:dyDescent="0.25">
      <c r="A235" t="str">
        <f>[1]ingredient!B234</f>
        <v>Linsen braun</v>
      </c>
      <c r="B235" t="s">
        <v>329</v>
      </c>
      <c r="C235" s="7">
        <f>_xlfn.XLOOKUP(A235,[1]ingredient!$B$2:$B$521,[1]ingredient!$A$2:$A$521)</f>
        <v>233</v>
      </c>
      <c r="D235">
        <v>354</v>
      </c>
      <c r="E235">
        <v>2</v>
      </c>
      <c r="F235">
        <v>25</v>
      </c>
      <c r="G235">
        <v>53</v>
      </c>
      <c r="H235">
        <v>11</v>
      </c>
      <c r="I235">
        <v>2</v>
      </c>
      <c r="J235">
        <v>0.1</v>
      </c>
      <c r="K235">
        <v>5</v>
      </c>
      <c r="L235">
        <v>0</v>
      </c>
      <c r="M235">
        <v>8</v>
      </c>
      <c r="N235">
        <v>0</v>
      </c>
      <c r="O235">
        <v>100</v>
      </c>
      <c r="P235">
        <v>400</v>
      </c>
      <c r="Q235">
        <v>300</v>
      </c>
      <c r="R235">
        <v>2200</v>
      </c>
      <c r="S235">
        <v>6200</v>
      </c>
      <c r="T235">
        <v>1600</v>
      </c>
      <c r="U235">
        <v>600</v>
      </c>
      <c r="V235">
        <v>9</v>
      </c>
      <c r="W235">
        <v>132</v>
      </c>
      <c r="X235">
        <v>0</v>
      </c>
      <c r="Y235">
        <v>1000</v>
      </c>
      <c r="Z235">
        <v>0</v>
      </c>
      <c r="AA235">
        <v>0</v>
      </c>
      <c r="AB235">
        <v>0</v>
      </c>
      <c r="AC235">
        <v>12</v>
      </c>
      <c r="AD235">
        <v>840</v>
      </c>
      <c r="AE235">
        <v>71</v>
      </c>
      <c r="AF235">
        <v>129</v>
      </c>
      <c r="AG235">
        <v>411</v>
      </c>
      <c r="AH235">
        <v>120</v>
      </c>
      <c r="AI235">
        <v>84</v>
      </c>
      <c r="AJ235">
        <v>7500</v>
      </c>
      <c r="AK235">
        <v>3600</v>
      </c>
      <c r="AL235">
        <v>700</v>
      </c>
      <c r="AM235">
        <v>1400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2400</v>
      </c>
      <c r="AY235">
        <v>0</v>
      </c>
      <c r="AZ235">
        <v>0</v>
      </c>
      <c r="BA235">
        <v>2400</v>
      </c>
      <c r="BB235">
        <v>4200</v>
      </c>
      <c r="BC235">
        <v>2380</v>
      </c>
      <c r="BD235">
        <v>0</v>
      </c>
      <c r="BE235">
        <v>46400</v>
      </c>
      <c r="BF235">
        <v>0</v>
      </c>
      <c r="BG235">
        <f t="shared" si="30"/>
        <v>77.913043478260875</v>
      </c>
      <c r="BH235">
        <v>1184</v>
      </c>
      <c r="BI235">
        <v>1895</v>
      </c>
      <c r="BJ235">
        <v>1841</v>
      </c>
      <c r="BK235">
        <v>211</v>
      </c>
      <c r="BL235">
        <v>237</v>
      </c>
      <c r="BM235">
        <v>1316</v>
      </c>
      <c r="BN235">
        <v>842</v>
      </c>
      <c r="BO235">
        <v>1052</v>
      </c>
      <c r="BP235">
        <v>237</v>
      </c>
      <c r="BQ235">
        <v>1421</v>
      </c>
      <c r="BR235">
        <v>2079</v>
      </c>
      <c r="BS235">
        <v>632</v>
      </c>
      <c r="BT235">
        <v>12946</v>
      </c>
      <c r="BU235">
        <v>1132</v>
      </c>
      <c r="BV235">
        <v>3027</v>
      </c>
      <c r="BW235">
        <v>4342</v>
      </c>
      <c r="BX235">
        <v>1080</v>
      </c>
      <c r="BY235">
        <v>1105</v>
      </c>
      <c r="BZ235">
        <v>1368</v>
      </c>
      <c r="CA235">
        <v>12054</v>
      </c>
      <c r="CB235">
        <v>200</v>
      </c>
      <c r="CC235">
        <v>83</v>
      </c>
      <c r="CD235">
        <v>100</v>
      </c>
      <c r="CE235">
        <v>500</v>
      </c>
      <c r="CF235">
        <v>5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442</v>
      </c>
      <c r="CO235">
        <v>0</v>
      </c>
      <c r="CP235">
        <v>29</v>
      </c>
      <c r="CQ235">
        <v>29</v>
      </c>
      <c r="CR235">
        <v>0</v>
      </c>
      <c r="CS235">
        <v>0</v>
      </c>
      <c r="CT235">
        <v>500</v>
      </c>
      <c r="CU235">
        <v>0</v>
      </c>
      <c r="CV235">
        <v>0</v>
      </c>
      <c r="CW235">
        <v>0</v>
      </c>
      <c r="CX235">
        <v>0</v>
      </c>
      <c r="CY235">
        <v>229</v>
      </c>
      <c r="CZ235">
        <v>11</v>
      </c>
      <c r="DA235">
        <v>0</v>
      </c>
      <c r="DB235">
        <v>0</v>
      </c>
      <c r="DC235">
        <v>200</v>
      </c>
      <c r="DD235">
        <v>0</v>
      </c>
      <c r="DE235">
        <v>0</v>
      </c>
      <c r="DF235">
        <v>500</v>
      </c>
      <c r="DG235">
        <v>100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600</v>
      </c>
      <c r="DT235">
        <v>1384</v>
      </c>
      <c r="DU235">
        <v>316</v>
      </c>
      <c r="DV235">
        <v>0</v>
      </c>
      <c r="DW235">
        <v>0</v>
      </c>
      <c r="DX235">
        <v>0</v>
      </c>
      <c r="DY235">
        <v>1430</v>
      </c>
      <c r="DZ235">
        <v>3850</v>
      </c>
      <c r="EA235">
        <v>1430</v>
      </c>
      <c r="EB235">
        <v>4070</v>
      </c>
      <c r="EC235">
        <v>220</v>
      </c>
      <c r="ED235">
        <v>4400</v>
      </c>
      <c r="EE235">
        <v>6600</v>
      </c>
      <c r="EF235">
        <v>0</v>
      </c>
      <c r="EG235">
        <v>0</v>
      </c>
      <c r="EH235">
        <v>1.7</v>
      </c>
      <c r="EI235">
        <v>6.6</v>
      </c>
      <c r="EJ235">
        <v>1.7</v>
      </c>
      <c r="EK235">
        <v>25.7</v>
      </c>
    </row>
    <row r="236" spans="1:141" x14ac:dyDescent="0.25">
      <c r="A236" t="str">
        <f>[1]ingredient!B235</f>
        <v>Linsen gelb</v>
      </c>
      <c r="B236" t="s">
        <v>330</v>
      </c>
      <c r="C236" s="7">
        <f>_xlfn.XLOOKUP(A236,[1]ingredient!$B$2:$B$521,[1]ingredient!$A$2:$A$521)</f>
        <v>234</v>
      </c>
      <c r="D236">
        <v>354</v>
      </c>
      <c r="E236">
        <v>2</v>
      </c>
      <c r="F236">
        <v>27</v>
      </c>
      <c r="G236">
        <v>52</v>
      </c>
      <c r="H236">
        <v>7</v>
      </c>
      <c r="I236">
        <v>2</v>
      </c>
      <c r="J236">
        <v>0.1</v>
      </c>
      <c r="K236">
        <v>8</v>
      </c>
      <c r="L236">
        <v>0</v>
      </c>
      <c r="M236">
        <v>8</v>
      </c>
      <c r="N236">
        <v>0</v>
      </c>
      <c r="O236">
        <v>100</v>
      </c>
      <c r="P236">
        <v>400</v>
      </c>
      <c r="Q236">
        <v>300</v>
      </c>
      <c r="R236">
        <v>2200</v>
      </c>
      <c r="S236">
        <v>6500</v>
      </c>
      <c r="T236">
        <v>1600</v>
      </c>
      <c r="U236">
        <v>600</v>
      </c>
      <c r="V236">
        <v>9</v>
      </c>
      <c r="W236">
        <v>131</v>
      </c>
      <c r="X236">
        <v>0</v>
      </c>
      <c r="Y236">
        <v>1000</v>
      </c>
      <c r="Z236">
        <v>0</v>
      </c>
      <c r="AA236">
        <v>0</v>
      </c>
      <c r="AB236">
        <v>0</v>
      </c>
      <c r="AC236">
        <v>12</v>
      </c>
      <c r="AD236">
        <v>832</v>
      </c>
      <c r="AE236">
        <v>70</v>
      </c>
      <c r="AF236">
        <v>128</v>
      </c>
      <c r="AG236">
        <v>407</v>
      </c>
      <c r="AH236">
        <v>119</v>
      </c>
      <c r="AI236">
        <v>83</v>
      </c>
      <c r="AJ236">
        <v>7400</v>
      </c>
      <c r="AK236">
        <v>3500</v>
      </c>
      <c r="AL236">
        <v>700</v>
      </c>
      <c r="AM236">
        <v>1400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2100</v>
      </c>
      <c r="AY236">
        <v>0</v>
      </c>
      <c r="AZ236">
        <v>0</v>
      </c>
      <c r="BA236">
        <v>2100</v>
      </c>
      <c r="BB236">
        <v>4900</v>
      </c>
      <c r="BC236">
        <v>2356</v>
      </c>
      <c r="BD236">
        <v>0</v>
      </c>
      <c r="BE236">
        <v>45000</v>
      </c>
      <c r="BF236">
        <v>0</v>
      </c>
      <c r="BG236">
        <f t="shared" si="30"/>
        <v>77.938808373590987</v>
      </c>
      <c r="BH236">
        <v>1279</v>
      </c>
      <c r="BI236">
        <v>2046</v>
      </c>
      <c r="BJ236">
        <v>1989</v>
      </c>
      <c r="BK236">
        <v>228</v>
      </c>
      <c r="BL236">
        <v>256</v>
      </c>
      <c r="BM236">
        <v>1421</v>
      </c>
      <c r="BN236">
        <v>909</v>
      </c>
      <c r="BO236">
        <v>1136</v>
      </c>
      <c r="BP236">
        <v>256</v>
      </c>
      <c r="BQ236">
        <v>1535</v>
      </c>
      <c r="BR236">
        <v>2245</v>
      </c>
      <c r="BS236">
        <v>682</v>
      </c>
      <c r="BT236">
        <v>13982</v>
      </c>
      <c r="BU236">
        <v>1222</v>
      </c>
      <c r="BV236">
        <v>3269</v>
      </c>
      <c r="BW236">
        <v>4690</v>
      </c>
      <c r="BX236">
        <v>1166</v>
      </c>
      <c r="BY236">
        <v>1194</v>
      </c>
      <c r="BZ236">
        <v>1478</v>
      </c>
      <c r="CA236">
        <v>13018</v>
      </c>
      <c r="CB236">
        <v>198</v>
      </c>
      <c r="CC236">
        <v>83</v>
      </c>
      <c r="CD236">
        <v>100</v>
      </c>
      <c r="CE236">
        <v>1000</v>
      </c>
      <c r="CF236">
        <v>10</v>
      </c>
      <c r="CG236">
        <v>0</v>
      </c>
      <c r="CH236">
        <v>0.1</v>
      </c>
      <c r="CI236">
        <v>0</v>
      </c>
      <c r="CJ236">
        <v>0</v>
      </c>
      <c r="CK236">
        <v>1</v>
      </c>
      <c r="CL236">
        <v>3</v>
      </c>
      <c r="CM236">
        <v>1</v>
      </c>
      <c r="CN236">
        <v>297</v>
      </c>
      <c r="CO236">
        <v>1</v>
      </c>
      <c r="CP236">
        <v>61</v>
      </c>
      <c r="CQ236">
        <v>19</v>
      </c>
      <c r="CR236">
        <v>12</v>
      </c>
      <c r="CS236">
        <v>6</v>
      </c>
      <c r="CT236">
        <v>400</v>
      </c>
      <c r="CU236">
        <v>0.2</v>
      </c>
      <c r="CV236">
        <v>0</v>
      </c>
      <c r="CW236">
        <v>3</v>
      </c>
      <c r="CX236">
        <v>0</v>
      </c>
      <c r="CY236">
        <v>428</v>
      </c>
      <c r="CZ236">
        <v>12</v>
      </c>
      <c r="DA236">
        <v>3</v>
      </c>
      <c r="DB236">
        <v>0</v>
      </c>
      <c r="DC236">
        <v>400</v>
      </c>
      <c r="DD236">
        <v>0</v>
      </c>
      <c r="DE236">
        <v>0</v>
      </c>
      <c r="DF236">
        <v>1000</v>
      </c>
      <c r="DG236">
        <v>100</v>
      </c>
      <c r="DH236">
        <v>0</v>
      </c>
      <c r="DI236">
        <v>0</v>
      </c>
      <c r="DJ236">
        <v>0.2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1100</v>
      </c>
      <c r="DT236">
        <v>1929</v>
      </c>
      <c r="DU236">
        <v>271</v>
      </c>
      <c r="DV236">
        <v>0</v>
      </c>
      <c r="DW236">
        <v>0.1</v>
      </c>
      <c r="DX236">
        <v>0</v>
      </c>
      <c r="DY236">
        <v>871</v>
      </c>
      <c r="DZ236">
        <v>2345</v>
      </c>
      <c r="EA236">
        <v>871</v>
      </c>
      <c r="EB236">
        <v>2479</v>
      </c>
      <c r="EC236">
        <v>134</v>
      </c>
      <c r="ED236">
        <v>2680</v>
      </c>
      <c r="EE236">
        <v>4020</v>
      </c>
      <c r="EF236">
        <v>0</v>
      </c>
      <c r="EG236">
        <v>0</v>
      </c>
      <c r="EH236">
        <v>1.7</v>
      </c>
      <c r="EI236">
        <v>4</v>
      </c>
      <c r="EJ236">
        <v>2.2000000000000002</v>
      </c>
      <c r="EK236">
        <v>27.7</v>
      </c>
    </row>
    <row r="237" spans="1:141" x14ac:dyDescent="0.25">
      <c r="A237" t="str">
        <f>[1]ingredient!B236</f>
        <v>Linsen grün</v>
      </c>
      <c r="B237" t="s">
        <v>331</v>
      </c>
      <c r="C237" s="7">
        <f>_xlfn.XLOOKUP(A237,[1]ingredient!$B$2:$B$521,[1]ingredient!$A$2:$A$521)</f>
        <v>235</v>
      </c>
      <c r="D237">
        <v>336</v>
      </c>
      <c r="E237">
        <v>2</v>
      </c>
      <c r="F237">
        <v>25</v>
      </c>
      <c r="G237">
        <v>48</v>
      </c>
      <c r="H237">
        <v>12</v>
      </c>
      <c r="I237">
        <v>1</v>
      </c>
      <c r="J237">
        <v>0.09</v>
      </c>
      <c r="K237">
        <v>9</v>
      </c>
      <c r="L237">
        <v>0</v>
      </c>
      <c r="M237">
        <v>8</v>
      </c>
      <c r="N237">
        <v>0</v>
      </c>
      <c r="O237">
        <v>100</v>
      </c>
      <c r="P237">
        <v>400</v>
      </c>
      <c r="Q237">
        <v>300</v>
      </c>
      <c r="R237">
        <v>2200</v>
      </c>
      <c r="S237">
        <v>6200</v>
      </c>
      <c r="T237">
        <v>1600</v>
      </c>
      <c r="U237">
        <v>600</v>
      </c>
      <c r="V237">
        <v>9</v>
      </c>
      <c r="W237">
        <v>132</v>
      </c>
      <c r="X237">
        <v>0</v>
      </c>
      <c r="Y237">
        <v>1000</v>
      </c>
      <c r="Z237">
        <v>0</v>
      </c>
      <c r="AA237">
        <v>0</v>
      </c>
      <c r="AB237">
        <v>22</v>
      </c>
      <c r="AC237">
        <v>4</v>
      </c>
      <c r="AD237">
        <v>840</v>
      </c>
      <c r="AE237">
        <v>71</v>
      </c>
      <c r="AF237">
        <v>129</v>
      </c>
      <c r="AG237">
        <v>411</v>
      </c>
      <c r="AH237">
        <v>120</v>
      </c>
      <c r="AI237">
        <v>84</v>
      </c>
      <c r="AJ237">
        <v>7500</v>
      </c>
      <c r="AK237">
        <v>3600</v>
      </c>
      <c r="AL237">
        <v>700</v>
      </c>
      <c r="AM237">
        <v>1400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1200</v>
      </c>
      <c r="AY237">
        <v>0</v>
      </c>
      <c r="AZ237">
        <v>0</v>
      </c>
      <c r="BA237">
        <v>1200</v>
      </c>
      <c r="BB237">
        <v>4700</v>
      </c>
      <c r="BC237">
        <v>2380</v>
      </c>
      <c r="BD237">
        <v>0</v>
      </c>
      <c r="BE237">
        <v>42100</v>
      </c>
      <c r="BF237">
        <v>0</v>
      </c>
      <c r="BG237">
        <f t="shared" si="30"/>
        <v>77.913043478260875</v>
      </c>
      <c r="BH237">
        <v>1184</v>
      </c>
      <c r="BI237">
        <v>1895</v>
      </c>
      <c r="BJ237">
        <v>1841</v>
      </c>
      <c r="BK237">
        <v>211</v>
      </c>
      <c r="BL237">
        <v>237</v>
      </c>
      <c r="BM237">
        <v>1316</v>
      </c>
      <c r="BN237">
        <v>842</v>
      </c>
      <c r="BO237">
        <v>1052</v>
      </c>
      <c r="BP237">
        <v>237</v>
      </c>
      <c r="BQ237">
        <v>1421</v>
      </c>
      <c r="BR237">
        <v>2079</v>
      </c>
      <c r="BS237">
        <v>632</v>
      </c>
      <c r="BT237">
        <v>12946</v>
      </c>
      <c r="BU237">
        <v>1132</v>
      </c>
      <c r="BV237">
        <v>3027</v>
      </c>
      <c r="BW237">
        <v>4342</v>
      </c>
      <c r="BX237">
        <v>1080</v>
      </c>
      <c r="BY237">
        <v>1105</v>
      </c>
      <c r="BZ237">
        <v>1368</v>
      </c>
      <c r="CA237">
        <v>12054</v>
      </c>
      <c r="CB237">
        <v>200</v>
      </c>
      <c r="CC237">
        <v>67</v>
      </c>
      <c r="CD237">
        <v>100</v>
      </c>
      <c r="CE237">
        <v>600</v>
      </c>
      <c r="CF237">
        <v>6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353</v>
      </c>
      <c r="CO237">
        <v>0</v>
      </c>
      <c r="CP237">
        <v>23</v>
      </c>
      <c r="CQ237">
        <v>23</v>
      </c>
      <c r="CR237">
        <v>0</v>
      </c>
      <c r="CS237">
        <v>0</v>
      </c>
      <c r="CT237">
        <v>400</v>
      </c>
      <c r="CU237">
        <v>0</v>
      </c>
      <c r="CV237">
        <v>0</v>
      </c>
      <c r="CW237">
        <v>0</v>
      </c>
      <c r="CX237">
        <v>0</v>
      </c>
      <c r="CY237">
        <v>248</v>
      </c>
      <c r="CZ237">
        <v>12</v>
      </c>
      <c r="DA237">
        <v>0</v>
      </c>
      <c r="DB237">
        <v>0</v>
      </c>
      <c r="DC237">
        <v>300</v>
      </c>
      <c r="DD237">
        <v>0</v>
      </c>
      <c r="DE237">
        <v>0</v>
      </c>
      <c r="DF237">
        <v>600</v>
      </c>
      <c r="DG237">
        <v>100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700</v>
      </c>
      <c r="DT237">
        <v>1357</v>
      </c>
      <c r="DU237">
        <v>343</v>
      </c>
      <c r="DV237">
        <v>0</v>
      </c>
      <c r="DW237">
        <v>0</v>
      </c>
      <c r="DX237">
        <v>0</v>
      </c>
      <c r="DY237">
        <v>1560</v>
      </c>
      <c r="DZ237">
        <v>4200</v>
      </c>
      <c r="EA237">
        <v>1560</v>
      </c>
      <c r="EB237">
        <v>4440</v>
      </c>
      <c r="EC237">
        <v>240</v>
      </c>
      <c r="ED237">
        <v>4800</v>
      </c>
      <c r="EE237">
        <v>7200</v>
      </c>
      <c r="EF237">
        <v>0</v>
      </c>
      <c r="EG237">
        <v>0</v>
      </c>
      <c r="EH237">
        <v>1.7</v>
      </c>
      <c r="EI237">
        <v>7.2</v>
      </c>
      <c r="EJ237">
        <v>1.7</v>
      </c>
      <c r="EK237">
        <v>25.6</v>
      </c>
    </row>
    <row r="238" spans="1:141" x14ac:dyDescent="0.25">
      <c r="A238" t="str">
        <f>[1]ingredient!B237</f>
        <v>Linsen rot</v>
      </c>
      <c r="B238" t="s">
        <v>332</v>
      </c>
      <c r="C238" s="7">
        <f>_xlfn.XLOOKUP(A238,[1]ingredient!$B$2:$B$521,[1]ingredient!$A$2:$A$521)</f>
        <v>236</v>
      </c>
      <c r="D238">
        <v>378</v>
      </c>
      <c r="E238">
        <v>2</v>
      </c>
      <c r="F238">
        <v>25</v>
      </c>
      <c r="G238">
        <v>59</v>
      </c>
      <c r="H238">
        <v>9</v>
      </c>
      <c r="I238">
        <v>1</v>
      </c>
      <c r="J238">
        <v>0.09</v>
      </c>
      <c r="K238">
        <v>1</v>
      </c>
      <c r="L238">
        <v>0</v>
      </c>
      <c r="M238">
        <v>8</v>
      </c>
      <c r="N238">
        <v>0</v>
      </c>
      <c r="O238">
        <v>100</v>
      </c>
      <c r="P238">
        <v>400</v>
      </c>
      <c r="Q238">
        <v>300</v>
      </c>
      <c r="R238">
        <v>2200</v>
      </c>
      <c r="S238">
        <v>6200</v>
      </c>
      <c r="T238">
        <v>1600</v>
      </c>
      <c r="U238">
        <v>600</v>
      </c>
      <c r="V238">
        <v>9</v>
      </c>
      <c r="W238">
        <v>132</v>
      </c>
      <c r="X238">
        <v>0</v>
      </c>
      <c r="Y238">
        <v>1000</v>
      </c>
      <c r="Z238">
        <v>0</v>
      </c>
      <c r="AA238">
        <v>0</v>
      </c>
      <c r="AB238">
        <v>0</v>
      </c>
      <c r="AC238">
        <v>4</v>
      </c>
      <c r="AD238">
        <v>840</v>
      </c>
      <c r="AE238">
        <v>71</v>
      </c>
      <c r="AF238">
        <v>129</v>
      </c>
      <c r="AG238">
        <v>411</v>
      </c>
      <c r="AH238">
        <v>120</v>
      </c>
      <c r="AI238">
        <v>84</v>
      </c>
      <c r="AJ238">
        <v>7500</v>
      </c>
      <c r="AK238">
        <v>3600</v>
      </c>
      <c r="AL238">
        <v>700</v>
      </c>
      <c r="AM238">
        <v>1400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500</v>
      </c>
      <c r="AY238">
        <v>0</v>
      </c>
      <c r="AZ238">
        <v>0</v>
      </c>
      <c r="BA238">
        <v>500</v>
      </c>
      <c r="BB238">
        <v>2500</v>
      </c>
      <c r="BC238">
        <v>2380</v>
      </c>
      <c r="BD238">
        <v>0</v>
      </c>
      <c r="BE238">
        <v>56000</v>
      </c>
      <c r="BF238">
        <v>0</v>
      </c>
      <c r="BG238">
        <f t="shared" si="30"/>
        <v>77.913043478260875</v>
      </c>
      <c r="BH238">
        <v>1184</v>
      </c>
      <c r="BI238">
        <v>1895</v>
      </c>
      <c r="BJ238">
        <v>1841</v>
      </c>
      <c r="BK238">
        <v>211</v>
      </c>
      <c r="BL238">
        <v>237</v>
      </c>
      <c r="BM238">
        <v>1316</v>
      </c>
      <c r="BN238">
        <v>842</v>
      </c>
      <c r="BO238">
        <v>1052</v>
      </c>
      <c r="BP238">
        <v>237</v>
      </c>
      <c r="BQ238">
        <v>1421</v>
      </c>
      <c r="BR238">
        <v>2079</v>
      </c>
      <c r="BS238">
        <v>632</v>
      </c>
      <c r="BT238">
        <v>12946</v>
      </c>
      <c r="BU238">
        <v>1132</v>
      </c>
      <c r="BV238">
        <v>3027</v>
      </c>
      <c r="BW238">
        <v>4342</v>
      </c>
      <c r="BX238">
        <v>1080</v>
      </c>
      <c r="BY238">
        <v>1105</v>
      </c>
      <c r="BZ238">
        <v>1368</v>
      </c>
      <c r="CA238">
        <v>12054</v>
      </c>
      <c r="CB238">
        <v>200</v>
      </c>
      <c r="CC238">
        <v>83</v>
      </c>
      <c r="CD238">
        <v>200</v>
      </c>
      <c r="CE238">
        <v>800</v>
      </c>
      <c r="CF238">
        <v>4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353</v>
      </c>
      <c r="CO238">
        <v>0</v>
      </c>
      <c r="CP238">
        <v>23</v>
      </c>
      <c r="CQ238">
        <v>23</v>
      </c>
      <c r="CR238">
        <v>0</v>
      </c>
      <c r="CS238">
        <v>0</v>
      </c>
      <c r="CT238">
        <v>400</v>
      </c>
      <c r="CU238">
        <v>0</v>
      </c>
      <c r="CV238">
        <v>0</v>
      </c>
      <c r="CW238">
        <v>0</v>
      </c>
      <c r="CX238">
        <v>0</v>
      </c>
      <c r="CY238">
        <v>343</v>
      </c>
      <c r="CZ238">
        <v>17</v>
      </c>
      <c r="DA238">
        <v>0</v>
      </c>
      <c r="DB238">
        <v>0</v>
      </c>
      <c r="DC238">
        <v>400</v>
      </c>
      <c r="DD238">
        <v>0</v>
      </c>
      <c r="DE238">
        <v>0</v>
      </c>
      <c r="DF238">
        <v>800</v>
      </c>
      <c r="DG238">
        <v>200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1000</v>
      </c>
      <c r="DT238">
        <v>1726</v>
      </c>
      <c r="DU238">
        <v>475</v>
      </c>
      <c r="DV238">
        <v>0</v>
      </c>
      <c r="DW238">
        <v>0</v>
      </c>
      <c r="DX238">
        <v>0</v>
      </c>
      <c r="DY238">
        <v>1170</v>
      </c>
      <c r="DZ238">
        <v>3150</v>
      </c>
      <c r="EA238">
        <v>1170</v>
      </c>
      <c r="EB238">
        <v>3330</v>
      </c>
      <c r="EC238">
        <v>180</v>
      </c>
      <c r="ED238">
        <v>3600</v>
      </c>
      <c r="EE238">
        <v>5400</v>
      </c>
      <c r="EF238">
        <v>0</v>
      </c>
      <c r="EG238">
        <v>0</v>
      </c>
      <c r="EH238">
        <v>1.7</v>
      </c>
      <c r="EI238">
        <v>5.4</v>
      </c>
      <c r="EJ238">
        <v>2.2000000000000002</v>
      </c>
      <c r="EK238">
        <v>25.7</v>
      </c>
    </row>
    <row r="239" spans="1:141" x14ac:dyDescent="0.25">
      <c r="A239" t="str">
        <f>[1]ingredient!B238</f>
        <v>Linsen-Sprossen</v>
      </c>
      <c r="B239" t="s">
        <v>333</v>
      </c>
      <c r="C239" s="7">
        <f>_xlfn.XLOOKUP(A239,[1]ingredient!$B$2:$B$521,[1]ingredient!$A$2:$A$521)</f>
        <v>237</v>
      </c>
      <c r="D239">
        <v>113</v>
      </c>
      <c r="E239">
        <v>0.48</v>
      </c>
      <c r="F239">
        <v>9</v>
      </c>
      <c r="G239">
        <v>18</v>
      </c>
      <c r="H239">
        <v>3</v>
      </c>
      <c r="I239">
        <v>9</v>
      </c>
      <c r="J239">
        <v>0.11</v>
      </c>
      <c r="K239">
        <v>64</v>
      </c>
      <c r="L239">
        <v>5</v>
      </c>
      <c r="M239">
        <v>2</v>
      </c>
      <c r="N239">
        <v>0</v>
      </c>
      <c r="O239">
        <v>26</v>
      </c>
      <c r="P239">
        <v>175</v>
      </c>
      <c r="Q239">
        <v>99</v>
      </c>
      <c r="R239">
        <v>838</v>
      </c>
      <c r="S239">
        <v>1988</v>
      </c>
      <c r="T239">
        <v>440</v>
      </c>
      <c r="U239">
        <v>145</v>
      </c>
      <c r="V239">
        <v>5</v>
      </c>
      <c r="W239">
        <v>57</v>
      </c>
      <c r="X239">
        <v>0</v>
      </c>
      <c r="Y239">
        <v>11000</v>
      </c>
      <c r="Z239">
        <v>0</v>
      </c>
      <c r="AA239">
        <v>77</v>
      </c>
      <c r="AB239">
        <v>5</v>
      </c>
      <c r="AC239">
        <v>5</v>
      </c>
      <c r="AD239">
        <v>307</v>
      </c>
      <c r="AE239">
        <v>36</v>
      </c>
      <c r="AF239">
        <v>41</v>
      </c>
      <c r="AG239">
        <v>169</v>
      </c>
      <c r="AH239">
        <v>30</v>
      </c>
      <c r="AI239">
        <v>100</v>
      </c>
      <c r="AJ239">
        <v>3052</v>
      </c>
      <c r="AK239">
        <v>1440</v>
      </c>
      <c r="AL239">
        <v>338</v>
      </c>
      <c r="AM239">
        <v>491</v>
      </c>
      <c r="AN239">
        <v>15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4353</v>
      </c>
      <c r="AU239">
        <v>4354</v>
      </c>
      <c r="AV239">
        <v>0</v>
      </c>
      <c r="AW239">
        <v>8707</v>
      </c>
      <c r="AX239">
        <v>363</v>
      </c>
      <c r="AY239">
        <v>0</v>
      </c>
      <c r="AZ239">
        <v>0</v>
      </c>
      <c r="BA239">
        <v>363</v>
      </c>
      <c r="BB239">
        <v>908</v>
      </c>
      <c r="BC239">
        <v>0</v>
      </c>
      <c r="BD239">
        <v>0</v>
      </c>
      <c r="BE239">
        <v>8165</v>
      </c>
      <c r="BF239">
        <v>8165</v>
      </c>
      <c r="BG239">
        <f t="shared" si="30"/>
        <v>104.72222222222223</v>
      </c>
      <c r="BH239">
        <v>309</v>
      </c>
      <c r="BI239">
        <v>600</v>
      </c>
      <c r="BJ239">
        <v>676</v>
      </c>
      <c r="BK239">
        <v>94</v>
      </c>
      <c r="BL239">
        <v>317</v>
      </c>
      <c r="BM239">
        <v>420</v>
      </c>
      <c r="BN239">
        <v>240</v>
      </c>
      <c r="BO239">
        <v>309</v>
      </c>
      <c r="BP239">
        <v>69</v>
      </c>
      <c r="BQ239">
        <v>377</v>
      </c>
      <c r="BR239">
        <v>583</v>
      </c>
      <c r="BS239">
        <v>240</v>
      </c>
      <c r="BT239">
        <v>4234</v>
      </c>
      <c r="BU239">
        <v>334</v>
      </c>
      <c r="BV239">
        <v>1371</v>
      </c>
      <c r="BW239">
        <v>1209</v>
      </c>
      <c r="BX239">
        <v>300</v>
      </c>
      <c r="BY239">
        <v>334</v>
      </c>
      <c r="BZ239">
        <v>446</v>
      </c>
      <c r="CA239">
        <v>3994</v>
      </c>
      <c r="CB239">
        <v>11</v>
      </c>
      <c r="CC239">
        <v>5</v>
      </c>
      <c r="CD239">
        <v>37</v>
      </c>
      <c r="CE239">
        <v>173</v>
      </c>
      <c r="CF239">
        <v>4.68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50</v>
      </c>
      <c r="CO239">
        <v>0</v>
      </c>
      <c r="CP239">
        <v>6</v>
      </c>
      <c r="CQ239">
        <v>0</v>
      </c>
      <c r="CR239">
        <v>0</v>
      </c>
      <c r="CS239">
        <v>0</v>
      </c>
      <c r="CT239">
        <v>56</v>
      </c>
      <c r="CU239">
        <v>0</v>
      </c>
      <c r="CV239">
        <v>0</v>
      </c>
      <c r="CW239">
        <v>0</v>
      </c>
      <c r="CX239">
        <v>0</v>
      </c>
      <c r="CY239">
        <v>102</v>
      </c>
      <c r="CZ239">
        <v>0</v>
      </c>
      <c r="DA239">
        <v>0</v>
      </c>
      <c r="DB239">
        <v>0</v>
      </c>
      <c r="DC239">
        <v>102</v>
      </c>
      <c r="DD239">
        <v>0</v>
      </c>
      <c r="DE239">
        <v>0</v>
      </c>
      <c r="DF239">
        <v>173</v>
      </c>
      <c r="DG239">
        <v>37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210</v>
      </c>
      <c r="DT239">
        <v>368</v>
      </c>
      <c r="DU239">
        <v>108</v>
      </c>
      <c r="DV239">
        <v>0</v>
      </c>
      <c r="DW239">
        <v>0</v>
      </c>
      <c r="DX239">
        <v>0</v>
      </c>
      <c r="DY239">
        <v>378</v>
      </c>
      <c r="DZ239">
        <v>1017</v>
      </c>
      <c r="EA239">
        <v>378</v>
      </c>
      <c r="EB239">
        <v>1074</v>
      </c>
      <c r="EC239">
        <v>58</v>
      </c>
      <c r="ED239">
        <v>1452</v>
      </c>
      <c r="EE239">
        <v>1452</v>
      </c>
      <c r="EF239">
        <v>0</v>
      </c>
      <c r="EG239">
        <v>0.28999999999999998</v>
      </c>
      <c r="EH239">
        <v>5.7</v>
      </c>
      <c r="EI239">
        <v>1.5</v>
      </c>
      <c r="EJ239">
        <v>0.5</v>
      </c>
      <c r="EK239">
        <v>8.3000000000000007</v>
      </c>
    </row>
    <row r="240" spans="1:141" x14ac:dyDescent="0.25">
      <c r="A240" t="str">
        <f>[1]ingredient!B239</f>
        <v>Linsenwaffeln</v>
      </c>
      <c r="B240" t="s">
        <v>334</v>
      </c>
      <c r="C240" s="7">
        <f>_xlfn.XLOOKUP(A240,[1]ingredient!$B$2:$B$521,[1]ingredient!$A$2:$A$521)</f>
        <v>238</v>
      </c>
      <c r="D240">
        <v>365</v>
      </c>
      <c r="E240">
        <v>1</v>
      </c>
      <c r="F240">
        <v>27</v>
      </c>
      <c r="G240">
        <v>58</v>
      </c>
      <c r="H240">
        <v>5</v>
      </c>
      <c r="I240">
        <v>2</v>
      </c>
      <c r="J240">
        <v>1</v>
      </c>
      <c r="K240">
        <v>4</v>
      </c>
      <c r="L240">
        <v>0</v>
      </c>
      <c r="M240">
        <v>8</v>
      </c>
      <c r="N240">
        <v>0</v>
      </c>
      <c r="O240">
        <v>100</v>
      </c>
      <c r="P240">
        <v>200</v>
      </c>
      <c r="Q240">
        <v>200</v>
      </c>
      <c r="R240">
        <v>1600</v>
      </c>
      <c r="S240">
        <v>5900</v>
      </c>
      <c r="T240">
        <v>1000</v>
      </c>
      <c r="U240">
        <v>400</v>
      </c>
      <c r="V240">
        <v>5</v>
      </c>
      <c r="W240">
        <v>68</v>
      </c>
      <c r="X240">
        <v>0</v>
      </c>
      <c r="Y240">
        <v>500</v>
      </c>
      <c r="Z240">
        <v>0</v>
      </c>
      <c r="AA240">
        <v>0</v>
      </c>
      <c r="AB240">
        <v>11</v>
      </c>
      <c r="AC240">
        <v>200</v>
      </c>
      <c r="AD240">
        <v>864</v>
      </c>
      <c r="AE240">
        <v>73</v>
      </c>
      <c r="AF240">
        <v>133</v>
      </c>
      <c r="AG240">
        <v>422</v>
      </c>
      <c r="AH240">
        <v>124</v>
      </c>
      <c r="AI240">
        <v>387</v>
      </c>
      <c r="AJ240">
        <v>7700</v>
      </c>
      <c r="AK240">
        <v>3700</v>
      </c>
      <c r="AL240">
        <v>700</v>
      </c>
      <c r="AM240">
        <v>1400</v>
      </c>
      <c r="AN240">
        <v>0</v>
      </c>
      <c r="AO240">
        <v>11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1500</v>
      </c>
      <c r="AY240">
        <v>0</v>
      </c>
      <c r="AZ240">
        <v>0</v>
      </c>
      <c r="BA240">
        <v>1500</v>
      </c>
      <c r="BB240">
        <v>5500</v>
      </c>
      <c r="BC240">
        <v>2446</v>
      </c>
      <c r="BD240">
        <v>0</v>
      </c>
      <c r="BE240">
        <v>51000</v>
      </c>
      <c r="BF240">
        <v>0</v>
      </c>
      <c r="BG240">
        <f t="shared" si="30"/>
        <v>77.938808373590987</v>
      </c>
      <c r="BH240">
        <v>1279</v>
      </c>
      <c r="BI240">
        <v>2046</v>
      </c>
      <c r="BJ240">
        <v>1989</v>
      </c>
      <c r="BK240">
        <v>228</v>
      </c>
      <c r="BL240">
        <v>256</v>
      </c>
      <c r="BM240">
        <v>1422</v>
      </c>
      <c r="BN240">
        <v>909</v>
      </c>
      <c r="BO240">
        <v>1136</v>
      </c>
      <c r="BP240">
        <v>256</v>
      </c>
      <c r="BQ240">
        <v>1535</v>
      </c>
      <c r="BR240">
        <v>2245</v>
      </c>
      <c r="BS240">
        <v>683</v>
      </c>
      <c r="BT240">
        <v>13983</v>
      </c>
      <c r="BU240">
        <v>1223</v>
      </c>
      <c r="BV240">
        <v>3268</v>
      </c>
      <c r="BW240">
        <v>4690</v>
      </c>
      <c r="BX240">
        <v>1166</v>
      </c>
      <c r="BY240">
        <v>1194</v>
      </c>
      <c r="BZ240">
        <v>1477</v>
      </c>
      <c r="CA240">
        <v>13017</v>
      </c>
      <c r="CB240">
        <v>206</v>
      </c>
      <c r="CC240">
        <v>69</v>
      </c>
      <c r="CD240">
        <v>100</v>
      </c>
      <c r="CE240">
        <v>300</v>
      </c>
      <c r="CF240">
        <v>3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177</v>
      </c>
      <c r="CO240">
        <v>0</v>
      </c>
      <c r="CP240">
        <v>11</v>
      </c>
      <c r="CQ240">
        <v>11</v>
      </c>
      <c r="CR240">
        <v>0</v>
      </c>
      <c r="CS240">
        <v>0</v>
      </c>
      <c r="CT240">
        <v>200</v>
      </c>
      <c r="CU240">
        <v>0</v>
      </c>
      <c r="CV240">
        <v>0</v>
      </c>
      <c r="CW240">
        <v>0</v>
      </c>
      <c r="CX240">
        <v>0</v>
      </c>
      <c r="CY240">
        <v>152</v>
      </c>
      <c r="CZ240">
        <v>7</v>
      </c>
      <c r="DA240">
        <v>0</v>
      </c>
      <c r="DB240">
        <v>0</v>
      </c>
      <c r="DC240">
        <v>200</v>
      </c>
      <c r="DD240">
        <v>0</v>
      </c>
      <c r="DE240">
        <v>0</v>
      </c>
      <c r="DF240">
        <v>300</v>
      </c>
      <c r="DG240">
        <v>100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400</v>
      </c>
      <c r="DT240">
        <v>790</v>
      </c>
      <c r="DU240">
        <v>211</v>
      </c>
      <c r="DV240">
        <v>0</v>
      </c>
      <c r="DW240">
        <v>0</v>
      </c>
      <c r="DX240">
        <v>0</v>
      </c>
      <c r="DY240">
        <v>702</v>
      </c>
      <c r="DZ240">
        <v>1890</v>
      </c>
      <c r="EA240">
        <v>702</v>
      </c>
      <c r="EB240">
        <v>1999</v>
      </c>
      <c r="EC240">
        <v>108</v>
      </c>
      <c r="ED240">
        <v>2160</v>
      </c>
      <c r="EE240">
        <v>3240</v>
      </c>
      <c r="EF240">
        <v>0</v>
      </c>
      <c r="EG240">
        <v>0</v>
      </c>
      <c r="EH240">
        <v>2.2000000000000002</v>
      </c>
      <c r="EI240">
        <v>3.2</v>
      </c>
      <c r="EJ240">
        <v>1</v>
      </c>
      <c r="EK240">
        <v>27.6</v>
      </c>
    </row>
    <row r="241" spans="1:141" x14ac:dyDescent="0.25">
      <c r="A241" t="str">
        <f>[1]ingredient!B240</f>
        <v>Lorbeerblätter</v>
      </c>
      <c r="B241" t="s">
        <v>335</v>
      </c>
      <c r="C241" s="7">
        <f>_xlfn.XLOOKUP(A241,[1]ingredient!$B$2:$B$521,[1]ingredient!$A$2:$A$521)</f>
        <v>239</v>
      </c>
      <c r="D241">
        <v>303</v>
      </c>
      <c r="E241">
        <v>8</v>
      </c>
      <c r="F241">
        <v>8</v>
      </c>
      <c r="G241">
        <v>49</v>
      </c>
      <c r="H241">
        <v>26</v>
      </c>
      <c r="I241">
        <v>48</v>
      </c>
      <c r="J241">
        <v>0.22</v>
      </c>
      <c r="K241">
        <v>5</v>
      </c>
      <c r="L241">
        <v>618</v>
      </c>
      <c r="M241">
        <v>309</v>
      </c>
      <c r="N241">
        <v>0</v>
      </c>
      <c r="O241">
        <v>3710</v>
      </c>
      <c r="P241">
        <v>10</v>
      </c>
      <c r="Q241">
        <v>420</v>
      </c>
      <c r="R241">
        <v>2000</v>
      </c>
      <c r="S241">
        <v>3267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23</v>
      </c>
      <c r="AD241">
        <v>529</v>
      </c>
      <c r="AE241">
        <v>830</v>
      </c>
      <c r="AF241">
        <v>120</v>
      </c>
      <c r="AG241">
        <v>110</v>
      </c>
      <c r="AH241">
        <v>100</v>
      </c>
      <c r="AI241">
        <v>200</v>
      </c>
      <c r="AJ241">
        <v>43000</v>
      </c>
      <c r="AK241">
        <v>3700</v>
      </c>
      <c r="AL241">
        <v>420</v>
      </c>
      <c r="AM241">
        <v>8200</v>
      </c>
      <c r="AN241">
        <v>400</v>
      </c>
      <c r="AO241">
        <v>5</v>
      </c>
      <c r="AP241">
        <v>0</v>
      </c>
      <c r="AQ241">
        <v>0</v>
      </c>
      <c r="AR241">
        <v>0</v>
      </c>
      <c r="AS241">
        <v>0</v>
      </c>
      <c r="AT241">
        <v>19440</v>
      </c>
      <c r="AU241">
        <v>19440</v>
      </c>
      <c r="AV241">
        <v>0</v>
      </c>
      <c r="AW241">
        <v>38880</v>
      </c>
      <c r="AX241">
        <v>9234</v>
      </c>
      <c r="AY241">
        <v>0</v>
      </c>
      <c r="AZ241">
        <v>0</v>
      </c>
      <c r="BA241">
        <v>9234</v>
      </c>
      <c r="BB241">
        <v>0</v>
      </c>
      <c r="BC241">
        <v>0</v>
      </c>
      <c r="BD241">
        <v>0</v>
      </c>
      <c r="BE241">
        <v>486</v>
      </c>
      <c r="BF241">
        <v>486</v>
      </c>
      <c r="BG241">
        <f t="shared" si="30"/>
        <v>89.0625</v>
      </c>
      <c r="BH241">
        <v>304</v>
      </c>
      <c r="BI241">
        <v>456</v>
      </c>
      <c r="BJ241">
        <v>380</v>
      </c>
      <c r="BK241">
        <v>91</v>
      </c>
      <c r="BL241">
        <v>76</v>
      </c>
      <c r="BM241">
        <v>228</v>
      </c>
      <c r="BN241">
        <v>152</v>
      </c>
      <c r="BO241">
        <v>266</v>
      </c>
      <c r="BP241">
        <v>76</v>
      </c>
      <c r="BQ241">
        <v>304</v>
      </c>
      <c r="BR241">
        <v>304</v>
      </c>
      <c r="BS241">
        <v>114</v>
      </c>
      <c r="BT241">
        <v>2751</v>
      </c>
      <c r="BU241">
        <v>380</v>
      </c>
      <c r="BV241">
        <v>760</v>
      </c>
      <c r="BW241">
        <v>1140</v>
      </c>
      <c r="BX241">
        <v>213</v>
      </c>
      <c r="BY241">
        <v>304</v>
      </c>
      <c r="BZ241">
        <v>228</v>
      </c>
      <c r="CA241">
        <v>3025</v>
      </c>
      <c r="CB241">
        <v>110</v>
      </c>
      <c r="CC241">
        <v>46</v>
      </c>
      <c r="CD241">
        <v>1064</v>
      </c>
      <c r="CE241">
        <v>1252</v>
      </c>
      <c r="CF241">
        <v>1.18</v>
      </c>
      <c r="CG241">
        <v>0</v>
      </c>
      <c r="CH241">
        <v>0</v>
      </c>
      <c r="CI241">
        <v>6</v>
      </c>
      <c r="CJ241">
        <v>6</v>
      </c>
      <c r="CK241">
        <v>563</v>
      </c>
      <c r="CL241">
        <v>225</v>
      </c>
      <c r="CM241">
        <v>0</v>
      </c>
      <c r="CN241">
        <v>1327</v>
      </c>
      <c r="CO241">
        <v>0</v>
      </c>
      <c r="CP241">
        <v>169</v>
      </c>
      <c r="CQ241">
        <v>0</v>
      </c>
      <c r="CR241">
        <v>0</v>
      </c>
      <c r="CS241">
        <v>0</v>
      </c>
      <c r="CT241">
        <v>2296</v>
      </c>
      <c r="CU241">
        <v>0</v>
      </c>
      <c r="CV241">
        <v>0</v>
      </c>
      <c r="CW241">
        <v>138</v>
      </c>
      <c r="CX241">
        <v>0</v>
      </c>
      <c r="CY241">
        <v>1508</v>
      </c>
      <c r="CZ241">
        <v>0</v>
      </c>
      <c r="DA241">
        <v>0</v>
      </c>
      <c r="DB241">
        <v>0</v>
      </c>
      <c r="DC241">
        <v>1646</v>
      </c>
      <c r="DD241">
        <v>0</v>
      </c>
      <c r="DE241">
        <v>0</v>
      </c>
      <c r="DF241">
        <v>1252</v>
      </c>
      <c r="DG241">
        <v>1064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2316</v>
      </c>
      <c r="DT241">
        <v>6246</v>
      </c>
      <c r="DU241">
        <v>2142</v>
      </c>
      <c r="DV241">
        <v>0</v>
      </c>
      <c r="DW241">
        <v>0</v>
      </c>
      <c r="DX241">
        <v>12</v>
      </c>
      <c r="DY241">
        <v>3948</v>
      </c>
      <c r="DZ241">
        <v>5264</v>
      </c>
      <c r="EA241">
        <v>7106</v>
      </c>
      <c r="EB241">
        <v>9212</v>
      </c>
      <c r="EC241">
        <v>790</v>
      </c>
      <c r="ED241">
        <v>7896</v>
      </c>
      <c r="EE241">
        <v>18424</v>
      </c>
      <c r="EF241">
        <v>0</v>
      </c>
      <c r="EG241">
        <v>0.08</v>
      </c>
      <c r="EH241">
        <v>3.6</v>
      </c>
      <c r="EI241">
        <v>18.399999999999999</v>
      </c>
      <c r="EJ241">
        <v>8.4</v>
      </c>
      <c r="EK241">
        <v>6.1</v>
      </c>
    </row>
    <row r="242" spans="1:141" x14ac:dyDescent="0.25">
      <c r="A242" t="str">
        <f>[1]ingredient!B242</f>
        <v>Lupinenkerne</v>
      </c>
      <c r="B242" t="s">
        <v>336</v>
      </c>
      <c r="C242" s="7">
        <f>_xlfn.XLOOKUP(A242,[1]ingredient!$B$2:$B$521,[1]ingredient!$A$2:$A$521)</f>
        <v>241</v>
      </c>
      <c r="D242">
        <v>362</v>
      </c>
      <c r="E242">
        <v>9</v>
      </c>
      <c r="F242">
        <v>43</v>
      </c>
      <c r="G242">
        <v>13</v>
      </c>
      <c r="H242">
        <v>27</v>
      </c>
      <c r="I242">
        <v>3</v>
      </c>
      <c r="J242">
        <v>0.09</v>
      </c>
      <c r="K242">
        <v>3</v>
      </c>
      <c r="L242">
        <v>0</v>
      </c>
      <c r="M242">
        <v>0</v>
      </c>
      <c r="N242">
        <v>0</v>
      </c>
      <c r="O242">
        <v>0</v>
      </c>
      <c r="P242">
        <v>300</v>
      </c>
      <c r="Q242">
        <v>200</v>
      </c>
      <c r="R242">
        <v>1600</v>
      </c>
      <c r="S242">
        <v>7300</v>
      </c>
      <c r="T242">
        <v>500</v>
      </c>
      <c r="U242">
        <v>200</v>
      </c>
      <c r="V242">
        <v>10</v>
      </c>
      <c r="W242">
        <v>188</v>
      </c>
      <c r="X242">
        <v>0</v>
      </c>
      <c r="Y242">
        <v>2500</v>
      </c>
      <c r="Z242">
        <v>0</v>
      </c>
      <c r="AA242">
        <v>0</v>
      </c>
      <c r="AB242">
        <v>43</v>
      </c>
      <c r="AC242">
        <v>36</v>
      </c>
      <c r="AD242">
        <v>1064</v>
      </c>
      <c r="AE242">
        <v>185</v>
      </c>
      <c r="AF242">
        <v>208</v>
      </c>
      <c r="AG242">
        <v>462</v>
      </c>
      <c r="AH242">
        <v>137</v>
      </c>
      <c r="AI242">
        <v>58</v>
      </c>
      <c r="AJ242">
        <v>4600</v>
      </c>
      <c r="AK242">
        <v>5000</v>
      </c>
      <c r="AL242">
        <v>1100</v>
      </c>
      <c r="AM242">
        <v>2500</v>
      </c>
      <c r="AN242">
        <v>0</v>
      </c>
      <c r="AO242">
        <v>15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2700</v>
      </c>
      <c r="AY242">
        <v>0</v>
      </c>
      <c r="AZ242">
        <v>0</v>
      </c>
      <c r="BA242">
        <v>2700</v>
      </c>
      <c r="BB242">
        <v>100</v>
      </c>
      <c r="BC242">
        <v>3530</v>
      </c>
      <c r="BD242">
        <v>0</v>
      </c>
      <c r="BE242">
        <v>10000</v>
      </c>
      <c r="BF242">
        <v>0</v>
      </c>
      <c r="BG242">
        <f t="shared" si="30"/>
        <v>83.215369059656226</v>
      </c>
      <c r="BH242">
        <v>1894</v>
      </c>
      <c r="BI242">
        <v>3218</v>
      </c>
      <c r="BJ242">
        <v>2268</v>
      </c>
      <c r="BK242">
        <v>299</v>
      </c>
      <c r="BL242">
        <v>524</v>
      </c>
      <c r="BM242">
        <v>1684</v>
      </c>
      <c r="BN242">
        <v>1595</v>
      </c>
      <c r="BO242">
        <v>1562</v>
      </c>
      <c r="BP242">
        <v>339</v>
      </c>
      <c r="BQ242">
        <v>1771</v>
      </c>
      <c r="BR242">
        <v>4549</v>
      </c>
      <c r="BS242">
        <v>1209</v>
      </c>
      <c r="BT242">
        <v>20912</v>
      </c>
      <c r="BU242">
        <v>1520</v>
      </c>
      <c r="BV242">
        <v>4548</v>
      </c>
      <c r="BW242">
        <v>10189</v>
      </c>
      <c r="BX242">
        <v>1806</v>
      </c>
      <c r="BY242">
        <v>1732</v>
      </c>
      <c r="BZ242">
        <v>2193</v>
      </c>
      <c r="CA242">
        <v>21989</v>
      </c>
      <c r="CB242">
        <v>167</v>
      </c>
      <c r="CC242">
        <v>70</v>
      </c>
      <c r="CD242">
        <v>500</v>
      </c>
      <c r="CE242">
        <v>2000</v>
      </c>
      <c r="CF242">
        <v>4</v>
      </c>
      <c r="CG242">
        <v>0</v>
      </c>
      <c r="CH242">
        <v>0</v>
      </c>
      <c r="CI242">
        <v>0</v>
      </c>
      <c r="CJ242">
        <v>0</v>
      </c>
      <c r="CK242">
        <v>14</v>
      </c>
      <c r="CL242">
        <v>23</v>
      </c>
      <c r="CM242">
        <v>0</v>
      </c>
      <c r="CN242">
        <v>1307</v>
      </c>
      <c r="CO242">
        <v>0</v>
      </c>
      <c r="CP242">
        <v>556</v>
      </c>
      <c r="CQ242">
        <v>0</v>
      </c>
      <c r="CR242">
        <v>0</v>
      </c>
      <c r="CS242">
        <v>0</v>
      </c>
      <c r="CT242">
        <v>1900</v>
      </c>
      <c r="CU242">
        <v>0</v>
      </c>
      <c r="CV242">
        <v>0</v>
      </c>
      <c r="CW242">
        <v>35</v>
      </c>
      <c r="CX242">
        <v>0</v>
      </c>
      <c r="CY242">
        <v>3625</v>
      </c>
      <c r="CZ242">
        <v>260</v>
      </c>
      <c r="DA242">
        <v>95</v>
      </c>
      <c r="DB242">
        <v>0</v>
      </c>
      <c r="DC242">
        <v>4000</v>
      </c>
      <c r="DD242">
        <v>0</v>
      </c>
      <c r="DE242">
        <v>0</v>
      </c>
      <c r="DF242">
        <v>2000</v>
      </c>
      <c r="DG242">
        <v>500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2500</v>
      </c>
      <c r="DT242">
        <v>8403</v>
      </c>
      <c r="DU242">
        <v>297</v>
      </c>
      <c r="DV242">
        <v>0</v>
      </c>
      <c r="DW242">
        <v>0</v>
      </c>
      <c r="DX242">
        <v>0</v>
      </c>
      <c r="DY242">
        <v>4065</v>
      </c>
      <c r="DZ242">
        <v>17886</v>
      </c>
      <c r="EA242">
        <v>542</v>
      </c>
      <c r="EB242">
        <v>4065</v>
      </c>
      <c r="EC242">
        <v>542</v>
      </c>
      <c r="ED242">
        <v>8130</v>
      </c>
      <c r="EE242">
        <v>18970</v>
      </c>
      <c r="EF242">
        <v>0</v>
      </c>
      <c r="EG242">
        <v>0</v>
      </c>
      <c r="EH242">
        <v>2.2000000000000002</v>
      </c>
      <c r="EI242">
        <v>19</v>
      </c>
      <c r="EJ242">
        <v>8.6999999999999993</v>
      </c>
      <c r="EK242">
        <v>43.5</v>
      </c>
    </row>
    <row r="243" spans="1:141" x14ac:dyDescent="0.25">
      <c r="A243" t="str">
        <f>[1]ingredient!B243</f>
        <v>Lupinenkerne, gekocht</v>
      </c>
      <c r="C243" s="7">
        <f>_xlfn.XLOOKUP(A243,[1]ingredient!$B$2:$B$521,[1]ingredient!$A$2:$A$521)</f>
        <v>242</v>
      </c>
      <c r="D243" s="10">
        <f t="shared" ref="D243:BF243" si="37">IFERROR((D446/D445)*D242,0)</f>
        <v>154.15969581749047</v>
      </c>
      <c r="E243" s="10">
        <f t="shared" si="37"/>
        <v>4.5</v>
      </c>
      <c r="F243" s="10">
        <f t="shared" si="37"/>
        <v>18.428571428571427</v>
      </c>
      <c r="G243" s="10">
        <f t="shared" si="37"/>
        <v>5.5249999999999995</v>
      </c>
      <c r="H243" s="10">
        <f t="shared" si="37"/>
        <v>11.117647058823529</v>
      </c>
      <c r="I243" s="10">
        <f t="shared" si="37"/>
        <v>3</v>
      </c>
      <c r="J243" s="10">
        <f t="shared" si="37"/>
        <v>3.5999999999999997E-2</v>
      </c>
      <c r="K243" s="10">
        <f t="shared" si="37"/>
        <v>15.5</v>
      </c>
      <c r="L243" s="10">
        <f t="shared" si="37"/>
        <v>0</v>
      </c>
      <c r="M243" s="10">
        <f t="shared" si="37"/>
        <v>0</v>
      </c>
      <c r="N243" s="10">
        <f t="shared" si="37"/>
        <v>0</v>
      </c>
      <c r="O243" s="10">
        <f t="shared" si="37"/>
        <v>0</v>
      </c>
      <c r="P243" s="10">
        <f t="shared" si="37"/>
        <v>91.848906560636195</v>
      </c>
      <c r="Q243" s="10">
        <f t="shared" si="37"/>
        <v>71.186440677966104</v>
      </c>
      <c r="R243" s="10">
        <f t="shared" si="37"/>
        <v>529.54314720812181</v>
      </c>
      <c r="S243" s="10">
        <f t="shared" si="37"/>
        <v>2850.8123791102512</v>
      </c>
      <c r="T243" s="10">
        <f t="shared" si="37"/>
        <v>177.01149425287358</v>
      </c>
      <c r="U243" s="10">
        <f t="shared" si="37"/>
        <v>66.341463414634148</v>
      </c>
      <c r="V243" s="10">
        <f t="shared" si="37"/>
        <v>3</v>
      </c>
      <c r="W243" s="10">
        <f t="shared" si="37"/>
        <v>44.506122448979596</v>
      </c>
      <c r="X243" s="10">
        <f t="shared" si="37"/>
        <v>0</v>
      </c>
      <c r="Y243" s="10">
        <f t="shared" si="37"/>
        <v>591</v>
      </c>
      <c r="Z243" s="10">
        <f t="shared" si="37"/>
        <v>0</v>
      </c>
      <c r="AA243" s="10">
        <f t="shared" si="37"/>
        <v>0</v>
      </c>
      <c r="AB243" s="10">
        <f t="shared" si="37"/>
        <v>20.368421052631579</v>
      </c>
      <c r="AC243" s="10">
        <f t="shared" si="37"/>
        <v>9</v>
      </c>
      <c r="AD243" s="10">
        <f t="shared" si="37"/>
        <v>376.70059880239523</v>
      </c>
      <c r="AE243" s="10">
        <f t="shared" si="37"/>
        <v>78.584070796460182</v>
      </c>
      <c r="AF243" s="10">
        <f t="shared" si="37"/>
        <v>83.2</v>
      </c>
      <c r="AG243" s="10">
        <f t="shared" si="37"/>
        <v>196.29577464788733</v>
      </c>
      <c r="AH243" s="10">
        <f t="shared" si="37"/>
        <v>58.023529411764706</v>
      </c>
      <c r="AI243" s="10">
        <f t="shared" si="37"/>
        <v>19.74468085106383</v>
      </c>
      <c r="AJ243" s="10">
        <f t="shared" si="37"/>
        <v>1847.4554294975687</v>
      </c>
      <c r="AK243" s="10">
        <f t="shared" si="37"/>
        <v>2127.1347248576849</v>
      </c>
      <c r="AL243" s="10">
        <f t="shared" si="37"/>
        <v>363.77952755905517</v>
      </c>
      <c r="AM243" s="10">
        <f t="shared" si="37"/>
        <v>1063.4674922600618</v>
      </c>
      <c r="AN243" s="10">
        <f t="shared" si="37"/>
        <v>0</v>
      </c>
      <c r="AO243" s="10">
        <f t="shared" si="37"/>
        <v>15</v>
      </c>
      <c r="AP243" s="10">
        <f t="shared" si="37"/>
        <v>0</v>
      </c>
      <c r="AQ243" s="10">
        <f t="shared" si="37"/>
        <v>0</v>
      </c>
      <c r="AR243" s="10">
        <f t="shared" si="37"/>
        <v>0</v>
      </c>
      <c r="AS243" s="10">
        <f t="shared" si="37"/>
        <v>0</v>
      </c>
      <c r="AT243" s="10">
        <f t="shared" si="37"/>
        <v>0</v>
      </c>
      <c r="AU243" s="10">
        <f t="shared" si="37"/>
        <v>0</v>
      </c>
      <c r="AV243" s="10">
        <f t="shared" si="37"/>
        <v>0</v>
      </c>
      <c r="AW243" s="10">
        <f t="shared" si="37"/>
        <v>0</v>
      </c>
      <c r="AX243" s="10">
        <f t="shared" si="37"/>
        <v>1147.7824267782426</v>
      </c>
      <c r="AY243" s="10">
        <f t="shared" si="37"/>
        <v>0</v>
      </c>
      <c r="AZ243" s="10">
        <f t="shared" si="37"/>
        <v>0</v>
      </c>
      <c r="BA243" s="10">
        <f t="shared" si="37"/>
        <v>1147.7824267782426</v>
      </c>
      <c r="BB243" s="10">
        <f t="shared" si="37"/>
        <v>42.529817953546768</v>
      </c>
      <c r="BC243" s="10">
        <f t="shared" si="37"/>
        <v>1667.7855530474039</v>
      </c>
      <c r="BD243" s="10">
        <f t="shared" si="37"/>
        <v>0</v>
      </c>
      <c r="BE243" s="10">
        <f t="shared" si="37"/>
        <v>4252.0951494116653</v>
      </c>
      <c r="BF243" s="10">
        <f t="shared" si="37"/>
        <v>0</v>
      </c>
      <c r="BG243">
        <f t="shared" si="30"/>
        <v>82.936776371067666</v>
      </c>
      <c r="BH243" s="10">
        <f t="shared" ref="BH243:DS243" si="38">IFERROR((BH446/BH445)*BH242,0)</f>
        <v>804.91031014249791</v>
      </c>
      <c r="BI243" s="10">
        <f t="shared" si="38"/>
        <v>1366.1824212271974</v>
      </c>
      <c r="BJ243" s="10">
        <f t="shared" si="38"/>
        <v>964.18781725888334</v>
      </c>
      <c r="BK243" s="10">
        <f t="shared" si="38"/>
        <v>127.74178403755869</v>
      </c>
      <c r="BL243" s="10">
        <f t="shared" si="38"/>
        <v>223.79166666666666</v>
      </c>
      <c r="BM243" s="10">
        <f t="shared" si="38"/>
        <v>715.55631399317406</v>
      </c>
      <c r="BN243" s="10">
        <f t="shared" si="38"/>
        <v>678.22002472187887</v>
      </c>
      <c r="BO243" s="10">
        <f t="shared" si="38"/>
        <v>665.04366812227079</v>
      </c>
      <c r="BP243" s="10">
        <f t="shared" si="38"/>
        <v>144.78125</v>
      </c>
      <c r="BQ243" s="10">
        <f t="shared" si="38"/>
        <v>752.46713615023475</v>
      </c>
      <c r="BR243" s="10">
        <f t="shared" si="38"/>
        <v>1932.7910798122066</v>
      </c>
      <c r="BS243" s="10">
        <f t="shared" si="38"/>
        <v>513.21644295302019</v>
      </c>
      <c r="BT243" s="10">
        <f t="shared" si="38"/>
        <v>8889.0905203136135</v>
      </c>
      <c r="BU243" s="10">
        <f t="shared" si="38"/>
        <v>647.35459662288929</v>
      </c>
      <c r="BV243" s="10">
        <f t="shared" si="38"/>
        <v>1934.697628458498</v>
      </c>
      <c r="BW243" s="10">
        <f t="shared" si="38"/>
        <v>4333.7828054298643</v>
      </c>
      <c r="BX243" s="10">
        <f t="shared" si="38"/>
        <v>768.91818181818189</v>
      </c>
      <c r="BY243" s="10">
        <f t="shared" si="38"/>
        <v>736.1564537157758</v>
      </c>
      <c r="BZ243" s="10">
        <f t="shared" si="38"/>
        <v>932.79718309859152</v>
      </c>
      <c r="CA243" s="10">
        <f t="shared" si="38"/>
        <v>9353.9694816540468</v>
      </c>
      <c r="CB243" s="10">
        <f t="shared" si="38"/>
        <v>71.438888888888883</v>
      </c>
      <c r="CC243" s="10">
        <f t="shared" si="38"/>
        <v>29.866666666666667</v>
      </c>
      <c r="CD243" s="10">
        <f t="shared" si="38"/>
        <v>212.96296296296296</v>
      </c>
      <c r="CE243" s="10">
        <f t="shared" si="38"/>
        <v>847.76119402985069</v>
      </c>
      <c r="CF243" s="10">
        <f t="shared" si="38"/>
        <v>4</v>
      </c>
      <c r="CG243" s="10">
        <f t="shared" si="38"/>
        <v>0</v>
      </c>
      <c r="CH243" s="10">
        <f t="shared" si="38"/>
        <v>0</v>
      </c>
      <c r="CI243" s="10">
        <f t="shared" si="38"/>
        <v>0</v>
      </c>
      <c r="CJ243" s="10">
        <f t="shared" si="38"/>
        <v>0</v>
      </c>
      <c r="CK243" s="10">
        <f t="shared" si="38"/>
        <v>0</v>
      </c>
      <c r="CL243" s="10">
        <f t="shared" si="38"/>
        <v>0</v>
      </c>
      <c r="CM243" s="10">
        <f t="shared" si="38"/>
        <v>0</v>
      </c>
      <c r="CN243" s="10">
        <f t="shared" si="38"/>
        <v>554.71511627906978</v>
      </c>
      <c r="CO243" s="10">
        <f t="shared" si="38"/>
        <v>0</v>
      </c>
      <c r="CP243" s="10">
        <f t="shared" si="38"/>
        <v>238.28571428571428</v>
      </c>
      <c r="CQ243" s="10">
        <f t="shared" si="38"/>
        <v>0</v>
      </c>
      <c r="CR243" s="10">
        <f t="shared" si="38"/>
        <v>0</v>
      </c>
      <c r="CS243" s="10">
        <f t="shared" si="38"/>
        <v>0</v>
      </c>
      <c r="CT243" s="10">
        <f t="shared" si="38"/>
        <v>807.25388601036275</v>
      </c>
      <c r="CU243" s="10">
        <f t="shared" si="38"/>
        <v>0</v>
      </c>
      <c r="CV243" s="10">
        <f t="shared" si="38"/>
        <v>0</v>
      </c>
      <c r="CW243" s="10">
        <f t="shared" si="38"/>
        <v>0</v>
      </c>
      <c r="CX243" s="10">
        <f t="shared" si="38"/>
        <v>0</v>
      </c>
      <c r="CY243" s="10">
        <f t="shared" si="38"/>
        <v>1536.0169491525423</v>
      </c>
      <c r="CZ243" s="10">
        <f t="shared" si="38"/>
        <v>0</v>
      </c>
      <c r="DA243" s="10">
        <f t="shared" si="38"/>
        <v>0</v>
      </c>
      <c r="DB243" s="10">
        <f t="shared" si="38"/>
        <v>0</v>
      </c>
      <c r="DC243" s="10">
        <f t="shared" si="38"/>
        <v>1694.9152542372881</v>
      </c>
      <c r="DD243" s="10">
        <f t="shared" si="38"/>
        <v>0</v>
      </c>
      <c r="DE243" s="10">
        <f t="shared" si="38"/>
        <v>0</v>
      </c>
      <c r="DF243" s="10">
        <f t="shared" si="38"/>
        <v>847.76119402985069</v>
      </c>
      <c r="DG243" s="10">
        <f t="shared" si="38"/>
        <v>212.96296296296296</v>
      </c>
      <c r="DH243" s="10">
        <f t="shared" si="38"/>
        <v>0</v>
      </c>
      <c r="DI243" s="10">
        <f t="shared" si="38"/>
        <v>0</v>
      </c>
      <c r="DJ243" s="10">
        <f t="shared" si="38"/>
        <v>0</v>
      </c>
      <c r="DK243" s="10">
        <f t="shared" si="38"/>
        <v>0</v>
      </c>
      <c r="DL243" s="10">
        <f t="shared" si="38"/>
        <v>0</v>
      </c>
      <c r="DM243" s="10">
        <f t="shared" si="38"/>
        <v>0</v>
      </c>
      <c r="DN243" s="10">
        <f t="shared" si="38"/>
        <v>0</v>
      </c>
      <c r="DO243" s="10">
        <f t="shared" si="38"/>
        <v>0</v>
      </c>
      <c r="DP243" s="10">
        <f t="shared" si="38"/>
        <v>0</v>
      </c>
      <c r="DQ243" s="10">
        <f t="shared" si="38"/>
        <v>0</v>
      </c>
      <c r="DR243" s="10">
        <f t="shared" si="38"/>
        <v>0</v>
      </c>
      <c r="DS243" s="10">
        <f t="shared" si="38"/>
        <v>1062.9709364908504</v>
      </c>
      <c r="DT243" s="10">
        <f t="shared" ref="DT243:EK243" si="39">IFERROR((DT446/DT445)*DT242,0)</f>
        <v>3571.2750000000001</v>
      </c>
      <c r="DU243" s="10">
        <f t="shared" si="39"/>
        <v>126.22499999999999</v>
      </c>
      <c r="DV243" s="10">
        <f t="shared" si="39"/>
        <v>0</v>
      </c>
      <c r="DW243" s="10">
        <f t="shared" si="39"/>
        <v>0</v>
      </c>
      <c r="DX243" s="10">
        <f t="shared" si="39"/>
        <v>0</v>
      </c>
      <c r="DY243" s="10">
        <f t="shared" si="39"/>
        <v>1786.0248868778281</v>
      </c>
      <c r="DZ243" s="10">
        <f t="shared" si="39"/>
        <v>7857.8157983193278</v>
      </c>
      <c r="EA243" s="10">
        <f t="shared" si="39"/>
        <v>238.1366515837104</v>
      </c>
      <c r="EB243" s="10">
        <f t="shared" si="39"/>
        <v>1786.9197138314785</v>
      </c>
      <c r="EC243" s="10">
        <f t="shared" si="39"/>
        <v>237.52352941176471</v>
      </c>
      <c r="ED243" s="10">
        <f t="shared" si="39"/>
        <v>3572.4176470588236</v>
      </c>
      <c r="EE243" s="10">
        <f t="shared" si="39"/>
        <v>8335.6411764705881</v>
      </c>
      <c r="EF243" s="10">
        <f t="shared" si="39"/>
        <v>0</v>
      </c>
      <c r="EG243" s="10">
        <f t="shared" si="39"/>
        <v>0</v>
      </c>
      <c r="EH243" s="10">
        <f t="shared" si="39"/>
        <v>0.82500000000000007</v>
      </c>
      <c r="EI243" s="10">
        <f t="shared" si="39"/>
        <v>8.2705882352941185</v>
      </c>
      <c r="EJ243" s="10">
        <f t="shared" si="39"/>
        <v>3.806249999999999</v>
      </c>
      <c r="EK243" s="10">
        <f t="shared" si="39"/>
        <v>18.551470588235293</v>
      </c>
    </row>
    <row r="244" spans="1:141" x14ac:dyDescent="0.25">
      <c r="A244" t="str">
        <f>[1]ingredient!B244</f>
        <v>Lupinenmilch</v>
      </c>
      <c r="C244" s="7">
        <f>_xlfn.XLOOKUP(A244,[1]ingredient!$B$2:$B$521,[1]ingredient!$A$2:$A$521)</f>
        <v>243</v>
      </c>
      <c r="D244">
        <f t="shared" ref="D244:BF244" si="40">IFERROR(D242*(D385/D380),0)</f>
        <v>30.260061919504643</v>
      </c>
      <c r="E244">
        <f t="shared" si="40"/>
        <v>0.5</v>
      </c>
      <c r="F244">
        <f t="shared" si="40"/>
        <v>3.7941176470588238</v>
      </c>
      <c r="G244">
        <f t="shared" si="40"/>
        <v>4.333333333333333</v>
      </c>
      <c r="H244">
        <f t="shared" si="40"/>
        <v>1.2272727272727273</v>
      </c>
      <c r="I244">
        <f t="shared" si="40"/>
        <v>1</v>
      </c>
      <c r="J244">
        <f t="shared" si="40"/>
        <v>0.18</v>
      </c>
      <c r="K244">
        <f t="shared" si="40"/>
        <v>27.900000000000002</v>
      </c>
      <c r="L244">
        <f t="shared" si="40"/>
        <v>0</v>
      </c>
      <c r="M244">
        <f t="shared" si="40"/>
        <v>0</v>
      </c>
      <c r="N244">
        <f t="shared" si="40"/>
        <v>0</v>
      </c>
      <c r="O244">
        <f t="shared" si="40"/>
        <v>0</v>
      </c>
      <c r="P244">
        <f t="shared" si="40"/>
        <v>18.461538461538463</v>
      </c>
      <c r="Q244">
        <f t="shared" si="40"/>
        <v>12.121212121212121</v>
      </c>
      <c r="R244">
        <f t="shared" si="40"/>
        <v>31.485943775100399</v>
      </c>
      <c r="S244">
        <f t="shared" si="40"/>
        <v>658.83916232592753</v>
      </c>
      <c r="T244">
        <f t="shared" si="40"/>
        <v>0</v>
      </c>
      <c r="U244">
        <f t="shared" si="40"/>
        <v>10</v>
      </c>
      <c r="V244">
        <f t="shared" si="40"/>
        <v>0.33333333333333331</v>
      </c>
      <c r="W244">
        <f t="shared" si="40"/>
        <v>28.2</v>
      </c>
      <c r="X244">
        <f t="shared" si="40"/>
        <v>0</v>
      </c>
      <c r="Y244">
        <f t="shared" si="40"/>
        <v>0</v>
      </c>
      <c r="Z244">
        <f t="shared" si="40"/>
        <v>0</v>
      </c>
      <c r="AA244">
        <f t="shared" si="40"/>
        <v>0</v>
      </c>
      <c r="AB244">
        <f t="shared" si="40"/>
        <v>0</v>
      </c>
      <c r="AC244">
        <f t="shared" si="40"/>
        <v>171</v>
      </c>
      <c r="AD244">
        <f t="shared" si="40"/>
        <v>100.48888888888888</v>
      </c>
      <c r="AE244">
        <f t="shared" si="40"/>
        <v>12.025</v>
      </c>
      <c r="AF244">
        <f t="shared" si="40"/>
        <v>19.854545454545455</v>
      </c>
      <c r="AG244">
        <f t="shared" si="40"/>
        <v>43.68</v>
      </c>
      <c r="AH244">
        <f t="shared" si="40"/>
        <v>0</v>
      </c>
      <c r="AI244">
        <f t="shared" si="40"/>
        <v>0</v>
      </c>
      <c r="AJ244">
        <f t="shared" si="40"/>
        <v>394.87951807228916</v>
      </c>
      <c r="AK244">
        <f t="shared" si="40"/>
        <v>0</v>
      </c>
      <c r="AL244">
        <f t="shared" si="40"/>
        <v>104.5</v>
      </c>
      <c r="AM244">
        <f t="shared" si="40"/>
        <v>190.03690036900369</v>
      </c>
      <c r="AN244">
        <f t="shared" si="40"/>
        <v>0</v>
      </c>
      <c r="AO244">
        <f t="shared" si="40"/>
        <v>5</v>
      </c>
      <c r="AP244">
        <f t="shared" si="40"/>
        <v>0</v>
      </c>
      <c r="AQ244">
        <f t="shared" si="40"/>
        <v>0</v>
      </c>
      <c r="AR244">
        <f t="shared" si="40"/>
        <v>0</v>
      </c>
      <c r="AS244">
        <f t="shared" si="40"/>
        <v>0</v>
      </c>
      <c r="AT244">
        <f t="shared" si="40"/>
        <v>0</v>
      </c>
      <c r="AU244">
        <f t="shared" si="40"/>
        <v>0</v>
      </c>
      <c r="AV244">
        <f t="shared" si="40"/>
        <v>0</v>
      </c>
      <c r="AW244">
        <f t="shared" si="40"/>
        <v>0</v>
      </c>
      <c r="AX244">
        <f t="shared" si="40"/>
        <v>702.42492371928699</v>
      </c>
      <c r="AY244">
        <f t="shared" si="40"/>
        <v>0</v>
      </c>
      <c r="AZ244">
        <f t="shared" si="40"/>
        <v>0</v>
      </c>
      <c r="BA244">
        <f t="shared" si="40"/>
        <v>702.42492371928699</v>
      </c>
      <c r="BB244">
        <f t="shared" si="40"/>
        <v>0</v>
      </c>
      <c r="BC244">
        <f t="shared" si="40"/>
        <v>0</v>
      </c>
      <c r="BD244">
        <f t="shared" si="40"/>
        <v>0</v>
      </c>
      <c r="BE244">
        <f t="shared" si="40"/>
        <v>0</v>
      </c>
      <c r="BF244">
        <f t="shared" si="40"/>
        <v>0</v>
      </c>
      <c r="BG244">
        <f t="shared" si="30"/>
        <v>54.194210929125319</v>
      </c>
      <c r="BH244">
        <f t="shared" ref="BH244:DS244" si="41">IFERROR(BH242*(BH385/BH380),0)</f>
        <v>187.53628536285365</v>
      </c>
      <c r="BI244">
        <f t="shared" si="41"/>
        <v>312.49666419570053</v>
      </c>
      <c r="BJ244">
        <f t="shared" si="41"/>
        <v>258.76510067114094</v>
      </c>
      <c r="BK244">
        <f t="shared" si="41"/>
        <v>0</v>
      </c>
      <c r="BL244">
        <f t="shared" si="41"/>
        <v>47.292418772563181</v>
      </c>
      <c r="BM244">
        <f t="shared" si="41"/>
        <v>163.17130620985009</v>
      </c>
      <c r="BN244">
        <f t="shared" si="41"/>
        <v>164.11139455782313</v>
      </c>
      <c r="BO244">
        <f t="shared" si="41"/>
        <v>144.30324400564174</v>
      </c>
      <c r="BP244">
        <f t="shared" si="41"/>
        <v>39.209638554216866</v>
      </c>
      <c r="BQ244">
        <f t="shared" si="41"/>
        <v>182.43433734939759</v>
      </c>
      <c r="BR244">
        <f t="shared" si="41"/>
        <v>480.24633431085044</v>
      </c>
      <c r="BS244">
        <f t="shared" si="41"/>
        <v>138.214824120603</v>
      </c>
      <c r="BT244">
        <f t="shared" si="41"/>
        <v>2066.8481479314178</v>
      </c>
      <c r="BU244">
        <f t="shared" si="41"/>
        <v>161.86177715091679</v>
      </c>
      <c r="BV244">
        <f t="shared" si="41"/>
        <v>492.14735226400614</v>
      </c>
      <c r="BW244">
        <f t="shared" si="41"/>
        <v>1100.817564365819</v>
      </c>
      <c r="BX244">
        <f t="shared" si="41"/>
        <v>197.04190751445086</v>
      </c>
      <c r="BY244">
        <f t="shared" si="41"/>
        <v>170.93347873500545</v>
      </c>
      <c r="BZ244">
        <f t="shared" si="41"/>
        <v>225.01870748299319</v>
      </c>
      <c r="CA244">
        <f t="shared" si="41"/>
        <v>2340.295612980769</v>
      </c>
      <c r="CB244">
        <f t="shared" si="41"/>
        <v>0</v>
      </c>
      <c r="CC244">
        <f t="shared" si="41"/>
        <v>0</v>
      </c>
      <c r="CD244">
        <f t="shared" si="41"/>
        <v>27.422303473491773</v>
      </c>
      <c r="CE244">
        <f t="shared" si="41"/>
        <v>81.086909639853346</v>
      </c>
      <c r="CF244">
        <f t="shared" si="41"/>
        <v>2.9575471698113205</v>
      </c>
      <c r="CG244">
        <f t="shared" si="41"/>
        <v>0</v>
      </c>
      <c r="CH244">
        <f t="shared" si="41"/>
        <v>0</v>
      </c>
      <c r="CI244">
        <f t="shared" si="41"/>
        <v>0</v>
      </c>
      <c r="CJ244">
        <f t="shared" si="41"/>
        <v>0</v>
      </c>
      <c r="CK244">
        <f t="shared" si="41"/>
        <v>0</v>
      </c>
      <c r="CL244">
        <f t="shared" si="41"/>
        <v>0.67647058823529416</v>
      </c>
      <c r="CM244">
        <f t="shared" si="41"/>
        <v>0</v>
      </c>
      <c r="CN244">
        <f t="shared" si="41"/>
        <v>57.330927262631874</v>
      </c>
      <c r="CO244">
        <f t="shared" si="41"/>
        <v>0</v>
      </c>
      <c r="CP244">
        <f t="shared" si="41"/>
        <v>26.60726072607261</v>
      </c>
      <c r="CQ244">
        <f t="shared" si="41"/>
        <v>0</v>
      </c>
      <c r="CR244">
        <f t="shared" si="41"/>
        <v>0</v>
      </c>
      <c r="CS244">
        <f t="shared" si="41"/>
        <v>0</v>
      </c>
      <c r="CT244">
        <f t="shared" si="41"/>
        <v>87.287128712871279</v>
      </c>
      <c r="CU244">
        <f t="shared" si="41"/>
        <v>0</v>
      </c>
      <c r="CV244">
        <f t="shared" si="41"/>
        <v>0</v>
      </c>
      <c r="CW244">
        <f t="shared" si="41"/>
        <v>1.0294117647058822</v>
      </c>
      <c r="CX244">
        <f t="shared" si="41"/>
        <v>0</v>
      </c>
      <c r="CY244">
        <f t="shared" si="41"/>
        <v>135.75025826446281</v>
      </c>
      <c r="CZ244">
        <f t="shared" si="41"/>
        <v>7.6470588235294112</v>
      </c>
      <c r="DA244">
        <f t="shared" si="41"/>
        <v>0</v>
      </c>
      <c r="DB244">
        <f t="shared" si="41"/>
        <v>0</v>
      </c>
      <c r="DC244">
        <f t="shared" si="41"/>
        <v>149.23857868020303</v>
      </c>
      <c r="DD244">
        <f t="shared" si="41"/>
        <v>0</v>
      </c>
      <c r="DE244">
        <f t="shared" si="41"/>
        <v>0</v>
      </c>
      <c r="DF244">
        <f t="shared" si="41"/>
        <v>81.086909639853346</v>
      </c>
      <c r="DG244">
        <f t="shared" si="41"/>
        <v>27.422303473491773</v>
      </c>
      <c r="DH244">
        <f t="shared" si="41"/>
        <v>0</v>
      </c>
      <c r="DI244">
        <f t="shared" si="41"/>
        <v>0</v>
      </c>
      <c r="DJ244">
        <f t="shared" si="41"/>
        <v>0</v>
      </c>
      <c r="DK244">
        <f t="shared" si="41"/>
        <v>0</v>
      </c>
      <c r="DL244">
        <f t="shared" si="41"/>
        <v>0</v>
      </c>
      <c r="DM244">
        <f t="shared" si="41"/>
        <v>0</v>
      </c>
      <c r="DN244">
        <f t="shared" si="41"/>
        <v>0</v>
      </c>
      <c r="DO244">
        <f t="shared" si="41"/>
        <v>0</v>
      </c>
      <c r="DP244">
        <f t="shared" si="41"/>
        <v>0</v>
      </c>
      <c r="DQ244">
        <f t="shared" si="41"/>
        <v>0</v>
      </c>
      <c r="DR244">
        <f t="shared" si="41"/>
        <v>0</v>
      </c>
      <c r="DS244">
        <f t="shared" si="41"/>
        <v>105.13117283950618</v>
      </c>
      <c r="DT244">
        <f t="shared" ref="DT244:EK244" si="42">IFERROR(DT242*(DT385/DT380),0)</f>
        <v>348.93940474068791</v>
      </c>
      <c r="DU244">
        <f t="shared" si="42"/>
        <v>0.23441199684293607</v>
      </c>
      <c r="DV244">
        <f t="shared" si="42"/>
        <v>0</v>
      </c>
      <c r="DW244">
        <f t="shared" si="42"/>
        <v>0</v>
      </c>
      <c r="DX244">
        <f t="shared" si="42"/>
        <v>0</v>
      </c>
      <c r="DY244">
        <f t="shared" si="42"/>
        <v>0</v>
      </c>
      <c r="DZ244">
        <f t="shared" si="42"/>
        <v>0</v>
      </c>
      <c r="EA244">
        <f t="shared" si="42"/>
        <v>0</v>
      </c>
      <c r="EB244">
        <f t="shared" si="42"/>
        <v>0</v>
      </c>
      <c r="EC244">
        <f t="shared" si="42"/>
        <v>0</v>
      </c>
      <c r="ED244">
        <f t="shared" si="42"/>
        <v>0</v>
      </c>
      <c r="EE244">
        <f t="shared" si="42"/>
        <v>1900.4553734061931</v>
      </c>
      <c r="EF244">
        <f t="shared" si="42"/>
        <v>0</v>
      </c>
      <c r="EG244">
        <f t="shared" si="42"/>
        <v>0</v>
      </c>
      <c r="EH244">
        <f t="shared" si="42"/>
        <v>0.28085106382978725</v>
      </c>
      <c r="EI244">
        <f t="shared" si="42"/>
        <v>1.9000000000000001</v>
      </c>
      <c r="EJ244">
        <f t="shared" si="42"/>
        <v>0.33646408839778996</v>
      </c>
      <c r="EK244">
        <f t="shared" si="42"/>
        <v>4.4130434782608701</v>
      </c>
    </row>
    <row r="245" spans="1:141" x14ac:dyDescent="0.25">
      <c r="A245" t="str">
        <f>[1]ingredient!B245</f>
        <v>Lupinenschrot</v>
      </c>
      <c r="B245" t="s">
        <v>337</v>
      </c>
      <c r="C245" s="7">
        <f>_xlfn.XLOOKUP(A245,[1]ingredient!$B$2:$B$521,[1]ingredient!$A$2:$A$521)</f>
        <v>244</v>
      </c>
      <c r="D245">
        <v>362</v>
      </c>
      <c r="E245">
        <v>9</v>
      </c>
      <c r="F245">
        <v>43</v>
      </c>
      <c r="G245">
        <v>13</v>
      </c>
      <c r="H245">
        <v>27</v>
      </c>
      <c r="I245">
        <v>3</v>
      </c>
      <c r="J245">
        <v>0.09</v>
      </c>
      <c r="K245">
        <v>3</v>
      </c>
      <c r="L245">
        <v>0</v>
      </c>
      <c r="M245">
        <v>0</v>
      </c>
      <c r="N245">
        <v>0</v>
      </c>
      <c r="O245">
        <v>0</v>
      </c>
      <c r="P245">
        <v>300</v>
      </c>
      <c r="Q245">
        <v>200</v>
      </c>
      <c r="R245">
        <v>1600</v>
      </c>
      <c r="S245">
        <v>7300</v>
      </c>
      <c r="T245">
        <v>500</v>
      </c>
      <c r="U245">
        <v>200</v>
      </c>
      <c r="V245">
        <v>10</v>
      </c>
      <c r="W245">
        <v>188</v>
      </c>
      <c r="X245">
        <v>0</v>
      </c>
      <c r="Y245">
        <v>2500</v>
      </c>
      <c r="Z245">
        <v>0</v>
      </c>
      <c r="AA245">
        <v>0</v>
      </c>
      <c r="AB245">
        <v>43</v>
      </c>
      <c r="AC245">
        <v>36</v>
      </c>
      <c r="AD245">
        <v>1064</v>
      </c>
      <c r="AE245">
        <v>185</v>
      </c>
      <c r="AF245">
        <v>208</v>
      </c>
      <c r="AG245">
        <v>462</v>
      </c>
      <c r="AH245">
        <v>137</v>
      </c>
      <c r="AI245">
        <v>58</v>
      </c>
      <c r="AJ245">
        <v>4600</v>
      </c>
      <c r="AK245">
        <v>5000</v>
      </c>
      <c r="AL245">
        <v>1100</v>
      </c>
      <c r="AM245">
        <v>2500</v>
      </c>
      <c r="AN245">
        <v>0</v>
      </c>
      <c r="AO245">
        <v>15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2700</v>
      </c>
      <c r="AY245">
        <v>0</v>
      </c>
      <c r="AZ245">
        <v>0</v>
      </c>
      <c r="BA245">
        <v>2700</v>
      </c>
      <c r="BB245">
        <v>100</v>
      </c>
      <c r="BC245">
        <v>3530</v>
      </c>
      <c r="BD245">
        <v>0</v>
      </c>
      <c r="BE245">
        <v>10000</v>
      </c>
      <c r="BF245">
        <v>0</v>
      </c>
      <c r="BG245">
        <f t="shared" si="30"/>
        <v>83.215369059656226</v>
      </c>
      <c r="BH245">
        <v>1894</v>
      </c>
      <c r="BI245">
        <v>3218</v>
      </c>
      <c r="BJ245">
        <v>2268</v>
      </c>
      <c r="BK245">
        <v>299</v>
      </c>
      <c r="BL245">
        <v>524</v>
      </c>
      <c r="BM245">
        <v>1684</v>
      </c>
      <c r="BN245">
        <v>1595</v>
      </c>
      <c r="BO245">
        <v>1562</v>
      </c>
      <c r="BP245">
        <v>339</v>
      </c>
      <c r="BQ245">
        <v>1771</v>
      </c>
      <c r="BR245">
        <v>4549</v>
      </c>
      <c r="BS245">
        <v>1209</v>
      </c>
      <c r="BT245">
        <v>20912</v>
      </c>
      <c r="BU245">
        <v>1520</v>
      </c>
      <c r="BV245">
        <v>4548</v>
      </c>
      <c r="BW245">
        <v>10189</v>
      </c>
      <c r="BX245">
        <v>1806</v>
      </c>
      <c r="BY245">
        <v>1732</v>
      </c>
      <c r="BZ245">
        <v>2193</v>
      </c>
      <c r="CA245">
        <v>21989</v>
      </c>
      <c r="CB245">
        <v>167</v>
      </c>
      <c r="CC245">
        <v>70</v>
      </c>
      <c r="CD245">
        <v>500</v>
      </c>
      <c r="CE245">
        <v>2000</v>
      </c>
      <c r="CF245">
        <v>4</v>
      </c>
      <c r="CG245">
        <v>0</v>
      </c>
      <c r="CH245">
        <v>0</v>
      </c>
      <c r="CI245">
        <v>0</v>
      </c>
      <c r="CJ245">
        <v>0</v>
      </c>
      <c r="CK245">
        <v>14</v>
      </c>
      <c r="CL245">
        <v>23</v>
      </c>
      <c r="CM245">
        <v>0</v>
      </c>
      <c r="CN245">
        <v>1307</v>
      </c>
      <c r="CO245">
        <v>0</v>
      </c>
      <c r="CP245">
        <v>556</v>
      </c>
      <c r="CQ245">
        <v>0</v>
      </c>
      <c r="CR245">
        <v>0</v>
      </c>
      <c r="CS245">
        <v>0</v>
      </c>
      <c r="CT245">
        <v>1900</v>
      </c>
      <c r="CU245">
        <v>0</v>
      </c>
      <c r="CV245">
        <v>0</v>
      </c>
      <c r="CW245">
        <v>35</v>
      </c>
      <c r="CX245">
        <v>0</v>
      </c>
      <c r="CY245">
        <v>3625</v>
      </c>
      <c r="CZ245">
        <v>260</v>
      </c>
      <c r="DA245">
        <v>95</v>
      </c>
      <c r="DB245">
        <v>0</v>
      </c>
      <c r="DC245">
        <v>4000</v>
      </c>
      <c r="DD245">
        <v>0</v>
      </c>
      <c r="DE245">
        <v>0</v>
      </c>
      <c r="DF245">
        <v>2000</v>
      </c>
      <c r="DG245">
        <v>500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2500</v>
      </c>
      <c r="DT245">
        <v>8403</v>
      </c>
      <c r="DU245">
        <v>297</v>
      </c>
      <c r="DV245">
        <v>0</v>
      </c>
      <c r="DW245">
        <v>0</v>
      </c>
      <c r="DX245">
        <v>0</v>
      </c>
      <c r="DY245">
        <v>4065</v>
      </c>
      <c r="DZ245">
        <v>17886</v>
      </c>
      <c r="EA245">
        <v>542</v>
      </c>
      <c r="EB245">
        <v>4065</v>
      </c>
      <c r="EC245">
        <v>542</v>
      </c>
      <c r="ED245">
        <v>8130</v>
      </c>
      <c r="EE245">
        <v>18970</v>
      </c>
      <c r="EF245">
        <v>0</v>
      </c>
      <c r="EG245">
        <v>0</v>
      </c>
      <c r="EH245">
        <v>2.2000000000000002</v>
      </c>
      <c r="EI245">
        <v>19</v>
      </c>
      <c r="EJ245">
        <v>8.6999999999999993</v>
      </c>
      <c r="EK245">
        <v>43.5</v>
      </c>
    </row>
    <row r="246" spans="1:141" x14ac:dyDescent="0.25">
      <c r="A246" t="str">
        <f>[1]ingredient!B246</f>
        <v>Macadamiennüsse</v>
      </c>
      <c r="B246" t="s">
        <v>338</v>
      </c>
      <c r="C246" s="7">
        <f>_xlfn.XLOOKUP(A246,[1]ingredient!$B$2:$B$521,[1]ingredient!$A$2:$A$521)</f>
        <v>245</v>
      </c>
      <c r="D246">
        <v>697</v>
      </c>
      <c r="E246">
        <v>73</v>
      </c>
      <c r="F246">
        <v>9</v>
      </c>
      <c r="G246">
        <v>4</v>
      </c>
      <c r="H246">
        <v>11</v>
      </c>
      <c r="I246">
        <v>2</v>
      </c>
      <c r="J246">
        <v>0.05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280</v>
      </c>
      <c r="Q246">
        <v>120</v>
      </c>
      <c r="R246">
        <v>1500</v>
      </c>
      <c r="S246">
        <v>3283</v>
      </c>
      <c r="T246">
        <v>610</v>
      </c>
      <c r="U246">
        <v>280</v>
      </c>
      <c r="V246">
        <v>6</v>
      </c>
      <c r="W246">
        <v>50</v>
      </c>
      <c r="X246">
        <v>0</v>
      </c>
      <c r="Y246">
        <v>0</v>
      </c>
      <c r="Z246">
        <v>0</v>
      </c>
      <c r="AA246">
        <v>1490</v>
      </c>
      <c r="AB246">
        <v>0</v>
      </c>
      <c r="AC246">
        <v>5</v>
      </c>
      <c r="AD246">
        <v>265</v>
      </c>
      <c r="AE246">
        <v>51</v>
      </c>
      <c r="AF246">
        <v>108</v>
      </c>
      <c r="AG246">
        <v>201</v>
      </c>
      <c r="AH246">
        <v>250</v>
      </c>
      <c r="AI246">
        <v>40</v>
      </c>
      <c r="AJ246">
        <v>200</v>
      </c>
      <c r="AK246">
        <v>1400</v>
      </c>
      <c r="AL246">
        <v>363</v>
      </c>
      <c r="AM246">
        <v>5500</v>
      </c>
      <c r="AN246">
        <v>100</v>
      </c>
      <c r="AO246">
        <v>3</v>
      </c>
      <c r="AP246">
        <v>0</v>
      </c>
      <c r="AQ246">
        <v>0</v>
      </c>
      <c r="AR246">
        <v>0</v>
      </c>
      <c r="AS246">
        <v>0</v>
      </c>
      <c r="AT246">
        <v>201</v>
      </c>
      <c r="AU246">
        <v>0</v>
      </c>
      <c r="AV246">
        <v>0</v>
      </c>
      <c r="AW246">
        <v>201</v>
      </c>
      <c r="AX246">
        <v>1805</v>
      </c>
      <c r="AY246">
        <v>0</v>
      </c>
      <c r="AZ246">
        <v>0</v>
      </c>
      <c r="BA246">
        <v>1805</v>
      </c>
      <c r="BB246">
        <v>0</v>
      </c>
      <c r="BC246">
        <v>0</v>
      </c>
      <c r="BD246">
        <v>0</v>
      </c>
      <c r="BE246">
        <v>2004</v>
      </c>
      <c r="BF246">
        <v>2004</v>
      </c>
      <c r="BG246">
        <f t="shared" si="30"/>
        <v>77.777777777777786</v>
      </c>
      <c r="BH246">
        <v>256</v>
      </c>
      <c r="BI246">
        <v>477</v>
      </c>
      <c r="BJ246">
        <v>336</v>
      </c>
      <c r="BK246">
        <v>97</v>
      </c>
      <c r="BL246">
        <v>981</v>
      </c>
      <c r="BM246">
        <v>274</v>
      </c>
      <c r="BN246">
        <v>345</v>
      </c>
      <c r="BO246">
        <v>274</v>
      </c>
      <c r="BP246">
        <v>107</v>
      </c>
      <c r="BQ246">
        <v>336</v>
      </c>
      <c r="BR246">
        <v>928</v>
      </c>
      <c r="BS246">
        <v>177</v>
      </c>
      <c r="BT246">
        <v>4588</v>
      </c>
      <c r="BU246">
        <v>345</v>
      </c>
      <c r="BV246">
        <v>849</v>
      </c>
      <c r="BW246">
        <v>1856</v>
      </c>
      <c r="BX246">
        <v>389</v>
      </c>
      <c r="BY246">
        <v>407</v>
      </c>
      <c r="BZ246">
        <v>363</v>
      </c>
      <c r="CA246">
        <v>4209</v>
      </c>
      <c r="CB246">
        <v>0</v>
      </c>
      <c r="CC246">
        <v>0</v>
      </c>
      <c r="CD246">
        <v>977</v>
      </c>
      <c r="CE246">
        <v>1740</v>
      </c>
      <c r="CF246">
        <v>1.78</v>
      </c>
      <c r="CG246">
        <v>490</v>
      </c>
      <c r="CH246">
        <v>0</v>
      </c>
      <c r="CI246">
        <v>0</v>
      </c>
      <c r="CJ246">
        <v>70</v>
      </c>
      <c r="CK246">
        <v>0</v>
      </c>
      <c r="CL246">
        <v>698</v>
      </c>
      <c r="CM246">
        <v>0</v>
      </c>
      <c r="CN246">
        <v>5790</v>
      </c>
      <c r="CO246">
        <v>0</v>
      </c>
      <c r="CP246">
        <v>1470</v>
      </c>
      <c r="CQ246">
        <v>1680</v>
      </c>
      <c r="CR246">
        <v>0</v>
      </c>
      <c r="CS246">
        <v>335</v>
      </c>
      <c r="CT246">
        <v>10533</v>
      </c>
      <c r="CU246">
        <v>0</v>
      </c>
      <c r="CV246">
        <v>0</v>
      </c>
      <c r="CW246">
        <v>15140</v>
      </c>
      <c r="CX246">
        <v>0</v>
      </c>
      <c r="CY246">
        <v>39640</v>
      </c>
      <c r="CZ246">
        <v>2160</v>
      </c>
      <c r="DA246">
        <v>237</v>
      </c>
      <c r="DB246">
        <v>0</v>
      </c>
      <c r="DC246">
        <v>57177</v>
      </c>
      <c r="DD246">
        <v>0</v>
      </c>
      <c r="DE246">
        <v>0</v>
      </c>
      <c r="DF246">
        <v>1740</v>
      </c>
      <c r="DG246">
        <v>977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2717</v>
      </c>
      <c r="DT246">
        <v>69867</v>
      </c>
      <c r="DU246">
        <v>3212</v>
      </c>
      <c r="DV246">
        <v>0</v>
      </c>
      <c r="DW246">
        <v>490</v>
      </c>
      <c r="DX246">
        <v>70</v>
      </c>
      <c r="DY246">
        <v>2286</v>
      </c>
      <c r="DZ246">
        <v>1715</v>
      </c>
      <c r="EA246">
        <v>2858</v>
      </c>
      <c r="EB246">
        <v>3429</v>
      </c>
      <c r="EC246">
        <v>1143</v>
      </c>
      <c r="ED246">
        <v>209</v>
      </c>
      <c r="EE246">
        <v>11223</v>
      </c>
      <c r="EF246">
        <v>0</v>
      </c>
      <c r="EG246">
        <v>0</v>
      </c>
      <c r="EH246">
        <v>1.6</v>
      </c>
      <c r="EI246">
        <v>11.2</v>
      </c>
      <c r="EJ246">
        <v>73</v>
      </c>
      <c r="EK246">
        <v>8.8000000000000007</v>
      </c>
    </row>
    <row r="247" spans="1:141" x14ac:dyDescent="0.25">
      <c r="A247" t="str">
        <f>[1]ingredient!B247</f>
        <v>Mais</v>
      </c>
      <c r="B247" t="s">
        <v>339</v>
      </c>
      <c r="C247" s="7">
        <f>_xlfn.XLOOKUP(A247,[1]ingredient!$B$2:$B$521,[1]ingredient!$A$2:$A$521)</f>
        <v>246</v>
      </c>
      <c r="D247">
        <v>331</v>
      </c>
      <c r="E247">
        <v>4</v>
      </c>
      <c r="F247">
        <v>9</v>
      </c>
      <c r="G247">
        <v>65</v>
      </c>
      <c r="H247">
        <v>9</v>
      </c>
      <c r="I247">
        <v>1</v>
      </c>
      <c r="J247">
        <v>0.02</v>
      </c>
      <c r="K247">
        <v>12</v>
      </c>
      <c r="L247">
        <v>185</v>
      </c>
      <c r="M247">
        <v>77</v>
      </c>
      <c r="N247">
        <v>0</v>
      </c>
      <c r="O247">
        <v>923</v>
      </c>
      <c r="P247">
        <v>360</v>
      </c>
      <c r="Q247">
        <v>200</v>
      </c>
      <c r="R247">
        <v>1500</v>
      </c>
      <c r="S247">
        <v>2500</v>
      </c>
      <c r="T247">
        <v>650</v>
      </c>
      <c r="U247">
        <v>400</v>
      </c>
      <c r="V247">
        <v>6</v>
      </c>
      <c r="W247">
        <v>26</v>
      </c>
      <c r="X247">
        <v>0</v>
      </c>
      <c r="Y247">
        <v>0</v>
      </c>
      <c r="Z247">
        <v>0</v>
      </c>
      <c r="AA247">
        <v>2014</v>
      </c>
      <c r="AB247">
        <v>40</v>
      </c>
      <c r="AC247">
        <v>6</v>
      </c>
      <c r="AD247">
        <v>330</v>
      </c>
      <c r="AE247">
        <v>15</v>
      </c>
      <c r="AF247">
        <v>120</v>
      </c>
      <c r="AG247">
        <v>256</v>
      </c>
      <c r="AH247">
        <v>80</v>
      </c>
      <c r="AI247">
        <v>12</v>
      </c>
      <c r="AJ247">
        <v>1500</v>
      </c>
      <c r="AK247">
        <v>2500</v>
      </c>
      <c r="AL247">
        <v>200</v>
      </c>
      <c r="AM247">
        <v>480</v>
      </c>
      <c r="AN247">
        <v>62</v>
      </c>
      <c r="AO247">
        <v>3</v>
      </c>
      <c r="AP247">
        <v>0</v>
      </c>
      <c r="AQ247">
        <v>0</v>
      </c>
      <c r="AR247">
        <v>0</v>
      </c>
      <c r="AS247">
        <v>0</v>
      </c>
      <c r="AT247">
        <v>65</v>
      </c>
      <c r="AU247">
        <v>65</v>
      </c>
      <c r="AV247">
        <v>0</v>
      </c>
      <c r="AW247">
        <v>130</v>
      </c>
      <c r="AX247">
        <v>1164</v>
      </c>
      <c r="AY247">
        <v>0</v>
      </c>
      <c r="AZ247">
        <v>0</v>
      </c>
      <c r="BA247">
        <v>1164</v>
      </c>
      <c r="BB247">
        <v>259</v>
      </c>
      <c r="BC247">
        <v>230</v>
      </c>
      <c r="BD247">
        <v>0</v>
      </c>
      <c r="BE247">
        <v>63107</v>
      </c>
      <c r="BF247">
        <v>63107</v>
      </c>
      <c r="BG247">
        <f t="shared" si="30"/>
        <v>51.388888888888886</v>
      </c>
      <c r="BH247">
        <v>307</v>
      </c>
      <c r="BI247">
        <v>1068</v>
      </c>
      <c r="BJ247">
        <v>222</v>
      </c>
      <c r="BK247">
        <v>162</v>
      </c>
      <c r="BL247">
        <v>128</v>
      </c>
      <c r="BM247">
        <v>410</v>
      </c>
      <c r="BN247">
        <v>325</v>
      </c>
      <c r="BO247">
        <v>307</v>
      </c>
      <c r="BP247">
        <v>60</v>
      </c>
      <c r="BQ247">
        <v>410</v>
      </c>
      <c r="BR247">
        <v>350</v>
      </c>
      <c r="BS247">
        <v>231</v>
      </c>
      <c r="BT247">
        <v>3980</v>
      </c>
      <c r="BU247">
        <v>641</v>
      </c>
      <c r="BV247">
        <v>529</v>
      </c>
      <c r="BW247">
        <v>1615</v>
      </c>
      <c r="BX247">
        <v>307</v>
      </c>
      <c r="BY247">
        <v>760</v>
      </c>
      <c r="BZ247">
        <v>418</v>
      </c>
      <c r="CA247">
        <v>4270</v>
      </c>
      <c r="CB247">
        <v>60</v>
      </c>
      <c r="CC247">
        <v>25</v>
      </c>
      <c r="CD247">
        <v>59</v>
      </c>
      <c r="CE247">
        <v>1321</v>
      </c>
      <c r="CF247">
        <v>22.39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382</v>
      </c>
      <c r="CO247">
        <v>0</v>
      </c>
      <c r="CP247">
        <v>72</v>
      </c>
      <c r="CQ247">
        <v>59</v>
      </c>
      <c r="CR247">
        <v>0</v>
      </c>
      <c r="CS247">
        <v>0</v>
      </c>
      <c r="CT247">
        <v>513</v>
      </c>
      <c r="CU247">
        <v>0</v>
      </c>
      <c r="CV247">
        <v>0</v>
      </c>
      <c r="CW247">
        <v>29</v>
      </c>
      <c r="CX247">
        <v>0</v>
      </c>
      <c r="CY247">
        <v>1346</v>
      </c>
      <c r="CZ247">
        <v>0</v>
      </c>
      <c r="DA247">
        <v>0</v>
      </c>
      <c r="DB247">
        <v>0</v>
      </c>
      <c r="DC247">
        <v>1375</v>
      </c>
      <c r="DD247">
        <v>0</v>
      </c>
      <c r="DE247">
        <v>0</v>
      </c>
      <c r="DF247">
        <v>1321</v>
      </c>
      <c r="DG247">
        <v>59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1380</v>
      </c>
      <c r="DT247">
        <v>3268</v>
      </c>
      <c r="DU247">
        <v>532</v>
      </c>
      <c r="DV247">
        <v>0</v>
      </c>
      <c r="DW247">
        <v>0</v>
      </c>
      <c r="DX247">
        <v>0</v>
      </c>
      <c r="DY247">
        <v>1840</v>
      </c>
      <c r="DZ247">
        <v>2760</v>
      </c>
      <c r="EA247">
        <v>736</v>
      </c>
      <c r="EB247">
        <v>3588</v>
      </c>
      <c r="EC247">
        <v>276</v>
      </c>
      <c r="ED247">
        <v>2300</v>
      </c>
      <c r="EE247">
        <v>6900</v>
      </c>
      <c r="EF247">
        <v>0</v>
      </c>
      <c r="EG247">
        <v>0</v>
      </c>
      <c r="EH247">
        <v>1.3</v>
      </c>
      <c r="EI247">
        <v>6.9</v>
      </c>
      <c r="EJ247">
        <v>3.8</v>
      </c>
      <c r="EK247">
        <v>8.4</v>
      </c>
    </row>
    <row r="248" spans="1:141" x14ac:dyDescent="0.25">
      <c r="A248" t="str">
        <f>[1]ingredient!B248</f>
        <v>Mais, gekocht</v>
      </c>
      <c r="B248" t="s">
        <v>340</v>
      </c>
      <c r="C248" s="7">
        <f>_xlfn.XLOOKUP(A248,[1]ingredient!$B$2:$B$521,[1]ingredient!$A$2:$A$521)</f>
        <v>247</v>
      </c>
      <c r="D248">
        <v>89</v>
      </c>
      <c r="E248">
        <v>1</v>
      </c>
      <c r="F248">
        <v>3</v>
      </c>
      <c r="G248">
        <v>16</v>
      </c>
      <c r="H248">
        <v>3</v>
      </c>
      <c r="I248">
        <v>1</v>
      </c>
      <c r="J248">
        <v>0.01</v>
      </c>
      <c r="K248">
        <v>75</v>
      </c>
      <c r="L248">
        <v>9</v>
      </c>
      <c r="M248">
        <v>4</v>
      </c>
      <c r="N248">
        <v>0</v>
      </c>
      <c r="O248">
        <v>51</v>
      </c>
      <c r="P248">
        <v>117</v>
      </c>
      <c r="Q248">
        <v>93</v>
      </c>
      <c r="R248">
        <v>1321</v>
      </c>
      <c r="S248">
        <v>1654</v>
      </c>
      <c r="T248">
        <v>692</v>
      </c>
      <c r="U248">
        <v>171</v>
      </c>
      <c r="V248">
        <v>3</v>
      </c>
      <c r="W248">
        <v>24</v>
      </c>
      <c r="X248">
        <v>0</v>
      </c>
      <c r="Y248">
        <v>6661</v>
      </c>
      <c r="Z248">
        <v>0</v>
      </c>
      <c r="AA248">
        <v>105</v>
      </c>
      <c r="AB248">
        <v>4</v>
      </c>
      <c r="AC248">
        <v>1</v>
      </c>
      <c r="AD248">
        <v>250</v>
      </c>
      <c r="AE248">
        <v>7</v>
      </c>
      <c r="AF248">
        <v>48</v>
      </c>
      <c r="AG248">
        <v>114</v>
      </c>
      <c r="AH248">
        <v>32</v>
      </c>
      <c r="AI248">
        <v>11</v>
      </c>
      <c r="AJ248">
        <v>520</v>
      </c>
      <c r="AK248">
        <v>1055</v>
      </c>
      <c r="AL248">
        <v>63</v>
      </c>
      <c r="AM248">
        <v>200</v>
      </c>
      <c r="AN248">
        <v>20</v>
      </c>
      <c r="AO248">
        <v>3</v>
      </c>
      <c r="AP248">
        <v>157</v>
      </c>
      <c r="AQ248">
        <v>0</v>
      </c>
      <c r="AR248">
        <v>0</v>
      </c>
      <c r="AS248">
        <v>157</v>
      </c>
      <c r="AT248">
        <v>472</v>
      </c>
      <c r="AU248">
        <v>157</v>
      </c>
      <c r="AV248">
        <v>0</v>
      </c>
      <c r="AW248">
        <v>629</v>
      </c>
      <c r="AX248">
        <v>566</v>
      </c>
      <c r="AY248">
        <v>63</v>
      </c>
      <c r="AZ248">
        <v>0</v>
      </c>
      <c r="BA248">
        <v>629</v>
      </c>
      <c r="BB248">
        <v>157</v>
      </c>
      <c r="BC248">
        <v>222</v>
      </c>
      <c r="BD248">
        <v>0</v>
      </c>
      <c r="BE248">
        <v>14135</v>
      </c>
      <c r="BF248">
        <v>14135</v>
      </c>
      <c r="BG248">
        <f t="shared" si="30"/>
        <v>88.888888888888886</v>
      </c>
      <c r="BH248">
        <v>128</v>
      </c>
      <c r="BI248">
        <v>348</v>
      </c>
      <c r="BJ248">
        <v>128</v>
      </c>
      <c r="BK248">
        <v>56</v>
      </c>
      <c r="BL248">
        <v>26</v>
      </c>
      <c r="BM248">
        <v>161</v>
      </c>
      <c r="BN248">
        <v>125</v>
      </c>
      <c r="BO248">
        <v>128</v>
      </c>
      <c r="BP248">
        <v>20</v>
      </c>
      <c r="BQ248">
        <v>203</v>
      </c>
      <c r="BR248">
        <v>134</v>
      </c>
      <c r="BS248">
        <v>82</v>
      </c>
      <c r="BT248">
        <v>1539</v>
      </c>
      <c r="BU248">
        <v>262</v>
      </c>
      <c r="BV248">
        <v>230</v>
      </c>
      <c r="BW248">
        <v>646</v>
      </c>
      <c r="BX248">
        <v>121</v>
      </c>
      <c r="BY248">
        <v>292</v>
      </c>
      <c r="BZ248">
        <v>154</v>
      </c>
      <c r="CA248">
        <v>1705</v>
      </c>
      <c r="CB248">
        <v>47</v>
      </c>
      <c r="CC248">
        <v>20</v>
      </c>
      <c r="CD248">
        <v>16</v>
      </c>
      <c r="CE248">
        <v>492</v>
      </c>
      <c r="CF248">
        <v>30.75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4</v>
      </c>
      <c r="CM248">
        <v>0</v>
      </c>
      <c r="CN248">
        <v>148</v>
      </c>
      <c r="CO248">
        <v>0</v>
      </c>
      <c r="CP248">
        <v>16</v>
      </c>
      <c r="CQ248">
        <v>0</v>
      </c>
      <c r="CR248">
        <v>0</v>
      </c>
      <c r="CS248">
        <v>0</v>
      </c>
      <c r="CT248">
        <v>168</v>
      </c>
      <c r="CU248">
        <v>0</v>
      </c>
      <c r="CV248">
        <v>0</v>
      </c>
      <c r="CW248">
        <v>0</v>
      </c>
      <c r="CX248">
        <v>0</v>
      </c>
      <c r="CY248">
        <v>307</v>
      </c>
      <c r="CZ248">
        <v>0</v>
      </c>
      <c r="DA248">
        <v>0</v>
      </c>
      <c r="DB248">
        <v>0</v>
      </c>
      <c r="DC248">
        <v>307</v>
      </c>
      <c r="DD248">
        <v>0</v>
      </c>
      <c r="DE248">
        <v>0</v>
      </c>
      <c r="DF248">
        <v>492</v>
      </c>
      <c r="DG248">
        <v>16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508</v>
      </c>
      <c r="DT248">
        <v>983</v>
      </c>
      <c r="DU248">
        <v>246</v>
      </c>
      <c r="DV248">
        <v>0</v>
      </c>
      <c r="DW248">
        <v>0</v>
      </c>
      <c r="DX248">
        <v>0</v>
      </c>
      <c r="DY248">
        <v>434</v>
      </c>
      <c r="DZ248">
        <v>347</v>
      </c>
      <c r="EA248">
        <v>983</v>
      </c>
      <c r="EB248">
        <v>925</v>
      </c>
      <c r="EC248">
        <v>202</v>
      </c>
      <c r="ED248">
        <v>723</v>
      </c>
      <c r="EE248">
        <v>2168</v>
      </c>
      <c r="EF248">
        <v>0</v>
      </c>
      <c r="EG248">
        <v>1</v>
      </c>
      <c r="EH248">
        <v>0.7</v>
      </c>
      <c r="EI248">
        <v>2.2000000000000002</v>
      </c>
      <c r="EJ248">
        <v>1.2</v>
      </c>
      <c r="EK248">
        <v>3.4</v>
      </c>
    </row>
    <row r="249" spans="1:141" x14ac:dyDescent="0.25">
      <c r="A249" t="str">
        <f>[1]ingredient!B249</f>
        <v>Maisgrieß</v>
      </c>
      <c r="B249" t="s">
        <v>341</v>
      </c>
      <c r="C249" s="7">
        <f>_xlfn.XLOOKUP(A249,[1]ingredient!$B$2:$B$521,[1]ingredient!$A$2:$A$521)</f>
        <v>248</v>
      </c>
      <c r="D249">
        <v>345</v>
      </c>
      <c r="E249">
        <v>1</v>
      </c>
      <c r="F249">
        <v>9</v>
      </c>
      <c r="G249">
        <v>74</v>
      </c>
      <c r="H249">
        <v>5</v>
      </c>
      <c r="I249">
        <v>1</v>
      </c>
      <c r="J249">
        <v>0.02</v>
      </c>
      <c r="K249">
        <v>11</v>
      </c>
      <c r="L249">
        <v>44</v>
      </c>
      <c r="M249">
        <v>22</v>
      </c>
      <c r="N249">
        <v>0</v>
      </c>
      <c r="O249">
        <v>264</v>
      </c>
      <c r="P249">
        <v>130</v>
      </c>
      <c r="Q249">
        <v>40</v>
      </c>
      <c r="R249">
        <v>1200</v>
      </c>
      <c r="S249">
        <v>2233</v>
      </c>
      <c r="T249">
        <v>550</v>
      </c>
      <c r="U249">
        <v>150</v>
      </c>
      <c r="V249">
        <v>6</v>
      </c>
      <c r="W249">
        <v>5</v>
      </c>
      <c r="X249">
        <v>0</v>
      </c>
      <c r="Y249">
        <v>0</v>
      </c>
      <c r="Z249">
        <v>0</v>
      </c>
      <c r="AA249">
        <v>700</v>
      </c>
      <c r="AB249">
        <v>40</v>
      </c>
      <c r="AC249">
        <v>1</v>
      </c>
      <c r="AD249">
        <v>80</v>
      </c>
      <c r="AE249">
        <v>4</v>
      </c>
      <c r="AF249">
        <v>20</v>
      </c>
      <c r="AG249">
        <v>73</v>
      </c>
      <c r="AH249">
        <v>80</v>
      </c>
      <c r="AI249">
        <v>15</v>
      </c>
      <c r="AJ249">
        <v>1000</v>
      </c>
      <c r="AK249">
        <v>410</v>
      </c>
      <c r="AL249">
        <v>75</v>
      </c>
      <c r="AM249">
        <v>106</v>
      </c>
      <c r="AN249">
        <v>60</v>
      </c>
      <c r="AO249">
        <v>3</v>
      </c>
      <c r="AP249">
        <v>0</v>
      </c>
      <c r="AQ249">
        <v>0</v>
      </c>
      <c r="AR249">
        <v>0</v>
      </c>
      <c r="AS249">
        <v>0</v>
      </c>
      <c r="AT249">
        <v>74</v>
      </c>
      <c r="AU249">
        <v>74</v>
      </c>
      <c r="AV249">
        <v>0</v>
      </c>
      <c r="AW249">
        <v>148</v>
      </c>
      <c r="AX249">
        <v>1328</v>
      </c>
      <c r="AY249">
        <v>0</v>
      </c>
      <c r="AZ249">
        <v>0</v>
      </c>
      <c r="BA249">
        <v>1328</v>
      </c>
      <c r="BB249">
        <v>295</v>
      </c>
      <c r="BC249">
        <v>0</v>
      </c>
      <c r="BD249">
        <v>0</v>
      </c>
      <c r="BE249">
        <v>71986</v>
      </c>
      <c r="BF249">
        <v>71986</v>
      </c>
      <c r="BG249">
        <f t="shared" si="30"/>
        <v>53.009259259259252</v>
      </c>
      <c r="BH249">
        <v>317</v>
      </c>
      <c r="BI249">
        <v>1100</v>
      </c>
      <c r="BJ249">
        <v>229</v>
      </c>
      <c r="BK249">
        <v>167</v>
      </c>
      <c r="BL249">
        <v>132</v>
      </c>
      <c r="BM249">
        <v>422</v>
      </c>
      <c r="BN249">
        <v>334</v>
      </c>
      <c r="BO249">
        <v>317</v>
      </c>
      <c r="BP249">
        <v>62</v>
      </c>
      <c r="BQ249">
        <v>422</v>
      </c>
      <c r="BR249">
        <v>361</v>
      </c>
      <c r="BS249">
        <v>238</v>
      </c>
      <c r="BT249">
        <v>4101</v>
      </c>
      <c r="BU249">
        <v>660</v>
      </c>
      <c r="BV249">
        <v>546</v>
      </c>
      <c r="BW249">
        <v>1663</v>
      </c>
      <c r="BX249">
        <v>317</v>
      </c>
      <c r="BY249">
        <v>783</v>
      </c>
      <c r="BZ249">
        <v>431</v>
      </c>
      <c r="CA249">
        <v>4400</v>
      </c>
      <c r="CB249">
        <v>29</v>
      </c>
      <c r="CC249">
        <v>12</v>
      </c>
      <c r="CD249">
        <v>17</v>
      </c>
      <c r="CE249">
        <v>382</v>
      </c>
      <c r="CF249">
        <v>22.47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111</v>
      </c>
      <c r="CO249">
        <v>0</v>
      </c>
      <c r="CP249">
        <v>21</v>
      </c>
      <c r="CQ249">
        <v>17</v>
      </c>
      <c r="CR249">
        <v>0</v>
      </c>
      <c r="CS249">
        <v>0</v>
      </c>
      <c r="CT249">
        <v>149</v>
      </c>
      <c r="CU249">
        <v>0</v>
      </c>
      <c r="CV249">
        <v>0</v>
      </c>
      <c r="CW249">
        <v>9</v>
      </c>
      <c r="CX249">
        <v>0</v>
      </c>
      <c r="CY249">
        <v>389</v>
      </c>
      <c r="CZ249">
        <v>0</v>
      </c>
      <c r="DA249">
        <v>0</v>
      </c>
      <c r="DB249">
        <v>0</v>
      </c>
      <c r="DC249">
        <v>398</v>
      </c>
      <c r="DD249">
        <v>0</v>
      </c>
      <c r="DE249">
        <v>0</v>
      </c>
      <c r="DF249">
        <v>382</v>
      </c>
      <c r="DG249">
        <v>17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399</v>
      </c>
      <c r="DT249">
        <v>946</v>
      </c>
      <c r="DU249">
        <v>154</v>
      </c>
      <c r="DV249">
        <v>0</v>
      </c>
      <c r="DW249">
        <v>0</v>
      </c>
      <c r="DX249">
        <v>0</v>
      </c>
      <c r="DY249">
        <v>1000</v>
      </c>
      <c r="DZ249">
        <v>1500</v>
      </c>
      <c r="EA249">
        <v>400</v>
      </c>
      <c r="EB249">
        <v>1950</v>
      </c>
      <c r="EC249">
        <v>150</v>
      </c>
      <c r="ED249">
        <v>1250</v>
      </c>
      <c r="EE249">
        <v>3750</v>
      </c>
      <c r="EF249">
        <v>0</v>
      </c>
      <c r="EG249">
        <v>0</v>
      </c>
      <c r="EH249">
        <v>0.3</v>
      </c>
      <c r="EI249">
        <v>3.8</v>
      </c>
      <c r="EJ249">
        <v>1.1000000000000001</v>
      </c>
      <c r="EK249">
        <v>8.6</v>
      </c>
    </row>
    <row r="250" spans="1:141" x14ac:dyDescent="0.25">
      <c r="A250" t="str">
        <f>[1]ingredient!B250</f>
        <v>Maiswaffeln</v>
      </c>
      <c r="B250" t="s">
        <v>342</v>
      </c>
      <c r="C250" s="7">
        <f>_xlfn.XLOOKUP(A250,[1]ingredient!$B$2:$B$521,[1]ingredient!$A$2:$A$521)</f>
        <v>249</v>
      </c>
      <c r="D250">
        <v>377</v>
      </c>
      <c r="E250">
        <v>1</v>
      </c>
      <c r="F250">
        <v>7</v>
      </c>
      <c r="G250">
        <v>85</v>
      </c>
      <c r="H250">
        <v>3</v>
      </c>
      <c r="I250">
        <v>1</v>
      </c>
      <c r="J250">
        <v>0.02</v>
      </c>
      <c r="K250">
        <v>4</v>
      </c>
      <c r="L250">
        <v>200</v>
      </c>
      <c r="M250">
        <v>75</v>
      </c>
      <c r="N250">
        <v>0</v>
      </c>
      <c r="O250">
        <v>900</v>
      </c>
      <c r="P250">
        <v>400</v>
      </c>
      <c r="Q250">
        <v>200</v>
      </c>
      <c r="R250">
        <v>1500</v>
      </c>
      <c r="S250">
        <v>2400</v>
      </c>
      <c r="T250">
        <v>600</v>
      </c>
      <c r="U250">
        <v>400</v>
      </c>
      <c r="V250">
        <v>6</v>
      </c>
      <c r="W250">
        <v>26</v>
      </c>
      <c r="X250">
        <v>0</v>
      </c>
      <c r="Y250">
        <v>0</v>
      </c>
      <c r="Z250">
        <v>0</v>
      </c>
      <c r="AA250">
        <v>0</v>
      </c>
      <c r="AB250">
        <v>40</v>
      </c>
      <c r="AC250">
        <v>4</v>
      </c>
      <c r="AD250">
        <v>270</v>
      </c>
      <c r="AE250">
        <v>8</v>
      </c>
      <c r="AF250">
        <v>91</v>
      </c>
      <c r="AG250">
        <v>213</v>
      </c>
      <c r="AH250">
        <v>80</v>
      </c>
      <c r="AI250">
        <v>12</v>
      </c>
      <c r="AJ250">
        <v>1500</v>
      </c>
      <c r="AK250">
        <v>1500</v>
      </c>
      <c r="AL250">
        <v>200</v>
      </c>
      <c r="AM250">
        <v>400</v>
      </c>
      <c r="AN250">
        <v>0</v>
      </c>
      <c r="AO250">
        <v>3</v>
      </c>
      <c r="AP250">
        <v>0</v>
      </c>
      <c r="AQ250">
        <v>0</v>
      </c>
      <c r="AR250">
        <v>0</v>
      </c>
      <c r="AS250">
        <v>0</v>
      </c>
      <c r="AT250">
        <v>43</v>
      </c>
      <c r="AU250">
        <v>39</v>
      </c>
      <c r="AV250">
        <v>0</v>
      </c>
      <c r="AW250">
        <v>82</v>
      </c>
      <c r="AX250">
        <v>500</v>
      </c>
      <c r="AY250">
        <v>0</v>
      </c>
      <c r="AZ250">
        <v>0</v>
      </c>
      <c r="BA250">
        <v>518</v>
      </c>
      <c r="BB250">
        <v>400</v>
      </c>
      <c r="BC250">
        <v>230</v>
      </c>
      <c r="BD250">
        <v>0</v>
      </c>
      <c r="BE250">
        <v>84000</v>
      </c>
      <c r="BF250">
        <v>0</v>
      </c>
      <c r="BG250">
        <f t="shared" si="30"/>
        <v>51.19047619047619</v>
      </c>
      <c r="BH250">
        <v>249</v>
      </c>
      <c r="BI250">
        <v>826</v>
      </c>
      <c r="BJ250">
        <v>172</v>
      </c>
      <c r="BK250">
        <v>128</v>
      </c>
      <c r="BL250">
        <v>214</v>
      </c>
      <c r="BM250">
        <v>316</v>
      </c>
      <c r="BN250">
        <v>270</v>
      </c>
      <c r="BO250">
        <v>228</v>
      </c>
      <c r="BP250">
        <v>53</v>
      </c>
      <c r="BQ250">
        <v>312</v>
      </c>
      <c r="BR250">
        <v>303</v>
      </c>
      <c r="BS250">
        <v>163</v>
      </c>
      <c r="BT250">
        <v>3233</v>
      </c>
      <c r="BU250">
        <v>511</v>
      </c>
      <c r="BV250">
        <v>417</v>
      </c>
      <c r="BW250">
        <v>1200</v>
      </c>
      <c r="BX250">
        <v>238</v>
      </c>
      <c r="BY250">
        <v>598</v>
      </c>
      <c r="BZ250">
        <v>304</v>
      </c>
      <c r="CA250">
        <v>3267</v>
      </c>
      <c r="CB250">
        <v>60</v>
      </c>
      <c r="CC250">
        <v>20</v>
      </c>
      <c r="CD250">
        <v>0</v>
      </c>
      <c r="CE250">
        <v>200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74</v>
      </c>
      <c r="CO250">
        <v>0</v>
      </c>
      <c r="CP250">
        <v>14</v>
      </c>
      <c r="CQ250">
        <v>12</v>
      </c>
      <c r="CR250">
        <v>0</v>
      </c>
      <c r="CS250">
        <v>0</v>
      </c>
      <c r="CT250">
        <v>100</v>
      </c>
      <c r="CU250">
        <v>0</v>
      </c>
      <c r="CV250">
        <v>0</v>
      </c>
      <c r="CW250">
        <v>4</v>
      </c>
      <c r="CX250">
        <v>0</v>
      </c>
      <c r="CY250">
        <v>132</v>
      </c>
      <c r="CZ250">
        <v>0</v>
      </c>
      <c r="DA250">
        <v>0</v>
      </c>
      <c r="DB250">
        <v>0</v>
      </c>
      <c r="DC250">
        <v>100</v>
      </c>
      <c r="DD250">
        <v>0</v>
      </c>
      <c r="DE250">
        <v>0</v>
      </c>
      <c r="DF250">
        <v>200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200</v>
      </c>
      <c r="DT250">
        <v>436</v>
      </c>
      <c r="DU250">
        <v>64</v>
      </c>
      <c r="DV250">
        <v>0</v>
      </c>
      <c r="DW250">
        <v>0</v>
      </c>
      <c r="DX250">
        <v>0</v>
      </c>
      <c r="DY250">
        <v>567</v>
      </c>
      <c r="DZ250">
        <v>850</v>
      </c>
      <c r="EA250">
        <v>227</v>
      </c>
      <c r="EB250">
        <v>809</v>
      </c>
      <c r="EC250">
        <v>85</v>
      </c>
      <c r="ED250">
        <v>379</v>
      </c>
      <c r="EE250">
        <v>2821</v>
      </c>
      <c r="EF250">
        <v>0</v>
      </c>
      <c r="EG250">
        <v>0</v>
      </c>
      <c r="EH250">
        <v>0.7</v>
      </c>
      <c r="EI250">
        <v>2.8</v>
      </c>
      <c r="EJ250">
        <v>0.5</v>
      </c>
      <c r="EK250">
        <v>6.7</v>
      </c>
    </row>
    <row r="251" spans="1:141" x14ac:dyDescent="0.25">
      <c r="A251" t="str">
        <f>[1]ingredient!B251</f>
        <v>Maitake</v>
      </c>
      <c r="B251" t="s">
        <v>220</v>
      </c>
      <c r="C251" s="7">
        <f>_xlfn.XLOOKUP(A251,[1]ingredient!$B$2:$B$521,[1]ingredient!$A$2:$A$521)</f>
        <v>250</v>
      </c>
      <c r="D251">
        <v>15</v>
      </c>
      <c r="E251">
        <v>0.24</v>
      </c>
      <c r="F251">
        <v>3</v>
      </c>
      <c r="G251">
        <v>1</v>
      </c>
      <c r="H251">
        <v>2</v>
      </c>
      <c r="I251">
        <v>0.11</v>
      </c>
      <c r="J251">
        <v>0.08</v>
      </c>
      <c r="K251">
        <v>93</v>
      </c>
      <c r="L251">
        <v>2</v>
      </c>
      <c r="M251">
        <v>1</v>
      </c>
      <c r="N251">
        <v>0</v>
      </c>
      <c r="O251">
        <v>10</v>
      </c>
      <c r="P251">
        <v>100</v>
      </c>
      <c r="Q251">
        <v>440</v>
      </c>
      <c r="R251">
        <v>5200</v>
      </c>
      <c r="S251">
        <v>5567</v>
      </c>
      <c r="T251">
        <v>2100</v>
      </c>
      <c r="U251">
        <v>65</v>
      </c>
      <c r="V251">
        <v>16</v>
      </c>
      <c r="W251">
        <v>25</v>
      </c>
      <c r="X251">
        <v>0</v>
      </c>
      <c r="Y251">
        <v>4900</v>
      </c>
      <c r="Z251">
        <v>2</v>
      </c>
      <c r="AA251">
        <v>116</v>
      </c>
      <c r="AB251">
        <v>14</v>
      </c>
      <c r="AC251">
        <v>8</v>
      </c>
      <c r="AD251">
        <v>422</v>
      </c>
      <c r="AE251">
        <v>11</v>
      </c>
      <c r="AF251">
        <v>13</v>
      </c>
      <c r="AG251">
        <v>123</v>
      </c>
      <c r="AH251">
        <v>34</v>
      </c>
      <c r="AI251">
        <v>67</v>
      </c>
      <c r="AJ251">
        <v>1186</v>
      </c>
      <c r="AK251">
        <v>540</v>
      </c>
      <c r="AL251">
        <v>400</v>
      </c>
      <c r="AM251">
        <v>89</v>
      </c>
      <c r="AN251">
        <v>31</v>
      </c>
      <c r="AO251">
        <v>18</v>
      </c>
      <c r="AP251">
        <v>448</v>
      </c>
      <c r="AQ251">
        <v>0</v>
      </c>
      <c r="AR251">
        <v>0</v>
      </c>
      <c r="AS251">
        <v>448</v>
      </c>
      <c r="AT251">
        <v>67</v>
      </c>
      <c r="AU251">
        <v>28</v>
      </c>
      <c r="AV251">
        <v>0</v>
      </c>
      <c r="AW251">
        <v>95</v>
      </c>
      <c r="AX251">
        <v>17</v>
      </c>
      <c r="AY251">
        <v>0</v>
      </c>
      <c r="AZ251">
        <v>0</v>
      </c>
      <c r="BA251">
        <v>17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f t="shared" si="30"/>
        <v>59.420289855072461</v>
      </c>
      <c r="BH251">
        <v>110</v>
      </c>
      <c r="BI251">
        <v>118</v>
      </c>
      <c r="BJ251">
        <v>170</v>
      </c>
      <c r="BK251">
        <v>25</v>
      </c>
      <c r="BL251">
        <v>16</v>
      </c>
      <c r="BM251">
        <v>74</v>
      </c>
      <c r="BN251">
        <v>66</v>
      </c>
      <c r="BO251">
        <v>85</v>
      </c>
      <c r="BP251">
        <v>22</v>
      </c>
      <c r="BQ251">
        <v>88</v>
      </c>
      <c r="BR251">
        <v>190</v>
      </c>
      <c r="BS251">
        <v>55</v>
      </c>
      <c r="BT251">
        <v>1019</v>
      </c>
      <c r="BU251">
        <v>137</v>
      </c>
      <c r="BV251">
        <v>126</v>
      </c>
      <c r="BW251">
        <v>192</v>
      </c>
      <c r="BX251">
        <v>74</v>
      </c>
      <c r="BY251">
        <v>151</v>
      </c>
      <c r="BZ251">
        <v>82</v>
      </c>
      <c r="CA251">
        <v>762</v>
      </c>
      <c r="CB251">
        <v>60</v>
      </c>
      <c r="CC251">
        <v>25</v>
      </c>
      <c r="CD251">
        <v>106</v>
      </c>
      <c r="CE251">
        <v>25</v>
      </c>
      <c r="CF251">
        <v>0.24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53</v>
      </c>
      <c r="CO251">
        <v>0</v>
      </c>
      <c r="CP251">
        <v>4</v>
      </c>
      <c r="CQ251">
        <v>0</v>
      </c>
      <c r="CR251">
        <v>0</v>
      </c>
      <c r="CS251">
        <v>0</v>
      </c>
      <c r="CT251">
        <v>58</v>
      </c>
      <c r="CU251">
        <v>0</v>
      </c>
      <c r="CV251">
        <v>0</v>
      </c>
      <c r="CW251">
        <v>1</v>
      </c>
      <c r="CX251">
        <v>0</v>
      </c>
      <c r="CY251">
        <v>2</v>
      </c>
      <c r="CZ251">
        <v>0</v>
      </c>
      <c r="DA251">
        <v>0</v>
      </c>
      <c r="DB251">
        <v>0</v>
      </c>
      <c r="DC251">
        <v>3</v>
      </c>
      <c r="DD251">
        <v>0</v>
      </c>
      <c r="DE251">
        <v>0</v>
      </c>
      <c r="DF251">
        <v>25</v>
      </c>
      <c r="DG251">
        <v>106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131</v>
      </c>
      <c r="DT251">
        <v>192</v>
      </c>
      <c r="DU251">
        <v>48</v>
      </c>
      <c r="DV251">
        <v>0</v>
      </c>
      <c r="DW251">
        <v>0</v>
      </c>
      <c r="DX251">
        <v>0</v>
      </c>
      <c r="DY251">
        <v>0</v>
      </c>
      <c r="DZ251">
        <v>832</v>
      </c>
      <c r="EA251">
        <v>20</v>
      </c>
      <c r="EB251">
        <v>1158</v>
      </c>
      <c r="EC251">
        <v>20</v>
      </c>
      <c r="ED251">
        <v>386</v>
      </c>
      <c r="EE251">
        <v>1644</v>
      </c>
      <c r="EF251">
        <v>0</v>
      </c>
      <c r="EG251">
        <v>0.13</v>
      </c>
      <c r="EH251">
        <v>1</v>
      </c>
      <c r="EI251">
        <v>1.6</v>
      </c>
      <c r="EJ251">
        <v>0.2</v>
      </c>
      <c r="EK251">
        <v>2</v>
      </c>
    </row>
    <row r="252" spans="1:141" x14ac:dyDescent="0.25">
      <c r="A252" t="str">
        <f>[1]ingredient!B252</f>
        <v>Majoran</v>
      </c>
      <c r="B252" s="8" t="s">
        <v>343</v>
      </c>
      <c r="C252" s="7">
        <f>_xlfn.XLOOKUP(A252,[1]ingredient!$B$2:$B$521,[1]ingredient!$A$2:$A$521)</f>
        <v>251</v>
      </c>
      <c r="D252">
        <v>46</v>
      </c>
      <c r="E252">
        <v>1</v>
      </c>
      <c r="F252">
        <v>2</v>
      </c>
      <c r="G252">
        <v>7</v>
      </c>
      <c r="H252">
        <v>3</v>
      </c>
      <c r="I252">
        <v>7</v>
      </c>
      <c r="J252">
        <v>0.04</v>
      </c>
      <c r="K252">
        <v>85</v>
      </c>
      <c r="L252">
        <v>131</v>
      </c>
      <c r="M252">
        <v>65</v>
      </c>
      <c r="N252">
        <v>0</v>
      </c>
      <c r="O252">
        <v>783</v>
      </c>
      <c r="P252">
        <v>47</v>
      </c>
      <c r="Q252">
        <v>52</v>
      </c>
      <c r="R252">
        <v>663</v>
      </c>
      <c r="S252">
        <v>1013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12</v>
      </c>
      <c r="AD252">
        <v>246</v>
      </c>
      <c r="AE252">
        <v>322</v>
      </c>
      <c r="AF252">
        <v>57</v>
      </c>
      <c r="AG252">
        <v>50</v>
      </c>
      <c r="AH252">
        <v>16</v>
      </c>
      <c r="AI252">
        <v>32</v>
      </c>
      <c r="AJ252">
        <v>13374</v>
      </c>
      <c r="AK252">
        <v>582</v>
      </c>
      <c r="AL252">
        <v>183</v>
      </c>
      <c r="AM252">
        <v>873</v>
      </c>
      <c r="AN252">
        <v>65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2749</v>
      </c>
      <c r="AU252">
        <v>2749</v>
      </c>
      <c r="AV252">
        <v>0</v>
      </c>
      <c r="AW252">
        <v>5498</v>
      </c>
      <c r="AX252">
        <v>1306</v>
      </c>
      <c r="AY252">
        <v>0</v>
      </c>
      <c r="AZ252">
        <v>0</v>
      </c>
      <c r="BA252">
        <v>1306</v>
      </c>
      <c r="BB252">
        <v>0</v>
      </c>
      <c r="BC252">
        <v>0</v>
      </c>
      <c r="BD252">
        <v>0</v>
      </c>
      <c r="BE252">
        <v>69</v>
      </c>
      <c r="BF252">
        <v>69</v>
      </c>
      <c r="BG252">
        <f t="shared" si="30"/>
        <v>96.875</v>
      </c>
      <c r="BH252">
        <v>82</v>
      </c>
      <c r="BI252">
        <v>132</v>
      </c>
      <c r="BJ252">
        <v>103</v>
      </c>
      <c r="BK252">
        <v>25</v>
      </c>
      <c r="BL252">
        <v>21</v>
      </c>
      <c r="BM252">
        <v>62</v>
      </c>
      <c r="BN252">
        <v>41</v>
      </c>
      <c r="BO252">
        <v>72</v>
      </c>
      <c r="BP252">
        <v>21</v>
      </c>
      <c r="BQ252">
        <v>82</v>
      </c>
      <c r="BR252">
        <v>82</v>
      </c>
      <c r="BS252">
        <v>31</v>
      </c>
      <c r="BT252">
        <v>745</v>
      </c>
      <c r="BU252">
        <v>103</v>
      </c>
      <c r="BV252">
        <v>205</v>
      </c>
      <c r="BW252">
        <v>306</v>
      </c>
      <c r="BX252">
        <v>58</v>
      </c>
      <c r="BY252">
        <v>82</v>
      </c>
      <c r="BZ252">
        <v>62</v>
      </c>
      <c r="CA252">
        <v>816</v>
      </c>
      <c r="CB252">
        <v>31</v>
      </c>
      <c r="CC252">
        <v>13</v>
      </c>
      <c r="CD252">
        <v>272</v>
      </c>
      <c r="CE252">
        <v>362</v>
      </c>
      <c r="CF252">
        <v>1.33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5</v>
      </c>
      <c r="CM252">
        <v>0</v>
      </c>
      <c r="CN252">
        <v>177</v>
      </c>
      <c r="CO252">
        <v>0</v>
      </c>
      <c r="CP252">
        <v>27</v>
      </c>
      <c r="CQ252">
        <v>0</v>
      </c>
      <c r="CR252">
        <v>0</v>
      </c>
      <c r="CS252">
        <v>0</v>
      </c>
      <c r="CT252">
        <v>209</v>
      </c>
      <c r="CU252">
        <v>0</v>
      </c>
      <c r="CV252">
        <v>0</v>
      </c>
      <c r="CW252">
        <v>9</v>
      </c>
      <c r="CX252">
        <v>0</v>
      </c>
      <c r="CY252">
        <v>54</v>
      </c>
      <c r="CZ252">
        <v>0</v>
      </c>
      <c r="DA252">
        <v>0</v>
      </c>
      <c r="DB252">
        <v>0</v>
      </c>
      <c r="DC252">
        <v>63</v>
      </c>
      <c r="DD252">
        <v>0</v>
      </c>
      <c r="DE252">
        <v>0</v>
      </c>
      <c r="DF252">
        <v>362</v>
      </c>
      <c r="DG252">
        <v>272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634</v>
      </c>
      <c r="DT252">
        <v>906</v>
      </c>
      <c r="DU252">
        <v>226</v>
      </c>
      <c r="DV252">
        <v>0</v>
      </c>
      <c r="DW252">
        <v>0</v>
      </c>
      <c r="DX252">
        <v>0</v>
      </c>
      <c r="DY252">
        <v>439</v>
      </c>
      <c r="DZ252">
        <v>586</v>
      </c>
      <c r="EA252">
        <v>791</v>
      </c>
      <c r="EB252">
        <v>1025</v>
      </c>
      <c r="EC252">
        <v>88</v>
      </c>
      <c r="ED252">
        <v>879</v>
      </c>
      <c r="EE252">
        <v>2050</v>
      </c>
      <c r="EF252">
        <v>0</v>
      </c>
      <c r="EG252">
        <v>0.05</v>
      </c>
      <c r="EH252">
        <v>2</v>
      </c>
      <c r="EI252">
        <v>2.1</v>
      </c>
      <c r="EJ252">
        <v>1.1000000000000001</v>
      </c>
      <c r="EK252">
        <v>1.7</v>
      </c>
    </row>
    <row r="253" spans="1:141" x14ac:dyDescent="0.25">
      <c r="A253" t="str">
        <f>[1]ingredient!B253</f>
        <v>Majoran, getrocknet</v>
      </c>
      <c r="B253" t="s">
        <v>344</v>
      </c>
      <c r="C253" s="7">
        <f>_xlfn.XLOOKUP(A253,[1]ingredient!$B$2:$B$521,[1]ingredient!$A$2:$A$521)</f>
        <v>252</v>
      </c>
      <c r="D253">
        <v>287</v>
      </c>
      <c r="E253">
        <v>7</v>
      </c>
      <c r="F253">
        <v>13</v>
      </c>
      <c r="G253">
        <v>43</v>
      </c>
      <c r="H253">
        <v>18</v>
      </c>
      <c r="I253">
        <v>42</v>
      </c>
      <c r="J253">
        <v>0.28000000000000003</v>
      </c>
      <c r="K253">
        <v>7</v>
      </c>
      <c r="L253">
        <v>807</v>
      </c>
      <c r="M253">
        <v>403</v>
      </c>
      <c r="N253">
        <v>0</v>
      </c>
      <c r="O253">
        <v>4840</v>
      </c>
      <c r="P253">
        <v>290</v>
      </c>
      <c r="Q253">
        <v>320</v>
      </c>
      <c r="R253">
        <v>4100</v>
      </c>
      <c r="S253">
        <v>6217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77</v>
      </c>
      <c r="AD253">
        <v>1520</v>
      </c>
      <c r="AE253">
        <v>1990</v>
      </c>
      <c r="AF253">
        <v>350</v>
      </c>
      <c r="AG253">
        <v>310</v>
      </c>
      <c r="AH253">
        <v>100</v>
      </c>
      <c r="AI253">
        <v>200</v>
      </c>
      <c r="AJ253">
        <v>82700</v>
      </c>
      <c r="AK253">
        <v>3600</v>
      </c>
      <c r="AL253">
        <v>1130</v>
      </c>
      <c r="AM253">
        <v>5400</v>
      </c>
      <c r="AN253">
        <v>400</v>
      </c>
      <c r="AO253">
        <v>5</v>
      </c>
      <c r="AP253">
        <v>0</v>
      </c>
      <c r="AQ253">
        <v>0</v>
      </c>
      <c r="AR253">
        <v>0</v>
      </c>
      <c r="AS253">
        <v>0</v>
      </c>
      <c r="AT253">
        <v>17000</v>
      </c>
      <c r="AU253">
        <v>17000</v>
      </c>
      <c r="AV253">
        <v>0</v>
      </c>
      <c r="AW253">
        <v>34000</v>
      </c>
      <c r="AX253">
        <v>8075</v>
      </c>
      <c r="AY253">
        <v>0</v>
      </c>
      <c r="AZ253">
        <v>0</v>
      </c>
      <c r="BA253">
        <v>8075</v>
      </c>
      <c r="BB253">
        <v>0</v>
      </c>
      <c r="BC253">
        <v>0</v>
      </c>
      <c r="BD253">
        <v>0</v>
      </c>
      <c r="BE253">
        <v>425</v>
      </c>
      <c r="BF253">
        <v>425</v>
      </c>
      <c r="BG253">
        <f t="shared" si="30"/>
        <v>91.826923076923066</v>
      </c>
      <c r="BH253">
        <v>508</v>
      </c>
      <c r="BI253">
        <v>762</v>
      </c>
      <c r="BJ253">
        <v>635</v>
      </c>
      <c r="BK253">
        <v>152</v>
      </c>
      <c r="BL253">
        <v>127</v>
      </c>
      <c r="BM253">
        <v>381</v>
      </c>
      <c r="BN253">
        <v>254</v>
      </c>
      <c r="BO253">
        <v>445</v>
      </c>
      <c r="BP253">
        <v>127</v>
      </c>
      <c r="BQ253">
        <v>508</v>
      </c>
      <c r="BR253">
        <v>508</v>
      </c>
      <c r="BS253">
        <v>191</v>
      </c>
      <c r="BT253">
        <v>4598</v>
      </c>
      <c r="BU253">
        <v>635</v>
      </c>
      <c r="BV253">
        <v>1270</v>
      </c>
      <c r="BW253">
        <v>1904</v>
      </c>
      <c r="BX253">
        <v>356</v>
      </c>
      <c r="BY253">
        <v>508</v>
      </c>
      <c r="BZ253">
        <v>381</v>
      </c>
      <c r="CA253">
        <v>5054</v>
      </c>
      <c r="CB253">
        <v>194</v>
      </c>
      <c r="CC253">
        <v>81</v>
      </c>
      <c r="CD253">
        <v>1680</v>
      </c>
      <c r="CE253">
        <v>2240</v>
      </c>
      <c r="CF253">
        <v>1.33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28</v>
      </c>
      <c r="CM253">
        <v>0</v>
      </c>
      <c r="CN253">
        <v>1092</v>
      </c>
      <c r="CO253">
        <v>0</v>
      </c>
      <c r="CP253">
        <v>168</v>
      </c>
      <c r="CQ253">
        <v>0</v>
      </c>
      <c r="CR253">
        <v>0</v>
      </c>
      <c r="CS253">
        <v>0</v>
      </c>
      <c r="CT253">
        <v>1288</v>
      </c>
      <c r="CU253">
        <v>0</v>
      </c>
      <c r="CV253">
        <v>0</v>
      </c>
      <c r="CW253">
        <v>56</v>
      </c>
      <c r="CX253">
        <v>0</v>
      </c>
      <c r="CY253">
        <v>336</v>
      </c>
      <c r="CZ253">
        <v>0</v>
      </c>
      <c r="DA253">
        <v>0</v>
      </c>
      <c r="DB253">
        <v>0</v>
      </c>
      <c r="DC253">
        <v>392</v>
      </c>
      <c r="DD253">
        <v>0</v>
      </c>
      <c r="DE253">
        <v>0</v>
      </c>
      <c r="DF253">
        <v>2240</v>
      </c>
      <c r="DG253">
        <v>1680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3920</v>
      </c>
      <c r="DT253">
        <v>5600</v>
      </c>
      <c r="DU253">
        <v>1400</v>
      </c>
      <c r="DV253">
        <v>0</v>
      </c>
      <c r="DW253">
        <v>0</v>
      </c>
      <c r="DX253">
        <v>0</v>
      </c>
      <c r="DY253">
        <v>2717</v>
      </c>
      <c r="DZ253">
        <v>3622</v>
      </c>
      <c r="EA253">
        <v>4890</v>
      </c>
      <c r="EB253">
        <v>6338</v>
      </c>
      <c r="EC253">
        <v>543</v>
      </c>
      <c r="ED253">
        <v>5433</v>
      </c>
      <c r="EE253">
        <v>12677</v>
      </c>
      <c r="EF253">
        <v>0</v>
      </c>
      <c r="EG253">
        <v>0.33</v>
      </c>
      <c r="EH253">
        <v>12.1</v>
      </c>
      <c r="EI253">
        <v>12.7</v>
      </c>
      <c r="EJ253">
        <v>7</v>
      </c>
      <c r="EK253">
        <v>10.3</v>
      </c>
    </row>
    <row r="254" spans="1:141" x14ac:dyDescent="0.25">
      <c r="A254" t="str">
        <f>[1]ingredient!B254</f>
        <v>Mandarinen</v>
      </c>
      <c r="B254" t="s">
        <v>345</v>
      </c>
      <c r="C254" s="7">
        <f>_xlfn.XLOOKUP(A254,[1]ingredient!$B$2:$B$521,[1]ingredient!$A$2:$A$521)</f>
        <v>253</v>
      </c>
      <c r="D254">
        <v>50</v>
      </c>
      <c r="E254">
        <v>0.3</v>
      </c>
      <c r="F254">
        <v>1</v>
      </c>
      <c r="G254">
        <v>10</v>
      </c>
      <c r="H254">
        <v>2</v>
      </c>
      <c r="I254">
        <v>10</v>
      </c>
      <c r="J254">
        <v>0.01</v>
      </c>
      <c r="K254">
        <v>85</v>
      </c>
      <c r="L254">
        <v>57</v>
      </c>
      <c r="M254">
        <v>28</v>
      </c>
      <c r="N254">
        <v>0</v>
      </c>
      <c r="O254">
        <v>340</v>
      </c>
      <c r="P254">
        <v>60</v>
      </c>
      <c r="Q254">
        <v>30</v>
      </c>
      <c r="R254">
        <v>200</v>
      </c>
      <c r="S254">
        <v>317</v>
      </c>
      <c r="T254">
        <v>200</v>
      </c>
      <c r="U254">
        <v>23</v>
      </c>
      <c r="V254">
        <v>1</v>
      </c>
      <c r="W254">
        <v>7</v>
      </c>
      <c r="X254">
        <v>0</v>
      </c>
      <c r="Y254">
        <v>30000</v>
      </c>
      <c r="Z254">
        <v>0</v>
      </c>
      <c r="AA254">
        <v>300</v>
      </c>
      <c r="AB254">
        <v>3</v>
      </c>
      <c r="AC254">
        <v>1</v>
      </c>
      <c r="AD254">
        <v>210</v>
      </c>
      <c r="AE254">
        <v>33</v>
      </c>
      <c r="AF254">
        <v>11</v>
      </c>
      <c r="AG254">
        <v>20</v>
      </c>
      <c r="AH254">
        <v>10</v>
      </c>
      <c r="AI254">
        <v>4</v>
      </c>
      <c r="AJ254">
        <v>300</v>
      </c>
      <c r="AK254">
        <v>80</v>
      </c>
      <c r="AL254">
        <v>90</v>
      </c>
      <c r="AM254">
        <v>40</v>
      </c>
      <c r="AN254">
        <v>10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1697</v>
      </c>
      <c r="AU254">
        <v>1303</v>
      </c>
      <c r="AV254">
        <v>0</v>
      </c>
      <c r="AW254">
        <v>3000</v>
      </c>
      <c r="AX254">
        <v>7100</v>
      </c>
      <c r="AY254">
        <v>0</v>
      </c>
      <c r="AZ254">
        <v>0</v>
      </c>
      <c r="BA254">
        <v>7100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f t="shared" si="30"/>
        <v>29.508196721311474</v>
      </c>
      <c r="BH254">
        <v>18</v>
      </c>
      <c r="BI254">
        <v>18</v>
      </c>
      <c r="BJ254">
        <v>32</v>
      </c>
      <c r="BK254">
        <v>11</v>
      </c>
      <c r="BL254">
        <v>7</v>
      </c>
      <c r="BM254">
        <v>21</v>
      </c>
      <c r="BN254">
        <v>11</v>
      </c>
      <c r="BO254">
        <v>11</v>
      </c>
      <c r="BP254">
        <v>7</v>
      </c>
      <c r="BQ254">
        <v>25</v>
      </c>
      <c r="BR254">
        <v>46</v>
      </c>
      <c r="BS254">
        <v>11</v>
      </c>
      <c r="BT254">
        <v>218</v>
      </c>
      <c r="BU254">
        <v>35</v>
      </c>
      <c r="BV254">
        <v>92</v>
      </c>
      <c r="BW254">
        <v>70</v>
      </c>
      <c r="BX254">
        <v>56</v>
      </c>
      <c r="BY254">
        <v>39</v>
      </c>
      <c r="BZ254">
        <v>25</v>
      </c>
      <c r="CA254">
        <v>317</v>
      </c>
      <c r="CB254">
        <v>20</v>
      </c>
      <c r="CC254">
        <v>8</v>
      </c>
      <c r="CD254">
        <v>36</v>
      </c>
      <c r="CE254">
        <v>87</v>
      </c>
      <c r="CF254">
        <v>2.42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2</v>
      </c>
      <c r="CM254">
        <v>0</v>
      </c>
      <c r="CN254">
        <v>58</v>
      </c>
      <c r="CO254">
        <v>0</v>
      </c>
      <c r="CP254">
        <v>2</v>
      </c>
      <c r="CQ254">
        <v>0</v>
      </c>
      <c r="CR254">
        <v>0</v>
      </c>
      <c r="CS254">
        <v>0</v>
      </c>
      <c r="CT254">
        <v>62</v>
      </c>
      <c r="CU254">
        <v>0</v>
      </c>
      <c r="CV254">
        <v>0</v>
      </c>
      <c r="CW254">
        <v>7</v>
      </c>
      <c r="CX254">
        <v>0</v>
      </c>
      <c r="CY254">
        <v>48</v>
      </c>
      <c r="CZ254">
        <v>0</v>
      </c>
      <c r="DA254">
        <v>0</v>
      </c>
      <c r="DB254">
        <v>0</v>
      </c>
      <c r="DC254">
        <v>55</v>
      </c>
      <c r="DD254">
        <v>0</v>
      </c>
      <c r="DE254">
        <v>0</v>
      </c>
      <c r="DF254">
        <v>87</v>
      </c>
      <c r="DG254">
        <v>36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123</v>
      </c>
      <c r="DT254">
        <v>240</v>
      </c>
      <c r="DU254">
        <v>60</v>
      </c>
      <c r="DV254">
        <v>0</v>
      </c>
      <c r="DW254">
        <v>0</v>
      </c>
      <c r="DX254">
        <v>0</v>
      </c>
      <c r="DY254">
        <v>340</v>
      </c>
      <c r="DZ254">
        <v>255</v>
      </c>
      <c r="EA254">
        <v>510</v>
      </c>
      <c r="EB254">
        <v>340</v>
      </c>
      <c r="EC254">
        <v>255</v>
      </c>
      <c r="ED254">
        <v>670</v>
      </c>
      <c r="EE254">
        <v>1030</v>
      </c>
      <c r="EF254">
        <v>0</v>
      </c>
      <c r="EG254">
        <v>1</v>
      </c>
      <c r="EH254">
        <v>0.7</v>
      </c>
      <c r="EI254">
        <v>1</v>
      </c>
      <c r="EJ254">
        <v>0.3</v>
      </c>
      <c r="EK254">
        <v>0.6</v>
      </c>
    </row>
    <row r="255" spans="1:141" x14ac:dyDescent="0.25">
      <c r="A255" t="str">
        <f>[1]ingredient!B255</f>
        <v>Mandeljoghurt</v>
      </c>
      <c r="C255" s="7">
        <f>_xlfn.XLOOKUP(A255,[1]ingredient!$B$2:$B$521,[1]ingredient!$A$2:$A$521)</f>
        <v>254</v>
      </c>
      <c r="D255">
        <v>57</v>
      </c>
      <c r="E255">
        <v>3.1</v>
      </c>
      <c r="F255">
        <v>1.3</v>
      </c>
      <c r="G255">
        <v>5.4</v>
      </c>
      <c r="H255">
        <v>0</v>
      </c>
      <c r="I255">
        <v>0.5</v>
      </c>
      <c r="J255">
        <v>0.3</v>
      </c>
      <c r="K255">
        <v>85</v>
      </c>
      <c r="BG255">
        <f t="shared" si="30"/>
        <v>0</v>
      </c>
      <c r="CT255">
        <v>0.2</v>
      </c>
    </row>
    <row r="256" spans="1:141" x14ac:dyDescent="0.25">
      <c r="A256" t="str">
        <f>[1]ingredient!B256</f>
        <v>Mandelmilch</v>
      </c>
      <c r="B256" t="s">
        <v>346</v>
      </c>
      <c r="C256" s="7">
        <f>_xlfn.XLOOKUP(A256,[1]ingredient!$B$2:$B$521,[1]ingredient!$A$2:$A$521)</f>
        <v>255</v>
      </c>
      <c r="D256">
        <v>13</v>
      </c>
      <c r="E256">
        <v>1</v>
      </c>
      <c r="F256">
        <v>0.4</v>
      </c>
      <c r="G256">
        <v>0</v>
      </c>
      <c r="H256">
        <v>0.3</v>
      </c>
      <c r="I256">
        <v>0.02</v>
      </c>
      <c r="J256">
        <v>0.18</v>
      </c>
      <c r="K256">
        <v>97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200</v>
      </c>
      <c r="R256">
        <v>100</v>
      </c>
      <c r="S256">
        <v>100</v>
      </c>
      <c r="T256">
        <v>0</v>
      </c>
      <c r="U256">
        <v>0</v>
      </c>
      <c r="V256">
        <v>0</v>
      </c>
      <c r="W256">
        <v>1</v>
      </c>
      <c r="X256">
        <v>0.4</v>
      </c>
      <c r="Y256">
        <v>0</v>
      </c>
      <c r="Z256">
        <v>1</v>
      </c>
      <c r="AA256">
        <v>0</v>
      </c>
      <c r="AB256">
        <v>0</v>
      </c>
      <c r="AC256">
        <v>56</v>
      </c>
      <c r="AD256">
        <v>15</v>
      </c>
      <c r="AE256">
        <v>120</v>
      </c>
      <c r="AF256">
        <v>6</v>
      </c>
      <c r="AG256">
        <v>207</v>
      </c>
      <c r="AH256">
        <v>4</v>
      </c>
      <c r="AI256">
        <v>124</v>
      </c>
      <c r="AJ256">
        <v>100</v>
      </c>
      <c r="AK256">
        <v>100</v>
      </c>
      <c r="AL256">
        <v>0</v>
      </c>
      <c r="AM256">
        <v>0</v>
      </c>
      <c r="AN256">
        <v>0</v>
      </c>
      <c r="AO256">
        <v>4</v>
      </c>
      <c r="AP256">
        <v>0</v>
      </c>
      <c r="AQ256">
        <v>0</v>
      </c>
      <c r="AR256">
        <v>0</v>
      </c>
      <c r="AS256">
        <v>0</v>
      </c>
      <c r="AT256">
        <v>2</v>
      </c>
      <c r="AU256">
        <v>2</v>
      </c>
      <c r="AV256">
        <v>0</v>
      </c>
      <c r="AW256">
        <v>4</v>
      </c>
      <c r="AX256">
        <v>0</v>
      </c>
      <c r="AY256">
        <v>0</v>
      </c>
      <c r="AZ256">
        <v>0</v>
      </c>
      <c r="BA256">
        <v>16</v>
      </c>
      <c r="BB256">
        <v>0</v>
      </c>
      <c r="BC256">
        <v>0</v>
      </c>
      <c r="BD256">
        <v>0</v>
      </c>
      <c r="BE256">
        <v>20</v>
      </c>
      <c r="BF256">
        <v>0</v>
      </c>
      <c r="BG256">
        <f t="shared" si="30"/>
        <v>57.291666666666664</v>
      </c>
      <c r="BH256">
        <v>15</v>
      </c>
      <c r="BI256">
        <v>25</v>
      </c>
      <c r="BJ256">
        <v>11</v>
      </c>
      <c r="BK256">
        <v>5</v>
      </c>
      <c r="BL256">
        <v>7</v>
      </c>
      <c r="BM256">
        <v>20</v>
      </c>
      <c r="BN256">
        <v>11</v>
      </c>
      <c r="BO256">
        <v>11</v>
      </c>
      <c r="BP256">
        <v>3</v>
      </c>
      <c r="BQ256">
        <v>20</v>
      </c>
      <c r="BR256">
        <v>48</v>
      </c>
      <c r="BS256">
        <v>9</v>
      </c>
      <c r="BT256">
        <v>182</v>
      </c>
      <c r="BU256">
        <v>17</v>
      </c>
      <c r="BV256">
        <v>41</v>
      </c>
      <c r="BW256">
        <v>102</v>
      </c>
      <c r="BX256">
        <v>22</v>
      </c>
      <c r="BY256">
        <v>21</v>
      </c>
      <c r="BZ256">
        <v>16</v>
      </c>
      <c r="CA256">
        <v>218</v>
      </c>
      <c r="CB256">
        <v>1</v>
      </c>
      <c r="CC256">
        <v>0</v>
      </c>
      <c r="CD256">
        <v>0</v>
      </c>
      <c r="CE256">
        <v>0.3</v>
      </c>
      <c r="CG256">
        <v>0</v>
      </c>
      <c r="CH256">
        <v>0</v>
      </c>
      <c r="CI256">
        <v>0</v>
      </c>
      <c r="CJ256">
        <v>0</v>
      </c>
      <c r="CK256">
        <v>0.1</v>
      </c>
      <c r="CL256">
        <v>0.3</v>
      </c>
      <c r="CM256">
        <v>0</v>
      </c>
      <c r="CN256">
        <v>78</v>
      </c>
      <c r="CO256">
        <v>0.1</v>
      </c>
      <c r="CP256">
        <v>20</v>
      </c>
      <c r="CQ256">
        <v>1</v>
      </c>
      <c r="CR256">
        <v>0.2</v>
      </c>
      <c r="CS256">
        <v>0.1</v>
      </c>
      <c r="CT256">
        <v>100</v>
      </c>
      <c r="CU256">
        <v>0</v>
      </c>
      <c r="CV256">
        <v>0</v>
      </c>
      <c r="CW256">
        <v>6</v>
      </c>
      <c r="CX256">
        <v>0</v>
      </c>
      <c r="CY256">
        <v>693</v>
      </c>
      <c r="CZ256">
        <v>1</v>
      </c>
      <c r="DA256">
        <v>0.1</v>
      </c>
      <c r="DB256">
        <v>0</v>
      </c>
      <c r="DC256">
        <v>700</v>
      </c>
      <c r="DD256">
        <v>0</v>
      </c>
      <c r="DE256">
        <v>0</v>
      </c>
      <c r="DF256">
        <v>0.3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0.3</v>
      </c>
      <c r="DT256">
        <v>1100</v>
      </c>
      <c r="DU256">
        <v>0</v>
      </c>
      <c r="DV256">
        <v>0</v>
      </c>
      <c r="DW256">
        <v>0</v>
      </c>
      <c r="DX256">
        <v>0</v>
      </c>
      <c r="DY256">
        <v>28</v>
      </c>
      <c r="DZ256">
        <v>89</v>
      </c>
      <c r="EA256">
        <v>177</v>
      </c>
      <c r="EB256">
        <v>20</v>
      </c>
      <c r="EC256">
        <v>2</v>
      </c>
      <c r="ED256">
        <v>37</v>
      </c>
      <c r="EE256">
        <v>263</v>
      </c>
      <c r="EF256">
        <v>0</v>
      </c>
      <c r="EG256">
        <v>250</v>
      </c>
      <c r="EH256">
        <v>0.5</v>
      </c>
      <c r="EI256">
        <v>0.3</v>
      </c>
      <c r="EJ256">
        <v>1.1000000000000001</v>
      </c>
      <c r="EK256">
        <v>0.4</v>
      </c>
    </row>
    <row r="257" spans="1:141" x14ac:dyDescent="0.25">
      <c r="A257" t="str">
        <f>[1]ingredient!B257</f>
        <v>Mandelmus braun</v>
      </c>
      <c r="B257" t="s">
        <v>347</v>
      </c>
      <c r="C257" s="7">
        <f>_xlfn.XLOOKUP(A257,[1]ingredient!$B$2:$B$521,[1]ingredient!$A$2:$A$521)</f>
        <v>256</v>
      </c>
      <c r="D257">
        <v>664</v>
      </c>
      <c r="E257">
        <v>59</v>
      </c>
      <c r="F257">
        <v>15</v>
      </c>
      <c r="G257">
        <v>20</v>
      </c>
      <c r="H257">
        <v>2</v>
      </c>
      <c r="I257">
        <v>20</v>
      </c>
      <c r="J257">
        <v>0.01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130</v>
      </c>
      <c r="Q257">
        <v>610</v>
      </c>
      <c r="R257">
        <v>2875</v>
      </c>
      <c r="S257">
        <v>4892</v>
      </c>
      <c r="T257">
        <v>260</v>
      </c>
      <c r="U257">
        <v>76</v>
      </c>
      <c r="V257">
        <v>0.3</v>
      </c>
      <c r="W257">
        <v>65</v>
      </c>
      <c r="X257">
        <v>0</v>
      </c>
      <c r="Y257">
        <v>500</v>
      </c>
      <c r="Z257">
        <v>0</v>
      </c>
      <c r="AA257">
        <v>5000</v>
      </c>
      <c r="AB257">
        <v>0</v>
      </c>
      <c r="AC257">
        <v>6</v>
      </c>
      <c r="AD257">
        <v>758</v>
      </c>
      <c r="AE257">
        <v>270</v>
      </c>
      <c r="AF257">
        <v>300</v>
      </c>
      <c r="AG257">
        <v>450</v>
      </c>
      <c r="AH257">
        <v>140</v>
      </c>
      <c r="AI257">
        <v>4</v>
      </c>
      <c r="AJ257">
        <v>3700</v>
      </c>
      <c r="AK257">
        <v>2400</v>
      </c>
      <c r="AL257">
        <v>800</v>
      </c>
      <c r="AM257">
        <v>1900</v>
      </c>
      <c r="AN257">
        <v>85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19700</v>
      </c>
      <c r="AY257">
        <v>0</v>
      </c>
      <c r="AZ257">
        <v>0</v>
      </c>
      <c r="BA257">
        <v>19700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f t="shared" si="30"/>
        <v>56.527777777777779</v>
      </c>
      <c r="BH257">
        <v>573</v>
      </c>
      <c r="BI257">
        <v>1010</v>
      </c>
      <c r="BJ257">
        <v>407</v>
      </c>
      <c r="BK257">
        <v>181</v>
      </c>
      <c r="BL257">
        <v>241</v>
      </c>
      <c r="BM257">
        <v>784</v>
      </c>
      <c r="BN257">
        <v>437</v>
      </c>
      <c r="BO257">
        <v>422</v>
      </c>
      <c r="BP257">
        <v>121</v>
      </c>
      <c r="BQ257">
        <v>769</v>
      </c>
      <c r="BR257">
        <v>1795</v>
      </c>
      <c r="BS257">
        <v>347</v>
      </c>
      <c r="BT257">
        <v>7087</v>
      </c>
      <c r="BU257">
        <v>603</v>
      </c>
      <c r="BV257">
        <v>1508</v>
      </c>
      <c r="BW257">
        <v>3681</v>
      </c>
      <c r="BX257">
        <v>799</v>
      </c>
      <c r="BY257">
        <v>769</v>
      </c>
      <c r="BZ257">
        <v>558</v>
      </c>
      <c r="CA257">
        <v>7918</v>
      </c>
      <c r="CB257">
        <v>40</v>
      </c>
      <c r="CC257">
        <v>17</v>
      </c>
      <c r="CD257">
        <v>338</v>
      </c>
      <c r="CE257">
        <v>10882</v>
      </c>
      <c r="CF257">
        <v>32.200000000000003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113</v>
      </c>
      <c r="CM257">
        <v>0</v>
      </c>
      <c r="CN257">
        <v>3721</v>
      </c>
      <c r="CO257">
        <v>0</v>
      </c>
      <c r="CP257">
        <v>1015</v>
      </c>
      <c r="CQ257">
        <v>113</v>
      </c>
      <c r="CR257">
        <v>0</v>
      </c>
      <c r="CS257">
        <v>0</v>
      </c>
      <c r="CT257">
        <v>4962</v>
      </c>
      <c r="CU257">
        <v>0</v>
      </c>
      <c r="CV257">
        <v>0</v>
      </c>
      <c r="CW257">
        <v>395</v>
      </c>
      <c r="CX257">
        <v>0</v>
      </c>
      <c r="CY257">
        <v>39748</v>
      </c>
      <c r="CZ257">
        <v>56</v>
      </c>
      <c r="DA257">
        <v>0</v>
      </c>
      <c r="DB257">
        <v>0</v>
      </c>
      <c r="DC257">
        <v>40199</v>
      </c>
      <c r="DD257">
        <v>0</v>
      </c>
      <c r="DE257">
        <v>0</v>
      </c>
      <c r="DF257">
        <v>10882</v>
      </c>
      <c r="DG257">
        <v>338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11220</v>
      </c>
      <c r="DT257">
        <v>56381</v>
      </c>
      <c r="DU257">
        <v>2719</v>
      </c>
      <c r="DV257">
        <v>0</v>
      </c>
      <c r="DW257">
        <v>0</v>
      </c>
      <c r="DX257">
        <v>0</v>
      </c>
      <c r="DY257">
        <v>225</v>
      </c>
      <c r="DZ257">
        <v>990</v>
      </c>
      <c r="EA257">
        <v>30</v>
      </c>
      <c r="EB257">
        <v>225</v>
      </c>
      <c r="EC257">
        <v>30</v>
      </c>
      <c r="ED257">
        <v>600</v>
      </c>
      <c r="EE257">
        <v>900</v>
      </c>
      <c r="EF257">
        <v>0</v>
      </c>
      <c r="EG257">
        <v>0</v>
      </c>
      <c r="EH257">
        <v>3.6</v>
      </c>
      <c r="EI257">
        <v>0.9</v>
      </c>
      <c r="EJ257">
        <v>59.1</v>
      </c>
      <c r="EK257">
        <v>15.1</v>
      </c>
    </row>
    <row r="258" spans="1:141" x14ac:dyDescent="0.25">
      <c r="A258" t="str">
        <f>[1]ingredient!B258</f>
        <v>Mandelmus weiß</v>
      </c>
      <c r="B258" t="s">
        <v>347</v>
      </c>
      <c r="C258" s="7">
        <f>_xlfn.XLOOKUP(A258,[1]ingredient!$B$2:$B$521,[1]ingredient!$A$2:$A$521)</f>
        <v>257</v>
      </c>
      <c r="D258">
        <v>664</v>
      </c>
      <c r="E258">
        <v>59</v>
      </c>
      <c r="F258">
        <v>15</v>
      </c>
      <c r="G258">
        <v>20</v>
      </c>
      <c r="H258">
        <v>2</v>
      </c>
      <c r="I258">
        <v>20</v>
      </c>
      <c r="J258">
        <v>0.01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130</v>
      </c>
      <c r="Q258">
        <v>610</v>
      </c>
      <c r="R258">
        <v>2875</v>
      </c>
      <c r="S258">
        <v>4892</v>
      </c>
      <c r="T258">
        <v>260</v>
      </c>
      <c r="U258">
        <v>76</v>
      </c>
      <c r="V258">
        <v>0.3</v>
      </c>
      <c r="W258">
        <v>65</v>
      </c>
      <c r="X258">
        <v>0</v>
      </c>
      <c r="Y258">
        <v>500</v>
      </c>
      <c r="Z258">
        <v>0</v>
      </c>
      <c r="AA258">
        <v>5000</v>
      </c>
      <c r="AB258">
        <v>0</v>
      </c>
      <c r="AC258">
        <v>6</v>
      </c>
      <c r="AD258">
        <v>758</v>
      </c>
      <c r="AE258">
        <v>270</v>
      </c>
      <c r="AF258">
        <v>300</v>
      </c>
      <c r="AG258">
        <v>450</v>
      </c>
      <c r="AH258">
        <v>140</v>
      </c>
      <c r="AI258">
        <v>4</v>
      </c>
      <c r="AJ258">
        <v>3700</v>
      </c>
      <c r="AK258">
        <v>2400</v>
      </c>
      <c r="AL258">
        <v>800</v>
      </c>
      <c r="AM258">
        <v>1900</v>
      </c>
      <c r="AN258">
        <v>85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19700</v>
      </c>
      <c r="AY258">
        <v>0</v>
      </c>
      <c r="AZ258">
        <v>0</v>
      </c>
      <c r="BA258">
        <v>19700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f t="shared" si="30"/>
        <v>56.527777777777779</v>
      </c>
      <c r="BH258">
        <v>573</v>
      </c>
      <c r="BI258">
        <v>1010</v>
      </c>
      <c r="BJ258">
        <v>407</v>
      </c>
      <c r="BK258">
        <v>181</v>
      </c>
      <c r="BL258">
        <v>241</v>
      </c>
      <c r="BM258">
        <v>784</v>
      </c>
      <c r="BN258">
        <v>437</v>
      </c>
      <c r="BO258">
        <v>422</v>
      </c>
      <c r="BP258">
        <v>121</v>
      </c>
      <c r="BQ258">
        <v>769</v>
      </c>
      <c r="BR258">
        <v>1795</v>
      </c>
      <c r="BS258">
        <v>347</v>
      </c>
      <c r="BT258">
        <v>7087</v>
      </c>
      <c r="BU258">
        <v>603</v>
      </c>
      <c r="BV258">
        <v>1508</v>
      </c>
      <c r="BW258">
        <v>3681</v>
      </c>
      <c r="BX258">
        <v>799</v>
      </c>
      <c r="BY258">
        <v>769</v>
      </c>
      <c r="BZ258">
        <v>558</v>
      </c>
      <c r="CA258">
        <v>7918</v>
      </c>
      <c r="CB258">
        <v>40</v>
      </c>
      <c r="CC258">
        <v>17</v>
      </c>
      <c r="CD258">
        <v>338</v>
      </c>
      <c r="CE258">
        <v>10882</v>
      </c>
      <c r="CF258">
        <v>32.200000000000003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113</v>
      </c>
      <c r="CM258">
        <v>0</v>
      </c>
      <c r="CN258">
        <v>3721</v>
      </c>
      <c r="CO258">
        <v>0</v>
      </c>
      <c r="CP258">
        <v>1015</v>
      </c>
      <c r="CQ258">
        <v>113</v>
      </c>
      <c r="CR258">
        <v>0</v>
      </c>
      <c r="CS258">
        <v>0</v>
      </c>
      <c r="CT258">
        <v>4962</v>
      </c>
      <c r="CU258">
        <v>0</v>
      </c>
      <c r="CV258">
        <v>0</v>
      </c>
      <c r="CW258">
        <v>395</v>
      </c>
      <c r="CX258">
        <v>0</v>
      </c>
      <c r="CY258">
        <v>39748</v>
      </c>
      <c r="CZ258">
        <v>56</v>
      </c>
      <c r="DA258">
        <v>0</v>
      </c>
      <c r="DB258">
        <v>0</v>
      </c>
      <c r="DC258">
        <v>40199</v>
      </c>
      <c r="DD258">
        <v>0</v>
      </c>
      <c r="DE258">
        <v>0</v>
      </c>
      <c r="DF258">
        <v>10882</v>
      </c>
      <c r="DG258">
        <v>338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11220</v>
      </c>
      <c r="DT258">
        <v>56381</v>
      </c>
      <c r="DU258">
        <v>2719</v>
      </c>
      <c r="DV258">
        <v>0</v>
      </c>
      <c r="DW258">
        <v>0</v>
      </c>
      <c r="DX258">
        <v>0</v>
      </c>
      <c r="DY258">
        <v>225</v>
      </c>
      <c r="DZ258">
        <v>990</v>
      </c>
      <c r="EA258">
        <v>30</v>
      </c>
      <c r="EB258">
        <v>225</v>
      </c>
      <c r="EC258">
        <v>30</v>
      </c>
      <c r="ED258">
        <v>600</v>
      </c>
      <c r="EE258">
        <v>900</v>
      </c>
      <c r="EF258">
        <v>0</v>
      </c>
      <c r="EG258">
        <v>0</v>
      </c>
      <c r="EH258">
        <v>3.6</v>
      </c>
      <c r="EI258">
        <v>0.9</v>
      </c>
      <c r="EJ258">
        <v>59.1</v>
      </c>
      <c r="EK258">
        <v>15.1</v>
      </c>
    </row>
    <row r="259" spans="1:141" x14ac:dyDescent="0.25">
      <c r="A259" t="str">
        <f>[1]ingredient!B259</f>
        <v>Mandeln</v>
      </c>
      <c r="B259" t="s">
        <v>348</v>
      </c>
      <c r="C259" s="7">
        <f>_xlfn.XLOOKUP(A259,[1]ingredient!$B$2:$B$521,[1]ingredient!$A$2:$A$521)</f>
        <v>258</v>
      </c>
      <c r="D259">
        <v>589</v>
      </c>
      <c r="E259">
        <v>53</v>
      </c>
      <c r="F259">
        <v>24</v>
      </c>
      <c r="G259">
        <v>6</v>
      </c>
      <c r="H259">
        <v>11</v>
      </c>
      <c r="I259">
        <v>3</v>
      </c>
      <c r="J259">
        <v>0.04</v>
      </c>
      <c r="K259">
        <v>5</v>
      </c>
      <c r="L259">
        <v>20</v>
      </c>
      <c r="M259">
        <v>10</v>
      </c>
      <c r="N259">
        <v>0</v>
      </c>
      <c r="O259">
        <v>120</v>
      </c>
      <c r="P259">
        <v>220</v>
      </c>
      <c r="Q259">
        <v>169</v>
      </c>
      <c r="R259">
        <v>4180</v>
      </c>
      <c r="S259">
        <v>7013</v>
      </c>
      <c r="T259">
        <v>580</v>
      </c>
      <c r="U259">
        <v>24</v>
      </c>
      <c r="V259">
        <v>0</v>
      </c>
      <c r="W259">
        <v>45</v>
      </c>
      <c r="X259">
        <v>0</v>
      </c>
      <c r="Y259">
        <v>0</v>
      </c>
      <c r="Z259">
        <v>0</v>
      </c>
      <c r="AA259">
        <v>25893</v>
      </c>
      <c r="AB259">
        <v>0</v>
      </c>
      <c r="AC259">
        <v>2</v>
      </c>
      <c r="AD259">
        <v>676</v>
      </c>
      <c r="AE259">
        <v>85</v>
      </c>
      <c r="AF259">
        <v>218</v>
      </c>
      <c r="AG259">
        <v>347</v>
      </c>
      <c r="AH259">
        <v>150</v>
      </c>
      <c r="AI259">
        <v>40</v>
      </c>
      <c r="AJ259">
        <v>3110</v>
      </c>
      <c r="AK259">
        <v>3156</v>
      </c>
      <c r="AL259">
        <v>902</v>
      </c>
      <c r="AM259">
        <v>1814</v>
      </c>
      <c r="AN259">
        <v>90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350</v>
      </c>
      <c r="AU259">
        <v>310</v>
      </c>
      <c r="AV259">
        <v>0</v>
      </c>
      <c r="AW259">
        <v>660</v>
      </c>
      <c r="AX259">
        <v>2780</v>
      </c>
      <c r="AY259">
        <v>0</v>
      </c>
      <c r="AZ259">
        <v>0</v>
      </c>
      <c r="BA259">
        <v>2780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f t="shared" si="30"/>
        <v>50.347222222222221</v>
      </c>
      <c r="BH259">
        <v>880</v>
      </c>
      <c r="BI259">
        <v>1460</v>
      </c>
      <c r="BJ259">
        <v>580</v>
      </c>
      <c r="BK259">
        <v>270</v>
      </c>
      <c r="BL259">
        <v>380</v>
      </c>
      <c r="BM259">
        <v>1160</v>
      </c>
      <c r="BN259">
        <v>620</v>
      </c>
      <c r="BO259">
        <v>610</v>
      </c>
      <c r="BP259">
        <v>170</v>
      </c>
      <c r="BQ259">
        <v>1140</v>
      </c>
      <c r="BR259">
        <v>2750</v>
      </c>
      <c r="BS259">
        <v>520</v>
      </c>
      <c r="BT259">
        <v>10540</v>
      </c>
      <c r="BU259">
        <v>966</v>
      </c>
      <c r="BV259">
        <v>2414</v>
      </c>
      <c r="BW259">
        <v>5890</v>
      </c>
      <c r="BX259">
        <v>1279</v>
      </c>
      <c r="BY259">
        <v>1231</v>
      </c>
      <c r="BZ259">
        <v>893</v>
      </c>
      <c r="CA259">
        <v>12673</v>
      </c>
      <c r="CB259">
        <v>41</v>
      </c>
      <c r="CC259">
        <v>17</v>
      </c>
      <c r="CD259">
        <v>40</v>
      </c>
      <c r="CE259">
        <v>10278</v>
      </c>
      <c r="CF259">
        <v>256.95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3170</v>
      </c>
      <c r="CO259">
        <v>0</v>
      </c>
      <c r="CP259">
        <v>847</v>
      </c>
      <c r="CQ259">
        <v>39</v>
      </c>
      <c r="CR259">
        <v>0</v>
      </c>
      <c r="CS259">
        <v>0</v>
      </c>
      <c r="CT259">
        <v>4055</v>
      </c>
      <c r="CU259">
        <v>0</v>
      </c>
      <c r="CV259">
        <v>0</v>
      </c>
      <c r="CW259">
        <v>246</v>
      </c>
      <c r="CX259">
        <v>0</v>
      </c>
      <c r="CY259">
        <v>30222</v>
      </c>
      <c r="CZ259">
        <v>35</v>
      </c>
      <c r="DA259">
        <v>0</v>
      </c>
      <c r="DB259">
        <v>0</v>
      </c>
      <c r="DC259">
        <v>30503</v>
      </c>
      <c r="DD259">
        <v>0</v>
      </c>
      <c r="DE259">
        <v>0</v>
      </c>
      <c r="DF259">
        <v>10278</v>
      </c>
      <c r="DG259">
        <v>40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10318</v>
      </c>
      <c r="DT259">
        <v>44876</v>
      </c>
      <c r="DU259">
        <v>2439</v>
      </c>
      <c r="DV259">
        <v>0</v>
      </c>
      <c r="DW259">
        <v>0</v>
      </c>
      <c r="DX259">
        <v>0</v>
      </c>
      <c r="DY259">
        <v>1704</v>
      </c>
      <c r="DZ259">
        <v>7498</v>
      </c>
      <c r="EA259">
        <v>227</v>
      </c>
      <c r="EB259">
        <v>1704</v>
      </c>
      <c r="EC259">
        <v>227</v>
      </c>
      <c r="ED259">
        <v>3300</v>
      </c>
      <c r="EE259">
        <v>6500</v>
      </c>
      <c r="EF259">
        <v>0</v>
      </c>
      <c r="EG259">
        <v>0</v>
      </c>
      <c r="EH259">
        <v>1.3</v>
      </c>
      <c r="EI259">
        <v>6.5</v>
      </c>
      <c r="EJ259">
        <v>53</v>
      </c>
      <c r="EK259">
        <v>23.3</v>
      </c>
    </row>
    <row r="260" spans="1:141" x14ac:dyDescent="0.25">
      <c r="A260" t="str">
        <f>[1]ingredient!B260</f>
        <v>Mango</v>
      </c>
      <c r="B260" t="s">
        <v>349</v>
      </c>
      <c r="C260" s="7">
        <f>_xlfn.XLOOKUP(A260,[1]ingredient!$B$2:$B$521,[1]ingredient!$A$2:$A$521)</f>
        <v>259</v>
      </c>
      <c r="D260">
        <v>60</v>
      </c>
      <c r="E260">
        <v>0.45</v>
      </c>
      <c r="F260">
        <v>1</v>
      </c>
      <c r="G260">
        <v>13</v>
      </c>
      <c r="H260">
        <v>2</v>
      </c>
      <c r="I260">
        <v>13</v>
      </c>
      <c r="J260">
        <v>0.01</v>
      </c>
      <c r="K260">
        <v>83</v>
      </c>
      <c r="L260">
        <v>462</v>
      </c>
      <c r="M260">
        <v>231</v>
      </c>
      <c r="N260">
        <v>0</v>
      </c>
      <c r="O260">
        <v>2770</v>
      </c>
      <c r="P260">
        <v>45</v>
      </c>
      <c r="Q260">
        <v>50</v>
      </c>
      <c r="R260">
        <v>700</v>
      </c>
      <c r="S260">
        <v>867</v>
      </c>
      <c r="T260">
        <v>160</v>
      </c>
      <c r="U260">
        <v>130</v>
      </c>
      <c r="V260">
        <v>2</v>
      </c>
      <c r="W260">
        <v>36</v>
      </c>
      <c r="X260">
        <v>0</v>
      </c>
      <c r="Y260">
        <v>38700</v>
      </c>
      <c r="Z260">
        <v>0</v>
      </c>
      <c r="AA260">
        <v>1000</v>
      </c>
      <c r="AB260">
        <v>10</v>
      </c>
      <c r="AC260">
        <v>5</v>
      </c>
      <c r="AD260">
        <v>190</v>
      </c>
      <c r="AE260">
        <v>12</v>
      </c>
      <c r="AF260">
        <v>18</v>
      </c>
      <c r="AG260">
        <v>13</v>
      </c>
      <c r="AH260">
        <v>13</v>
      </c>
      <c r="AI260">
        <v>5</v>
      </c>
      <c r="AJ260">
        <v>400</v>
      </c>
      <c r="AK260">
        <v>40</v>
      </c>
      <c r="AL260">
        <v>120</v>
      </c>
      <c r="AM260">
        <v>30</v>
      </c>
      <c r="AN260">
        <v>10</v>
      </c>
      <c r="AO260">
        <v>2</v>
      </c>
      <c r="AP260">
        <v>0</v>
      </c>
      <c r="AQ260">
        <v>0</v>
      </c>
      <c r="AR260">
        <v>0</v>
      </c>
      <c r="AS260">
        <v>0</v>
      </c>
      <c r="AT260">
        <v>640</v>
      </c>
      <c r="AU260">
        <v>2726</v>
      </c>
      <c r="AV260">
        <v>0</v>
      </c>
      <c r="AW260">
        <v>3366</v>
      </c>
      <c r="AX260">
        <v>9165</v>
      </c>
      <c r="AY260">
        <v>0</v>
      </c>
      <c r="AZ260">
        <v>0</v>
      </c>
      <c r="BA260">
        <v>9165</v>
      </c>
      <c r="BB260">
        <v>0</v>
      </c>
      <c r="BC260">
        <v>0</v>
      </c>
      <c r="BD260">
        <v>0</v>
      </c>
      <c r="BE260">
        <v>269</v>
      </c>
      <c r="BF260">
        <v>269</v>
      </c>
      <c r="BG260">
        <f t="shared" si="30"/>
        <v>26.086956521739129</v>
      </c>
      <c r="BH260">
        <v>21</v>
      </c>
      <c r="BI260">
        <v>37</v>
      </c>
      <c r="BJ260">
        <v>48</v>
      </c>
      <c r="BK260">
        <v>6</v>
      </c>
      <c r="BL260">
        <v>0</v>
      </c>
      <c r="BM260">
        <v>20</v>
      </c>
      <c r="BN260">
        <v>12</v>
      </c>
      <c r="BO260">
        <v>22</v>
      </c>
      <c r="BP260">
        <v>10</v>
      </c>
      <c r="BQ260">
        <v>31</v>
      </c>
      <c r="BR260">
        <v>22</v>
      </c>
      <c r="BS260">
        <v>14</v>
      </c>
      <c r="BT260">
        <v>243</v>
      </c>
      <c r="BU260">
        <v>60</v>
      </c>
      <c r="BV260">
        <v>49</v>
      </c>
      <c r="BW260">
        <v>70</v>
      </c>
      <c r="BX260">
        <v>25</v>
      </c>
      <c r="BY260">
        <v>21</v>
      </c>
      <c r="BZ260">
        <v>26</v>
      </c>
      <c r="CA260">
        <v>251</v>
      </c>
      <c r="CB260">
        <v>15</v>
      </c>
      <c r="CC260">
        <v>6</v>
      </c>
      <c r="CD260">
        <v>61</v>
      </c>
      <c r="CE260">
        <v>23</v>
      </c>
      <c r="CF260">
        <v>0.38</v>
      </c>
      <c r="CG260">
        <v>0</v>
      </c>
      <c r="CH260">
        <v>0</v>
      </c>
      <c r="CI260">
        <v>0</v>
      </c>
      <c r="CJ260">
        <v>0</v>
      </c>
      <c r="CK260">
        <v>1</v>
      </c>
      <c r="CL260">
        <v>15</v>
      </c>
      <c r="CM260">
        <v>0</v>
      </c>
      <c r="CN260">
        <v>86</v>
      </c>
      <c r="CO260">
        <v>0</v>
      </c>
      <c r="CP260">
        <v>5</v>
      </c>
      <c r="CQ260">
        <v>0</v>
      </c>
      <c r="CR260">
        <v>0</v>
      </c>
      <c r="CS260">
        <v>0</v>
      </c>
      <c r="CT260">
        <v>107</v>
      </c>
      <c r="CU260">
        <v>0</v>
      </c>
      <c r="CV260">
        <v>0</v>
      </c>
      <c r="CW260">
        <v>80</v>
      </c>
      <c r="CX260">
        <v>0</v>
      </c>
      <c r="CY260">
        <v>89</v>
      </c>
      <c r="CZ260">
        <v>0</v>
      </c>
      <c r="DA260">
        <v>0</v>
      </c>
      <c r="DB260">
        <v>0</v>
      </c>
      <c r="DC260">
        <v>169</v>
      </c>
      <c r="DD260">
        <v>0</v>
      </c>
      <c r="DE260">
        <v>0</v>
      </c>
      <c r="DF260">
        <v>23</v>
      </c>
      <c r="DG260">
        <v>61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84</v>
      </c>
      <c r="DT260">
        <v>360</v>
      </c>
      <c r="DU260">
        <v>90</v>
      </c>
      <c r="DV260">
        <v>0</v>
      </c>
      <c r="DW260">
        <v>0</v>
      </c>
      <c r="DX260">
        <v>0</v>
      </c>
      <c r="DY260">
        <v>374</v>
      </c>
      <c r="DZ260">
        <v>289</v>
      </c>
      <c r="EA260">
        <v>374</v>
      </c>
      <c r="EB260">
        <v>357</v>
      </c>
      <c r="EC260">
        <v>306</v>
      </c>
      <c r="ED260">
        <v>629</v>
      </c>
      <c r="EE260">
        <v>1071</v>
      </c>
      <c r="EF260">
        <v>0</v>
      </c>
      <c r="EG260">
        <v>1</v>
      </c>
      <c r="EH260">
        <v>0.5</v>
      </c>
      <c r="EI260">
        <v>1.1000000000000001</v>
      </c>
      <c r="EJ260">
        <v>0.5</v>
      </c>
      <c r="EK260">
        <v>0.5</v>
      </c>
    </row>
    <row r="261" spans="1:141" x14ac:dyDescent="0.25">
      <c r="A261" t="str">
        <f>[1]ingredient!B261</f>
        <v>Mango, gefroren</v>
      </c>
      <c r="B261" t="s">
        <v>350</v>
      </c>
      <c r="C261" s="7">
        <f>_xlfn.XLOOKUP(A261,[1]ingredient!$B$2:$B$521,[1]ingredient!$A$2:$A$521)</f>
        <v>260</v>
      </c>
      <c r="D261">
        <v>63</v>
      </c>
      <c r="E261">
        <v>0.47</v>
      </c>
      <c r="F261">
        <v>1</v>
      </c>
      <c r="G261">
        <v>13</v>
      </c>
      <c r="H261">
        <v>2</v>
      </c>
      <c r="I261">
        <v>13</v>
      </c>
      <c r="J261">
        <v>0.01</v>
      </c>
      <c r="K261">
        <v>83</v>
      </c>
      <c r="L261">
        <v>434</v>
      </c>
      <c r="M261">
        <v>217</v>
      </c>
      <c r="N261">
        <v>0</v>
      </c>
      <c r="O261">
        <v>2601</v>
      </c>
      <c r="P261">
        <v>42</v>
      </c>
      <c r="Q261">
        <v>47</v>
      </c>
      <c r="R261">
        <v>657</v>
      </c>
      <c r="S261">
        <v>824</v>
      </c>
      <c r="T261">
        <v>150</v>
      </c>
      <c r="U261">
        <v>122</v>
      </c>
      <c r="V261">
        <v>2</v>
      </c>
      <c r="W261">
        <v>34</v>
      </c>
      <c r="X261">
        <v>0</v>
      </c>
      <c r="Y261">
        <v>32307</v>
      </c>
      <c r="Z261">
        <v>0</v>
      </c>
      <c r="AA261">
        <v>939</v>
      </c>
      <c r="AB261">
        <v>9</v>
      </c>
      <c r="AC261">
        <v>5</v>
      </c>
      <c r="AD261">
        <v>198</v>
      </c>
      <c r="AE261">
        <v>13</v>
      </c>
      <c r="AF261">
        <v>19</v>
      </c>
      <c r="AG261">
        <v>14</v>
      </c>
      <c r="AH261">
        <v>14</v>
      </c>
      <c r="AI261">
        <v>5</v>
      </c>
      <c r="AJ261">
        <v>417</v>
      </c>
      <c r="AK261">
        <v>42</v>
      </c>
      <c r="AL261">
        <v>125</v>
      </c>
      <c r="AM261">
        <v>31</v>
      </c>
      <c r="AN261">
        <v>10</v>
      </c>
      <c r="AO261">
        <v>2</v>
      </c>
      <c r="AP261">
        <v>0</v>
      </c>
      <c r="AQ261">
        <v>0</v>
      </c>
      <c r="AR261">
        <v>0</v>
      </c>
      <c r="AS261">
        <v>0</v>
      </c>
      <c r="AT261">
        <v>668</v>
      </c>
      <c r="AU261">
        <v>2845</v>
      </c>
      <c r="AV261">
        <v>0</v>
      </c>
      <c r="AW261">
        <v>3513</v>
      </c>
      <c r="AX261">
        <v>9563</v>
      </c>
      <c r="AY261">
        <v>0</v>
      </c>
      <c r="AZ261">
        <v>0</v>
      </c>
      <c r="BA261">
        <v>9563</v>
      </c>
      <c r="BB261">
        <v>0</v>
      </c>
      <c r="BC261">
        <v>0</v>
      </c>
      <c r="BD261">
        <v>0</v>
      </c>
      <c r="BE261">
        <v>281</v>
      </c>
      <c r="BF261">
        <v>281</v>
      </c>
      <c r="BG261">
        <f t="shared" si="30"/>
        <v>26.086956521739129</v>
      </c>
      <c r="BH261">
        <v>22</v>
      </c>
      <c r="BI261">
        <v>39</v>
      </c>
      <c r="BJ261">
        <v>50</v>
      </c>
      <c r="BK261">
        <v>6</v>
      </c>
      <c r="BL261">
        <v>0</v>
      </c>
      <c r="BM261">
        <v>21</v>
      </c>
      <c r="BN261">
        <v>13</v>
      </c>
      <c r="BO261">
        <v>23</v>
      </c>
      <c r="BP261">
        <v>10</v>
      </c>
      <c r="BQ261">
        <v>32</v>
      </c>
      <c r="BR261">
        <v>23</v>
      </c>
      <c r="BS261">
        <v>15</v>
      </c>
      <c r="BT261">
        <v>254</v>
      </c>
      <c r="BU261">
        <v>63</v>
      </c>
      <c r="BV261">
        <v>51</v>
      </c>
      <c r="BW261">
        <v>72</v>
      </c>
      <c r="BX261">
        <v>26</v>
      </c>
      <c r="BY261">
        <v>22</v>
      </c>
      <c r="BZ261">
        <v>27</v>
      </c>
      <c r="CA261">
        <v>261</v>
      </c>
      <c r="CB261">
        <v>16</v>
      </c>
      <c r="CC261">
        <v>7</v>
      </c>
      <c r="CD261">
        <v>64</v>
      </c>
      <c r="CE261">
        <v>24</v>
      </c>
      <c r="CF261">
        <v>0.38</v>
      </c>
      <c r="CG261">
        <v>0</v>
      </c>
      <c r="CH261">
        <v>0</v>
      </c>
      <c r="CI261">
        <v>0</v>
      </c>
      <c r="CJ261">
        <v>0</v>
      </c>
      <c r="CK261">
        <v>1</v>
      </c>
      <c r="CL261">
        <v>16</v>
      </c>
      <c r="CM261">
        <v>0</v>
      </c>
      <c r="CN261">
        <v>90</v>
      </c>
      <c r="CO261">
        <v>0</v>
      </c>
      <c r="CP261">
        <v>5</v>
      </c>
      <c r="CQ261">
        <v>0</v>
      </c>
      <c r="CR261">
        <v>0</v>
      </c>
      <c r="CS261">
        <v>0</v>
      </c>
      <c r="CT261">
        <v>112</v>
      </c>
      <c r="CU261">
        <v>0</v>
      </c>
      <c r="CV261">
        <v>0</v>
      </c>
      <c r="CW261">
        <v>83</v>
      </c>
      <c r="CX261">
        <v>0</v>
      </c>
      <c r="CY261">
        <v>93</v>
      </c>
      <c r="CZ261">
        <v>0</v>
      </c>
      <c r="DA261">
        <v>0</v>
      </c>
      <c r="DB261">
        <v>0</v>
      </c>
      <c r="DC261">
        <v>176</v>
      </c>
      <c r="DD261">
        <v>0</v>
      </c>
      <c r="DE261">
        <v>0</v>
      </c>
      <c r="DF261">
        <v>24</v>
      </c>
      <c r="DG261">
        <v>64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88</v>
      </c>
      <c r="DT261">
        <v>376</v>
      </c>
      <c r="DU261">
        <v>94</v>
      </c>
      <c r="DV261">
        <v>0</v>
      </c>
      <c r="DW261">
        <v>0</v>
      </c>
      <c r="DX261">
        <v>0</v>
      </c>
      <c r="DY261">
        <v>390</v>
      </c>
      <c r="DZ261">
        <v>302</v>
      </c>
      <c r="EA261">
        <v>390</v>
      </c>
      <c r="EB261">
        <v>373</v>
      </c>
      <c r="EC261">
        <v>319</v>
      </c>
      <c r="ED261">
        <v>656</v>
      </c>
      <c r="EE261">
        <v>1118</v>
      </c>
      <c r="EF261">
        <v>0</v>
      </c>
      <c r="EG261">
        <v>1</v>
      </c>
      <c r="EH261">
        <v>0.5</v>
      </c>
      <c r="EI261">
        <v>1.1000000000000001</v>
      </c>
      <c r="EJ261">
        <v>0.5</v>
      </c>
      <c r="EK261">
        <v>0.6</v>
      </c>
    </row>
    <row r="262" spans="1:141" x14ac:dyDescent="0.25">
      <c r="A262" t="str">
        <f>[1]ingredient!B262</f>
        <v>Mango, getrocknet</v>
      </c>
      <c r="B262" t="s">
        <v>351</v>
      </c>
      <c r="C262" s="7">
        <f>_xlfn.XLOOKUP(A262,[1]ingredient!$B$2:$B$521,[1]ingredient!$A$2:$A$521)</f>
        <v>261</v>
      </c>
      <c r="D262">
        <v>289</v>
      </c>
      <c r="E262">
        <v>2</v>
      </c>
      <c r="F262">
        <v>3</v>
      </c>
      <c r="G262">
        <v>62</v>
      </c>
      <c r="H262">
        <v>8</v>
      </c>
      <c r="I262">
        <v>60</v>
      </c>
      <c r="J262">
        <v>0.05</v>
      </c>
      <c r="K262">
        <v>20</v>
      </c>
      <c r="L262">
        <v>2000</v>
      </c>
      <c r="M262">
        <v>999</v>
      </c>
      <c r="N262">
        <v>0</v>
      </c>
      <c r="O262">
        <v>11987</v>
      </c>
      <c r="P262">
        <v>173</v>
      </c>
      <c r="Q262">
        <v>192</v>
      </c>
      <c r="R262">
        <v>2693</v>
      </c>
      <c r="S262">
        <v>3493</v>
      </c>
      <c r="T262">
        <v>615</v>
      </c>
      <c r="U262">
        <v>500</v>
      </c>
      <c r="V262">
        <v>10</v>
      </c>
      <c r="W262">
        <v>139</v>
      </c>
      <c r="X262">
        <v>0</v>
      </c>
      <c r="Y262">
        <v>148864</v>
      </c>
      <c r="Z262">
        <v>0</v>
      </c>
      <c r="AA262">
        <v>4327</v>
      </c>
      <c r="AB262">
        <v>43</v>
      </c>
      <c r="AC262">
        <v>24</v>
      </c>
      <c r="AD262">
        <v>914</v>
      </c>
      <c r="AE262">
        <v>58</v>
      </c>
      <c r="AF262">
        <v>87</v>
      </c>
      <c r="AG262">
        <v>63</v>
      </c>
      <c r="AH262">
        <v>63</v>
      </c>
      <c r="AI262">
        <v>24</v>
      </c>
      <c r="AJ262">
        <v>1923</v>
      </c>
      <c r="AK262">
        <v>192</v>
      </c>
      <c r="AL262">
        <v>577</v>
      </c>
      <c r="AM262">
        <v>144</v>
      </c>
      <c r="AN262">
        <v>48</v>
      </c>
      <c r="AO262">
        <v>10</v>
      </c>
      <c r="AP262">
        <v>0</v>
      </c>
      <c r="AQ262">
        <v>0</v>
      </c>
      <c r="AR262">
        <v>0</v>
      </c>
      <c r="AS262">
        <v>0</v>
      </c>
      <c r="AT262">
        <v>3077</v>
      </c>
      <c r="AU262">
        <v>13107</v>
      </c>
      <c r="AV262">
        <v>0</v>
      </c>
      <c r="AW262">
        <v>16184</v>
      </c>
      <c r="AX262">
        <v>44069</v>
      </c>
      <c r="AY262">
        <v>0</v>
      </c>
      <c r="AZ262">
        <v>0</v>
      </c>
      <c r="BA262">
        <v>44069</v>
      </c>
      <c r="BB262">
        <v>0</v>
      </c>
      <c r="BC262">
        <v>0</v>
      </c>
      <c r="BD262">
        <v>0</v>
      </c>
      <c r="BE262">
        <v>1293</v>
      </c>
      <c r="BF262">
        <v>1293</v>
      </c>
      <c r="BG262">
        <f t="shared" si="30"/>
        <v>42.028985507246375</v>
      </c>
      <c r="BH262">
        <v>101</v>
      </c>
      <c r="BI262">
        <v>178</v>
      </c>
      <c r="BJ262">
        <v>231</v>
      </c>
      <c r="BK262">
        <v>29</v>
      </c>
      <c r="BL262">
        <v>0</v>
      </c>
      <c r="BM262">
        <v>96</v>
      </c>
      <c r="BN262">
        <v>58</v>
      </c>
      <c r="BO262">
        <v>106</v>
      </c>
      <c r="BP262">
        <v>48</v>
      </c>
      <c r="BQ262">
        <v>149</v>
      </c>
      <c r="BR262">
        <v>106</v>
      </c>
      <c r="BS262">
        <v>67</v>
      </c>
      <c r="BT262">
        <v>1169</v>
      </c>
      <c r="BU262">
        <v>288</v>
      </c>
      <c r="BV262">
        <v>236</v>
      </c>
      <c r="BW262">
        <v>336</v>
      </c>
      <c r="BX262">
        <v>120</v>
      </c>
      <c r="BY262">
        <v>101</v>
      </c>
      <c r="BZ262">
        <v>125</v>
      </c>
      <c r="CA262">
        <v>1206</v>
      </c>
      <c r="CB262">
        <v>72</v>
      </c>
      <c r="CC262">
        <v>30</v>
      </c>
      <c r="CD262">
        <v>293</v>
      </c>
      <c r="CE262">
        <v>111</v>
      </c>
      <c r="CF262">
        <v>0.38</v>
      </c>
      <c r="CG262">
        <v>0</v>
      </c>
      <c r="CH262">
        <v>0</v>
      </c>
      <c r="CI262">
        <v>0</v>
      </c>
      <c r="CJ262">
        <v>0</v>
      </c>
      <c r="CK262">
        <v>5</v>
      </c>
      <c r="CL262">
        <v>72</v>
      </c>
      <c r="CM262">
        <v>0</v>
      </c>
      <c r="CN262">
        <v>414</v>
      </c>
      <c r="CO262">
        <v>0</v>
      </c>
      <c r="CP262">
        <v>24</v>
      </c>
      <c r="CQ262">
        <v>0</v>
      </c>
      <c r="CR262">
        <v>0</v>
      </c>
      <c r="CS262">
        <v>0</v>
      </c>
      <c r="CT262">
        <v>515</v>
      </c>
      <c r="CU262">
        <v>0</v>
      </c>
      <c r="CV262">
        <v>0</v>
      </c>
      <c r="CW262">
        <v>385</v>
      </c>
      <c r="CX262">
        <v>0</v>
      </c>
      <c r="CY262">
        <v>427</v>
      </c>
      <c r="CZ262">
        <v>0</v>
      </c>
      <c r="DA262">
        <v>0</v>
      </c>
      <c r="DB262">
        <v>0</v>
      </c>
      <c r="DC262">
        <v>812</v>
      </c>
      <c r="DD262">
        <v>0</v>
      </c>
      <c r="DE262">
        <v>0</v>
      </c>
      <c r="DF262">
        <v>111</v>
      </c>
      <c r="DG262">
        <v>293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404</v>
      </c>
      <c r="DT262">
        <v>1731</v>
      </c>
      <c r="DU262">
        <v>433</v>
      </c>
      <c r="DV262">
        <v>0</v>
      </c>
      <c r="DW262">
        <v>0</v>
      </c>
      <c r="DX262">
        <v>0</v>
      </c>
      <c r="DY262">
        <v>1798</v>
      </c>
      <c r="DZ262">
        <v>1390</v>
      </c>
      <c r="EA262">
        <v>1798</v>
      </c>
      <c r="EB262">
        <v>1717</v>
      </c>
      <c r="EC262">
        <v>1471</v>
      </c>
      <c r="ED262">
        <v>3024</v>
      </c>
      <c r="EE262">
        <v>5150</v>
      </c>
      <c r="EF262">
        <v>0</v>
      </c>
      <c r="EG262">
        <v>3</v>
      </c>
      <c r="EH262">
        <v>2.4</v>
      </c>
      <c r="EI262">
        <v>5.2</v>
      </c>
      <c r="EJ262">
        <v>2.2000000000000002</v>
      </c>
      <c r="EK262">
        <v>2.6</v>
      </c>
    </row>
    <row r="263" spans="1:141" x14ac:dyDescent="0.25">
      <c r="A263" t="str">
        <f>[1]ingredient!B263</f>
        <v>Mangold</v>
      </c>
      <c r="B263" t="s">
        <v>162</v>
      </c>
      <c r="C263" s="7">
        <f>_xlfn.XLOOKUP(A263,[1]ingredient!$B$2:$B$521,[1]ingredient!$A$2:$A$521)</f>
        <v>262</v>
      </c>
      <c r="D263">
        <v>25</v>
      </c>
      <c r="E263">
        <v>0.3</v>
      </c>
      <c r="F263">
        <v>2</v>
      </c>
      <c r="G263">
        <v>3</v>
      </c>
      <c r="H263">
        <v>3</v>
      </c>
      <c r="I263">
        <v>2</v>
      </c>
      <c r="J263">
        <v>0.19</v>
      </c>
      <c r="K263">
        <v>90</v>
      </c>
      <c r="L263">
        <v>588</v>
      </c>
      <c r="M263">
        <v>294</v>
      </c>
      <c r="N263">
        <v>0</v>
      </c>
      <c r="O263">
        <v>3530</v>
      </c>
      <c r="P263">
        <v>98</v>
      </c>
      <c r="Q263">
        <v>160</v>
      </c>
      <c r="R263">
        <v>650</v>
      </c>
      <c r="S263">
        <v>1183</v>
      </c>
      <c r="T263">
        <v>170</v>
      </c>
      <c r="U263">
        <v>90</v>
      </c>
      <c r="V263">
        <v>1</v>
      </c>
      <c r="W263">
        <v>30</v>
      </c>
      <c r="X263">
        <v>0</v>
      </c>
      <c r="Y263">
        <v>39000</v>
      </c>
      <c r="Z263">
        <v>0</v>
      </c>
      <c r="AA263">
        <v>1500</v>
      </c>
      <c r="AB263">
        <v>400</v>
      </c>
      <c r="AC263">
        <v>90</v>
      </c>
      <c r="AD263">
        <v>376</v>
      </c>
      <c r="AE263">
        <v>103</v>
      </c>
      <c r="AF263">
        <v>81</v>
      </c>
      <c r="AG263">
        <v>39</v>
      </c>
      <c r="AH263">
        <v>20</v>
      </c>
      <c r="AI263">
        <v>100</v>
      </c>
      <c r="AJ263">
        <v>2700</v>
      </c>
      <c r="AK263">
        <v>343</v>
      </c>
      <c r="AL263">
        <v>77</v>
      </c>
      <c r="AM263">
        <v>300</v>
      </c>
      <c r="AN263">
        <v>60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1537</v>
      </c>
      <c r="AU263">
        <v>638</v>
      </c>
      <c r="AV263">
        <v>0</v>
      </c>
      <c r="AW263">
        <v>2175</v>
      </c>
      <c r="AX263">
        <v>290</v>
      </c>
      <c r="AY263">
        <v>0</v>
      </c>
      <c r="AZ263">
        <v>0</v>
      </c>
      <c r="BA263">
        <v>290</v>
      </c>
      <c r="BB263">
        <v>0</v>
      </c>
      <c r="BC263">
        <v>0</v>
      </c>
      <c r="BD263">
        <v>0</v>
      </c>
      <c r="BE263">
        <v>435</v>
      </c>
      <c r="BF263">
        <v>435</v>
      </c>
      <c r="BG263">
        <f t="shared" si="30"/>
        <v>115.21739130434783</v>
      </c>
      <c r="BH263">
        <v>85</v>
      </c>
      <c r="BI263">
        <v>158</v>
      </c>
      <c r="BJ263">
        <v>128</v>
      </c>
      <c r="BK263">
        <v>32</v>
      </c>
      <c r="BL263">
        <v>21</v>
      </c>
      <c r="BM263">
        <v>107</v>
      </c>
      <c r="BN263">
        <v>64</v>
      </c>
      <c r="BO263">
        <v>96</v>
      </c>
      <c r="BP263">
        <v>32</v>
      </c>
      <c r="BQ263">
        <v>128</v>
      </c>
      <c r="BR263">
        <v>85</v>
      </c>
      <c r="BS263">
        <v>43</v>
      </c>
      <c r="BT263">
        <v>979</v>
      </c>
      <c r="BU263">
        <v>117</v>
      </c>
      <c r="BV263">
        <v>192</v>
      </c>
      <c r="BW263">
        <v>213</v>
      </c>
      <c r="BX263">
        <v>107</v>
      </c>
      <c r="BY263">
        <v>96</v>
      </c>
      <c r="BZ263">
        <v>85</v>
      </c>
      <c r="CA263">
        <v>810</v>
      </c>
      <c r="CB263">
        <v>57</v>
      </c>
      <c r="CC263">
        <v>24</v>
      </c>
      <c r="CD263">
        <v>122</v>
      </c>
      <c r="CE263">
        <v>41</v>
      </c>
      <c r="CF263">
        <v>0.34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5</v>
      </c>
      <c r="CM263">
        <v>0</v>
      </c>
      <c r="CN263">
        <v>43</v>
      </c>
      <c r="CO263">
        <v>0</v>
      </c>
      <c r="CP263">
        <v>5</v>
      </c>
      <c r="CQ263">
        <v>0</v>
      </c>
      <c r="CR263">
        <v>0</v>
      </c>
      <c r="CS263">
        <v>0</v>
      </c>
      <c r="CT263">
        <v>53</v>
      </c>
      <c r="CU263">
        <v>0</v>
      </c>
      <c r="CV263">
        <v>0</v>
      </c>
      <c r="CW263">
        <v>6</v>
      </c>
      <c r="CX263">
        <v>0</v>
      </c>
      <c r="CY263">
        <v>18</v>
      </c>
      <c r="CZ263">
        <v>0</v>
      </c>
      <c r="DA263">
        <v>0</v>
      </c>
      <c r="DB263">
        <v>0</v>
      </c>
      <c r="DC263">
        <v>24</v>
      </c>
      <c r="DD263">
        <v>0</v>
      </c>
      <c r="DE263">
        <v>0</v>
      </c>
      <c r="DF263">
        <v>41</v>
      </c>
      <c r="DG263">
        <v>122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163</v>
      </c>
      <c r="DT263">
        <v>240</v>
      </c>
      <c r="DU263">
        <v>60</v>
      </c>
      <c r="DV263">
        <v>0</v>
      </c>
      <c r="DW263">
        <v>0</v>
      </c>
      <c r="DX263">
        <v>0</v>
      </c>
      <c r="DY263">
        <v>335</v>
      </c>
      <c r="DZ263">
        <v>361</v>
      </c>
      <c r="EA263">
        <v>619</v>
      </c>
      <c r="EB263">
        <v>1162</v>
      </c>
      <c r="EC263">
        <v>103</v>
      </c>
      <c r="ED263">
        <v>645</v>
      </c>
      <c r="EE263">
        <v>1935</v>
      </c>
      <c r="EF263">
        <v>0</v>
      </c>
      <c r="EG263">
        <v>1</v>
      </c>
      <c r="EH263">
        <v>1.7</v>
      </c>
      <c r="EI263">
        <v>1.9</v>
      </c>
      <c r="EJ263">
        <v>0.3</v>
      </c>
      <c r="EK263">
        <v>2</v>
      </c>
    </row>
    <row r="264" spans="1:141" x14ac:dyDescent="0.25">
      <c r="A264" t="str">
        <f>[1]ingredient!B264</f>
        <v>Maronen</v>
      </c>
      <c r="B264" t="s">
        <v>352</v>
      </c>
      <c r="C264" s="7">
        <f>_xlfn.XLOOKUP(A264,[1]ingredient!$B$2:$B$521,[1]ingredient!$A$2:$A$521)</f>
        <v>263</v>
      </c>
      <c r="D264">
        <v>196</v>
      </c>
      <c r="E264">
        <v>2</v>
      </c>
      <c r="F264">
        <v>3</v>
      </c>
      <c r="G264">
        <v>41</v>
      </c>
      <c r="H264">
        <v>8</v>
      </c>
      <c r="I264">
        <v>14</v>
      </c>
      <c r="J264">
        <v>0.02</v>
      </c>
      <c r="K264">
        <v>44</v>
      </c>
      <c r="L264">
        <v>4</v>
      </c>
      <c r="M264">
        <v>2</v>
      </c>
      <c r="N264">
        <v>0</v>
      </c>
      <c r="O264">
        <v>24</v>
      </c>
      <c r="P264">
        <v>200</v>
      </c>
      <c r="Q264">
        <v>210</v>
      </c>
      <c r="R264">
        <v>870</v>
      </c>
      <c r="S264">
        <v>1370</v>
      </c>
      <c r="T264">
        <v>500</v>
      </c>
      <c r="U264">
        <v>350</v>
      </c>
      <c r="V264">
        <v>2</v>
      </c>
      <c r="W264">
        <v>62</v>
      </c>
      <c r="X264">
        <v>0</v>
      </c>
      <c r="Y264">
        <v>27000</v>
      </c>
      <c r="Z264">
        <v>0</v>
      </c>
      <c r="AA264">
        <v>500</v>
      </c>
      <c r="AB264">
        <v>0</v>
      </c>
      <c r="AC264">
        <v>2</v>
      </c>
      <c r="AD264">
        <v>707</v>
      </c>
      <c r="AE264">
        <v>33</v>
      </c>
      <c r="AF264">
        <v>45</v>
      </c>
      <c r="AG264">
        <v>87</v>
      </c>
      <c r="AH264">
        <v>29</v>
      </c>
      <c r="AI264">
        <v>13</v>
      </c>
      <c r="AJ264">
        <v>1320</v>
      </c>
      <c r="AK264">
        <v>500</v>
      </c>
      <c r="AL264">
        <v>230</v>
      </c>
      <c r="AM264">
        <v>750</v>
      </c>
      <c r="AN264">
        <v>10</v>
      </c>
      <c r="AO264">
        <v>0.1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13900</v>
      </c>
      <c r="AY264">
        <v>0</v>
      </c>
      <c r="AZ264">
        <v>0</v>
      </c>
      <c r="BA264">
        <v>13900</v>
      </c>
      <c r="BB264">
        <v>0</v>
      </c>
      <c r="BC264">
        <v>0</v>
      </c>
      <c r="BD264">
        <v>0</v>
      </c>
      <c r="BE264">
        <v>27300</v>
      </c>
      <c r="BF264">
        <v>27300</v>
      </c>
      <c r="BG264">
        <f t="shared" si="30"/>
        <v>91.803278688524586</v>
      </c>
      <c r="BH264">
        <v>112</v>
      </c>
      <c r="BI264">
        <v>168</v>
      </c>
      <c r="BJ264">
        <v>150</v>
      </c>
      <c r="BK264">
        <v>40</v>
      </c>
      <c r="BL264">
        <v>30</v>
      </c>
      <c r="BM264">
        <v>110</v>
      </c>
      <c r="BN264">
        <v>140</v>
      </c>
      <c r="BO264">
        <v>140</v>
      </c>
      <c r="BP264">
        <v>30</v>
      </c>
      <c r="BQ264">
        <v>160</v>
      </c>
      <c r="BR264">
        <v>200</v>
      </c>
      <c r="BS264">
        <v>80</v>
      </c>
      <c r="BT264">
        <v>1360</v>
      </c>
      <c r="BU264">
        <v>191</v>
      </c>
      <c r="BV264">
        <v>493</v>
      </c>
      <c r="BW264">
        <v>368</v>
      </c>
      <c r="BX264">
        <v>147</v>
      </c>
      <c r="BY264">
        <v>150</v>
      </c>
      <c r="BZ264">
        <v>144</v>
      </c>
      <c r="CA264">
        <v>1493</v>
      </c>
      <c r="CB264">
        <v>0</v>
      </c>
      <c r="CC264">
        <v>0</v>
      </c>
      <c r="CD264">
        <v>49</v>
      </c>
      <c r="CE264">
        <v>452</v>
      </c>
      <c r="CF264">
        <v>9.2200000000000006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7</v>
      </c>
      <c r="CM264">
        <v>0</v>
      </c>
      <c r="CN264">
        <v>265</v>
      </c>
      <c r="CO264">
        <v>0</v>
      </c>
      <c r="CP264">
        <v>20</v>
      </c>
      <c r="CQ264">
        <v>9</v>
      </c>
      <c r="CR264">
        <v>0</v>
      </c>
      <c r="CS264">
        <v>0</v>
      </c>
      <c r="CT264">
        <v>301</v>
      </c>
      <c r="CU264">
        <v>0</v>
      </c>
      <c r="CV264">
        <v>0</v>
      </c>
      <c r="CW264">
        <v>13</v>
      </c>
      <c r="CX264">
        <v>0</v>
      </c>
      <c r="CY264">
        <v>981</v>
      </c>
      <c r="CZ264">
        <v>18</v>
      </c>
      <c r="DA264">
        <v>0</v>
      </c>
      <c r="DB264">
        <v>0</v>
      </c>
      <c r="DC264">
        <v>1012</v>
      </c>
      <c r="DD264">
        <v>0</v>
      </c>
      <c r="DE264">
        <v>0</v>
      </c>
      <c r="DF264">
        <v>452</v>
      </c>
      <c r="DG264">
        <v>49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501</v>
      </c>
      <c r="DT264">
        <v>1814</v>
      </c>
      <c r="DU264">
        <v>137</v>
      </c>
      <c r="DV264">
        <v>0</v>
      </c>
      <c r="DW264">
        <v>0</v>
      </c>
      <c r="DX264">
        <v>0</v>
      </c>
      <c r="DY264">
        <v>1256</v>
      </c>
      <c r="DZ264">
        <v>5524</v>
      </c>
      <c r="EA264">
        <v>167</v>
      </c>
      <c r="EB264">
        <v>1256</v>
      </c>
      <c r="EC264">
        <v>167</v>
      </c>
      <c r="ED264">
        <v>360</v>
      </c>
      <c r="EE264">
        <v>8010</v>
      </c>
      <c r="EF264">
        <v>0</v>
      </c>
      <c r="EG264">
        <v>0</v>
      </c>
      <c r="EH264">
        <v>1.2</v>
      </c>
      <c r="EI264">
        <v>8</v>
      </c>
      <c r="EJ264">
        <v>1.9</v>
      </c>
      <c r="EK264">
        <v>2.9</v>
      </c>
    </row>
    <row r="265" spans="1:141" x14ac:dyDescent="0.25">
      <c r="A265" t="str">
        <f>[1]ingredient!B265</f>
        <v>Maulbeeren</v>
      </c>
      <c r="B265" t="s">
        <v>353</v>
      </c>
      <c r="C265" s="7">
        <f>_xlfn.XLOOKUP(A265,[1]ingredient!$B$2:$B$521,[1]ingredient!$A$2:$A$521)</f>
        <v>264</v>
      </c>
      <c r="D265">
        <v>44</v>
      </c>
      <c r="E265">
        <v>0</v>
      </c>
      <c r="F265">
        <v>1</v>
      </c>
      <c r="G265">
        <v>8</v>
      </c>
      <c r="H265">
        <v>2</v>
      </c>
      <c r="I265">
        <v>8</v>
      </c>
      <c r="J265">
        <v>0.01</v>
      </c>
      <c r="K265">
        <v>87</v>
      </c>
      <c r="L265">
        <v>2</v>
      </c>
      <c r="M265">
        <v>1</v>
      </c>
      <c r="N265">
        <v>0</v>
      </c>
      <c r="O265">
        <v>14</v>
      </c>
      <c r="P265">
        <v>40</v>
      </c>
      <c r="Q265">
        <v>40</v>
      </c>
      <c r="R265">
        <v>400</v>
      </c>
      <c r="S265">
        <v>617</v>
      </c>
      <c r="T265">
        <v>250</v>
      </c>
      <c r="U265">
        <v>50</v>
      </c>
      <c r="V265">
        <v>0.4</v>
      </c>
      <c r="W265">
        <v>6</v>
      </c>
      <c r="X265">
        <v>0</v>
      </c>
      <c r="Y265">
        <v>10000</v>
      </c>
      <c r="Z265">
        <v>0</v>
      </c>
      <c r="AA265">
        <v>500</v>
      </c>
      <c r="AB265">
        <v>10</v>
      </c>
      <c r="AC265">
        <v>2</v>
      </c>
      <c r="AD265">
        <v>260</v>
      </c>
      <c r="AE265">
        <v>36</v>
      </c>
      <c r="AF265">
        <v>15</v>
      </c>
      <c r="AG265">
        <v>48</v>
      </c>
      <c r="AH265">
        <v>9</v>
      </c>
      <c r="AI265">
        <v>4</v>
      </c>
      <c r="AJ265">
        <v>1600</v>
      </c>
      <c r="AK265">
        <v>200</v>
      </c>
      <c r="AL265">
        <v>60</v>
      </c>
      <c r="AM265">
        <v>900</v>
      </c>
      <c r="AN265">
        <v>20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3791</v>
      </c>
      <c r="AU265">
        <v>4301</v>
      </c>
      <c r="AV265">
        <v>0</v>
      </c>
      <c r="AW265">
        <v>8092</v>
      </c>
      <c r="AX265">
        <v>8</v>
      </c>
      <c r="AY265">
        <v>0</v>
      </c>
      <c r="AZ265">
        <v>0</v>
      </c>
      <c r="BA265">
        <v>8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f t="shared" si="30"/>
        <v>68.75</v>
      </c>
      <c r="BH265">
        <v>26</v>
      </c>
      <c r="BI265">
        <v>59</v>
      </c>
      <c r="BJ265">
        <v>33</v>
      </c>
      <c r="BK265">
        <v>20</v>
      </c>
      <c r="BL265">
        <v>13</v>
      </c>
      <c r="BM265">
        <v>39</v>
      </c>
      <c r="BN265">
        <v>26</v>
      </c>
      <c r="BO265">
        <v>39</v>
      </c>
      <c r="BP265">
        <v>13</v>
      </c>
      <c r="BQ265">
        <v>46</v>
      </c>
      <c r="BR265">
        <v>72</v>
      </c>
      <c r="BS265">
        <v>33</v>
      </c>
      <c r="BT265">
        <v>419</v>
      </c>
      <c r="BU265">
        <v>59</v>
      </c>
      <c r="BV265">
        <v>189</v>
      </c>
      <c r="BW265">
        <v>203</v>
      </c>
      <c r="BX265">
        <v>52</v>
      </c>
      <c r="BY265">
        <v>46</v>
      </c>
      <c r="BZ265">
        <v>52</v>
      </c>
      <c r="CA265">
        <v>601</v>
      </c>
      <c r="CB265">
        <v>15</v>
      </c>
      <c r="CC265">
        <v>6</v>
      </c>
      <c r="CD265">
        <v>0</v>
      </c>
      <c r="CE265">
        <v>0</v>
      </c>
      <c r="CF265">
        <v>1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1</v>
      </c>
      <c r="DV265">
        <v>0</v>
      </c>
      <c r="DW265">
        <v>0</v>
      </c>
      <c r="DX265">
        <v>0</v>
      </c>
      <c r="DY265">
        <v>510</v>
      </c>
      <c r="DZ265">
        <v>369</v>
      </c>
      <c r="EA265">
        <v>228</v>
      </c>
      <c r="EB265">
        <v>273</v>
      </c>
      <c r="EC265">
        <v>120</v>
      </c>
      <c r="ED265">
        <v>456</v>
      </c>
      <c r="EE265">
        <v>1044</v>
      </c>
      <c r="EF265">
        <v>0</v>
      </c>
      <c r="EG265">
        <v>2</v>
      </c>
      <c r="EH265">
        <v>0.6</v>
      </c>
      <c r="EI265">
        <v>1</v>
      </c>
      <c r="EJ265">
        <v>0</v>
      </c>
      <c r="EK265">
        <v>1.1000000000000001</v>
      </c>
    </row>
    <row r="266" spans="1:141" x14ac:dyDescent="0.25">
      <c r="A266" t="str">
        <f>[1]ingredient!B266</f>
        <v>Minze</v>
      </c>
      <c r="B266" t="s">
        <v>354</v>
      </c>
      <c r="C266" s="7">
        <f>_xlfn.XLOOKUP(A266,[1]ingredient!$B$2:$B$521,[1]ingredient!$A$2:$A$521)</f>
        <v>265</v>
      </c>
      <c r="D266">
        <v>44</v>
      </c>
      <c r="E266">
        <v>1</v>
      </c>
      <c r="F266">
        <v>4</v>
      </c>
      <c r="G266">
        <v>5</v>
      </c>
      <c r="H266">
        <v>3</v>
      </c>
      <c r="I266">
        <v>5</v>
      </c>
      <c r="J266">
        <v>0.05</v>
      </c>
      <c r="K266">
        <v>86</v>
      </c>
      <c r="L266">
        <v>123</v>
      </c>
      <c r="M266">
        <v>62</v>
      </c>
      <c r="N266">
        <v>0</v>
      </c>
      <c r="O266">
        <v>740</v>
      </c>
      <c r="P266">
        <v>120</v>
      </c>
      <c r="Q266">
        <v>330</v>
      </c>
      <c r="R266">
        <v>1100</v>
      </c>
      <c r="S266">
        <v>1733</v>
      </c>
      <c r="T266">
        <v>190</v>
      </c>
      <c r="U266">
        <v>50</v>
      </c>
      <c r="V266">
        <v>2</v>
      </c>
      <c r="W266">
        <v>110</v>
      </c>
      <c r="X266">
        <v>0</v>
      </c>
      <c r="Y266">
        <v>31000</v>
      </c>
      <c r="Z266">
        <v>0</v>
      </c>
      <c r="AA266">
        <v>5000</v>
      </c>
      <c r="AB266">
        <v>300</v>
      </c>
      <c r="AC266">
        <v>15</v>
      </c>
      <c r="AD266">
        <v>260</v>
      </c>
      <c r="AE266">
        <v>210</v>
      </c>
      <c r="AF266">
        <v>30</v>
      </c>
      <c r="AG266">
        <v>75</v>
      </c>
      <c r="AH266">
        <v>84</v>
      </c>
      <c r="AI266">
        <v>34</v>
      </c>
      <c r="AJ266">
        <v>9500</v>
      </c>
      <c r="AK266">
        <v>1200</v>
      </c>
      <c r="AL266">
        <v>120</v>
      </c>
      <c r="AM266">
        <v>1400</v>
      </c>
      <c r="AN266">
        <v>50</v>
      </c>
      <c r="AO266">
        <v>4</v>
      </c>
      <c r="AP266">
        <v>0</v>
      </c>
      <c r="AQ266">
        <v>0</v>
      </c>
      <c r="AR266">
        <v>0</v>
      </c>
      <c r="AS266">
        <v>0</v>
      </c>
      <c r="AT266">
        <v>2120</v>
      </c>
      <c r="AU266">
        <v>2120</v>
      </c>
      <c r="AV266">
        <v>0</v>
      </c>
      <c r="AW266">
        <v>4240</v>
      </c>
      <c r="AX266">
        <v>1007</v>
      </c>
      <c r="AY266">
        <v>0</v>
      </c>
      <c r="AZ266">
        <v>0</v>
      </c>
      <c r="BA266">
        <v>1007</v>
      </c>
      <c r="BB266">
        <v>0</v>
      </c>
      <c r="BC266">
        <v>0</v>
      </c>
      <c r="BD266">
        <v>0</v>
      </c>
      <c r="BE266">
        <v>53</v>
      </c>
      <c r="BF266">
        <v>53</v>
      </c>
      <c r="BG266">
        <f t="shared" ref="BG266:BG333" si="43">IF($F266=0,"0",MIN(
BH266/(30*$F266),
BI266/(61*$F266),
BJ266/(48*$F266),
(BK266+BL266)/(23*$F266),
(BM266+BN266)/(41*$F266),
BO266/(25*$F266),
BP266/(6.6*$F266),
BQ266/(40*$F266),
BS266/(16*$F266)
)*100)</f>
        <v>89.0625</v>
      </c>
      <c r="BH266">
        <v>152</v>
      </c>
      <c r="BI266">
        <v>228</v>
      </c>
      <c r="BJ266">
        <v>190</v>
      </c>
      <c r="BK266">
        <v>46</v>
      </c>
      <c r="BL266">
        <v>38</v>
      </c>
      <c r="BM266">
        <v>114</v>
      </c>
      <c r="BN266">
        <v>76</v>
      </c>
      <c r="BO266">
        <v>133</v>
      </c>
      <c r="BP266">
        <v>38</v>
      </c>
      <c r="BQ266">
        <v>152</v>
      </c>
      <c r="BR266">
        <v>152</v>
      </c>
      <c r="BS266">
        <v>57</v>
      </c>
      <c r="BT266">
        <v>1376</v>
      </c>
      <c r="BU266">
        <v>190</v>
      </c>
      <c r="BV266">
        <v>380</v>
      </c>
      <c r="BW266">
        <v>570</v>
      </c>
      <c r="BX266">
        <v>106</v>
      </c>
      <c r="BY266">
        <v>152</v>
      </c>
      <c r="BZ266">
        <v>114</v>
      </c>
      <c r="CA266">
        <v>1512</v>
      </c>
      <c r="CB266">
        <v>15</v>
      </c>
      <c r="CC266">
        <v>6</v>
      </c>
      <c r="CD266">
        <v>168</v>
      </c>
      <c r="CE266">
        <v>223</v>
      </c>
      <c r="CF266">
        <v>1.33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3</v>
      </c>
      <c r="CM266">
        <v>0</v>
      </c>
      <c r="CN266">
        <v>109</v>
      </c>
      <c r="CO266">
        <v>0</v>
      </c>
      <c r="CP266">
        <v>17</v>
      </c>
      <c r="CQ266">
        <v>0</v>
      </c>
      <c r="CR266">
        <v>0</v>
      </c>
      <c r="CS266">
        <v>0</v>
      </c>
      <c r="CT266">
        <v>129</v>
      </c>
      <c r="CU266">
        <v>0</v>
      </c>
      <c r="CV266">
        <v>0</v>
      </c>
      <c r="CW266">
        <v>6</v>
      </c>
      <c r="CX266">
        <v>0</v>
      </c>
      <c r="CY266">
        <v>34</v>
      </c>
      <c r="CZ266">
        <v>0</v>
      </c>
      <c r="DA266">
        <v>0</v>
      </c>
      <c r="DB266">
        <v>0</v>
      </c>
      <c r="DC266">
        <v>40</v>
      </c>
      <c r="DD266">
        <v>0</v>
      </c>
      <c r="DE266">
        <v>0</v>
      </c>
      <c r="DF266">
        <v>223</v>
      </c>
      <c r="DG266">
        <v>168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391</v>
      </c>
      <c r="DT266">
        <v>560</v>
      </c>
      <c r="DU266">
        <v>140</v>
      </c>
      <c r="DV266">
        <v>0</v>
      </c>
      <c r="DW266">
        <v>0</v>
      </c>
      <c r="DX266">
        <v>0</v>
      </c>
      <c r="DY266">
        <v>450</v>
      </c>
      <c r="DZ266">
        <v>600</v>
      </c>
      <c r="EA266">
        <v>810</v>
      </c>
      <c r="EB266">
        <v>1050</v>
      </c>
      <c r="EC266">
        <v>90</v>
      </c>
      <c r="ED266">
        <v>900</v>
      </c>
      <c r="EE266">
        <v>2100</v>
      </c>
      <c r="EF266">
        <v>0</v>
      </c>
      <c r="EG266">
        <v>0.25</v>
      </c>
      <c r="EH266">
        <v>0.8</v>
      </c>
      <c r="EI266">
        <v>2.1</v>
      </c>
      <c r="EJ266">
        <v>0.7</v>
      </c>
      <c r="EK266">
        <v>2.9</v>
      </c>
    </row>
    <row r="267" spans="1:141" x14ac:dyDescent="0.25">
      <c r="A267" t="str">
        <f>[1]ingredient!B267</f>
        <v>Mirabellen</v>
      </c>
      <c r="B267" t="s">
        <v>355</v>
      </c>
      <c r="C267" s="7">
        <f>_xlfn.XLOOKUP(A267,[1]ingredient!$B$2:$B$521,[1]ingredient!$A$2:$A$521)</f>
        <v>266</v>
      </c>
      <c r="D267">
        <v>64</v>
      </c>
      <c r="E267">
        <v>0.2</v>
      </c>
      <c r="F267">
        <v>1</v>
      </c>
      <c r="G267">
        <v>14</v>
      </c>
      <c r="H267">
        <v>1</v>
      </c>
      <c r="I267">
        <v>14</v>
      </c>
      <c r="J267">
        <v>0</v>
      </c>
      <c r="K267">
        <v>82</v>
      </c>
      <c r="L267">
        <v>35</v>
      </c>
      <c r="M267">
        <v>18</v>
      </c>
      <c r="N267">
        <v>0</v>
      </c>
      <c r="O267">
        <v>210</v>
      </c>
      <c r="P267">
        <v>60</v>
      </c>
      <c r="Q267">
        <v>40</v>
      </c>
      <c r="R267">
        <v>600</v>
      </c>
      <c r="S267">
        <v>600</v>
      </c>
      <c r="T267">
        <v>200</v>
      </c>
      <c r="U267">
        <v>50</v>
      </c>
      <c r="V267">
        <v>1</v>
      </c>
      <c r="W267">
        <v>3</v>
      </c>
      <c r="X267">
        <v>0</v>
      </c>
      <c r="Y267">
        <v>7000</v>
      </c>
      <c r="Z267">
        <v>0</v>
      </c>
      <c r="AA267">
        <v>500</v>
      </c>
      <c r="AB267">
        <v>10</v>
      </c>
      <c r="AC267">
        <v>0</v>
      </c>
      <c r="AD267">
        <v>230</v>
      </c>
      <c r="AE267">
        <v>12</v>
      </c>
      <c r="AF267">
        <v>15</v>
      </c>
      <c r="AG267">
        <v>33</v>
      </c>
      <c r="AH267">
        <v>10</v>
      </c>
      <c r="AI267">
        <v>3</v>
      </c>
      <c r="AJ267">
        <v>500</v>
      </c>
      <c r="AK267">
        <v>100</v>
      </c>
      <c r="AL267">
        <v>90</v>
      </c>
      <c r="AM267">
        <v>90</v>
      </c>
      <c r="AN267">
        <v>2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5096</v>
      </c>
      <c r="AU267">
        <v>4298</v>
      </c>
      <c r="AV267">
        <v>0</v>
      </c>
      <c r="AW267">
        <v>9394</v>
      </c>
      <c r="AX267">
        <v>4606</v>
      </c>
      <c r="AY267">
        <v>0</v>
      </c>
      <c r="AZ267">
        <v>0</v>
      </c>
      <c r="BA267">
        <v>4606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f t="shared" si="43"/>
        <v>0</v>
      </c>
      <c r="BH267">
        <v>14</v>
      </c>
      <c r="BI267">
        <v>19</v>
      </c>
      <c r="BJ267">
        <v>15</v>
      </c>
      <c r="BK267">
        <v>6</v>
      </c>
      <c r="BL267">
        <v>4</v>
      </c>
      <c r="BM267">
        <v>15</v>
      </c>
      <c r="BN267">
        <v>6</v>
      </c>
      <c r="BO267">
        <v>14</v>
      </c>
      <c r="BP267">
        <v>0</v>
      </c>
      <c r="BQ267">
        <v>17</v>
      </c>
      <c r="BR267">
        <v>11</v>
      </c>
      <c r="BS267">
        <v>11</v>
      </c>
      <c r="BT267">
        <v>132</v>
      </c>
      <c r="BU267">
        <v>26</v>
      </c>
      <c r="BV267">
        <v>219</v>
      </c>
      <c r="BW267">
        <v>33</v>
      </c>
      <c r="BX267">
        <v>11</v>
      </c>
      <c r="BY267">
        <v>30</v>
      </c>
      <c r="BZ267">
        <v>18</v>
      </c>
      <c r="CA267">
        <v>337</v>
      </c>
      <c r="CB267">
        <v>20</v>
      </c>
      <c r="CC267">
        <v>8</v>
      </c>
      <c r="CD267">
        <v>35</v>
      </c>
      <c r="CE267">
        <v>64</v>
      </c>
      <c r="CF267">
        <v>1.83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29</v>
      </c>
      <c r="CO267">
        <v>0</v>
      </c>
      <c r="CP267">
        <v>6</v>
      </c>
      <c r="CQ267">
        <v>0</v>
      </c>
      <c r="CR267">
        <v>0</v>
      </c>
      <c r="CS267">
        <v>0</v>
      </c>
      <c r="CT267">
        <v>35</v>
      </c>
      <c r="CU267">
        <v>0</v>
      </c>
      <c r="CV267">
        <v>0</v>
      </c>
      <c r="CW267">
        <v>2</v>
      </c>
      <c r="CX267">
        <v>0</v>
      </c>
      <c r="CY267">
        <v>24</v>
      </c>
      <c r="CZ267">
        <v>0</v>
      </c>
      <c r="DA267">
        <v>0</v>
      </c>
      <c r="DB267">
        <v>0</v>
      </c>
      <c r="DC267">
        <v>26</v>
      </c>
      <c r="DD267">
        <v>0</v>
      </c>
      <c r="DE267">
        <v>0</v>
      </c>
      <c r="DF267">
        <v>64</v>
      </c>
      <c r="DG267">
        <v>35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99</v>
      </c>
      <c r="DT267">
        <v>160</v>
      </c>
      <c r="DU267">
        <v>40</v>
      </c>
      <c r="DV267">
        <v>0</v>
      </c>
      <c r="DW267">
        <v>0</v>
      </c>
      <c r="DX267">
        <v>0</v>
      </c>
      <c r="DY267">
        <v>130</v>
      </c>
      <c r="DZ267">
        <v>108</v>
      </c>
      <c r="EA267">
        <v>625</v>
      </c>
      <c r="EB267">
        <v>190</v>
      </c>
      <c r="EC267">
        <v>247</v>
      </c>
      <c r="ED267">
        <v>551</v>
      </c>
      <c r="EE267">
        <v>749</v>
      </c>
      <c r="EF267">
        <v>0</v>
      </c>
      <c r="EG267">
        <v>1</v>
      </c>
      <c r="EH267">
        <v>0.5</v>
      </c>
      <c r="EI267">
        <v>0.7</v>
      </c>
      <c r="EJ267">
        <v>0.2</v>
      </c>
      <c r="EK267">
        <v>0.5</v>
      </c>
    </row>
    <row r="268" spans="1:141" x14ac:dyDescent="0.25">
      <c r="A268" t="str">
        <f>[1]ingredient!B268</f>
        <v>Möhren gelb</v>
      </c>
      <c r="B268" t="s">
        <v>356</v>
      </c>
      <c r="C268" s="7">
        <f>_xlfn.XLOOKUP(A268,[1]ingredient!$B$2:$B$521,[1]ingredient!$A$2:$A$521)</f>
        <v>267</v>
      </c>
      <c r="D268">
        <v>33</v>
      </c>
      <c r="E268">
        <v>0.18</v>
      </c>
      <c r="F268">
        <v>1</v>
      </c>
      <c r="G268">
        <v>7</v>
      </c>
      <c r="H268">
        <v>3</v>
      </c>
      <c r="I268">
        <v>6</v>
      </c>
      <c r="J268">
        <v>0.08</v>
      </c>
      <c r="K268">
        <v>88</v>
      </c>
      <c r="L268">
        <v>1637</v>
      </c>
      <c r="M268">
        <v>818</v>
      </c>
      <c r="N268">
        <v>0</v>
      </c>
      <c r="O268">
        <v>9820</v>
      </c>
      <c r="P268">
        <v>111</v>
      </c>
      <c r="Q268">
        <v>14</v>
      </c>
      <c r="R268">
        <v>580</v>
      </c>
      <c r="S268">
        <v>747</v>
      </c>
      <c r="T268">
        <v>270</v>
      </c>
      <c r="U268">
        <v>168</v>
      </c>
      <c r="V268">
        <v>5</v>
      </c>
      <c r="W268">
        <v>17</v>
      </c>
      <c r="X268">
        <v>0</v>
      </c>
      <c r="Y268">
        <v>3220</v>
      </c>
      <c r="Z268">
        <v>0</v>
      </c>
      <c r="AA268">
        <v>440</v>
      </c>
      <c r="AB268">
        <v>15</v>
      </c>
      <c r="AC268">
        <v>23</v>
      </c>
      <c r="AD268">
        <v>355</v>
      </c>
      <c r="AE268">
        <v>21</v>
      </c>
      <c r="AF268">
        <v>12</v>
      </c>
      <c r="AG268">
        <v>36</v>
      </c>
      <c r="AH268">
        <v>7</v>
      </c>
      <c r="AI268">
        <v>58</v>
      </c>
      <c r="AJ268">
        <v>355</v>
      </c>
      <c r="AK268">
        <v>256</v>
      </c>
      <c r="AL268">
        <v>55</v>
      </c>
      <c r="AM268">
        <v>97</v>
      </c>
      <c r="AN268">
        <v>19</v>
      </c>
      <c r="AO268">
        <v>3</v>
      </c>
      <c r="AP268">
        <v>205</v>
      </c>
      <c r="AQ268">
        <v>0</v>
      </c>
      <c r="AR268">
        <v>0</v>
      </c>
      <c r="AS268">
        <v>205</v>
      </c>
      <c r="AT268">
        <v>770</v>
      </c>
      <c r="AU268">
        <v>750</v>
      </c>
      <c r="AV268">
        <v>0</v>
      </c>
      <c r="AW268">
        <v>1520</v>
      </c>
      <c r="AX268">
        <v>4850</v>
      </c>
      <c r="AY268">
        <v>0</v>
      </c>
      <c r="AZ268">
        <v>0</v>
      </c>
      <c r="BA268">
        <v>4850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f t="shared" si="43"/>
        <v>68.852459016393439</v>
      </c>
      <c r="BH268">
        <v>43</v>
      </c>
      <c r="BI268">
        <v>42</v>
      </c>
      <c r="BJ268">
        <v>47</v>
      </c>
      <c r="BK268">
        <v>8</v>
      </c>
      <c r="BL268">
        <v>13</v>
      </c>
      <c r="BM268">
        <v>31</v>
      </c>
      <c r="BN268">
        <v>16</v>
      </c>
      <c r="BO268">
        <v>36</v>
      </c>
      <c r="BP268">
        <v>10</v>
      </c>
      <c r="BQ268">
        <v>40</v>
      </c>
      <c r="BR268">
        <v>41</v>
      </c>
      <c r="BS268">
        <v>15</v>
      </c>
      <c r="BT268">
        <v>342</v>
      </c>
      <c r="BU268">
        <v>54</v>
      </c>
      <c r="BV268">
        <v>124</v>
      </c>
      <c r="BW268">
        <v>208</v>
      </c>
      <c r="BX268">
        <v>31</v>
      </c>
      <c r="BY268">
        <v>31</v>
      </c>
      <c r="BZ268">
        <v>36</v>
      </c>
      <c r="CA268">
        <v>484</v>
      </c>
      <c r="CB268">
        <v>17</v>
      </c>
      <c r="CC268">
        <v>7</v>
      </c>
      <c r="CD268">
        <v>12</v>
      </c>
      <c r="CE268">
        <v>105</v>
      </c>
      <c r="CF268">
        <v>8.75</v>
      </c>
      <c r="CG268">
        <v>0</v>
      </c>
      <c r="CH268">
        <v>0</v>
      </c>
      <c r="CI268">
        <v>0</v>
      </c>
      <c r="CJ268">
        <v>0</v>
      </c>
      <c r="CK268">
        <v>2</v>
      </c>
      <c r="CL268">
        <v>0</v>
      </c>
      <c r="CM268">
        <v>0</v>
      </c>
      <c r="CN268">
        <v>35</v>
      </c>
      <c r="CO268">
        <v>0</v>
      </c>
      <c r="CP268">
        <v>3</v>
      </c>
      <c r="CQ268">
        <v>1</v>
      </c>
      <c r="CR268">
        <v>0</v>
      </c>
      <c r="CS268">
        <v>0</v>
      </c>
      <c r="CT268">
        <v>40</v>
      </c>
      <c r="CU268">
        <v>0</v>
      </c>
      <c r="CV268">
        <v>0</v>
      </c>
      <c r="CW268">
        <v>2</v>
      </c>
      <c r="CX268">
        <v>0</v>
      </c>
      <c r="CY268">
        <v>3</v>
      </c>
      <c r="CZ268">
        <v>1</v>
      </c>
      <c r="DA268">
        <v>0</v>
      </c>
      <c r="DB268">
        <v>0</v>
      </c>
      <c r="DC268">
        <v>6</v>
      </c>
      <c r="DD268">
        <v>0</v>
      </c>
      <c r="DE268">
        <v>0</v>
      </c>
      <c r="DF268">
        <v>105</v>
      </c>
      <c r="DG268">
        <v>12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117</v>
      </c>
      <c r="DT268">
        <v>163</v>
      </c>
      <c r="DU268">
        <v>36</v>
      </c>
      <c r="DV268">
        <v>0</v>
      </c>
      <c r="DW268">
        <v>0</v>
      </c>
      <c r="DX268">
        <v>0</v>
      </c>
      <c r="DY268">
        <v>428</v>
      </c>
      <c r="DZ268">
        <v>643</v>
      </c>
      <c r="EA268">
        <v>826</v>
      </c>
      <c r="EB268">
        <v>950</v>
      </c>
      <c r="EC268">
        <v>61</v>
      </c>
      <c r="ED268">
        <v>1742</v>
      </c>
      <c r="EE268">
        <v>1889</v>
      </c>
      <c r="EF268">
        <v>0</v>
      </c>
      <c r="EG268">
        <v>0.26</v>
      </c>
      <c r="EH268">
        <v>0.9</v>
      </c>
      <c r="EI268">
        <v>1.9</v>
      </c>
      <c r="EJ268">
        <v>0.2</v>
      </c>
      <c r="EK268">
        <v>0.9</v>
      </c>
    </row>
    <row r="269" spans="1:141" x14ac:dyDescent="0.25">
      <c r="A269" t="str">
        <f>[1]ingredient!B269</f>
        <v>Möhren orange</v>
      </c>
      <c r="B269" t="s">
        <v>356</v>
      </c>
      <c r="C269" s="7">
        <f>_xlfn.XLOOKUP(A269,[1]ingredient!$B$2:$B$521,[1]ingredient!$A$2:$A$521)</f>
        <v>268</v>
      </c>
      <c r="D269">
        <v>33</v>
      </c>
      <c r="E269">
        <v>0.18</v>
      </c>
      <c r="F269">
        <v>1</v>
      </c>
      <c r="G269">
        <v>7</v>
      </c>
      <c r="H269">
        <v>3</v>
      </c>
      <c r="I269">
        <v>6</v>
      </c>
      <c r="J269">
        <v>0.08</v>
      </c>
      <c r="K269">
        <v>88</v>
      </c>
      <c r="L269">
        <v>1637</v>
      </c>
      <c r="M269">
        <v>818</v>
      </c>
      <c r="N269">
        <v>0</v>
      </c>
      <c r="O269">
        <v>9820</v>
      </c>
      <c r="P269">
        <v>111</v>
      </c>
      <c r="Q269">
        <v>14</v>
      </c>
      <c r="R269">
        <v>580</v>
      </c>
      <c r="S269">
        <v>747</v>
      </c>
      <c r="T269">
        <v>270</v>
      </c>
      <c r="U269">
        <v>168</v>
      </c>
      <c r="V269">
        <v>5</v>
      </c>
      <c r="W269">
        <v>17</v>
      </c>
      <c r="X269">
        <v>0</v>
      </c>
      <c r="Y269">
        <v>3220</v>
      </c>
      <c r="Z269">
        <v>0</v>
      </c>
      <c r="AA269">
        <v>440</v>
      </c>
      <c r="AB269">
        <v>15</v>
      </c>
      <c r="AC269">
        <v>23</v>
      </c>
      <c r="AD269">
        <v>355</v>
      </c>
      <c r="AE269">
        <v>21</v>
      </c>
      <c r="AF269">
        <v>12</v>
      </c>
      <c r="AG269">
        <v>36</v>
      </c>
      <c r="AH269">
        <v>7</v>
      </c>
      <c r="AI269">
        <v>58</v>
      </c>
      <c r="AJ269">
        <v>355</v>
      </c>
      <c r="AK269">
        <v>256</v>
      </c>
      <c r="AL269">
        <v>55</v>
      </c>
      <c r="AM269">
        <v>97</v>
      </c>
      <c r="AN269">
        <v>19</v>
      </c>
      <c r="AO269">
        <v>3</v>
      </c>
      <c r="AP269">
        <v>205</v>
      </c>
      <c r="AQ269">
        <v>0</v>
      </c>
      <c r="AR269">
        <v>0</v>
      </c>
      <c r="AS269">
        <v>205</v>
      </c>
      <c r="AT269">
        <v>770</v>
      </c>
      <c r="AU269">
        <v>750</v>
      </c>
      <c r="AV269">
        <v>0</v>
      </c>
      <c r="AW269">
        <v>1520</v>
      </c>
      <c r="AX269">
        <v>4850</v>
      </c>
      <c r="AY269">
        <v>0</v>
      </c>
      <c r="AZ269">
        <v>0</v>
      </c>
      <c r="BA269">
        <v>4850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f t="shared" si="43"/>
        <v>68.852459016393439</v>
      </c>
      <c r="BH269">
        <v>43</v>
      </c>
      <c r="BI269">
        <v>42</v>
      </c>
      <c r="BJ269">
        <v>47</v>
      </c>
      <c r="BK269">
        <v>8</v>
      </c>
      <c r="BL269">
        <v>13</v>
      </c>
      <c r="BM269">
        <v>31</v>
      </c>
      <c r="BN269">
        <v>16</v>
      </c>
      <c r="BO269">
        <v>36</v>
      </c>
      <c r="BP269">
        <v>10</v>
      </c>
      <c r="BQ269">
        <v>40</v>
      </c>
      <c r="BR269">
        <v>41</v>
      </c>
      <c r="BS269">
        <v>15</v>
      </c>
      <c r="BT269">
        <v>342</v>
      </c>
      <c r="BU269">
        <v>54</v>
      </c>
      <c r="BV269">
        <v>124</v>
      </c>
      <c r="BW269">
        <v>208</v>
      </c>
      <c r="BX269">
        <v>31</v>
      </c>
      <c r="BY269">
        <v>31</v>
      </c>
      <c r="BZ269">
        <v>36</v>
      </c>
      <c r="CA269">
        <v>484</v>
      </c>
      <c r="CB269">
        <v>17</v>
      </c>
      <c r="CC269">
        <v>7</v>
      </c>
      <c r="CD269">
        <v>12</v>
      </c>
      <c r="CE269">
        <v>105</v>
      </c>
      <c r="CF269">
        <v>8.75</v>
      </c>
      <c r="CG269">
        <v>0</v>
      </c>
      <c r="CH269">
        <v>0</v>
      </c>
      <c r="CI269">
        <v>0</v>
      </c>
      <c r="CJ269">
        <v>0</v>
      </c>
      <c r="CK269">
        <v>2</v>
      </c>
      <c r="CL269">
        <v>0</v>
      </c>
      <c r="CM269">
        <v>0</v>
      </c>
      <c r="CN269">
        <v>35</v>
      </c>
      <c r="CO269">
        <v>0</v>
      </c>
      <c r="CP269">
        <v>3</v>
      </c>
      <c r="CQ269">
        <v>1</v>
      </c>
      <c r="CR269">
        <v>0</v>
      </c>
      <c r="CS269">
        <v>0</v>
      </c>
      <c r="CT269">
        <v>40</v>
      </c>
      <c r="CU269">
        <v>0</v>
      </c>
      <c r="CV269">
        <v>0</v>
      </c>
      <c r="CW269">
        <v>2</v>
      </c>
      <c r="CX269">
        <v>0</v>
      </c>
      <c r="CY269">
        <v>3</v>
      </c>
      <c r="CZ269">
        <v>1</v>
      </c>
      <c r="DA269">
        <v>0</v>
      </c>
      <c r="DB269">
        <v>0</v>
      </c>
      <c r="DC269">
        <v>6</v>
      </c>
      <c r="DD269">
        <v>0</v>
      </c>
      <c r="DE269">
        <v>0</v>
      </c>
      <c r="DF269">
        <v>105</v>
      </c>
      <c r="DG269">
        <v>12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117</v>
      </c>
      <c r="DT269">
        <v>163</v>
      </c>
      <c r="DU269">
        <v>36</v>
      </c>
      <c r="DV269">
        <v>0</v>
      </c>
      <c r="DW269">
        <v>0</v>
      </c>
      <c r="DX269">
        <v>0</v>
      </c>
      <c r="DY269">
        <v>428</v>
      </c>
      <c r="DZ269">
        <v>643</v>
      </c>
      <c r="EA269">
        <v>826</v>
      </c>
      <c r="EB269">
        <v>950</v>
      </c>
      <c r="EC269">
        <v>61</v>
      </c>
      <c r="ED269">
        <v>1742</v>
      </c>
      <c r="EE269">
        <v>1889</v>
      </c>
      <c r="EF269">
        <v>0</v>
      </c>
      <c r="EG269">
        <v>0.26</v>
      </c>
      <c r="EH269">
        <v>0.9</v>
      </c>
      <c r="EI269">
        <v>1.9</v>
      </c>
      <c r="EJ269">
        <v>0.2</v>
      </c>
      <c r="EK269">
        <v>0.9</v>
      </c>
    </row>
    <row r="270" spans="1:141" x14ac:dyDescent="0.25">
      <c r="A270" t="str">
        <f>[1]ingredient!B270</f>
        <v>Möhren rot</v>
      </c>
      <c r="B270" t="s">
        <v>356</v>
      </c>
      <c r="C270" s="7">
        <f>_xlfn.XLOOKUP(A270,[1]ingredient!$B$2:$B$521,[1]ingredient!$A$2:$A$521)</f>
        <v>269</v>
      </c>
      <c r="D270">
        <v>33</v>
      </c>
      <c r="E270">
        <v>0.18</v>
      </c>
      <c r="F270">
        <v>1</v>
      </c>
      <c r="G270">
        <v>7</v>
      </c>
      <c r="H270">
        <v>3</v>
      </c>
      <c r="I270">
        <v>6</v>
      </c>
      <c r="J270">
        <v>0.08</v>
      </c>
      <c r="K270">
        <v>88</v>
      </c>
      <c r="L270">
        <v>1637</v>
      </c>
      <c r="M270">
        <v>818</v>
      </c>
      <c r="N270">
        <v>0</v>
      </c>
      <c r="O270">
        <v>9820</v>
      </c>
      <c r="P270">
        <v>111</v>
      </c>
      <c r="Q270">
        <v>14</v>
      </c>
      <c r="R270">
        <v>580</v>
      </c>
      <c r="S270">
        <v>747</v>
      </c>
      <c r="T270">
        <v>270</v>
      </c>
      <c r="U270">
        <v>168</v>
      </c>
      <c r="V270">
        <v>5</v>
      </c>
      <c r="W270">
        <v>17</v>
      </c>
      <c r="X270">
        <v>0</v>
      </c>
      <c r="Y270">
        <v>3220</v>
      </c>
      <c r="Z270">
        <v>0</v>
      </c>
      <c r="AA270">
        <v>440</v>
      </c>
      <c r="AB270">
        <v>15</v>
      </c>
      <c r="AC270">
        <v>23</v>
      </c>
      <c r="AD270">
        <v>355</v>
      </c>
      <c r="AE270">
        <v>21</v>
      </c>
      <c r="AF270">
        <v>12</v>
      </c>
      <c r="AG270">
        <v>36</v>
      </c>
      <c r="AH270">
        <v>7</v>
      </c>
      <c r="AI270">
        <v>58</v>
      </c>
      <c r="AJ270">
        <v>355</v>
      </c>
      <c r="AK270">
        <v>256</v>
      </c>
      <c r="AL270">
        <v>55</v>
      </c>
      <c r="AM270">
        <v>97</v>
      </c>
      <c r="AN270">
        <v>19</v>
      </c>
      <c r="AO270">
        <v>3</v>
      </c>
      <c r="AP270">
        <v>205</v>
      </c>
      <c r="AQ270">
        <v>0</v>
      </c>
      <c r="AR270">
        <v>0</v>
      </c>
      <c r="AS270">
        <v>205</v>
      </c>
      <c r="AT270">
        <v>770</v>
      </c>
      <c r="AU270">
        <v>750</v>
      </c>
      <c r="AV270">
        <v>0</v>
      </c>
      <c r="AW270">
        <v>1520</v>
      </c>
      <c r="AX270">
        <v>4850</v>
      </c>
      <c r="AY270">
        <v>0</v>
      </c>
      <c r="AZ270">
        <v>0</v>
      </c>
      <c r="BA270">
        <v>4850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f t="shared" si="43"/>
        <v>68.852459016393439</v>
      </c>
      <c r="BH270">
        <v>43</v>
      </c>
      <c r="BI270">
        <v>42</v>
      </c>
      <c r="BJ270">
        <v>47</v>
      </c>
      <c r="BK270">
        <v>8</v>
      </c>
      <c r="BL270">
        <v>13</v>
      </c>
      <c r="BM270">
        <v>31</v>
      </c>
      <c r="BN270">
        <v>16</v>
      </c>
      <c r="BO270">
        <v>36</v>
      </c>
      <c r="BP270">
        <v>10</v>
      </c>
      <c r="BQ270">
        <v>40</v>
      </c>
      <c r="BR270">
        <v>41</v>
      </c>
      <c r="BS270">
        <v>15</v>
      </c>
      <c r="BT270">
        <v>342</v>
      </c>
      <c r="BU270">
        <v>54</v>
      </c>
      <c r="BV270">
        <v>124</v>
      </c>
      <c r="BW270">
        <v>208</v>
      </c>
      <c r="BX270">
        <v>31</v>
      </c>
      <c r="BY270">
        <v>31</v>
      </c>
      <c r="BZ270">
        <v>36</v>
      </c>
      <c r="CA270">
        <v>484</v>
      </c>
      <c r="CB270">
        <v>17</v>
      </c>
      <c r="CC270">
        <v>7</v>
      </c>
      <c r="CD270">
        <v>12</v>
      </c>
      <c r="CE270">
        <v>105</v>
      </c>
      <c r="CF270">
        <v>8.75</v>
      </c>
      <c r="CG270">
        <v>0</v>
      </c>
      <c r="CH270">
        <v>0</v>
      </c>
      <c r="CI270">
        <v>0</v>
      </c>
      <c r="CJ270">
        <v>0</v>
      </c>
      <c r="CK270">
        <v>2</v>
      </c>
      <c r="CL270">
        <v>0</v>
      </c>
      <c r="CM270">
        <v>0</v>
      </c>
      <c r="CN270">
        <v>35</v>
      </c>
      <c r="CO270">
        <v>0</v>
      </c>
      <c r="CP270">
        <v>3</v>
      </c>
      <c r="CQ270">
        <v>1</v>
      </c>
      <c r="CR270">
        <v>0</v>
      </c>
      <c r="CS270">
        <v>0</v>
      </c>
      <c r="CT270">
        <v>40</v>
      </c>
      <c r="CU270">
        <v>0</v>
      </c>
      <c r="CV270">
        <v>0</v>
      </c>
      <c r="CW270">
        <v>2</v>
      </c>
      <c r="CX270">
        <v>0</v>
      </c>
      <c r="CY270">
        <v>3</v>
      </c>
      <c r="CZ270">
        <v>1</v>
      </c>
      <c r="DA270">
        <v>0</v>
      </c>
      <c r="DB270">
        <v>0</v>
      </c>
      <c r="DC270">
        <v>6</v>
      </c>
      <c r="DD270">
        <v>0</v>
      </c>
      <c r="DE270">
        <v>0</v>
      </c>
      <c r="DF270">
        <v>105</v>
      </c>
      <c r="DG270">
        <v>12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117</v>
      </c>
      <c r="DT270">
        <v>163</v>
      </c>
      <c r="DU270">
        <v>36</v>
      </c>
      <c r="DV270">
        <v>0</v>
      </c>
      <c r="DW270">
        <v>0</v>
      </c>
      <c r="DX270">
        <v>0</v>
      </c>
      <c r="DY270">
        <v>428</v>
      </c>
      <c r="DZ270">
        <v>643</v>
      </c>
      <c r="EA270">
        <v>826</v>
      </c>
      <c r="EB270">
        <v>950</v>
      </c>
      <c r="EC270">
        <v>61</v>
      </c>
      <c r="ED270">
        <v>1742</v>
      </c>
      <c r="EE270">
        <v>1889</v>
      </c>
      <c r="EF270">
        <v>0</v>
      </c>
      <c r="EG270">
        <v>0.26</v>
      </c>
      <c r="EH270">
        <v>0.9</v>
      </c>
      <c r="EI270">
        <v>1.9</v>
      </c>
      <c r="EJ270">
        <v>0.2</v>
      </c>
      <c r="EK270">
        <v>0.9</v>
      </c>
    </row>
    <row r="271" spans="1:141" x14ac:dyDescent="0.25">
      <c r="A271" t="str">
        <f>[1]ingredient!B271</f>
        <v>Möhren violett</v>
      </c>
      <c r="B271" t="s">
        <v>356</v>
      </c>
      <c r="C271" s="7">
        <f>_xlfn.XLOOKUP(A271,[1]ingredient!$B$2:$B$521,[1]ingredient!$A$2:$A$521)</f>
        <v>270</v>
      </c>
      <c r="D271">
        <v>33</v>
      </c>
      <c r="E271">
        <v>0.18</v>
      </c>
      <c r="F271">
        <v>1</v>
      </c>
      <c r="G271">
        <v>7</v>
      </c>
      <c r="H271">
        <v>3</v>
      </c>
      <c r="I271">
        <v>6</v>
      </c>
      <c r="J271">
        <v>0.08</v>
      </c>
      <c r="K271">
        <v>88</v>
      </c>
      <c r="L271">
        <v>1637</v>
      </c>
      <c r="M271">
        <v>818</v>
      </c>
      <c r="N271">
        <v>0</v>
      </c>
      <c r="O271">
        <v>9820</v>
      </c>
      <c r="P271">
        <v>111</v>
      </c>
      <c r="Q271">
        <v>14</v>
      </c>
      <c r="R271">
        <v>580</v>
      </c>
      <c r="S271">
        <v>747</v>
      </c>
      <c r="T271">
        <v>270</v>
      </c>
      <c r="U271">
        <v>168</v>
      </c>
      <c r="V271">
        <v>5</v>
      </c>
      <c r="W271">
        <v>17</v>
      </c>
      <c r="X271">
        <v>0</v>
      </c>
      <c r="Y271">
        <v>3220</v>
      </c>
      <c r="Z271">
        <v>0</v>
      </c>
      <c r="AA271">
        <v>440</v>
      </c>
      <c r="AB271">
        <v>15</v>
      </c>
      <c r="AC271">
        <v>23</v>
      </c>
      <c r="AD271">
        <v>355</v>
      </c>
      <c r="AE271">
        <v>21</v>
      </c>
      <c r="AF271">
        <v>12</v>
      </c>
      <c r="AG271">
        <v>36</v>
      </c>
      <c r="AH271">
        <v>7</v>
      </c>
      <c r="AI271">
        <v>58</v>
      </c>
      <c r="AJ271">
        <v>355</v>
      </c>
      <c r="AK271">
        <v>256</v>
      </c>
      <c r="AL271">
        <v>55</v>
      </c>
      <c r="AM271">
        <v>97</v>
      </c>
      <c r="AN271">
        <v>19</v>
      </c>
      <c r="AO271">
        <v>3</v>
      </c>
      <c r="AP271">
        <v>205</v>
      </c>
      <c r="AQ271">
        <v>0</v>
      </c>
      <c r="AR271">
        <v>0</v>
      </c>
      <c r="AS271">
        <v>205</v>
      </c>
      <c r="AT271">
        <v>770</v>
      </c>
      <c r="AU271">
        <v>750</v>
      </c>
      <c r="AV271">
        <v>0</v>
      </c>
      <c r="AW271">
        <v>1520</v>
      </c>
      <c r="AX271">
        <v>4850</v>
      </c>
      <c r="AY271">
        <v>0</v>
      </c>
      <c r="AZ271">
        <v>0</v>
      </c>
      <c r="BA271">
        <v>4850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f t="shared" si="43"/>
        <v>68.852459016393439</v>
      </c>
      <c r="BH271">
        <v>43</v>
      </c>
      <c r="BI271">
        <v>42</v>
      </c>
      <c r="BJ271">
        <v>47</v>
      </c>
      <c r="BK271">
        <v>8</v>
      </c>
      <c r="BL271">
        <v>13</v>
      </c>
      <c r="BM271">
        <v>31</v>
      </c>
      <c r="BN271">
        <v>16</v>
      </c>
      <c r="BO271">
        <v>36</v>
      </c>
      <c r="BP271">
        <v>10</v>
      </c>
      <c r="BQ271">
        <v>40</v>
      </c>
      <c r="BR271">
        <v>41</v>
      </c>
      <c r="BS271">
        <v>15</v>
      </c>
      <c r="BT271">
        <v>342</v>
      </c>
      <c r="BU271">
        <v>54</v>
      </c>
      <c r="BV271">
        <v>124</v>
      </c>
      <c r="BW271">
        <v>208</v>
      </c>
      <c r="BX271">
        <v>31</v>
      </c>
      <c r="BY271">
        <v>31</v>
      </c>
      <c r="BZ271">
        <v>36</v>
      </c>
      <c r="CA271">
        <v>484</v>
      </c>
      <c r="CB271">
        <v>17</v>
      </c>
      <c r="CC271">
        <v>7</v>
      </c>
      <c r="CD271">
        <v>12</v>
      </c>
      <c r="CE271">
        <v>105</v>
      </c>
      <c r="CF271">
        <v>8.75</v>
      </c>
      <c r="CG271">
        <v>0</v>
      </c>
      <c r="CH271">
        <v>0</v>
      </c>
      <c r="CI271">
        <v>0</v>
      </c>
      <c r="CJ271">
        <v>0</v>
      </c>
      <c r="CK271">
        <v>2</v>
      </c>
      <c r="CL271">
        <v>0</v>
      </c>
      <c r="CM271">
        <v>0</v>
      </c>
      <c r="CN271">
        <v>35</v>
      </c>
      <c r="CO271">
        <v>0</v>
      </c>
      <c r="CP271">
        <v>3</v>
      </c>
      <c r="CQ271">
        <v>1</v>
      </c>
      <c r="CR271">
        <v>0</v>
      </c>
      <c r="CS271">
        <v>0</v>
      </c>
      <c r="CT271">
        <v>40</v>
      </c>
      <c r="CU271">
        <v>0</v>
      </c>
      <c r="CV271">
        <v>0</v>
      </c>
      <c r="CW271">
        <v>2</v>
      </c>
      <c r="CX271">
        <v>0</v>
      </c>
      <c r="CY271">
        <v>3</v>
      </c>
      <c r="CZ271">
        <v>1</v>
      </c>
      <c r="DA271">
        <v>0</v>
      </c>
      <c r="DB271">
        <v>0</v>
      </c>
      <c r="DC271">
        <v>6</v>
      </c>
      <c r="DD271">
        <v>0</v>
      </c>
      <c r="DE271">
        <v>0</v>
      </c>
      <c r="DF271">
        <v>105</v>
      </c>
      <c r="DG271">
        <v>12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117</v>
      </c>
      <c r="DT271">
        <v>163</v>
      </c>
      <c r="DU271">
        <v>36</v>
      </c>
      <c r="DV271">
        <v>0</v>
      </c>
      <c r="DW271">
        <v>0</v>
      </c>
      <c r="DX271">
        <v>0</v>
      </c>
      <c r="DY271">
        <v>428</v>
      </c>
      <c r="DZ271">
        <v>643</v>
      </c>
      <c r="EA271">
        <v>826</v>
      </c>
      <c r="EB271">
        <v>950</v>
      </c>
      <c r="EC271">
        <v>61</v>
      </c>
      <c r="ED271">
        <v>1742</v>
      </c>
      <c r="EE271">
        <v>1889</v>
      </c>
      <c r="EF271">
        <v>0</v>
      </c>
      <c r="EG271">
        <v>0.26</v>
      </c>
      <c r="EH271">
        <v>0.9</v>
      </c>
      <c r="EI271">
        <v>1.9</v>
      </c>
      <c r="EJ271">
        <v>0.2</v>
      </c>
      <c r="EK271">
        <v>0.9</v>
      </c>
    </row>
    <row r="272" spans="1:141" x14ac:dyDescent="0.25">
      <c r="A272" t="str">
        <f>[1]ingredient!B272</f>
        <v>Mugi Miso</v>
      </c>
      <c r="B272" t="s">
        <v>357</v>
      </c>
      <c r="C272" s="7">
        <f>_xlfn.XLOOKUP(A272,[1]ingredient!$B$2:$B$521,[1]ingredient!$A$2:$A$521)</f>
        <v>271</v>
      </c>
      <c r="D272">
        <v>115</v>
      </c>
      <c r="E272">
        <v>6</v>
      </c>
      <c r="F272">
        <v>11</v>
      </c>
      <c r="G272">
        <v>5</v>
      </c>
      <c r="H272">
        <v>11</v>
      </c>
      <c r="I272">
        <v>5</v>
      </c>
      <c r="J272">
        <v>7</v>
      </c>
      <c r="K272">
        <v>56</v>
      </c>
      <c r="L272">
        <v>9</v>
      </c>
      <c r="M272">
        <v>5</v>
      </c>
      <c r="N272">
        <v>0</v>
      </c>
      <c r="O272">
        <v>54</v>
      </c>
      <c r="P272">
        <v>60</v>
      </c>
      <c r="Q272">
        <v>100</v>
      </c>
      <c r="R272">
        <v>1300</v>
      </c>
      <c r="S272">
        <v>2883</v>
      </c>
      <c r="T272">
        <v>500</v>
      </c>
      <c r="U272">
        <v>300</v>
      </c>
      <c r="V272">
        <v>15</v>
      </c>
      <c r="W272">
        <v>40</v>
      </c>
      <c r="X272">
        <v>0.2</v>
      </c>
      <c r="Y272">
        <v>0</v>
      </c>
      <c r="Z272">
        <v>0</v>
      </c>
      <c r="AA272">
        <v>800</v>
      </c>
      <c r="AB272">
        <v>11</v>
      </c>
      <c r="AC272">
        <v>2950</v>
      </c>
      <c r="AD272">
        <v>334</v>
      </c>
      <c r="AE272">
        <v>68</v>
      </c>
      <c r="AF272">
        <v>120</v>
      </c>
      <c r="AG272">
        <v>309</v>
      </c>
      <c r="AH272">
        <v>70</v>
      </c>
      <c r="AI272">
        <v>4300</v>
      </c>
      <c r="AJ272">
        <v>1700</v>
      </c>
      <c r="AK272">
        <v>500</v>
      </c>
      <c r="AL272">
        <v>50</v>
      </c>
      <c r="AM272">
        <v>1400</v>
      </c>
      <c r="AN272">
        <v>30</v>
      </c>
      <c r="AO272">
        <v>3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4653</v>
      </c>
      <c r="AY272">
        <v>0</v>
      </c>
      <c r="AZ272">
        <v>0</v>
      </c>
      <c r="BA272">
        <v>4653</v>
      </c>
      <c r="BB272">
        <v>0</v>
      </c>
      <c r="BC272">
        <v>0</v>
      </c>
      <c r="BD272">
        <v>0</v>
      </c>
      <c r="BE272">
        <v>47</v>
      </c>
      <c r="BF272">
        <v>47</v>
      </c>
      <c r="BG272">
        <f t="shared" si="43"/>
        <v>103.95256916996047</v>
      </c>
      <c r="BH272">
        <v>494</v>
      </c>
      <c r="BI272">
        <v>798</v>
      </c>
      <c r="BJ272">
        <v>578</v>
      </c>
      <c r="BK272">
        <v>126</v>
      </c>
      <c r="BL272">
        <v>137</v>
      </c>
      <c r="BM272">
        <v>483</v>
      </c>
      <c r="BN272">
        <v>399</v>
      </c>
      <c r="BO272">
        <v>368</v>
      </c>
      <c r="BP272">
        <v>95</v>
      </c>
      <c r="BQ272">
        <v>483</v>
      </c>
      <c r="BR272">
        <v>609</v>
      </c>
      <c r="BS272">
        <v>263</v>
      </c>
      <c r="BT272">
        <v>4833</v>
      </c>
      <c r="BU272">
        <v>536</v>
      </c>
      <c r="BV272">
        <v>1166</v>
      </c>
      <c r="BW272">
        <v>1864</v>
      </c>
      <c r="BX272">
        <v>462</v>
      </c>
      <c r="BY272">
        <v>756</v>
      </c>
      <c r="BZ272">
        <v>620</v>
      </c>
      <c r="CA272">
        <v>5404</v>
      </c>
      <c r="CB272">
        <v>60</v>
      </c>
      <c r="CC272">
        <v>25</v>
      </c>
      <c r="CD272">
        <v>440</v>
      </c>
      <c r="CE272">
        <v>3234</v>
      </c>
      <c r="CF272">
        <v>7.35</v>
      </c>
      <c r="CG272">
        <v>0</v>
      </c>
      <c r="CH272">
        <v>0</v>
      </c>
      <c r="CI272">
        <v>0</v>
      </c>
      <c r="CJ272">
        <v>0</v>
      </c>
      <c r="CK272">
        <v>6</v>
      </c>
      <c r="CL272">
        <v>11</v>
      </c>
      <c r="CM272">
        <v>0</v>
      </c>
      <c r="CN272">
        <v>621</v>
      </c>
      <c r="CO272">
        <v>0</v>
      </c>
      <c r="CP272">
        <v>215</v>
      </c>
      <c r="CQ272">
        <v>17</v>
      </c>
      <c r="CR272">
        <v>6</v>
      </c>
      <c r="CS272">
        <v>0</v>
      </c>
      <c r="CT272">
        <v>876</v>
      </c>
      <c r="CU272">
        <v>0</v>
      </c>
      <c r="CV272">
        <v>0</v>
      </c>
      <c r="CW272">
        <v>11</v>
      </c>
      <c r="CX272">
        <v>0</v>
      </c>
      <c r="CY272">
        <v>1073</v>
      </c>
      <c r="CZ272">
        <v>11</v>
      </c>
      <c r="DA272">
        <v>0</v>
      </c>
      <c r="DB272">
        <v>0</v>
      </c>
      <c r="DC272">
        <v>1095</v>
      </c>
      <c r="DD272">
        <v>0</v>
      </c>
      <c r="DE272">
        <v>0</v>
      </c>
      <c r="DF272">
        <v>3234</v>
      </c>
      <c r="DG272">
        <v>440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3674</v>
      </c>
      <c r="DT272">
        <v>5645</v>
      </c>
      <c r="DU272">
        <v>425</v>
      </c>
      <c r="DV272">
        <v>0</v>
      </c>
      <c r="DW272">
        <v>0</v>
      </c>
      <c r="DX272">
        <v>0</v>
      </c>
      <c r="DY272">
        <v>2625</v>
      </c>
      <c r="DZ272">
        <v>3832</v>
      </c>
      <c r="EA272">
        <v>1470</v>
      </c>
      <c r="EB272">
        <v>2520</v>
      </c>
      <c r="EC272">
        <v>53</v>
      </c>
      <c r="ED272">
        <v>5250</v>
      </c>
      <c r="EE272">
        <v>5250</v>
      </c>
      <c r="EF272">
        <v>0</v>
      </c>
      <c r="EG272">
        <v>0</v>
      </c>
      <c r="EH272">
        <v>12.7</v>
      </c>
      <c r="EI272">
        <v>5.3</v>
      </c>
      <c r="EJ272">
        <v>6.1</v>
      </c>
      <c r="EK272">
        <v>10.4</v>
      </c>
    </row>
    <row r="273" spans="1:141" x14ac:dyDescent="0.25">
      <c r="A273" t="str">
        <f>[1]ingredient!B273</f>
        <v>Mungbohnen</v>
      </c>
      <c r="B273" t="s">
        <v>358</v>
      </c>
      <c r="C273" s="7">
        <f>_xlfn.XLOOKUP(A273,[1]ingredient!$B$2:$B$521,[1]ingredient!$A$2:$A$521)</f>
        <v>272</v>
      </c>
      <c r="D273">
        <v>273</v>
      </c>
      <c r="E273">
        <v>1</v>
      </c>
      <c r="F273">
        <v>23</v>
      </c>
      <c r="G273">
        <v>41</v>
      </c>
      <c r="H273">
        <v>15</v>
      </c>
      <c r="I273">
        <v>3</v>
      </c>
      <c r="J273">
        <v>0.02</v>
      </c>
      <c r="K273">
        <v>10</v>
      </c>
      <c r="L273">
        <v>6</v>
      </c>
      <c r="M273">
        <v>3</v>
      </c>
      <c r="N273">
        <v>0</v>
      </c>
      <c r="O273">
        <v>36</v>
      </c>
      <c r="P273">
        <v>490</v>
      </c>
      <c r="Q273">
        <v>230</v>
      </c>
      <c r="R273">
        <v>2300</v>
      </c>
      <c r="S273">
        <v>6917</v>
      </c>
      <c r="T273">
        <v>3500</v>
      </c>
      <c r="U273">
        <v>500</v>
      </c>
      <c r="V273">
        <v>8</v>
      </c>
      <c r="W273">
        <v>140</v>
      </c>
      <c r="X273">
        <v>0</v>
      </c>
      <c r="Y273">
        <v>3000</v>
      </c>
      <c r="Z273">
        <v>0</v>
      </c>
      <c r="AA273">
        <v>1900</v>
      </c>
      <c r="AB273">
        <v>130</v>
      </c>
      <c r="AC273">
        <v>10</v>
      </c>
      <c r="AD273">
        <v>171</v>
      </c>
      <c r="AE273">
        <v>123</v>
      </c>
      <c r="AF273">
        <v>243</v>
      </c>
      <c r="AG273">
        <v>365</v>
      </c>
      <c r="AH273">
        <v>190</v>
      </c>
      <c r="AI273">
        <v>12</v>
      </c>
      <c r="AJ273">
        <v>9800</v>
      </c>
      <c r="AK273">
        <v>2478</v>
      </c>
      <c r="AL273">
        <v>720</v>
      </c>
      <c r="AM273">
        <v>1200</v>
      </c>
      <c r="AN273">
        <v>50</v>
      </c>
      <c r="AO273">
        <v>7</v>
      </c>
      <c r="AP273">
        <v>0</v>
      </c>
      <c r="AQ273">
        <v>0</v>
      </c>
      <c r="AR273">
        <v>0</v>
      </c>
      <c r="AS273">
        <v>0</v>
      </c>
      <c r="AT273">
        <v>619</v>
      </c>
      <c r="AU273">
        <v>1031</v>
      </c>
      <c r="AV273">
        <v>0</v>
      </c>
      <c r="AW273">
        <v>1650</v>
      </c>
      <c r="AX273">
        <v>1238</v>
      </c>
      <c r="AY273">
        <v>0</v>
      </c>
      <c r="AZ273">
        <v>0</v>
      </c>
      <c r="BA273">
        <v>1238</v>
      </c>
      <c r="BB273">
        <v>3713</v>
      </c>
      <c r="BC273">
        <v>4320</v>
      </c>
      <c r="BD273">
        <v>0</v>
      </c>
      <c r="BE273">
        <v>34649</v>
      </c>
      <c r="BF273">
        <v>34649</v>
      </c>
      <c r="BG273">
        <f t="shared" si="43"/>
        <v>56.899810964083173</v>
      </c>
      <c r="BH273">
        <v>855</v>
      </c>
      <c r="BI273">
        <v>1617</v>
      </c>
      <c r="BJ273">
        <v>1916</v>
      </c>
      <c r="BK273">
        <v>185</v>
      </c>
      <c r="BL273">
        <v>116</v>
      </c>
      <c r="BM273">
        <v>1178</v>
      </c>
      <c r="BN273">
        <v>554</v>
      </c>
      <c r="BO273">
        <v>762</v>
      </c>
      <c r="BP273">
        <v>277</v>
      </c>
      <c r="BQ273">
        <v>970</v>
      </c>
      <c r="BR273">
        <v>1317</v>
      </c>
      <c r="BS273">
        <v>670</v>
      </c>
      <c r="BT273">
        <v>10417</v>
      </c>
      <c r="BU273">
        <v>855</v>
      </c>
      <c r="BV273">
        <v>2564</v>
      </c>
      <c r="BW273">
        <v>3165</v>
      </c>
      <c r="BX273">
        <v>762</v>
      </c>
      <c r="BY273">
        <v>832</v>
      </c>
      <c r="BZ273">
        <v>1040</v>
      </c>
      <c r="CA273">
        <v>9218</v>
      </c>
      <c r="CB273">
        <v>222</v>
      </c>
      <c r="CC273">
        <v>93</v>
      </c>
      <c r="CD273">
        <v>539</v>
      </c>
      <c r="CE273">
        <v>132</v>
      </c>
      <c r="CF273">
        <v>0.24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199</v>
      </c>
      <c r="CO273">
        <v>0</v>
      </c>
      <c r="CP273">
        <v>56</v>
      </c>
      <c r="CQ273">
        <v>0</v>
      </c>
      <c r="CR273">
        <v>0</v>
      </c>
      <c r="CS273">
        <v>0</v>
      </c>
      <c r="CT273">
        <v>255</v>
      </c>
      <c r="CU273">
        <v>0</v>
      </c>
      <c r="CV273">
        <v>0</v>
      </c>
      <c r="CW273">
        <v>0</v>
      </c>
      <c r="CX273">
        <v>0</v>
      </c>
      <c r="CY273">
        <v>190</v>
      </c>
      <c r="CZ273">
        <v>0</v>
      </c>
      <c r="DA273">
        <v>0</v>
      </c>
      <c r="DB273">
        <v>0</v>
      </c>
      <c r="DC273">
        <v>190</v>
      </c>
      <c r="DD273">
        <v>0</v>
      </c>
      <c r="DE273">
        <v>0</v>
      </c>
      <c r="DF273">
        <v>132</v>
      </c>
      <c r="DG273">
        <v>539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671</v>
      </c>
      <c r="DT273">
        <v>1116</v>
      </c>
      <c r="DU273">
        <v>84</v>
      </c>
      <c r="DV273">
        <v>0</v>
      </c>
      <c r="DW273">
        <v>0</v>
      </c>
      <c r="DX273">
        <v>0</v>
      </c>
      <c r="DY273">
        <v>1947</v>
      </c>
      <c r="DZ273">
        <v>5243</v>
      </c>
      <c r="EA273">
        <v>1947</v>
      </c>
      <c r="EB273">
        <v>5543</v>
      </c>
      <c r="EC273">
        <v>300</v>
      </c>
      <c r="ED273">
        <v>1798</v>
      </c>
      <c r="EE273">
        <v>13182</v>
      </c>
      <c r="EF273">
        <v>0</v>
      </c>
      <c r="EG273">
        <v>0.25</v>
      </c>
      <c r="EH273">
        <v>4.5999999999999996</v>
      </c>
      <c r="EI273">
        <v>13.2</v>
      </c>
      <c r="EJ273">
        <v>1.2</v>
      </c>
      <c r="EK273">
        <v>20.399999999999999</v>
      </c>
    </row>
    <row r="274" spans="1:141" x14ac:dyDescent="0.25">
      <c r="A274" t="str">
        <f>[1]ingredient!B274</f>
        <v>Mungbohnen-Sprossen</v>
      </c>
      <c r="B274" t="s">
        <v>359</v>
      </c>
      <c r="C274" s="7">
        <f>_xlfn.XLOOKUP(A274,[1]ingredient!$B$2:$B$521,[1]ingredient!$A$2:$A$521)</f>
        <v>273</v>
      </c>
      <c r="D274">
        <v>24</v>
      </c>
      <c r="E274">
        <v>0.3</v>
      </c>
      <c r="F274">
        <v>3</v>
      </c>
      <c r="G274">
        <v>2</v>
      </c>
      <c r="H274">
        <v>6</v>
      </c>
      <c r="I274">
        <v>1</v>
      </c>
      <c r="J274">
        <v>0.02</v>
      </c>
      <c r="K274">
        <v>88</v>
      </c>
      <c r="L274">
        <v>7</v>
      </c>
      <c r="M274">
        <v>3</v>
      </c>
      <c r="N274">
        <v>0</v>
      </c>
      <c r="O274">
        <v>40</v>
      </c>
      <c r="P274">
        <v>84</v>
      </c>
      <c r="Q274">
        <v>92</v>
      </c>
      <c r="R274">
        <v>750</v>
      </c>
      <c r="S274">
        <v>1817</v>
      </c>
      <c r="T274">
        <v>380</v>
      </c>
      <c r="U274">
        <v>88</v>
      </c>
      <c r="V274">
        <v>2</v>
      </c>
      <c r="W274">
        <v>61</v>
      </c>
      <c r="X274">
        <v>0</v>
      </c>
      <c r="Y274">
        <v>11000</v>
      </c>
      <c r="Z274">
        <v>0</v>
      </c>
      <c r="AA274">
        <v>90</v>
      </c>
      <c r="AB274">
        <v>5</v>
      </c>
      <c r="AC274">
        <v>5</v>
      </c>
      <c r="AD274">
        <v>134</v>
      </c>
      <c r="AE274">
        <v>13</v>
      </c>
      <c r="AF274">
        <v>18</v>
      </c>
      <c r="AG274">
        <v>49</v>
      </c>
      <c r="AH274">
        <v>70</v>
      </c>
      <c r="AI274">
        <v>15</v>
      </c>
      <c r="AJ274">
        <v>910</v>
      </c>
      <c r="AK274">
        <v>390</v>
      </c>
      <c r="AL274">
        <v>120</v>
      </c>
      <c r="AM274">
        <v>188</v>
      </c>
      <c r="AN274">
        <v>4</v>
      </c>
      <c r="AO274">
        <v>2</v>
      </c>
      <c r="AP274">
        <v>0</v>
      </c>
      <c r="AQ274">
        <v>0</v>
      </c>
      <c r="AR274">
        <v>0</v>
      </c>
      <c r="AS274">
        <v>0</v>
      </c>
      <c r="AT274">
        <v>282</v>
      </c>
      <c r="AU274">
        <v>88</v>
      </c>
      <c r="AV274">
        <v>0</v>
      </c>
      <c r="AW274">
        <v>370</v>
      </c>
      <c r="AX274">
        <v>264</v>
      </c>
      <c r="AY274">
        <v>0</v>
      </c>
      <c r="AZ274">
        <v>0</v>
      </c>
      <c r="BA274">
        <v>264</v>
      </c>
      <c r="BB274">
        <v>88</v>
      </c>
      <c r="BC274">
        <v>0</v>
      </c>
      <c r="BD274">
        <v>0</v>
      </c>
      <c r="BE274">
        <v>1038</v>
      </c>
      <c r="BF274">
        <v>1038</v>
      </c>
      <c r="BG274">
        <f t="shared" si="43"/>
        <v>82.608695652173907</v>
      </c>
      <c r="BH274">
        <v>138</v>
      </c>
      <c r="BI274">
        <v>195</v>
      </c>
      <c r="BJ274">
        <v>192</v>
      </c>
      <c r="BK274">
        <v>38</v>
      </c>
      <c r="BL274">
        <v>19</v>
      </c>
      <c r="BM274">
        <v>134</v>
      </c>
      <c r="BN274">
        <v>64</v>
      </c>
      <c r="BO274">
        <v>96</v>
      </c>
      <c r="BP274">
        <v>64</v>
      </c>
      <c r="BQ274">
        <v>144</v>
      </c>
      <c r="BR274">
        <v>231</v>
      </c>
      <c r="BS274">
        <v>74</v>
      </c>
      <c r="BT274">
        <v>1389</v>
      </c>
      <c r="BU274">
        <v>115</v>
      </c>
      <c r="BV274">
        <v>560</v>
      </c>
      <c r="BW274">
        <v>192</v>
      </c>
      <c r="BX274">
        <v>74</v>
      </c>
      <c r="BY274">
        <v>128</v>
      </c>
      <c r="BZ274">
        <v>38</v>
      </c>
      <c r="CA274">
        <v>1107</v>
      </c>
      <c r="CB274">
        <v>12</v>
      </c>
      <c r="CC274">
        <v>5</v>
      </c>
      <c r="CD274">
        <v>31</v>
      </c>
      <c r="CE274">
        <v>77</v>
      </c>
      <c r="CF274">
        <v>2.48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64</v>
      </c>
      <c r="CO274">
        <v>0</v>
      </c>
      <c r="CP274">
        <v>19</v>
      </c>
      <c r="CQ274">
        <v>0</v>
      </c>
      <c r="CR274">
        <v>0</v>
      </c>
      <c r="CS274">
        <v>0</v>
      </c>
      <c r="CT274">
        <v>83</v>
      </c>
      <c r="CU274">
        <v>0</v>
      </c>
      <c r="CV274">
        <v>0</v>
      </c>
      <c r="CW274">
        <v>0</v>
      </c>
      <c r="CX274">
        <v>0</v>
      </c>
      <c r="CY274">
        <v>41</v>
      </c>
      <c r="CZ274">
        <v>0</v>
      </c>
      <c r="DA274">
        <v>0</v>
      </c>
      <c r="DB274">
        <v>0</v>
      </c>
      <c r="DC274">
        <v>41</v>
      </c>
      <c r="DD274">
        <v>0</v>
      </c>
      <c r="DE274">
        <v>0</v>
      </c>
      <c r="DF274">
        <v>77</v>
      </c>
      <c r="DG274">
        <v>31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108</v>
      </c>
      <c r="DT274">
        <v>232</v>
      </c>
      <c r="DU274">
        <v>68</v>
      </c>
      <c r="DV274">
        <v>0</v>
      </c>
      <c r="DW274">
        <v>0</v>
      </c>
      <c r="DX274">
        <v>0</v>
      </c>
      <c r="DY274">
        <v>728</v>
      </c>
      <c r="DZ274">
        <v>1960</v>
      </c>
      <c r="EA274">
        <v>728</v>
      </c>
      <c r="EB274">
        <v>2072</v>
      </c>
      <c r="EC274">
        <v>112</v>
      </c>
      <c r="ED274">
        <v>2800</v>
      </c>
      <c r="EE274">
        <v>2800</v>
      </c>
      <c r="EF274">
        <v>0</v>
      </c>
      <c r="EG274">
        <v>0.25</v>
      </c>
      <c r="EH274">
        <v>0.4</v>
      </c>
      <c r="EI274">
        <v>2.8</v>
      </c>
      <c r="EJ274">
        <v>0.3</v>
      </c>
      <c r="EK274">
        <v>2.5</v>
      </c>
    </row>
    <row r="275" spans="1:141" x14ac:dyDescent="0.25">
      <c r="A275" t="str">
        <f>[1]ingredient!B275</f>
        <v>Mung-Dal</v>
      </c>
      <c r="C275" s="7">
        <f>_xlfn.XLOOKUP(A275,[1]ingredient!$B$2:$B$521,[1]ingredient!$A$2:$A$521)</f>
        <v>274</v>
      </c>
      <c r="D275">
        <v>304</v>
      </c>
      <c r="E275">
        <v>1.2</v>
      </c>
      <c r="F275">
        <v>23</v>
      </c>
      <c r="G275">
        <v>41.5</v>
      </c>
      <c r="H275">
        <v>17</v>
      </c>
      <c r="I275">
        <v>3</v>
      </c>
      <c r="J275">
        <v>2.3E-2</v>
      </c>
      <c r="K275">
        <v>10</v>
      </c>
      <c r="L275">
        <v>6</v>
      </c>
      <c r="M275">
        <v>3</v>
      </c>
      <c r="N275">
        <v>0</v>
      </c>
      <c r="O275">
        <v>36</v>
      </c>
      <c r="P275">
        <v>490</v>
      </c>
      <c r="Q275">
        <v>230</v>
      </c>
      <c r="R275">
        <v>2300</v>
      </c>
      <c r="S275">
        <v>6917</v>
      </c>
      <c r="T275">
        <v>3500</v>
      </c>
      <c r="U275">
        <v>500</v>
      </c>
      <c r="V275">
        <v>8</v>
      </c>
      <c r="W275">
        <v>140</v>
      </c>
      <c r="X275">
        <v>0</v>
      </c>
      <c r="Y275">
        <v>3000</v>
      </c>
      <c r="Z275">
        <v>0</v>
      </c>
      <c r="AA275">
        <v>1900</v>
      </c>
      <c r="AB275">
        <v>130</v>
      </c>
      <c r="AC275">
        <v>10</v>
      </c>
      <c r="AD275">
        <v>171</v>
      </c>
      <c r="AE275">
        <v>123</v>
      </c>
      <c r="AF275">
        <v>243</v>
      </c>
      <c r="AG275">
        <v>365</v>
      </c>
      <c r="AH275">
        <v>190</v>
      </c>
      <c r="AI275">
        <v>12</v>
      </c>
      <c r="AJ275">
        <v>9800</v>
      </c>
      <c r="AK275">
        <v>2478</v>
      </c>
      <c r="AL275">
        <v>720</v>
      </c>
      <c r="AM275">
        <v>1200</v>
      </c>
      <c r="AN275">
        <v>50</v>
      </c>
      <c r="AO275">
        <v>7</v>
      </c>
      <c r="AP275">
        <v>0</v>
      </c>
      <c r="AQ275">
        <v>0</v>
      </c>
      <c r="AR275">
        <v>0</v>
      </c>
      <c r="AS275">
        <v>0</v>
      </c>
      <c r="AT275">
        <v>619</v>
      </c>
      <c r="AU275">
        <v>1031</v>
      </c>
      <c r="AV275">
        <v>0</v>
      </c>
      <c r="AW275">
        <v>1650</v>
      </c>
      <c r="AX275">
        <v>1238</v>
      </c>
      <c r="AY275">
        <v>0</v>
      </c>
      <c r="AZ275">
        <v>0</v>
      </c>
      <c r="BA275">
        <v>1238</v>
      </c>
      <c r="BB275">
        <v>3713</v>
      </c>
      <c r="BC275">
        <v>4320</v>
      </c>
      <c r="BD275">
        <v>0</v>
      </c>
      <c r="BE275">
        <v>34649</v>
      </c>
      <c r="BF275">
        <v>34649</v>
      </c>
      <c r="BG275">
        <f t="shared" si="43"/>
        <v>56.899810964083173</v>
      </c>
      <c r="BH275">
        <v>855</v>
      </c>
      <c r="BI275">
        <v>1617</v>
      </c>
      <c r="BJ275">
        <v>1916</v>
      </c>
      <c r="BK275">
        <v>185</v>
      </c>
      <c r="BL275">
        <v>116</v>
      </c>
      <c r="BM275">
        <v>1178</v>
      </c>
      <c r="BN275">
        <v>554</v>
      </c>
      <c r="BO275">
        <v>762</v>
      </c>
      <c r="BP275">
        <v>277</v>
      </c>
      <c r="BQ275">
        <v>970</v>
      </c>
      <c r="BR275">
        <v>1317</v>
      </c>
      <c r="BS275">
        <v>670</v>
      </c>
      <c r="BT275">
        <v>10417</v>
      </c>
      <c r="BU275">
        <v>855</v>
      </c>
      <c r="BV275">
        <v>2564</v>
      </c>
      <c r="BW275">
        <v>3165</v>
      </c>
      <c r="BX275">
        <v>762</v>
      </c>
      <c r="BY275">
        <v>832</v>
      </c>
      <c r="BZ275">
        <v>1040</v>
      </c>
      <c r="CA275">
        <v>9218</v>
      </c>
      <c r="CB275">
        <v>222</v>
      </c>
      <c r="CC275">
        <v>93</v>
      </c>
      <c r="CD275">
        <v>539</v>
      </c>
      <c r="CE275">
        <v>132</v>
      </c>
      <c r="CF275">
        <v>0.24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199</v>
      </c>
      <c r="CO275">
        <v>0</v>
      </c>
      <c r="CP275">
        <v>56</v>
      </c>
      <c r="CQ275">
        <v>0</v>
      </c>
      <c r="CR275">
        <v>0</v>
      </c>
      <c r="CS275">
        <v>0</v>
      </c>
      <c r="CT275">
        <v>300</v>
      </c>
      <c r="CU275">
        <v>0</v>
      </c>
      <c r="CV275">
        <v>0</v>
      </c>
      <c r="CW275">
        <v>0</v>
      </c>
      <c r="CX275">
        <v>0</v>
      </c>
      <c r="CY275">
        <v>190</v>
      </c>
      <c r="CZ275">
        <v>0</v>
      </c>
      <c r="DA275">
        <v>0</v>
      </c>
      <c r="DB275">
        <v>0</v>
      </c>
      <c r="DC275">
        <v>190</v>
      </c>
      <c r="DD275">
        <v>0</v>
      </c>
      <c r="DE275">
        <v>0</v>
      </c>
      <c r="DF275">
        <v>132</v>
      </c>
      <c r="DG275">
        <v>539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671</v>
      </c>
      <c r="DT275">
        <v>1116</v>
      </c>
      <c r="DU275">
        <v>84</v>
      </c>
      <c r="DV275">
        <v>0</v>
      </c>
      <c r="DW275">
        <v>0</v>
      </c>
      <c r="DX275">
        <v>0</v>
      </c>
      <c r="DY275">
        <v>1947</v>
      </c>
      <c r="DZ275">
        <v>5243</v>
      </c>
      <c r="EA275">
        <v>1947</v>
      </c>
      <c r="EB275">
        <v>5543</v>
      </c>
      <c r="EC275">
        <v>300</v>
      </c>
      <c r="ED275">
        <v>1798</v>
      </c>
      <c r="EE275">
        <v>13182</v>
      </c>
      <c r="EF275">
        <v>0</v>
      </c>
      <c r="EG275">
        <v>0.25</v>
      </c>
      <c r="EH275">
        <v>4.5999999999999996</v>
      </c>
      <c r="EI275">
        <v>13.2</v>
      </c>
      <c r="EJ275">
        <v>1.2</v>
      </c>
      <c r="EK275">
        <v>20.399999999999999</v>
      </c>
    </row>
    <row r="276" spans="1:141" x14ac:dyDescent="0.25">
      <c r="A276" t="str">
        <f>[1]ingredient!B276</f>
        <v>Muskatnuss</v>
      </c>
      <c r="B276" t="s">
        <v>360</v>
      </c>
      <c r="C276" s="7">
        <f>_xlfn.XLOOKUP(A276,[1]ingredient!$B$2:$B$521,[1]ingredient!$A$2:$A$521)</f>
        <v>275</v>
      </c>
      <c r="D276">
        <v>527</v>
      </c>
      <c r="E276">
        <v>36</v>
      </c>
      <c r="F276">
        <v>6</v>
      </c>
      <c r="G276">
        <v>45</v>
      </c>
      <c r="H276">
        <v>4</v>
      </c>
      <c r="I276">
        <v>23</v>
      </c>
      <c r="J276">
        <v>0.08</v>
      </c>
      <c r="K276">
        <v>6</v>
      </c>
      <c r="L276">
        <v>10</v>
      </c>
      <c r="M276">
        <v>5</v>
      </c>
      <c r="N276">
        <v>0</v>
      </c>
      <c r="O276">
        <v>60</v>
      </c>
      <c r="P276">
        <v>350</v>
      </c>
      <c r="Q276">
        <v>60</v>
      </c>
      <c r="R276">
        <v>1300</v>
      </c>
      <c r="S276">
        <v>2467</v>
      </c>
      <c r="T276">
        <v>500</v>
      </c>
      <c r="U276">
        <v>200</v>
      </c>
      <c r="V276">
        <v>10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16</v>
      </c>
      <c r="AD276">
        <v>350</v>
      </c>
      <c r="AE276">
        <v>180</v>
      </c>
      <c r="AF276">
        <v>180</v>
      </c>
      <c r="AG276">
        <v>210</v>
      </c>
      <c r="AH276">
        <v>100</v>
      </c>
      <c r="AI276">
        <v>60</v>
      </c>
      <c r="AJ276">
        <v>3000</v>
      </c>
      <c r="AK276">
        <v>2200</v>
      </c>
      <c r="AL276">
        <v>1030</v>
      </c>
      <c r="AM276">
        <v>2900</v>
      </c>
      <c r="AN276">
        <v>50</v>
      </c>
      <c r="AO276">
        <v>5</v>
      </c>
      <c r="AP276">
        <v>0</v>
      </c>
      <c r="AQ276">
        <v>0</v>
      </c>
      <c r="AR276">
        <v>0</v>
      </c>
      <c r="AS276">
        <v>0</v>
      </c>
      <c r="AT276">
        <v>2250</v>
      </c>
      <c r="AU276">
        <v>0</v>
      </c>
      <c r="AV276">
        <v>0</v>
      </c>
      <c r="AW276">
        <v>2250</v>
      </c>
      <c r="AX276">
        <v>20250</v>
      </c>
      <c r="AY276">
        <v>0</v>
      </c>
      <c r="AZ276">
        <v>0</v>
      </c>
      <c r="BA276">
        <v>20250</v>
      </c>
      <c r="BB276">
        <v>0</v>
      </c>
      <c r="BC276">
        <v>0</v>
      </c>
      <c r="BD276">
        <v>0</v>
      </c>
      <c r="BE276">
        <v>22500</v>
      </c>
      <c r="BF276">
        <v>22500</v>
      </c>
      <c r="BG276">
        <f t="shared" si="43"/>
        <v>76.736111111111114</v>
      </c>
      <c r="BH276">
        <v>169</v>
      </c>
      <c r="BI276">
        <v>315</v>
      </c>
      <c r="BJ276">
        <v>221</v>
      </c>
      <c r="BK276">
        <v>64</v>
      </c>
      <c r="BL276">
        <v>647</v>
      </c>
      <c r="BM276">
        <v>181</v>
      </c>
      <c r="BN276">
        <v>227</v>
      </c>
      <c r="BO276">
        <v>181</v>
      </c>
      <c r="BP276">
        <v>70</v>
      </c>
      <c r="BQ276">
        <v>221</v>
      </c>
      <c r="BR276">
        <v>612</v>
      </c>
      <c r="BS276">
        <v>117</v>
      </c>
      <c r="BT276">
        <v>3025</v>
      </c>
      <c r="BU276">
        <v>227</v>
      </c>
      <c r="BV276">
        <v>560</v>
      </c>
      <c r="BW276">
        <v>1224</v>
      </c>
      <c r="BX276">
        <v>256</v>
      </c>
      <c r="BY276">
        <v>268</v>
      </c>
      <c r="BZ276">
        <v>239</v>
      </c>
      <c r="CA276">
        <v>2774</v>
      </c>
      <c r="CB276">
        <v>29</v>
      </c>
      <c r="CC276">
        <v>12</v>
      </c>
      <c r="CD276">
        <v>0</v>
      </c>
      <c r="CE276">
        <v>324</v>
      </c>
      <c r="CG276">
        <v>0</v>
      </c>
      <c r="CH276">
        <v>0</v>
      </c>
      <c r="CI276">
        <v>0</v>
      </c>
      <c r="CJ276">
        <v>0</v>
      </c>
      <c r="CK276">
        <v>354</v>
      </c>
      <c r="CL276">
        <v>23080</v>
      </c>
      <c r="CM276">
        <v>0</v>
      </c>
      <c r="CN276">
        <v>2358</v>
      </c>
      <c r="CO276">
        <v>0</v>
      </c>
      <c r="CP276">
        <v>147</v>
      </c>
      <c r="CQ276">
        <v>0</v>
      </c>
      <c r="CR276">
        <v>0</v>
      </c>
      <c r="CS276">
        <v>0</v>
      </c>
      <c r="CT276">
        <v>25939</v>
      </c>
      <c r="CU276">
        <v>0</v>
      </c>
      <c r="CV276">
        <v>0</v>
      </c>
      <c r="CW276">
        <v>1474</v>
      </c>
      <c r="CX276">
        <v>0</v>
      </c>
      <c r="CY276">
        <v>1739</v>
      </c>
      <c r="CZ276">
        <v>0</v>
      </c>
      <c r="DA276">
        <v>0</v>
      </c>
      <c r="DB276">
        <v>0</v>
      </c>
      <c r="DC276">
        <v>3213</v>
      </c>
      <c r="DD276">
        <v>0</v>
      </c>
      <c r="DE276">
        <v>0</v>
      </c>
      <c r="DF276">
        <v>324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324</v>
      </c>
      <c r="DT276">
        <v>29476</v>
      </c>
      <c r="DU276">
        <v>6824</v>
      </c>
      <c r="DV276">
        <v>0</v>
      </c>
      <c r="DW276">
        <v>0</v>
      </c>
      <c r="DX276">
        <v>0</v>
      </c>
      <c r="DY276">
        <v>804</v>
      </c>
      <c r="DZ276">
        <v>603</v>
      </c>
      <c r="EA276">
        <v>1005</v>
      </c>
      <c r="EB276">
        <v>1206</v>
      </c>
      <c r="EC276">
        <v>402</v>
      </c>
      <c r="ED276">
        <v>2010</v>
      </c>
      <c r="EE276">
        <v>2010</v>
      </c>
      <c r="EF276">
        <v>0</v>
      </c>
      <c r="EG276">
        <v>0.05</v>
      </c>
      <c r="EH276">
        <v>2.2999999999999998</v>
      </c>
      <c r="EI276">
        <v>2</v>
      </c>
      <c r="EJ276">
        <v>36.299999999999997</v>
      </c>
      <c r="EK276">
        <v>5.9</v>
      </c>
    </row>
    <row r="277" spans="1:141" x14ac:dyDescent="0.25">
      <c r="A277" t="str">
        <f>[1]ingredient!B277</f>
        <v>Naturreis</v>
      </c>
      <c r="B277" t="s">
        <v>361</v>
      </c>
      <c r="C277" s="7">
        <f>_xlfn.XLOOKUP(A277,[1]ingredient!$B$2:$B$521,[1]ingredient!$A$2:$A$521)</f>
        <v>276</v>
      </c>
      <c r="D277">
        <v>349</v>
      </c>
      <c r="E277">
        <v>2</v>
      </c>
      <c r="F277">
        <v>7</v>
      </c>
      <c r="G277">
        <v>74</v>
      </c>
      <c r="H277">
        <v>2</v>
      </c>
      <c r="I277">
        <v>0.22</v>
      </c>
      <c r="J277">
        <v>0.24</v>
      </c>
      <c r="K277">
        <v>13</v>
      </c>
      <c r="L277">
        <v>0</v>
      </c>
      <c r="M277">
        <v>0</v>
      </c>
      <c r="N277">
        <v>0</v>
      </c>
      <c r="O277">
        <v>0</v>
      </c>
      <c r="P277">
        <v>410</v>
      </c>
      <c r="Q277">
        <v>91</v>
      </c>
      <c r="R277">
        <v>5200</v>
      </c>
      <c r="S277">
        <v>6400</v>
      </c>
      <c r="T277">
        <v>1700</v>
      </c>
      <c r="U277">
        <v>670</v>
      </c>
      <c r="V277">
        <v>12</v>
      </c>
      <c r="W277">
        <v>16</v>
      </c>
      <c r="X277">
        <v>0</v>
      </c>
      <c r="Y277">
        <v>0</v>
      </c>
      <c r="Z277">
        <v>0</v>
      </c>
      <c r="AA277">
        <v>740</v>
      </c>
      <c r="AB277">
        <v>1</v>
      </c>
      <c r="AC277">
        <v>10</v>
      </c>
      <c r="AD277">
        <v>150</v>
      </c>
      <c r="AE277">
        <v>23</v>
      </c>
      <c r="AF277">
        <v>157</v>
      </c>
      <c r="AG277">
        <v>325</v>
      </c>
      <c r="AH277">
        <v>90</v>
      </c>
      <c r="AI277">
        <v>230</v>
      </c>
      <c r="AJ277">
        <v>2600</v>
      </c>
      <c r="AK277">
        <v>1520</v>
      </c>
      <c r="AL277">
        <v>240</v>
      </c>
      <c r="AM277">
        <v>1100</v>
      </c>
      <c r="AN277">
        <v>50</v>
      </c>
      <c r="AO277">
        <v>2</v>
      </c>
      <c r="AP277">
        <v>0</v>
      </c>
      <c r="AQ277">
        <v>0</v>
      </c>
      <c r="AR277">
        <v>0</v>
      </c>
      <c r="AS277">
        <v>0</v>
      </c>
      <c r="AT277">
        <v>74</v>
      </c>
      <c r="AU277">
        <v>74</v>
      </c>
      <c r="AV277">
        <v>0</v>
      </c>
      <c r="AW277">
        <v>148</v>
      </c>
      <c r="AX277">
        <v>74</v>
      </c>
      <c r="AY277">
        <v>0</v>
      </c>
      <c r="AZ277">
        <v>0</v>
      </c>
      <c r="BA277">
        <v>74</v>
      </c>
      <c r="BB277">
        <v>0</v>
      </c>
      <c r="BC277">
        <v>0</v>
      </c>
      <c r="BD277">
        <v>0</v>
      </c>
      <c r="BE277">
        <v>73838</v>
      </c>
      <c r="BF277">
        <v>73838</v>
      </c>
      <c r="BG277">
        <f t="shared" si="43"/>
        <v>81.547619047619051</v>
      </c>
      <c r="BH277">
        <v>339</v>
      </c>
      <c r="BI277">
        <v>621</v>
      </c>
      <c r="BJ277">
        <v>274</v>
      </c>
      <c r="BK277">
        <v>130</v>
      </c>
      <c r="BL277">
        <v>87</v>
      </c>
      <c r="BM277">
        <v>361</v>
      </c>
      <c r="BN277">
        <v>325</v>
      </c>
      <c r="BO277">
        <v>282</v>
      </c>
      <c r="BP277">
        <v>72</v>
      </c>
      <c r="BQ277">
        <v>484</v>
      </c>
      <c r="BR277">
        <v>419</v>
      </c>
      <c r="BS277">
        <v>116</v>
      </c>
      <c r="BT277">
        <v>3510</v>
      </c>
      <c r="BU277">
        <v>433</v>
      </c>
      <c r="BV277">
        <v>686</v>
      </c>
      <c r="BW277">
        <v>1407</v>
      </c>
      <c r="BX277">
        <v>325</v>
      </c>
      <c r="BY277">
        <v>361</v>
      </c>
      <c r="BZ277">
        <v>354</v>
      </c>
      <c r="CA277">
        <v>3566</v>
      </c>
      <c r="CB277">
        <v>134</v>
      </c>
      <c r="CC277">
        <v>56</v>
      </c>
      <c r="CD277">
        <v>28</v>
      </c>
      <c r="CE277">
        <v>751</v>
      </c>
      <c r="CF277">
        <v>26.82</v>
      </c>
      <c r="CG277">
        <v>0</v>
      </c>
      <c r="CH277">
        <v>0</v>
      </c>
      <c r="CI277">
        <v>0</v>
      </c>
      <c r="CJ277">
        <v>0</v>
      </c>
      <c r="CK277">
        <v>2</v>
      </c>
      <c r="CL277">
        <v>24</v>
      </c>
      <c r="CM277">
        <v>0</v>
      </c>
      <c r="CN277">
        <v>486</v>
      </c>
      <c r="CO277">
        <v>0</v>
      </c>
      <c r="CP277">
        <v>39</v>
      </c>
      <c r="CQ277">
        <v>7</v>
      </c>
      <c r="CR277">
        <v>0</v>
      </c>
      <c r="CS277">
        <v>0</v>
      </c>
      <c r="CT277">
        <v>558</v>
      </c>
      <c r="CU277">
        <v>0</v>
      </c>
      <c r="CV277">
        <v>0</v>
      </c>
      <c r="CW277">
        <v>9</v>
      </c>
      <c r="CX277">
        <v>0</v>
      </c>
      <c r="CY277">
        <v>524</v>
      </c>
      <c r="CZ277">
        <v>0</v>
      </c>
      <c r="DA277">
        <v>0</v>
      </c>
      <c r="DB277">
        <v>0</v>
      </c>
      <c r="DC277">
        <v>533</v>
      </c>
      <c r="DD277">
        <v>0</v>
      </c>
      <c r="DE277">
        <v>0</v>
      </c>
      <c r="DF277">
        <v>749</v>
      </c>
      <c r="DG277">
        <v>28</v>
      </c>
      <c r="DH277">
        <v>0</v>
      </c>
      <c r="DI277">
        <v>0</v>
      </c>
      <c r="DJ277">
        <v>0</v>
      </c>
      <c r="DK277">
        <v>0</v>
      </c>
      <c r="DL277">
        <v>2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779</v>
      </c>
      <c r="DT277">
        <v>1870</v>
      </c>
      <c r="DU277">
        <v>330</v>
      </c>
      <c r="DV277">
        <v>0</v>
      </c>
      <c r="DW277">
        <v>0</v>
      </c>
      <c r="DX277">
        <v>0</v>
      </c>
      <c r="DY277">
        <v>244</v>
      </c>
      <c r="DZ277">
        <v>1422</v>
      </c>
      <c r="EA277">
        <v>156</v>
      </c>
      <c r="EB277">
        <v>244</v>
      </c>
      <c r="EC277">
        <v>156</v>
      </c>
      <c r="ED277">
        <v>711</v>
      </c>
      <c r="EE277">
        <v>1511</v>
      </c>
      <c r="EF277">
        <v>0</v>
      </c>
      <c r="EG277">
        <v>0</v>
      </c>
      <c r="EH277">
        <v>1.2</v>
      </c>
      <c r="EI277">
        <v>1.5</v>
      </c>
      <c r="EJ277">
        <v>2.2000000000000002</v>
      </c>
      <c r="EK277">
        <v>7.5</v>
      </c>
    </row>
    <row r="278" spans="1:141" x14ac:dyDescent="0.25">
      <c r="A278" t="str">
        <f>[1]ingredient!B278</f>
        <v>Natur-Tofu</v>
      </c>
      <c r="B278" t="s">
        <v>362</v>
      </c>
      <c r="C278" s="7">
        <f>_xlfn.XLOOKUP(A278,[1]ingredient!$B$2:$B$521,[1]ingredient!$A$2:$A$521)</f>
        <v>277</v>
      </c>
      <c r="D278">
        <v>144</v>
      </c>
      <c r="E278">
        <v>9</v>
      </c>
      <c r="F278">
        <v>16</v>
      </c>
      <c r="G278">
        <v>1</v>
      </c>
      <c r="H278">
        <v>1</v>
      </c>
      <c r="I278">
        <v>1</v>
      </c>
      <c r="J278">
        <v>0.02</v>
      </c>
      <c r="K278">
        <v>73</v>
      </c>
      <c r="L278">
        <v>4</v>
      </c>
      <c r="M278">
        <v>2</v>
      </c>
      <c r="N278">
        <v>0</v>
      </c>
      <c r="O278">
        <v>25</v>
      </c>
      <c r="P278">
        <v>20</v>
      </c>
      <c r="Q278">
        <v>20</v>
      </c>
      <c r="R278">
        <v>600</v>
      </c>
      <c r="S278">
        <v>4017</v>
      </c>
      <c r="T278">
        <v>280</v>
      </c>
      <c r="U278">
        <v>155</v>
      </c>
      <c r="V278">
        <v>7</v>
      </c>
      <c r="W278">
        <v>84</v>
      </c>
      <c r="X278">
        <v>0</v>
      </c>
      <c r="Y278">
        <v>0</v>
      </c>
      <c r="Z278">
        <v>0</v>
      </c>
      <c r="AA278">
        <v>600</v>
      </c>
      <c r="AB278">
        <v>50</v>
      </c>
      <c r="AC278">
        <v>7</v>
      </c>
      <c r="AD278">
        <v>375</v>
      </c>
      <c r="AE278">
        <v>159</v>
      </c>
      <c r="AF278">
        <v>50</v>
      </c>
      <c r="AG278">
        <v>109</v>
      </c>
      <c r="AH278">
        <v>33</v>
      </c>
      <c r="AI278">
        <v>10</v>
      </c>
      <c r="AJ278">
        <v>2500</v>
      </c>
      <c r="AK278">
        <v>220</v>
      </c>
      <c r="AL278">
        <v>22</v>
      </c>
      <c r="AM278">
        <v>620</v>
      </c>
      <c r="AN278">
        <v>13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614</v>
      </c>
      <c r="AY278">
        <v>0</v>
      </c>
      <c r="AZ278">
        <v>0</v>
      </c>
      <c r="BA278">
        <v>614</v>
      </c>
      <c r="BB278">
        <v>0</v>
      </c>
      <c r="BC278">
        <v>0</v>
      </c>
      <c r="BD278">
        <v>0</v>
      </c>
      <c r="BE278">
        <v>6</v>
      </c>
      <c r="BF278">
        <v>6</v>
      </c>
      <c r="BG278">
        <f t="shared" si="43"/>
        <v>89.945652173913047</v>
      </c>
      <c r="BH278">
        <v>789</v>
      </c>
      <c r="BI278">
        <v>1184</v>
      </c>
      <c r="BJ278">
        <v>789</v>
      </c>
      <c r="BK278">
        <v>205</v>
      </c>
      <c r="BL278">
        <v>126</v>
      </c>
      <c r="BM278">
        <v>789</v>
      </c>
      <c r="BN278">
        <v>521</v>
      </c>
      <c r="BO278">
        <v>757</v>
      </c>
      <c r="BP278">
        <v>205</v>
      </c>
      <c r="BQ278">
        <v>868</v>
      </c>
      <c r="BR278">
        <v>978</v>
      </c>
      <c r="BS278">
        <v>347</v>
      </c>
      <c r="BT278">
        <v>7558</v>
      </c>
      <c r="BU278">
        <v>679</v>
      </c>
      <c r="BV278">
        <v>1704</v>
      </c>
      <c r="BW278">
        <v>2683</v>
      </c>
      <c r="BX278">
        <v>757</v>
      </c>
      <c r="BY278">
        <v>1152</v>
      </c>
      <c r="BZ278">
        <v>852</v>
      </c>
      <c r="CA278">
        <v>7827</v>
      </c>
      <c r="CB278">
        <v>65</v>
      </c>
      <c r="CC278">
        <v>27</v>
      </c>
      <c r="CD278">
        <v>633</v>
      </c>
      <c r="CE278">
        <v>4648</v>
      </c>
      <c r="CF278">
        <v>7.34</v>
      </c>
      <c r="CG278">
        <v>0</v>
      </c>
      <c r="CH278">
        <v>0</v>
      </c>
      <c r="CI278">
        <v>0</v>
      </c>
      <c r="CJ278">
        <v>0</v>
      </c>
      <c r="CK278">
        <v>8</v>
      </c>
      <c r="CL278">
        <v>16</v>
      </c>
      <c r="CM278">
        <v>0</v>
      </c>
      <c r="CN278">
        <v>892</v>
      </c>
      <c r="CO278">
        <v>0</v>
      </c>
      <c r="CP278">
        <v>308</v>
      </c>
      <c r="CQ278">
        <v>24</v>
      </c>
      <c r="CR278">
        <v>8</v>
      </c>
      <c r="CS278">
        <v>0</v>
      </c>
      <c r="CT278">
        <v>1256</v>
      </c>
      <c r="CU278">
        <v>0</v>
      </c>
      <c r="CV278">
        <v>0</v>
      </c>
      <c r="CW278">
        <v>16</v>
      </c>
      <c r="CX278">
        <v>0</v>
      </c>
      <c r="CY278">
        <v>1541</v>
      </c>
      <c r="CZ278">
        <v>16</v>
      </c>
      <c r="DA278">
        <v>0</v>
      </c>
      <c r="DB278">
        <v>0</v>
      </c>
      <c r="DC278">
        <v>1573</v>
      </c>
      <c r="DD278">
        <v>0</v>
      </c>
      <c r="DE278">
        <v>0</v>
      </c>
      <c r="DF278">
        <v>4648</v>
      </c>
      <c r="DG278">
        <v>633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5281</v>
      </c>
      <c r="DT278">
        <v>8110</v>
      </c>
      <c r="DU278">
        <v>610</v>
      </c>
      <c r="DV278">
        <v>0</v>
      </c>
      <c r="DW278">
        <v>0</v>
      </c>
      <c r="DX278">
        <v>0</v>
      </c>
      <c r="DY278">
        <v>150</v>
      </c>
      <c r="DZ278">
        <v>219</v>
      </c>
      <c r="EA278">
        <v>84</v>
      </c>
      <c r="EB278">
        <v>144</v>
      </c>
      <c r="EC278">
        <v>3</v>
      </c>
      <c r="ED278">
        <v>300</v>
      </c>
      <c r="EE278">
        <v>300</v>
      </c>
      <c r="EF278">
        <v>0</v>
      </c>
      <c r="EG278">
        <v>0</v>
      </c>
      <c r="EH278">
        <v>1.4</v>
      </c>
      <c r="EI278">
        <v>0.3</v>
      </c>
      <c r="EJ278">
        <v>8.6999999999999993</v>
      </c>
      <c r="EK278">
        <v>15.6</v>
      </c>
    </row>
    <row r="279" spans="1:141" x14ac:dyDescent="0.25">
      <c r="A279" t="str">
        <f>[1]ingredient!B279</f>
        <v>Nektarinen</v>
      </c>
      <c r="B279" t="s">
        <v>363</v>
      </c>
      <c r="C279" s="7">
        <f>_xlfn.XLOOKUP(A279,[1]ingredient!$B$2:$B$521,[1]ingredient!$A$2:$A$521)</f>
        <v>278</v>
      </c>
      <c r="D279">
        <v>57</v>
      </c>
      <c r="E279">
        <v>0.1</v>
      </c>
      <c r="F279">
        <v>1</v>
      </c>
      <c r="G279">
        <v>12</v>
      </c>
      <c r="H279">
        <v>2</v>
      </c>
      <c r="I279">
        <v>12</v>
      </c>
      <c r="J279">
        <v>0.01</v>
      </c>
      <c r="K279">
        <v>83</v>
      </c>
      <c r="L279">
        <v>73</v>
      </c>
      <c r="M279">
        <v>37</v>
      </c>
      <c r="N279">
        <v>0</v>
      </c>
      <c r="O279">
        <v>440</v>
      </c>
      <c r="P279">
        <v>20</v>
      </c>
      <c r="Q279">
        <v>50</v>
      </c>
      <c r="R279">
        <v>1000</v>
      </c>
      <c r="S279">
        <v>1100</v>
      </c>
      <c r="T279">
        <v>160</v>
      </c>
      <c r="U279">
        <v>25</v>
      </c>
      <c r="V279">
        <v>1</v>
      </c>
      <c r="W279">
        <v>5</v>
      </c>
      <c r="X279">
        <v>0</v>
      </c>
      <c r="Y279">
        <v>8000</v>
      </c>
      <c r="Z279">
        <v>0</v>
      </c>
      <c r="AA279">
        <v>500</v>
      </c>
      <c r="AB279">
        <v>10</v>
      </c>
      <c r="AC279">
        <v>9</v>
      </c>
      <c r="AD279">
        <v>212</v>
      </c>
      <c r="AE279">
        <v>4</v>
      </c>
      <c r="AF279">
        <v>10</v>
      </c>
      <c r="AG279">
        <v>22</v>
      </c>
      <c r="AH279">
        <v>10</v>
      </c>
      <c r="AI279">
        <v>5</v>
      </c>
      <c r="AJ279">
        <v>500</v>
      </c>
      <c r="AK279">
        <v>100</v>
      </c>
      <c r="AL279">
        <v>60</v>
      </c>
      <c r="AM279">
        <v>100</v>
      </c>
      <c r="AN279">
        <v>10</v>
      </c>
      <c r="AO279">
        <v>1</v>
      </c>
      <c r="AP279">
        <v>0</v>
      </c>
      <c r="AQ279">
        <v>87</v>
      </c>
      <c r="AR279">
        <v>0</v>
      </c>
      <c r="AS279">
        <v>87</v>
      </c>
      <c r="AT279">
        <v>1786</v>
      </c>
      <c r="AU279">
        <v>1786</v>
      </c>
      <c r="AV279">
        <v>62</v>
      </c>
      <c r="AW279">
        <v>3634</v>
      </c>
      <c r="AX279">
        <v>8679</v>
      </c>
      <c r="AY279">
        <v>0</v>
      </c>
      <c r="AZ279">
        <v>0</v>
      </c>
      <c r="BA279">
        <v>8679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f t="shared" si="43"/>
        <v>50</v>
      </c>
      <c r="BH279">
        <v>15</v>
      </c>
      <c r="BI279">
        <v>33</v>
      </c>
      <c r="BJ279">
        <v>34</v>
      </c>
      <c r="BK279">
        <v>35</v>
      </c>
      <c r="BL279">
        <v>11</v>
      </c>
      <c r="BM279">
        <v>22</v>
      </c>
      <c r="BN279">
        <v>23</v>
      </c>
      <c r="BO279">
        <v>32</v>
      </c>
      <c r="BP279">
        <v>6</v>
      </c>
      <c r="BQ279">
        <v>46</v>
      </c>
      <c r="BR279">
        <v>20</v>
      </c>
      <c r="BS279">
        <v>20</v>
      </c>
      <c r="BT279">
        <v>297</v>
      </c>
      <c r="BU279">
        <v>46</v>
      </c>
      <c r="BV279">
        <v>106</v>
      </c>
      <c r="BW279">
        <v>166</v>
      </c>
      <c r="BX279">
        <v>18</v>
      </c>
      <c r="BY279">
        <v>32</v>
      </c>
      <c r="BZ279">
        <v>39</v>
      </c>
      <c r="CA279">
        <v>407</v>
      </c>
      <c r="CB279">
        <v>18</v>
      </c>
      <c r="CC279">
        <v>8</v>
      </c>
      <c r="CD279">
        <v>1</v>
      </c>
      <c r="CE279">
        <v>39</v>
      </c>
      <c r="CF279">
        <v>39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8</v>
      </c>
      <c r="CO279">
        <v>0</v>
      </c>
      <c r="CP279">
        <v>1</v>
      </c>
      <c r="CQ279">
        <v>0</v>
      </c>
      <c r="CR279">
        <v>0</v>
      </c>
      <c r="CS279">
        <v>0</v>
      </c>
      <c r="CT279">
        <v>9</v>
      </c>
      <c r="CU279">
        <v>0</v>
      </c>
      <c r="CV279">
        <v>0</v>
      </c>
      <c r="CW279">
        <v>1</v>
      </c>
      <c r="CX279">
        <v>0</v>
      </c>
      <c r="CY279">
        <v>30</v>
      </c>
      <c r="CZ279">
        <v>0</v>
      </c>
      <c r="DA279">
        <v>0</v>
      </c>
      <c r="DB279">
        <v>0</v>
      </c>
      <c r="DC279">
        <v>31</v>
      </c>
      <c r="DD279">
        <v>0</v>
      </c>
      <c r="DE279">
        <v>0</v>
      </c>
      <c r="DF279">
        <v>39</v>
      </c>
      <c r="DG279">
        <v>1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40</v>
      </c>
      <c r="DT279">
        <v>80</v>
      </c>
      <c r="DU279">
        <v>20</v>
      </c>
      <c r="DV279">
        <v>0</v>
      </c>
      <c r="DW279">
        <v>0</v>
      </c>
      <c r="DX279">
        <v>0</v>
      </c>
      <c r="DY279">
        <v>990</v>
      </c>
      <c r="DZ279">
        <v>110</v>
      </c>
      <c r="EA279">
        <v>550</v>
      </c>
      <c r="EB279">
        <v>440</v>
      </c>
      <c r="EC279">
        <v>110</v>
      </c>
      <c r="ED279">
        <v>942</v>
      </c>
      <c r="EE279">
        <v>1258</v>
      </c>
      <c r="EF279">
        <v>0</v>
      </c>
      <c r="EG279">
        <v>1</v>
      </c>
      <c r="EH279">
        <v>0.5</v>
      </c>
      <c r="EI279">
        <v>1.3</v>
      </c>
      <c r="EJ279">
        <v>0.1</v>
      </c>
      <c r="EK279">
        <v>0.8</v>
      </c>
    </row>
    <row r="280" spans="1:141" x14ac:dyDescent="0.25">
      <c r="A280" t="str">
        <f>[1]ingredient!B280</f>
        <v>Nelken</v>
      </c>
      <c r="B280" t="s">
        <v>364</v>
      </c>
      <c r="C280" s="7">
        <f>_xlfn.XLOOKUP(A280,[1]ingredient!$B$2:$B$521,[1]ingredient!$A$2:$A$521)</f>
        <v>279</v>
      </c>
      <c r="D280">
        <v>414</v>
      </c>
      <c r="E280">
        <v>20</v>
      </c>
      <c r="F280">
        <v>6</v>
      </c>
      <c r="G280">
        <v>52</v>
      </c>
      <c r="H280">
        <v>10</v>
      </c>
      <c r="I280">
        <v>51</v>
      </c>
      <c r="J280">
        <v>0.44</v>
      </c>
      <c r="K280">
        <v>6</v>
      </c>
      <c r="L280">
        <v>53</v>
      </c>
      <c r="M280">
        <v>27</v>
      </c>
      <c r="N280">
        <v>0</v>
      </c>
      <c r="O280">
        <v>320</v>
      </c>
      <c r="P280">
        <v>110</v>
      </c>
      <c r="Q280">
        <v>270</v>
      </c>
      <c r="R280">
        <v>1500</v>
      </c>
      <c r="S280">
        <v>2500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240</v>
      </c>
      <c r="AD280">
        <v>1100</v>
      </c>
      <c r="AE280">
        <v>730</v>
      </c>
      <c r="AF280">
        <v>260</v>
      </c>
      <c r="AG280">
        <v>110</v>
      </c>
      <c r="AH280">
        <v>100</v>
      </c>
      <c r="AI280">
        <v>200</v>
      </c>
      <c r="AJ280">
        <v>5600</v>
      </c>
      <c r="AK280">
        <v>2200</v>
      </c>
      <c r="AL280">
        <v>490</v>
      </c>
      <c r="AM280">
        <v>8500</v>
      </c>
      <c r="AN280">
        <v>400</v>
      </c>
      <c r="AO280">
        <v>5</v>
      </c>
      <c r="AP280">
        <v>0</v>
      </c>
      <c r="AQ280">
        <v>0</v>
      </c>
      <c r="AR280">
        <v>0</v>
      </c>
      <c r="AS280">
        <v>0</v>
      </c>
      <c r="AT280">
        <v>20800</v>
      </c>
      <c r="AU280">
        <v>20800</v>
      </c>
      <c r="AV280">
        <v>0</v>
      </c>
      <c r="AW280">
        <v>41600</v>
      </c>
      <c r="AX280">
        <v>9880</v>
      </c>
      <c r="AY280">
        <v>0</v>
      </c>
      <c r="AZ280">
        <v>0</v>
      </c>
      <c r="BA280">
        <v>9880</v>
      </c>
      <c r="BB280">
        <v>0</v>
      </c>
      <c r="BC280">
        <v>0</v>
      </c>
      <c r="BD280">
        <v>0</v>
      </c>
      <c r="BE280">
        <v>520</v>
      </c>
      <c r="BF280">
        <v>520</v>
      </c>
      <c r="BG280">
        <f t="shared" si="43"/>
        <v>93.75</v>
      </c>
      <c r="BH280">
        <v>240</v>
      </c>
      <c r="BI280">
        <v>360</v>
      </c>
      <c r="BJ280">
        <v>300</v>
      </c>
      <c r="BK280">
        <v>72</v>
      </c>
      <c r="BL280">
        <v>60</v>
      </c>
      <c r="BM280">
        <v>180</v>
      </c>
      <c r="BN280">
        <v>120</v>
      </c>
      <c r="BO280">
        <v>210</v>
      </c>
      <c r="BP280">
        <v>60</v>
      </c>
      <c r="BQ280">
        <v>240</v>
      </c>
      <c r="BR280">
        <v>240</v>
      </c>
      <c r="BS280">
        <v>90</v>
      </c>
      <c r="BT280">
        <v>2172</v>
      </c>
      <c r="BU280">
        <v>300</v>
      </c>
      <c r="BV280">
        <v>600</v>
      </c>
      <c r="BW280">
        <v>900</v>
      </c>
      <c r="BX280">
        <v>168</v>
      </c>
      <c r="BY280">
        <v>240</v>
      </c>
      <c r="BZ280">
        <v>180</v>
      </c>
      <c r="CA280">
        <v>2388</v>
      </c>
      <c r="CB280">
        <v>29</v>
      </c>
      <c r="CC280">
        <v>12</v>
      </c>
      <c r="CD280">
        <v>48</v>
      </c>
      <c r="CE280">
        <v>2766</v>
      </c>
      <c r="CF280">
        <v>57.63</v>
      </c>
      <c r="CG280">
        <v>0</v>
      </c>
      <c r="CH280">
        <v>0</v>
      </c>
      <c r="CI280">
        <v>0</v>
      </c>
      <c r="CJ280">
        <v>0</v>
      </c>
      <c r="CK280">
        <v>306</v>
      </c>
      <c r="CL280">
        <v>595</v>
      </c>
      <c r="CM280">
        <v>0</v>
      </c>
      <c r="CN280">
        <v>4920</v>
      </c>
      <c r="CO280">
        <v>0</v>
      </c>
      <c r="CP280">
        <v>273</v>
      </c>
      <c r="CQ280">
        <v>0</v>
      </c>
      <c r="CR280">
        <v>0</v>
      </c>
      <c r="CS280">
        <v>0</v>
      </c>
      <c r="CT280">
        <v>6094</v>
      </c>
      <c r="CU280">
        <v>0</v>
      </c>
      <c r="CV280">
        <v>0</v>
      </c>
      <c r="CW280">
        <v>370</v>
      </c>
      <c r="CX280">
        <v>0</v>
      </c>
      <c r="CY280">
        <v>6802</v>
      </c>
      <c r="CZ280">
        <v>0</v>
      </c>
      <c r="DA280">
        <v>0</v>
      </c>
      <c r="DB280">
        <v>0</v>
      </c>
      <c r="DC280">
        <v>7172</v>
      </c>
      <c r="DD280">
        <v>0</v>
      </c>
      <c r="DE280">
        <v>0</v>
      </c>
      <c r="DF280">
        <v>2766</v>
      </c>
      <c r="DG280">
        <v>48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2814</v>
      </c>
      <c r="DT280">
        <v>16080</v>
      </c>
      <c r="DU280">
        <v>4020</v>
      </c>
      <c r="DV280">
        <v>0</v>
      </c>
      <c r="DW280">
        <v>0</v>
      </c>
      <c r="DX280">
        <v>0</v>
      </c>
      <c r="DY280">
        <v>1443</v>
      </c>
      <c r="DZ280">
        <v>1924</v>
      </c>
      <c r="EA280">
        <v>2597</v>
      </c>
      <c r="EB280">
        <v>3367</v>
      </c>
      <c r="EC280">
        <v>289</v>
      </c>
      <c r="ED280">
        <v>2886</v>
      </c>
      <c r="EE280">
        <v>6734</v>
      </c>
      <c r="EF280">
        <v>0</v>
      </c>
      <c r="EG280">
        <v>0.21</v>
      </c>
      <c r="EH280">
        <v>5.9</v>
      </c>
      <c r="EI280">
        <v>6.7</v>
      </c>
      <c r="EJ280">
        <v>20.100000000000001</v>
      </c>
      <c r="EK280">
        <v>4.7</v>
      </c>
    </row>
    <row r="281" spans="1:141" x14ac:dyDescent="0.25">
      <c r="A281" t="str">
        <f>[1]ingredient!B281</f>
        <v>Norialgen-Blätter</v>
      </c>
      <c r="B281" t="s">
        <v>365</v>
      </c>
      <c r="C281" s="7">
        <f>_xlfn.XLOOKUP(A281,[1]ingredient!$B$2:$B$521,[1]ingredient!$A$2:$A$521)</f>
        <v>280</v>
      </c>
      <c r="D281">
        <v>301</v>
      </c>
      <c r="E281">
        <v>4</v>
      </c>
      <c r="F281">
        <v>11</v>
      </c>
      <c r="G281">
        <v>53</v>
      </c>
      <c r="H281">
        <v>9</v>
      </c>
      <c r="I281">
        <v>53</v>
      </c>
      <c r="J281">
        <v>1</v>
      </c>
      <c r="K281">
        <v>15</v>
      </c>
      <c r="L281">
        <v>451</v>
      </c>
      <c r="M281">
        <v>226</v>
      </c>
      <c r="N281">
        <v>0</v>
      </c>
      <c r="O281">
        <v>2707</v>
      </c>
      <c r="P281">
        <v>293</v>
      </c>
      <c r="Q281">
        <v>973</v>
      </c>
      <c r="R281">
        <v>3054</v>
      </c>
      <c r="S281">
        <v>6454</v>
      </c>
      <c r="T281">
        <v>1109</v>
      </c>
      <c r="U281">
        <v>646</v>
      </c>
      <c r="V281">
        <v>1</v>
      </c>
      <c r="W281">
        <v>1231</v>
      </c>
      <c r="X281">
        <v>0</v>
      </c>
      <c r="Y281">
        <v>75211</v>
      </c>
      <c r="Z281">
        <v>0</v>
      </c>
      <c r="AA281">
        <v>5354</v>
      </c>
      <c r="AB281">
        <v>0</v>
      </c>
      <c r="AC281">
        <v>1354</v>
      </c>
      <c r="AD281">
        <v>517</v>
      </c>
      <c r="AE281">
        <v>1034</v>
      </c>
      <c r="AF281">
        <v>741</v>
      </c>
      <c r="AG281">
        <v>259</v>
      </c>
      <c r="AH281">
        <v>306</v>
      </c>
      <c r="AI281">
        <v>75</v>
      </c>
      <c r="AJ281">
        <v>16565</v>
      </c>
      <c r="AK281">
        <v>7571</v>
      </c>
      <c r="AL281">
        <v>803</v>
      </c>
      <c r="AM281">
        <v>1231</v>
      </c>
      <c r="AN281">
        <v>612</v>
      </c>
      <c r="AO281">
        <v>307</v>
      </c>
      <c r="AP281">
        <v>0</v>
      </c>
      <c r="AQ281">
        <v>0</v>
      </c>
      <c r="AR281">
        <v>0</v>
      </c>
      <c r="AS281">
        <v>0</v>
      </c>
      <c r="AT281">
        <v>21306</v>
      </c>
      <c r="AU281">
        <v>21306</v>
      </c>
      <c r="AV281">
        <v>0</v>
      </c>
      <c r="AW281">
        <v>42612</v>
      </c>
      <c r="AX281">
        <v>10122</v>
      </c>
      <c r="AY281">
        <v>0</v>
      </c>
      <c r="AZ281">
        <v>0</v>
      </c>
      <c r="BA281">
        <v>10122</v>
      </c>
      <c r="BB281">
        <v>0</v>
      </c>
      <c r="BC281">
        <v>0</v>
      </c>
      <c r="BD281">
        <v>0</v>
      </c>
      <c r="BE281">
        <v>531</v>
      </c>
      <c r="BF281">
        <v>531</v>
      </c>
      <c r="BG281">
        <f t="shared" si="43"/>
        <v>50</v>
      </c>
      <c r="BH281">
        <v>430</v>
      </c>
      <c r="BI281">
        <v>715</v>
      </c>
      <c r="BJ281">
        <v>333</v>
      </c>
      <c r="BK281">
        <v>204</v>
      </c>
      <c r="BL281">
        <v>190</v>
      </c>
      <c r="BM281">
        <v>532</v>
      </c>
      <c r="BN281">
        <v>430</v>
      </c>
      <c r="BO281">
        <v>333</v>
      </c>
      <c r="BP281">
        <v>204</v>
      </c>
      <c r="BQ281">
        <v>940</v>
      </c>
      <c r="BR281">
        <v>430</v>
      </c>
      <c r="BS281">
        <v>88</v>
      </c>
      <c r="BT281">
        <v>4829</v>
      </c>
      <c r="BU281">
        <v>817</v>
      </c>
      <c r="BV281">
        <v>1451</v>
      </c>
      <c r="BW281">
        <v>2908</v>
      </c>
      <c r="BX281">
        <v>477</v>
      </c>
      <c r="BY281">
        <v>620</v>
      </c>
      <c r="BZ281">
        <v>388</v>
      </c>
      <c r="CA281">
        <v>6661</v>
      </c>
      <c r="CB281">
        <v>102</v>
      </c>
      <c r="CC281">
        <v>43</v>
      </c>
      <c r="CD281">
        <v>102</v>
      </c>
      <c r="CE281">
        <v>218</v>
      </c>
      <c r="CF281">
        <v>2.14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211</v>
      </c>
      <c r="CM281">
        <v>0</v>
      </c>
      <c r="CN281">
        <v>897</v>
      </c>
      <c r="CO281">
        <v>0</v>
      </c>
      <c r="CP281">
        <v>585</v>
      </c>
      <c r="CQ281">
        <v>0</v>
      </c>
      <c r="CR281">
        <v>0</v>
      </c>
      <c r="CS281">
        <v>0</v>
      </c>
      <c r="CT281">
        <v>1693</v>
      </c>
      <c r="CU281">
        <v>0</v>
      </c>
      <c r="CV281">
        <v>0</v>
      </c>
      <c r="CW281">
        <v>82</v>
      </c>
      <c r="CX281">
        <v>0</v>
      </c>
      <c r="CY281">
        <v>585</v>
      </c>
      <c r="CZ281">
        <v>0</v>
      </c>
      <c r="DA281">
        <v>0</v>
      </c>
      <c r="DB281">
        <v>0</v>
      </c>
      <c r="DC281">
        <v>667</v>
      </c>
      <c r="DD281">
        <v>0</v>
      </c>
      <c r="DE281">
        <v>0</v>
      </c>
      <c r="DF281">
        <v>136</v>
      </c>
      <c r="DG281">
        <v>27</v>
      </c>
      <c r="DH281">
        <v>27</v>
      </c>
      <c r="DI281">
        <v>0</v>
      </c>
      <c r="DJ281">
        <v>0</v>
      </c>
      <c r="DK281">
        <v>0</v>
      </c>
      <c r="DL281">
        <v>82</v>
      </c>
      <c r="DM281">
        <v>48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320</v>
      </c>
      <c r="DT281">
        <v>2680</v>
      </c>
      <c r="DU281">
        <v>1150</v>
      </c>
      <c r="DV281">
        <v>0</v>
      </c>
      <c r="DW281">
        <v>0</v>
      </c>
      <c r="DX281">
        <v>0</v>
      </c>
      <c r="DY281">
        <v>1334</v>
      </c>
      <c r="DZ281">
        <v>1777</v>
      </c>
      <c r="EA281">
        <v>2403</v>
      </c>
      <c r="EB281">
        <v>3111</v>
      </c>
      <c r="EC281">
        <v>265</v>
      </c>
      <c r="ED281">
        <v>2667</v>
      </c>
      <c r="EE281">
        <v>6224</v>
      </c>
      <c r="EF281">
        <v>0</v>
      </c>
      <c r="EG281">
        <v>1</v>
      </c>
      <c r="EH281">
        <v>6.2</v>
      </c>
      <c r="EI281">
        <v>6.2</v>
      </c>
      <c r="EJ281">
        <v>3.8</v>
      </c>
      <c r="EK281">
        <v>11.8</v>
      </c>
    </row>
    <row r="282" spans="1:141" x14ac:dyDescent="0.25">
      <c r="A282" t="str">
        <f>[1]ingredient!B282</f>
        <v>Noriflocken</v>
      </c>
      <c r="B282" t="s">
        <v>366</v>
      </c>
      <c r="C282" s="7">
        <f>_xlfn.XLOOKUP(A282,[1]ingredient!$B$2:$B$521,[1]ingredient!$A$2:$A$521)</f>
        <v>281</v>
      </c>
      <c r="D282">
        <v>319</v>
      </c>
      <c r="E282">
        <v>2</v>
      </c>
      <c r="F282">
        <v>41</v>
      </c>
      <c r="G282">
        <v>32</v>
      </c>
      <c r="H282">
        <v>2</v>
      </c>
      <c r="I282">
        <v>32</v>
      </c>
      <c r="J282">
        <v>0.37</v>
      </c>
      <c r="K282">
        <v>15</v>
      </c>
      <c r="L282">
        <v>554</v>
      </c>
      <c r="M282">
        <v>275</v>
      </c>
      <c r="N282">
        <v>0</v>
      </c>
      <c r="O282">
        <v>3296</v>
      </c>
      <c r="P282">
        <v>596</v>
      </c>
      <c r="Q282">
        <v>3009</v>
      </c>
      <c r="R282">
        <v>9825</v>
      </c>
      <c r="S282">
        <v>18008</v>
      </c>
      <c r="T282">
        <v>1901</v>
      </c>
      <c r="U282">
        <v>1073</v>
      </c>
      <c r="V282">
        <v>0</v>
      </c>
      <c r="W282">
        <v>1269</v>
      </c>
      <c r="X282">
        <v>7</v>
      </c>
      <c r="Y282">
        <v>150952</v>
      </c>
      <c r="Z282">
        <v>0</v>
      </c>
      <c r="AA282">
        <v>0</v>
      </c>
      <c r="AB282">
        <v>2111</v>
      </c>
      <c r="AC282">
        <v>288</v>
      </c>
      <c r="AD282">
        <v>2132</v>
      </c>
      <c r="AE282">
        <v>442</v>
      </c>
      <c r="AF282">
        <v>14</v>
      </c>
      <c r="AG282">
        <v>365</v>
      </c>
      <c r="AH282">
        <v>316</v>
      </c>
      <c r="AI282">
        <v>77</v>
      </c>
      <c r="AJ282">
        <v>10765</v>
      </c>
      <c r="AK282">
        <v>6649</v>
      </c>
      <c r="AL282">
        <v>1683</v>
      </c>
      <c r="AM282">
        <v>6333</v>
      </c>
      <c r="AN282">
        <v>631</v>
      </c>
      <c r="AO282">
        <v>317</v>
      </c>
      <c r="AP282">
        <v>0</v>
      </c>
      <c r="AQ282">
        <v>0</v>
      </c>
      <c r="AR282">
        <v>0</v>
      </c>
      <c r="AS282">
        <v>0</v>
      </c>
      <c r="AT282">
        <v>12911</v>
      </c>
      <c r="AU282">
        <v>12918</v>
      </c>
      <c r="AV282">
        <v>0</v>
      </c>
      <c r="AW282">
        <v>25829</v>
      </c>
      <c r="AX282">
        <v>6137</v>
      </c>
      <c r="AY282">
        <v>0</v>
      </c>
      <c r="AZ282">
        <v>0</v>
      </c>
      <c r="BA282">
        <v>6137</v>
      </c>
      <c r="BB282">
        <v>0</v>
      </c>
      <c r="BC282">
        <v>0</v>
      </c>
      <c r="BD282">
        <v>0</v>
      </c>
      <c r="BE282">
        <v>323</v>
      </c>
      <c r="BF282">
        <v>323</v>
      </c>
      <c r="BG282">
        <f t="shared" si="43"/>
        <v>72.713414634146346</v>
      </c>
      <c r="BH282">
        <v>1557</v>
      </c>
      <c r="BI282">
        <v>2735</v>
      </c>
      <c r="BJ282">
        <v>1431</v>
      </c>
      <c r="BK282">
        <v>856</v>
      </c>
      <c r="BL282">
        <v>323</v>
      </c>
      <c r="BM282">
        <v>1837</v>
      </c>
      <c r="BN282">
        <v>1066</v>
      </c>
      <c r="BO282">
        <v>1880</v>
      </c>
      <c r="BP282">
        <v>491</v>
      </c>
      <c r="BQ282">
        <v>3556</v>
      </c>
      <c r="BR282">
        <v>3394</v>
      </c>
      <c r="BS282">
        <v>491</v>
      </c>
      <c r="BT282">
        <v>19617</v>
      </c>
      <c r="BU282">
        <v>3114</v>
      </c>
      <c r="BV282">
        <v>3969</v>
      </c>
      <c r="BW282">
        <v>3885</v>
      </c>
      <c r="BX282">
        <v>2532</v>
      </c>
      <c r="BY282">
        <v>1760</v>
      </c>
      <c r="BZ282">
        <v>2735</v>
      </c>
      <c r="CA282">
        <v>17995</v>
      </c>
      <c r="CB282">
        <v>351</v>
      </c>
      <c r="CC282">
        <v>146</v>
      </c>
      <c r="CD282">
        <v>590</v>
      </c>
      <c r="CE282">
        <v>98</v>
      </c>
      <c r="CF282">
        <v>0.17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42</v>
      </c>
      <c r="CM282">
        <v>0</v>
      </c>
      <c r="CN282">
        <v>407</v>
      </c>
      <c r="CO282">
        <v>0</v>
      </c>
      <c r="CP282">
        <v>28</v>
      </c>
      <c r="CQ282">
        <v>0</v>
      </c>
      <c r="CR282">
        <v>0</v>
      </c>
      <c r="CS282">
        <v>0</v>
      </c>
      <c r="CT282">
        <v>477</v>
      </c>
      <c r="CU282">
        <v>0</v>
      </c>
      <c r="CV282">
        <v>0</v>
      </c>
      <c r="CW282">
        <v>70</v>
      </c>
      <c r="CX282">
        <v>0</v>
      </c>
      <c r="CY282">
        <v>84</v>
      </c>
      <c r="CZ282">
        <v>63</v>
      </c>
      <c r="DA282">
        <v>0</v>
      </c>
      <c r="DB282">
        <v>0</v>
      </c>
      <c r="DC282">
        <v>217</v>
      </c>
      <c r="DD282">
        <v>0</v>
      </c>
      <c r="DE282">
        <v>0</v>
      </c>
      <c r="DF282">
        <v>35</v>
      </c>
      <c r="DG282">
        <v>14</v>
      </c>
      <c r="DH282">
        <v>0</v>
      </c>
      <c r="DI282">
        <v>0</v>
      </c>
      <c r="DJ282">
        <v>0</v>
      </c>
      <c r="DK282">
        <v>0</v>
      </c>
      <c r="DL282">
        <v>63</v>
      </c>
      <c r="DM282">
        <v>576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688</v>
      </c>
      <c r="DT282">
        <v>1382</v>
      </c>
      <c r="DU282">
        <v>589</v>
      </c>
      <c r="DV282">
        <v>0</v>
      </c>
      <c r="DW282">
        <v>0</v>
      </c>
      <c r="DX282">
        <v>0</v>
      </c>
      <c r="DY282">
        <v>316</v>
      </c>
      <c r="DZ282">
        <v>421</v>
      </c>
      <c r="EA282">
        <v>568</v>
      </c>
      <c r="EB282">
        <v>743</v>
      </c>
      <c r="EC282">
        <v>63</v>
      </c>
      <c r="ED282">
        <v>631</v>
      </c>
      <c r="EE282">
        <v>1480</v>
      </c>
      <c r="EF282">
        <v>0</v>
      </c>
      <c r="EG282">
        <v>1</v>
      </c>
      <c r="EH282">
        <v>6.3</v>
      </c>
      <c r="EI282">
        <v>1.5</v>
      </c>
      <c r="EJ282">
        <v>2</v>
      </c>
      <c r="EK282">
        <v>38.799999999999997</v>
      </c>
    </row>
    <row r="283" spans="1:141" x14ac:dyDescent="0.25">
      <c r="A283" s="12" t="str">
        <f>[1]ingredient!B283</f>
        <v>Nussmus</v>
      </c>
      <c r="C283" s="7">
        <f>_xlfn.XLOOKUP(A283,[1]ingredient!$B$2:$B$521,[1]ingredient!$A$2:$A$521)</f>
        <v>282</v>
      </c>
      <c r="D283">
        <f t="shared" ref="D283:BF283" si="44">AVERAGE(D63,D114,D156,D257,D258)</f>
        <v>637.6</v>
      </c>
      <c r="E283">
        <f t="shared" si="44"/>
        <v>56.2</v>
      </c>
      <c r="F283">
        <f t="shared" si="44"/>
        <v>18.2</v>
      </c>
      <c r="G283">
        <f t="shared" si="44"/>
        <v>16.8</v>
      </c>
      <c r="H283">
        <f t="shared" si="44"/>
        <v>3.8</v>
      </c>
      <c r="I283">
        <f t="shared" si="44"/>
        <v>12.6</v>
      </c>
      <c r="J283">
        <f t="shared" si="44"/>
        <v>2.4E-2</v>
      </c>
      <c r="K283">
        <f t="shared" si="44"/>
        <v>2.4</v>
      </c>
      <c r="L283">
        <f t="shared" si="44"/>
        <v>0.6</v>
      </c>
      <c r="M283">
        <f t="shared" si="44"/>
        <v>0.4</v>
      </c>
      <c r="N283">
        <f t="shared" si="44"/>
        <v>0</v>
      </c>
      <c r="O283">
        <f t="shared" si="44"/>
        <v>3.6</v>
      </c>
      <c r="P283">
        <f t="shared" si="44"/>
        <v>187.2</v>
      </c>
      <c r="Q283">
        <f t="shared" si="44"/>
        <v>323.60000000000002</v>
      </c>
      <c r="R283">
        <f t="shared" si="44"/>
        <v>4293.6000000000004</v>
      </c>
      <c r="S283">
        <f t="shared" si="44"/>
        <v>8013.6</v>
      </c>
      <c r="T283">
        <f t="shared" si="44"/>
        <v>528</v>
      </c>
      <c r="U283">
        <f t="shared" si="44"/>
        <v>242</v>
      </c>
      <c r="V283">
        <f t="shared" si="44"/>
        <v>14.919999999999998</v>
      </c>
      <c r="W283">
        <f t="shared" si="44"/>
        <v>65.8</v>
      </c>
      <c r="X283">
        <f t="shared" si="44"/>
        <v>0</v>
      </c>
      <c r="Y283">
        <f t="shared" si="44"/>
        <v>200</v>
      </c>
      <c r="Z283">
        <f t="shared" si="44"/>
        <v>0</v>
      </c>
      <c r="AA283">
        <f t="shared" si="44"/>
        <v>8780</v>
      </c>
      <c r="AB283">
        <f t="shared" si="44"/>
        <v>2.2000000000000002</v>
      </c>
      <c r="AC283">
        <f t="shared" si="44"/>
        <v>8.8000000000000007</v>
      </c>
      <c r="AD283">
        <f t="shared" si="44"/>
        <v>709</v>
      </c>
      <c r="AE283">
        <f t="shared" si="44"/>
        <v>154.19999999999999</v>
      </c>
      <c r="AF283">
        <f t="shared" si="44"/>
        <v>236.6</v>
      </c>
      <c r="AG283">
        <f t="shared" si="44"/>
        <v>394.4</v>
      </c>
      <c r="AH283">
        <f t="shared" si="44"/>
        <v>205.6</v>
      </c>
      <c r="AI283">
        <f t="shared" si="44"/>
        <v>16</v>
      </c>
      <c r="AJ283">
        <f t="shared" si="44"/>
        <v>3548.6</v>
      </c>
      <c r="AK283">
        <f t="shared" si="44"/>
        <v>2938</v>
      </c>
      <c r="AL283">
        <f t="shared" si="44"/>
        <v>1191.8</v>
      </c>
      <c r="AM283">
        <f t="shared" si="44"/>
        <v>1986.6</v>
      </c>
      <c r="AN283">
        <f t="shared" si="44"/>
        <v>88.2</v>
      </c>
      <c r="AO283">
        <f t="shared" si="44"/>
        <v>3.4</v>
      </c>
      <c r="AP283">
        <f t="shared" si="44"/>
        <v>0</v>
      </c>
      <c r="AQ283">
        <f t="shared" si="44"/>
        <v>0</v>
      </c>
      <c r="AR283">
        <f t="shared" si="44"/>
        <v>0</v>
      </c>
      <c r="AS283">
        <f t="shared" si="44"/>
        <v>0</v>
      </c>
      <c r="AT283">
        <f t="shared" si="44"/>
        <v>268</v>
      </c>
      <c r="AU283">
        <f t="shared" si="44"/>
        <v>0</v>
      </c>
      <c r="AV283">
        <f t="shared" si="44"/>
        <v>0</v>
      </c>
      <c r="AW283">
        <f t="shared" si="44"/>
        <v>268</v>
      </c>
      <c r="AX283">
        <f t="shared" si="44"/>
        <v>12363.6</v>
      </c>
      <c r="AY283">
        <f t="shared" si="44"/>
        <v>0</v>
      </c>
      <c r="AZ283">
        <f t="shared" si="44"/>
        <v>0</v>
      </c>
      <c r="BA283">
        <f t="shared" si="44"/>
        <v>12363.6</v>
      </c>
      <c r="BB283">
        <f t="shared" si="44"/>
        <v>0</v>
      </c>
      <c r="BC283">
        <f t="shared" si="44"/>
        <v>0</v>
      </c>
      <c r="BD283">
        <f t="shared" si="44"/>
        <v>0</v>
      </c>
      <c r="BE283">
        <f t="shared" si="44"/>
        <v>3953.4</v>
      </c>
      <c r="BF283">
        <f t="shared" si="44"/>
        <v>3953.4</v>
      </c>
      <c r="BG283">
        <f t="shared" si="43"/>
        <v>69.345238095238088</v>
      </c>
      <c r="BH283">
        <f t="shared" ref="BH283:DS283" si="45">AVERAGE(BH63,BH114,BH156,BH257,BH258)</f>
        <v>749.8</v>
      </c>
      <c r="BI283">
        <f t="shared" si="45"/>
        <v>1250</v>
      </c>
      <c r="BJ283">
        <f t="shared" si="45"/>
        <v>605.79999999999995</v>
      </c>
      <c r="BK283">
        <f t="shared" si="45"/>
        <v>224.4</v>
      </c>
      <c r="BL283">
        <f t="shared" si="45"/>
        <v>305.2</v>
      </c>
      <c r="BM283">
        <f t="shared" si="45"/>
        <v>902.6</v>
      </c>
      <c r="BN283">
        <f t="shared" si="45"/>
        <v>600.6</v>
      </c>
      <c r="BO283">
        <f t="shared" si="45"/>
        <v>538.6</v>
      </c>
      <c r="BP283">
        <f t="shared" si="45"/>
        <v>223.2</v>
      </c>
      <c r="BQ283">
        <f t="shared" si="45"/>
        <v>975.2</v>
      </c>
      <c r="BR283">
        <f t="shared" si="45"/>
        <v>2195.4</v>
      </c>
      <c r="BS283">
        <f t="shared" si="45"/>
        <v>424.6</v>
      </c>
      <c r="BT283">
        <f t="shared" si="45"/>
        <v>8995.4</v>
      </c>
      <c r="BU283">
        <f t="shared" si="45"/>
        <v>670.4</v>
      </c>
      <c r="BV283">
        <f t="shared" si="45"/>
        <v>1839</v>
      </c>
      <c r="BW283">
        <f t="shared" si="45"/>
        <v>4020.4</v>
      </c>
      <c r="BX283">
        <f t="shared" si="45"/>
        <v>894.4</v>
      </c>
      <c r="BY283">
        <f t="shared" si="45"/>
        <v>810.8</v>
      </c>
      <c r="BZ283">
        <f t="shared" si="45"/>
        <v>849.2</v>
      </c>
      <c r="CA283">
        <f t="shared" si="45"/>
        <v>9084.2000000000007</v>
      </c>
      <c r="CB283">
        <f t="shared" si="45"/>
        <v>38.200000000000003</v>
      </c>
      <c r="CC283">
        <f t="shared" si="45"/>
        <v>16.2</v>
      </c>
      <c r="CD283">
        <f t="shared" si="45"/>
        <v>259</v>
      </c>
      <c r="CE283">
        <f t="shared" si="45"/>
        <v>9112</v>
      </c>
      <c r="CF283">
        <f t="shared" si="45"/>
        <v>46.260000000000005</v>
      </c>
      <c r="CG283">
        <f t="shared" si="45"/>
        <v>0</v>
      </c>
      <c r="CH283">
        <f t="shared" si="45"/>
        <v>0</v>
      </c>
      <c r="CI283">
        <f t="shared" si="45"/>
        <v>18.8</v>
      </c>
      <c r="CJ283">
        <f t="shared" si="45"/>
        <v>18.8</v>
      </c>
      <c r="CK283">
        <f t="shared" si="45"/>
        <v>207.6</v>
      </c>
      <c r="CL283">
        <f t="shared" si="45"/>
        <v>144</v>
      </c>
      <c r="CM283">
        <f t="shared" si="45"/>
        <v>1.2</v>
      </c>
      <c r="CN283">
        <f t="shared" si="45"/>
        <v>4246.3999999999996</v>
      </c>
      <c r="CO283">
        <f t="shared" si="45"/>
        <v>14.4</v>
      </c>
      <c r="CP283">
        <f t="shared" si="45"/>
        <v>1704.4</v>
      </c>
      <c r="CQ283">
        <f t="shared" si="45"/>
        <v>314</v>
      </c>
      <c r="CR283">
        <f t="shared" si="45"/>
        <v>271.60000000000002</v>
      </c>
      <c r="CS283">
        <f t="shared" si="45"/>
        <v>103.2</v>
      </c>
      <c r="CT283">
        <f t="shared" si="45"/>
        <v>7044.4</v>
      </c>
      <c r="CU283">
        <f t="shared" si="45"/>
        <v>0</v>
      </c>
      <c r="CV283">
        <f t="shared" si="45"/>
        <v>0</v>
      </c>
      <c r="CW283">
        <f t="shared" si="45"/>
        <v>289.8</v>
      </c>
      <c r="CX283">
        <f t="shared" si="45"/>
        <v>10.6</v>
      </c>
      <c r="CY283">
        <f t="shared" si="45"/>
        <v>37341.4</v>
      </c>
      <c r="CZ283">
        <f t="shared" si="45"/>
        <v>172.6</v>
      </c>
      <c r="DA283">
        <f t="shared" si="45"/>
        <v>9.1999999999999993</v>
      </c>
      <c r="DB283">
        <f t="shared" si="45"/>
        <v>0</v>
      </c>
      <c r="DC283">
        <f t="shared" si="45"/>
        <v>37823.599999999999</v>
      </c>
      <c r="DD283">
        <f t="shared" si="45"/>
        <v>0</v>
      </c>
      <c r="DE283">
        <f t="shared" si="45"/>
        <v>0</v>
      </c>
      <c r="DF283">
        <f t="shared" si="45"/>
        <v>9112</v>
      </c>
      <c r="DG283">
        <f t="shared" si="45"/>
        <v>259</v>
      </c>
      <c r="DH283">
        <f t="shared" si="45"/>
        <v>0</v>
      </c>
      <c r="DI283">
        <f t="shared" si="45"/>
        <v>0</v>
      </c>
      <c r="DJ283">
        <f t="shared" si="45"/>
        <v>0</v>
      </c>
      <c r="DK283">
        <f t="shared" si="45"/>
        <v>0</v>
      </c>
      <c r="DL283">
        <f t="shared" si="45"/>
        <v>0</v>
      </c>
      <c r="DM283">
        <f t="shared" si="45"/>
        <v>0</v>
      </c>
      <c r="DN283">
        <f t="shared" si="45"/>
        <v>0</v>
      </c>
      <c r="DO283">
        <f t="shared" si="45"/>
        <v>0</v>
      </c>
      <c r="DP283">
        <f t="shared" si="45"/>
        <v>0</v>
      </c>
      <c r="DQ283">
        <f t="shared" si="45"/>
        <v>0</v>
      </c>
      <c r="DR283">
        <f t="shared" si="45"/>
        <v>0</v>
      </c>
      <c r="DS283">
        <f t="shared" si="45"/>
        <v>9371</v>
      </c>
      <c r="DT283">
        <f t="shared" ref="DT283:EK283" si="46">AVERAGE(DT63,DT114,DT156,DT257,DT258)</f>
        <v>54201.4</v>
      </c>
      <c r="DU283">
        <f t="shared" si="46"/>
        <v>1949.4</v>
      </c>
      <c r="DV283">
        <f t="shared" si="46"/>
        <v>0</v>
      </c>
      <c r="DW283">
        <f t="shared" si="46"/>
        <v>0</v>
      </c>
      <c r="DX283">
        <f t="shared" si="46"/>
        <v>37.6</v>
      </c>
      <c r="DY283">
        <f t="shared" si="46"/>
        <v>443.8</v>
      </c>
      <c r="DZ283">
        <f t="shared" si="46"/>
        <v>661.4</v>
      </c>
      <c r="EA283">
        <f t="shared" si="46"/>
        <v>454.4</v>
      </c>
      <c r="EB283">
        <f t="shared" si="46"/>
        <v>620.79999999999995</v>
      </c>
      <c r="EC283">
        <f t="shared" si="46"/>
        <v>189</v>
      </c>
      <c r="ED283">
        <f t="shared" si="46"/>
        <v>1124.5999999999999</v>
      </c>
      <c r="EE283">
        <f t="shared" si="46"/>
        <v>2348.6</v>
      </c>
      <c r="EF283">
        <f t="shared" si="46"/>
        <v>0</v>
      </c>
      <c r="EG283">
        <f t="shared" si="46"/>
        <v>0</v>
      </c>
      <c r="EH283">
        <f t="shared" si="46"/>
        <v>3.1</v>
      </c>
      <c r="EI283">
        <f t="shared" si="46"/>
        <v>2.3400000000000003</v>
      </c>
      <c r="EJ283">
        <f t="shared" si="46"/>
        <v>56.179999999999993</v>
      </c>
      <c r="EK283">
        <f t="shared" si="46"/>
        <v>18.18</v>
      </c>
    </row>
    <row r="284" spans="1:141" x14ac:dyDescent="0.25">
      <c r="A284" t="str">
        <f>[1]ingredient!B284</f>
        <v>Ochsenherztomaten</v>
      </c>
      <c r="B284" t="s">
        <v>367</v>
      </c>
      <c r="C284" s="7">
        <f>_xlfn.XLOOKUP(A284,[1]ingredient!$B$2:$B$521,[1]ingredient!$A$2:$A$521)</f>
        <v>283</v>
      </c>
      <c r="D284">
        <v>17</v>
      </c>
      <c r="E284">
        <v>0.21</v>
      </c>
      <c r="F284">
        <v>1</v>
      </c>
      <c r="G284">
        <v>3</v>
      </c>
      <c r="H284">
        <v>1</v>
      </c>
      <c r="I284">
        <v>3</v>
      </c>
      <c r="J284">
        <v>0.03</v>
      </c>
      <c r="K284">
        <v>94</v>
      </c>
      <c r="L284">
        <v>99</v>
      </c>
      <c r="M284">
        <v>49</v>
      </c>
      <c r="N284">
        <v>0</v>
      </c>
      <c r="O284">
        <v>593</v>
      </c>
      <c r="P284">
        <v>57</v>
      </c>
      <c r="Q284">
        <v>35</v>
      </c>
      <c r="R284">
        <v>530</v>
      </c>
      <c r="S284">
        <v>630</v>
      </c>
      <c r="T284">
        <v>310</v>
      </c>
      <c r="U284">
        <v>100</v>
      </c>
      <c r="V284">
        <v>4</v>
      </c>
      <c r="W284">
        <v>33</v>
      </c>
      <c r="X284">
        <v>0</v>
      </c>
      <c r="Y284">
        <v>19255</v>
      </c>
      <c r="Z284">
        <v>0</v>
      </c>
      <c r="AA284">
        <v>800</v>
      </c>
      <c r="AB284">
        <v>6</v>
      </c>
      <c r="AC284">
        <v>3</v>
      </c>
      <c r="AD284">
        <v>235</v>
      </c>
      <c r="AE284">
        <v>9</v>
      </c>
      <c r="AF284">
        <v>11</v>
      </c>
      <c r="AG284">
        <v>22</v>
      </c>
      <c r="AH284">
        <v>11</v>
      </c>
      <c r="AI284">
        <v>30</v>
      </c>
      <c r="AJ284">
        <v>316</v>
      </c>
      <c r="AK284">
        <v>85</v>
      </c>
      <c r="AL284">
        <v>57</v>
      </c>
      <c r="AM284">
        <v>108</v>
      </c>
      <c r="AN284">
        <v>24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1081</v>
      </c>
      <c r="AU284">
        <v>1358</v>
      </c>
      <c r="AV284">
        <v>0</v>
      </c>
      <c r="AW284">
        <v>2439</v>
      </c>
      <c r="AX284">
        <v>84</v>
      </c>
      <c r="AY284">
        <v>0</v>
      </c>
      <c r="AZ284">
        <v>0</v>
      </c>
      <c r="BA284">
        <v>84</v>
      </c>
      <c r="BB284">
        <v>0</v>
      </c>
      <c r="BC284">
        <v>0</v>
      </c>
      <c r="BD284">
        <v>0</v>
      </c>
      <c r="BE284">
        <v>80</v>
      </c>
      <c r="BF284">
        <v>80</v>
      </c>
      <c r="BG284">
        <f t="shared" si="43"/>
        <v>34.782608695652172</v>
      </c>
      <c r="BH284">
        <v>23</v>
      </c>
      <c r="BI284">
        <v>30</v>
      </c>
      <c r="BJ284">
        <v>29</v>
      </c>
      <c r="BK284">
        <v>7</v>
      </c>
      <c r="BL284">
        <v>1</v>
      </c>
      <c r="BM284">
        <v>24</v>
      </c>
      <c r="BN284">
        <v>12</v>
      </c>
      <c r="BO284">
        <v>23</v>
      </c>
      <c r="BP284">
        <v>6</v>
      </c>
      <c r="BQ284">
        <v>23</v>
      </c>
      <c r="BR284">
        <v>18</v>
      </c>
      <c r="BS284">
        <v>13</v>
      </c>
      <c r="BT284">
        <v>209</v>
      </c>
      <c r="BU284">
        <v>26</v>
      </c>
      <c r="BV284">
        <v>121</v>
      </c>
      <c r="BW284">
        <v>337</v>
      </c>
      <c r="BX284">
        <v>18</v>
      </c>
      <c r="BY284">
        <v>16</v>
      </c>
      <c r="BZ284">
        <v>28</v>
      </c>
      <c r="CA284">
        <v>546</v>
      </c>
      <c r="CB284">
        <v>11</v>
      </c>
      <c r="CC284">
        <v>5</v>
      </c>
      <c r="CD284">
        <v>9</v>
      </c>
      <c r="CE284">
        <v>91</v>
      </c>
      <c r="CF284">
        <v>10.11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32</v>
      </c>
      <c r="CO284">
        <v>0</v>
      </c>
      <c r="CP284">
        <v>5</v>
      </c>
      <c r="CQ284">
        <v>0</v>
      </c>
      <c r="CR284">
        <v>0</v>
      </c>
      <c r="CS284">
        <v>0</v>
      </c>
      <c r="CT284">
        <v>37</v>
      </c>
      <c r="CU284">
        <v>0</v>
      </c>
      <c r="CV284">
        <v>0</v>
      </c>
      <c r="CW284">
        <v>2</v>
      </c>
      <c r="CX284">
        <v>0</v>
      </c>
      <c r="CY284">
        <v>23</v>
      </c>
      <c r="CZ284">
        <v>0</v>
      </c>
      <c r="DA284">
        <v>0</v>
      </c>
      <c r="DB284">
        <v>0</v>
      </c>
      <c r="DC284">
        <v>25</v>
      </c>
      <c r="DD284">
        <v>0</v>
      </c>
      <c r="DE284">
        <v>0</v>
      </c>
      <c r="DF284">
        <v>91</v>
      </c>
      <c r="DG284">
        <v>9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100</v>
      </c>
      <c r="DT284">
        <v>162</v>
      </c>
      <c r="DU284">
        <v>42</v>
      </c>
      <c r="DV284">
        <v>0</v>
      </c>
      <c r="DW284">
        <v>0</v>
      </c>
      <c r="DX284">
        <v>0</v>
      </c>
      <c r="DY284">
        <v>130</v>
      </c>
      <c r="DZ284">
        <v>156</v>
      </c>
      <c r="EA284">
        <v>325</v>
      </c>
      <c r="EB284">
        <v>360</v>
      </c>
      <c r="EC284">
        <v>234</v>
      </c>
      <c r="ED284">
        <v>220</v>
      </c>
      <c r="EE284">
        <v>730</v>
      </c>
      <c r="EF284">
        <v>0</v>
      </c>
      <c r="EG284">
        <v>0.39</v>
      </c>
      <c r="EH284">
        <v>0.6</v>
      </c>
      <c r="EI284">
        <v>0.7</v>
      </c>
      <c r="EJ284">
        <v>0.2</v>
      </c>
      <c r="EK284">
        <v>0.8</v>
      </c>
    </row>
    <row r="285" spans="1:141" x14ac:dyDescent="0.25">
      <c r="A285" t="str">
        <f>[1]ingredient!B285</f>
        <v>Okra</v>
      </c>
      <c r="B285" t="s">
        <v>368</v>
      </c>
      <c r="C285" s="7">
        <f>_xlfn.XLOOKUP(A285,[1]ingredient!$B$2:$B$521,[1]ingredient!$A$2:$A$521)</f>
        <v>284</v>
      </c>
      <c r="D285">
        <v>20</v>
      </c>
      <c r="E285">
        <v>0.2</v>
      </c>
      <c r="F285">
        <v>2</v>
      </c>
      <c r="G285">
        <v>2</v>
      </c>
      <c r="H285">
        <v>5</v>
      </c>
      <c r="I285">
        <v>2</v>
      </c>
      <c r="J285">
        <v>0.04</v>
      </c>
      <c r="K285">
        <v>89</v>
      </c>
      <c r="L285">
        <v>70</v>
      </c>
      <c r="M285">
        <v>35</v>
      </c>
      <c r="N285">
        <v>0</v>
      </c>
      <c r="O285">
        <v>422</v>
      </c>
      <c r="P285">
        <v>70</v>
      </c>
      <c r="Q285">
        <v>80</v>
      </c>
      <c r="R285">
        <v>800</v>
      </c>
      <c r="S285">
        <v>1083</v>
      </c>
      <c r="T285">
        <v>250</v>
      </c>
      <c r="U285">
        <v>80</v>
      </c>
      <c r="V285">
        <v>1</v>
      </c>
      <c r="W285">
        <v>88</v>
      </c>
      <c r="X285">
        <v>0</v>
      </c>
      <c r="Y285">
        <v>36000</v>
      </c>
      <c r="Z285">
        <v>0</v>
      </c>
      <c r="AA285">
        <v>130</v>
      </c>
      <c r="AB285">
        <v>5</v>
      </c>
      <c r="AC285">
        <v>3</v>
      </c>
      <c r="AD285">
        <v>285</v>
      </c>
      <c r="AE285">
        <v>84</v>
      </c>
      <c r="AF285">
        <v>60</v>
      </c>
      <c r="AG285">
        <v>75</v>
      </c>
      <c r="AH285">
        <v>30</v>
      </c>
      <c r="AI285">
        <v>41</v>
      </c>
      <c r="AJ285">
        <v>1200</v>
      </c>
      <c r="AK285">
        <v>600</v>
      </c>
      <c r="AL285">
        <v>130</v>
      </c>
      <c r="AM285">
        <v>990</v>
      </c>
      <c r="AN285">
        <v>20</v>
      </c>
      <c r="AO285">
        <v>6</v>
      </c>
      <c r="AP285">
        <v>0</v>
      </c>
      <c r="AQ285">
        <v>0</v>
      </c>
      <c r="AR285">
        <v>0</v>
      </c>
      <c r="AS285">
        <v>0</v>
      </c>
      <c r="AT285">
        <v>770</v>
      </c>
      <c r="AU285">
        <v>880</v>
      </c>
      <c r="AV285">
        <v>0</v>
      </c>
      <c r="AW285">
        <v>1650</v>
      </c>
      <c r="AX285">
        <v>550</v>
      </c>
      <c r="AY285">
        <v>0</v>
      </c>
      <c r="AZ285">
        <v>0</v>
      </c>
      <c r="BA285">
        <v>550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f t="shared" si="43"/>
        <v>86.956521739130437</v>
      </c>
      <c r="BH285">
        <v>71</v>
      </c>
      <c r="BI285">
        <v>109</v>
      </c>
      <c r="BJ285">
        <v>84</v>
      </c>
      <c r="BK285">
        <v>21</v>
      </c>
      <c r="BL285">
        <v>19</v>
      </c>
      <c r="BM285">
        <v>67</v>
      </c>
      <c r="BN285">
        <v>90</v>
      </c>
      <c r="BO285">
        <v>67</v>
      </c>
      <c r="BP285">
        <v>17</v>
      </c>
      <c r="BQ285">
        <v>95</v>
      </c>
      <c r="BR285">
        <v>86</v>
      </c>
      <c r="BS285">
        <v>32</v>
      </c>
      <c r="BT285">
        <v>758</v>
      </c>
      <c r="BU285">
        <v>76</v>
      </c>
      <c r="BV285">
        <v>151</v>
      </c>
      <c r="BW285">
        <v>288</v>
      </c>
      <c r="BX285">
        <v>44</v>
      </c>
      <c r="BY285">
        <v>46</v>
      </c>
      <c r="BZ285">
        <v>44</v>
      </c>
      <c r="CA285">
        <v>649</v>
      </c>
      <c r="CB285">
        <v>8</v>
      </c>
      <c r="CC285">
        <v>3</v>
      </c>
      <c r="CD285">
        <v>2</v>
      </c>
      <c r="CE285">
        <v>59</v>
      </c>
      <c r="CF285">
        <v>29.5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53</v>
      </c>
      <c r="CO285">
        <v>0</v>
      </c>
      <c r="CP285">
        <v>7</v>
      </c>
      <c r="CQ285">
        <v>0</v>
      </c>
      <c r="CR285">
        <v>0</v>
      </c>
      <c r="CS285">
        <v>0</v>
      </c>
      <c r="CT285">
        <v>60</v>
      </c>
      <c r="CU285">
        <v>0</v>
      </c>
      <c r="CV285">
        <v>0</v>
      </c>
      <c r="CW285">
        <v>0</v>
      </c>
      <c r="CX285">
        <v>0</v>
      </c>
      <c r="CY285">
        <v>39</v>
      </c>
      <c r="CZ285">
        <v>0</v>
      </c>
      <c r="DA285">
        <v>0</v>
      </c>
      <c r="DB285">
        <v>0</v>
      </c>
      <c r="DC285">
        <v>39</v>
      </c>
      <c r="DD285">
        <v>0</v>
      </c>
      <c r="DE285">
        <v>0</v>
      </c>
      <c r="DF285">
        <v>59</v>
      </c>
      <c r="DG285">
        <v>2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61</v>
      </c>
      <c r="DT285">
        <v>160</v>
      </c>
      <c r="DU285">
        <v>40</v>
      </c>
      <c r="DV285">
        <v>0</v>
      </c>
      <c r="DW285">
        <v>0</v>
      </c>
      <c r="DX285">
        <v>0</v>
      </c>
      <c r="DY285">
        <v>735</v>
      </c>
      <c r="DZ285">
        <v>980</v>
      </c>
      <c r="EA285">
        <v>1323</v>
      </c>
      <c r="EB285">
        <v>1715</v>
      </c>
      <c r="EC285">
        <v>147</v>
      </c>
      <c r="ED285">
        <v>1470</v>
      </c>
      <c r="EE285">
        <v>3430</v>
      </c>
      <c r="EF285">
        <v>0</v>
      </c>
      <c r="EG285">
        <v>0.25</v>
      </c>
      <c r="EH285">
        <v>0.9</v>
      </c>
      <c r="EI285">
        <v>3.4</v>
      </c>
      <c r="EJ285">
        <v>0.2</v>
      </c>
      <c r="EK285">
        <v>1.4</v>
      </c>
    </row>
    <row r="286" spans="1:141" x14ac:dyDescent="0.25">
      <c r="A286" t="str">
        <f>[1]ingredient!B286</f>
        <v>Oliven</v>
      </c>
      <c r="B286" t="s">
        <v>369</v>
      </c>
      <c r="C286" s="7">
        <f>_xlfn.XLOOKUP(A286,[1]ingredient!$B$2:$B$521,[1]ingredient!$A$2:$A$521)</f>
        <v>285</v>
      </c>
      <c r="D286">
        <v>143</v>
      </c>
      <c r="E286">
        <v>14</v>
      </c>
      <c r="F286">
        <v>1</v>
      </c>
      <c r="G286">
        <v>2</v>
      </c>
      <c r="H286">
        <v>2</v>
      </c>
      <c r="I286">
        <v>0.04</v>
      </c>
      <c r="J286">
        <v>5</v>
      </c>
      <c r="K286">
        <v>72</v>
      </c>
      <c r="L286">
        <v>48</v>
      </c>
      <c r="M286">
        <v>24</v>
      </c>
      <c r="N286">
        <v>0</v>
      </c>
      <c r="O286">
        <v>289</v>
      </c>
      <c r="P286">
        <v>30</v>
      </c>
      <c r="Q286">
        <v>80</v>
      </c>
      <c r="R286">
        <v>500</v>
      </c>
      <c r="S286">
        <v>850</v>
      </c>
      <c r="T286">
        <v>560</v>
      </c>
      <c r="U286">
        <v>23</v>
      </c>
      <c r="V286">
        <v>2</v>
      </c>
      <c r="W286">
        <v>50</v>
      </c>
      <c r="X286">
        <v>0</v>
      </c>
      <c r="Y286">
        <v>0</v>
      </c>
      <c r="Z286">
        <v>0</v>
      </c>
      <c r="AA286">
        <v>1990</v>
      </c>
      <c r="AB286">
        <v>0</v>
      </c>
      <c r="AC286">
        <v>2100</v>
      </c>
      <c r="AD286">
        <v>45</v>
      </c>
      <c r="AE286">
        <v>95</v>
      </c>
      <c r="AF286">
        <v>19</v>
      </c>
      <c r="AG286">
        <v>17</v>
      </c>
      <c r="AH286">
        <v>36</v>
      </c>
      <c r="AI286">
        <v>3241</v>
      </c>
      <c r="AJ286">
        <v>1600</v>
      </c>
      <c r="AK286">
        <v>150</v>
      </c>
      <c r="AL286">
        <v>250</v>
      </c>
      <c r="AM286">
        <v>58</v>
      </c>
      <c r="AN286">
        <v>30</v>
      </c>
      <c r="AO286">
        <v>5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35</v>
      </c>
      <c r="AY286">
        <v>0</v>
      </c>
      <c r="AZ286">
        <v>0</v>
      </c>
      <c r="BA286">
        <v>35</v>
      </c>
      <c r="BB286">
        <v>0</v>
      </c>
      <c r="BC286">
        <v>0</v>
      </c>
      <c r="BD286">
        <v>0</v>
      </c>
      <c r="BE286">
        <v>1725</v>
      </c>
      <c r="BF286">
        <v>1725</v>
      </c>
      <c r="BG286">
        <f t="shared" si="43"/>
        <v>106.25</v>
      </c>
      <c r="BH286">
        <v>63</v>
      </c>
      <c r="BI286">
        <v>92</v>
      </c>
      <c r="BJ286">
        <v>51</v>
      </c>
      <c r="BK286">
        <v>29</v>
      </c>
      <c r="BL286">
        <v>26</v>
      </c>
      <c r="BM286">
        <v>62</v>
      </c>
      <c r="BN286">
        <v>46</v>
      </c>
      <c r="BO286">
        <v>50</v>
      </c>
      <c r="BP286">
        <v>21</v>
      </c>
      <c r="BQ286">
        <v>75</v>
      </c>
      <c r="BR286">
        <v>137</v>
      </c>
      <c r="BS286">
        <v>39</v>
      </c>
      <c r="BT286">
        <v>691</v>
      </c>
      <c r="BU286">
        <v>65</v>
      </c>
      <c r="BV286">
        <v>134</v>
      </c>
      <c r="BW286">
        <v>290</v>
      </c>
      <c r="BX286">
        <v>72</v>
      </c>
      <c r="BY286">
        <v>58</v>
      </c>
      <c r="BZ286">
        <v>63</v>
      </c>
      <c r="CA286">
        <v>682</v>
      </c>
      <c r="CB286">
        <v>25</v>
      </c>
      <c r="CC286">
        <v>10</v>
      </c>
      <c r="CD286">
        <v>106</v>
      </c>
      <c r="CE286">
        <v>1196</v>
      </c>
      <c r="CF286">
        <v>11.28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27</v>
      </c>
      <c r="CM286">
        <v>0</v>
      </c>
      <c r="CN286">
        <v>1595</v>
      </c>
      <c r="CO286">
        <v>13</v>
      </c>
      <c r="CP286">
        <v>332</v>
      </c>
      <c r="CQ286">
        <v>53</v>
      </c>
      <c r="CR286">
        <v>13</v>
      </c>
      <c r="CS286">
        <v>13</v>
      </c>
      <c r="CT286">
        <v>2046</v>
      </c>
      <c r="CU286">
        <v>0</v>
      </c>
      <c r="CV286">
        <v>0</v>
      </c>
      <c r="CW286">
        <v>133</v>
      </c>
      <c r="CX286">
        <v>0</v>
      </c>
      <c r="CY286">
        <v>9767</v>
      </c>
      <c r="CZ286">
        <v>40</v>
      </c>
      <c r="DA286">
        <v>0</v>
      </c>
      <c r="DB286">
        <v>0</v>
      </c>
      <c r="DC286">
        <v>9940</v>
      </c>
      <c r="DD286">
        <v>0</v>
      </c>
      <c r="DE286">
        <v>0</v>
      </c>
      <c r="DF286">
        <v>1196</v>
      </c>
      <c r="DG286">
        <v>106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1302</v>
      </c>
      <c r="DT286">
        <v>13288</v>
      </c>
      <c r="DU286">
        <v>612</v>
      </c>
      <c r="DV286">
        <v>0</v>
      </c>
      <c r="DW286">
        <v>0</v>
      </c>
      <c r="DX286">
        <v>0</v>
      </c>
      <c r="DY286">
        <v>1062</v>
      </c>
      <c r="DZ286">
        <v>708</v>
      </c>
      <c r="EA286">
        <v>118</v>
      </c>
      <c r="EB286">
        <v>354</v>
      </c>
      <c r="EC286">
        <v>118</v>
      </c>
      <c r="ED286">
        <v>472</v>
      </c>
      <c r="EE286">
        <v>1888</v>
      </c>
      <c r="EF286">
        <v>0</v>
      </c>
      <c r="EG286">
        <v>3</v>
      </c>
      <c r="EH286">
        <v>6.4</v>
      </c>
      <c r="EI286">
        <v>1.9</v>
      </c>
      <c r="EJ286">
        <v>13.9</v>
      </c>
      <c r="EK286">
        <v>1.5</v>
      </c>
    </row>
    <row r="287" spans="1:141" x14ac:dyDescent="0.25">
      <c r="A287" t="str">
        <f>[1]ingredient!B287</f>
        <v>Olivenöl</v>
      </c>
      <c r="B287" t="s">
        <v>370</v>
      </c>
      <c r="C287" s="7">
        <f>_xlfn.XLOOKUP(A287,[1]ingredient!$B$2:$B$521,[1]ingredient!$A$2:$A$521)</f>
        <v>286</v>
      </c>
      <c r="D287">
        <v>881</v>
      </c>
      <c r="E287">
        <v>100</v>
      </c>
      <c r="F287">
        <v>0</v>
      </c>
      <c r="G287">
        <v>0.2</v>
      </c>
      <c r="H287">
        <v>0</v>
      </c>
      <c r="I287">
        <v>0</v>
      </c>
      <c r="J287">
        <v>0.1</v>
      </c>
      <c r="K287">
        <v>0.05</v>
      </c>
      <c r="L287">
        <v>157</v>
      </c>
      <c r="M287">
        <v>138</v>
      </c>
      <c r="N287">
        <v>120</v>
      </c>
      <c r="O287">
        <v>220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12077</v>
      </c>
      <c r="AB287">
        <v>50</v>
      </c>
      <c r="AC287">
        <v>1</v>
      </c>
      <c r="AD287">
        <v>0</v>
      </c>
      <c r="AE287">
        <v>1</v>
      </c>
      <c r="AF287">
        <v>0</v>
      </c>
      <c r="AG287">
        <v>1</v>
      </c>
      <c r="AH287">
        <v>0</v>
      </c>
      <c r="AI287">
        <v>100</v>
      </c>
      <c r="AJ287">
        <v>100</v>
      </c>
      <c r="AK287">
        <v>60</v>
      </c>
      <c r="AL287">
        <v>70</v>
      </c>
      <c r="AM287">
        <v>0</v>
      </c>
      <c r="AN287">
        <v>0</v>
      </c>
      <c r="AO287">
        <v>5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4</v>
      </c>
      <c r="AY287">
        <v>0</v>
      </c>
      <c r="AZ287">
        <v>0</v>
      </c>
      <c r="BA287">
        <v>4</v>
      </c>
      <c r="BB287">
        <v>0</v>
      </c>
      <c r="BC287">
        <v>0</v>
      </c>
      <c r="BD287">
        <v>0</v>
      </c>
      <c r="BE287">
        <v>196</v>
      </c>
      <c r="BF287">
        <v>196</v>
      </c>
      <c r="BG287" t="str">
        <f t="shared" si="43"/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762</v>
      </c>
      <c r="CE287">
        <v>8570</v>
      </c>
      <c r="CF287">
        <v>11.25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190</v>
      </c>
      <c r="CM287">
        <v>0</v>
      </c>
      <c r="CN287">
        <v>11426</v>
      </c>
      <c r="CO287">
        <v>95</v>
      </c>
      <c r="CP287">
        <v>2380</v>
      </c>
      <c r="CQ287">
        <v>381</v>
      </c>
      <c r="CR287">
        <v>95</v>
      </c>
      <c r="CS287">
        <v>95</v>
      </c>
      <c r="CT287">
        <v>14662</v>
      </c>
      <c r="CU287">
        <v>0</v>
      </c>
      <c r="CV287">
        <v>0</v>
      </c>
      <c r="CW287">
        <v>952</v>
      </c>
      <c r="CX287">
        <v>0</v>
      </c>
      <c r="CY287">
        <v>69986</v>
      </c>
      <c r="CZ287">
        <v>286</v>
      </c>
      <c r="DA287">
        <v>0</v>
      </c>
      <c r="DB287">
        <v>0</v>
      </c>
      <c r="DC287">
        <v>71224</v>
      </c>
      <c r="DD287">
        <v>0</v>
      </c>
      <c r="DE287">
        <v>0</v>
      </c>
      <c r="DF287">
        <v>8570</v>
      </c>
      <c r="DG287">
        <v>762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9332</v>
      </c>
      <c r="DT287">
        <v>95218</v>
      </c>
      <c r="DU287">
        <v>4382</v>
      </c>
      <c r="DV287">
        <v>1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0.2</v>
      </c>
      <c r="EI287">
        <v>0</v>
      </c>
      <c r="EJ287">
        <v>99.6</v>
      </c>
      <c r="EK287">
        <v>0</v>
      </c>
    </row>
    <row r="288" spans="1:141" x14ac:dyDescent="0.25">
      <c r="A288" t="str">
        <f>[1]ingredient!B288</f>
        <v>Orangen</v>
      </c>
      <c r="B288" t="s">
        <v>371</v>
      </c>
      <c r="C288" s="7">
        <f>_xlfn.XLOOKUP(A288,[1]ingredient!$B$2:$B$521,[1]ingredient!$A$2:$A$521)</f>
        <v>287</v>
      </c>
      <c r="D288">
        <v>47</v>
      </c>
      <c r="E288">
        <v>0.2</v>
      </c>
      <c r="F288">
        <v>1</v>
      </c>
      <c r="G288">
        <v>9</v>
      </c>
      <c r="H288">
        <v>2</v>
      </c>
      <c r="I288">
        <v>9</v>
      </c>
      <c r="J288">
        <v>0.01</v>
      </c>
      <c r="K288">
        <v>86</v>
      </c>
      <c r="L288">
        <v>15</v>
      </c>
      <c r="M288">
        <v>8</v>
      </c>
      <c r="N288">
        <v>0</v>
      </c>
      <c r="O288">
        <v>90</v>
      </c>
      <c r="P288">
        <v>79</v>
      </c>
      <c r="Q288">
        <v>42</v>
      </c>
      <c r="R288">
        <v>300</v>
      </c>
      <c r="S288">
        <v>467</v>
      </c>
      <c r="T288">
        <v>240</v>
      </c>
      <c r="U288">
        <v>50</v>
      </c>
      <c r="V288">
        <v>2</v>
      </c>
      <c r="W288">
        <v>24</v>
      </c>
      <c r="X288">
        <v>0</v>
      </c>
      <c r="Y288">
        <v>50000</v>
      </c>
      <c r="Z288">
        <v>0</v>
      </c>
      <c r="AA288">
        <v>240</v>
      </c>
      <c r="AB288">
        <v>3</v>
      </c>
      <c r="AC288">
        <v>1</v>
      </c>
      <c r="AD288">
        <v>177</v>
      </c>
      <c r="AE288">
        <v>42</v>
      </c>
      <c r="AF288">
        <v>14</v>
      </c>
      <c r="AG288">
        <v>23</v>
      </c>
      <c r="AH288">
        <v>9</v>
      </c>
      <c r="AI288">
        <v>4</v>
      </c>
      <c r="AJ288">
        <v>400</v>
      </c>
      <c r="AK288">
        <v>100</v>
      </c>
      <c r="AL288">
        <v>67</v>
      </c>
      <c r="AM288">
        <v>29</v>
      </c>
      <c r="AN288">
        <v>5</v>
      </c>
      <c r="AO288">
        <v>2</v>
      </c>
      <c r="AP288">
        <v>0</v>
      </c>
      <c r="AQ288">
        <v>0</v>
      </c>
      <c r="AR288">
        <v>0</v>
      </c>
      <c r="AS288">
        <v>0</v>
      </c>
      <c r="AT288">
        <v>2527</v>
      </c>
      <c r="AU288">
        <v>2868</v>
      </c>
      <c r="AV288">
        <v>0</v>
      </c>
      <c r="AW288">
        <v>5395</v>
      </c>
      <c r="AX288">
        <v>3795</v>
      </c>
      <c r="AY288">
        <v>0</v>
      </c>
      <c r="AZ288">
        <v>0</v>
      </c>
      <c r="BA288">
        <v>3795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f t="shared" si="43"/>
        <v>39.344262295081968</v>
      </c>
      <c r="BH288">
        <v>27</v>
      </c>
      <c r="BI288">
        <v>24</v>
      </c>
      <c r="BJ288">
        <v>50</v>
      </c>
      <c r="BK288">
        <v>21</v>
      </c>
      <c r="BL288">
        <v>11</v>
      </c>
      <c r="BM288">
        <v>33</v>
      </c>
      <c r="BN288">
        <v>17</v>
      </c>
      <c r="BO288">
        <v>16</v>
      </c>
      <c r="BP288">
        <v>10</v>
      </c>
      <c r="BQ288">
        <v>43</v>
      </c>
      <c r="BR288">
        <v>69</v>
      </c>
      <c r="BS288">
        <v>19</v>
      </c>
      <c r="BT288">
        <v>340</v>
      </c>
      <c r="BU288">
        <v>53</v>
      </c>
      <c r="BV288">
        <v>121</v>
      </c>
      <c r="BW288">
        <v>100</v>
      </c>
      <c r="BX288">
        <v>100</v>
      </c>
      <c r="BY288">
        <v>49</v>
      </c>
      <c r="BZ288">
        <v>34</v>
      </c>
      <c r="CA288">
        <v>457</v>
      </c>
      <c r="CB288">
        <v>20</v>
      </c>
      <c r="CC288">
        <v>8</v>
      </c>
      <c r="CD288">
        <v>18</v>
      </c>
      <c r="CE288">
        <v>50</v>
      </c>
      <c r="CF288">
        <v>2.78</v>
      </c>
      <c r="CG288">
        <v>0</v>
      </c>
      <c r="CH288">
        <v>0</v>
      </c>
      <c r="CI288">
        <v>0</v>
      </c>
      <c r="CJ288">
        <v>0</v>
      </c>
      <c r="CK288">
        <v>1</v>
      </c>
      <c r="CL288">
        <v>1</v>
      </c>
      <c r="CM288">
        <v>0</v>
      </c>
      <c r="CN288">
        <v>34</v>
      </c>
      <c r="CO288">
        <v>0</v>
      </c>
      <c r="CP288">
        <v>2</v>
      </c>
      <c r="CQ288">
        <v>0</v>
      </c>
      <c r="CR288">
        <v>0</v>
      </c>
      <c r="CS288">
        <v>0</v>
      </c>
      <c r="CT288">
        <v>38</v>
      </c>
      <c r="CU288">
        <v>0</v>
      </c>
      <c r="CV288">
        <v>0</v>
      </c>
      <c r="CW288">
        <v>6</v>
      </c>
      <c r="CX288">
        <v>0</v>
      </c>
      <c r="CY288">
        <v>48</v>
      </c>
      <c r="CZ288">
        <v>0</v>
      </c>
      <c r="DA288">
        <v>0</v>
      </c>
      <c r="DB288">
        <v>0</v>
      </c>
      <c r="DC288">
        <v>54</v>
      </c>
      <c r="DD288">
        <v>0</v>
      </c>
      <c r="DE288">
        <v>0</v>
      </c>
      <c r="DF288">
        <v>50</v>
      </c>
      <c r="DG288">
        <v>18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68</v>
      </c>
      <c r="DT288">
        <v>160</v>
      </c>
      <c r="DU288">
        <v>40</v>
      </c>
      <c r="DV288">
        <v>0</v>
      </c>
      <c r="DW288">
        <v>0</v>
      </c>
      <c r="DX288">
        <v>0</v>
      </c>
      <c r="DY288">
        <v>440</v>
      </c>
      <c r="DZ288">
        <v>330</v>
      </c>
      <c r="EA288">
        <v>660</v>
      </c>
      <c r="EB288">
        <v>440</v>
      </c>
      <c r="EC288">
        <v>330</v>
      </c>
      <c r="ED288">
        <v>825</v>
      </c>
      <c r="EE288">
        <v>1375</v>
      </c>
      <c r="EF288">
        <v>0</v>
      </c>
      <c r="EG288">
        <v>1</v>
      </c>
      <c r="EH288">
        <v>0.5</v>
      </c>
      <c r="EI288">
        <v>1.4</v>
      </c>
      <c r="EJ288">
        <v>0.2</v>
      </c>
      <c r="EK288">
        <v>0.9</v>
      </c>
    </row>
    <row r="289" spans="1:141" x14ac:dyDescent="0.25">
      <c r="A289" t="str">
        <f>[1]ingredient!B289</f>
        <v>Oregano</v>
      </c>
      <c r="B289" t="s">
        <v>372</v>
      </c>
      <c r="C289" s="7">
        <f>_xlfn.XLOOKUP(A289,[1]ingredient!$B$2:$B$521,[1]ingredient!$A$2:$A$521)</f>
        <v>288</v>
      </c>
      <c r="D289">
        <v>67</v>
      </c>
      <c r="E289">
        <v>2</v>
      </c>
      <c r="F289">
        <v>2</v>
      </c>
      <c r="G289">
        <v>10</v>
      </c>
      <c r="H289">
        <v>3</v>
      </c>
      <c r="I289">
        <v>10</v>
      </c>
      <c r="J289">
        <v>0.04</v>
      </c>
      <c r="K289">
        <v>82</v>
      </c>
      <c r="L289">
        <v>135</v>
      </c>
      <c r="M289">
        <v>68</v>
      </c>
      <c r="N289">
        <v>0</v>
      </c>
      <c r="O289">
        <v>810</v>
      </c>
      <c r="P289">
        <v>70</v>
      </c>
      <c r="Q289">
        <v>150</v>
      </c>
      <c r="R289">
        <v>1044</v>
      </c>
      <c r="S289">
        <v>1411</v>
      </c>
      <c r="T289">
        <v>200</v>
      </c>
      <c r="U289">
        <v>180</v>
      </c>
      <c r="V289">
        <v>2</v>
      </c>
      <c r="W289">
        <v>50</v>
      </c>
      <c r="X289">
        <v>0</v>
      </c>
      <c r="Y289">
        <v>45000</v>
      </c>
      <c r="Z289">
        <v>0</v>
      </c>
      <c r="AA289">
        <v>1000</v>
      </c>
      <c r="AB289">
        <v>300</v>
      </c>
      <c r="AC289">
        <v>3</v>
      </c>
      <c r="AD289">
        <v>330</v>
      </c>
      <c r="AE289">
        <v>310</v>
      </c>
      <c r="AF289">
        <v>53</v>
      </c>
      <c r="AG289">
        <v>39</v>
      </c>
      <c r="AH289">
        <v>17</v>
      </c>
      <c r="AI289">
        <v>34</v>
      </c>
      <c r="AJ289">
        <v>7384</v>
      </c>
      <c r="AK289">
        <v>900</v>
      </c>
      <c r="AL289">
        <v>185</v>
      </c>
      <c r="AM289">
        <v>300</v>
      </c>
      <c r="AN289">
        <v>34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3880</v>
      </c>
      <c r="AU289">
        <v>3880</v>
      </c>
      <c r="AV289">
        <v>0</v>
      </c>
      <c r="AW289">
        <v>7760</v>
      </c>
      <c r="AX289">
        <v>1843</v>
      </c>
      <c r="AY289">
        <v>0</v>
      </c>
      <c r="AZ289">
        <v>0</v>
      </c>
      <c r="BA289">
        <v>1843</v>
      </c>
      <c r="BB289">
        <v>0</v>
      </c>
      <c r="BC289">
        <v>0</v>
      </c>
      <c r="BD289">
        <v>0</v>
      </c>
      <c r="BE289">
        <v>97</v>
      </c>
      <c r="BF289">
        <v>97</v>
      </c>
      <c r="BG289">
        <f t="shared" si="43"/>
        <v>103.125</v>
      </c>
      <c r="BH289">
        <v>88</v>
      </c>
      <c r="BI289">
        <v>132</v>
      </c>
      <c r="BJ289">
        <v>110</v>
      </c>
      <c r="BK289">
        <v>26</v>
      </c>
      <c r="BL289">
        <v>22</v>
      </c>
      <c r="BM289">
        <v>66</v>
      </c>
      <c r="BN289">
        <v>44</v>
      </c>
      <c r="BO289">
        <v>77</v>
      </c>
      <c r="BP289">
        <v>22</v>
      </c>
      <c r="BQ289">
        <v>88</v>
      </c>
      <c r="BR289">
        <v>88</v>
      </c>
      <c r="BS289">
        <v>33</v>
      </c>
      <c r="BT289">
        <v>796</v>
      </c>
      <c r="BU289">
        <v>110</v>
      </c>
      <c r="BV289">
        <v>220</v>
      </c>
      <c r="BW289">
        <v>330</v>
      </c>
      <c r="BX289">
        <v>62</v>
      </c>
      <c r="BY289">
        <v>88</v>
      </c>
      <c r="BZ289">
        <v>66</v>
      </c>
      <c r="CA289">
        <v>876</v>
      </c>
      <c r="CB289">
        <v>15</v>
      </c>
      <c r="CC289">
        <v>6</v>
      </c>
      <c r="CD289">
        <v>783</v>
      </c>
      <c r="CE289">
        <v>195</v>
      </c>
      <c r="CF289">
        <v>0.25</v>
      </c>
      <c r="CG289">
        <v>0</v>
      </c>
      <c r="CH289">
        <v>0</v>
      </c>
      <c r="CI289">
        <v>0</v>
      </c>
      <c r="CJ289">
        <v>6</v>
      </c>
      <c r="CK289">
        <v>3</v>
      </c>
      <c r="CL289">
        <v>35</v>
      </c>
      <c r="CM289">
        <v>0</v>
      </c>
      <c r="CN289">
        <v>333</v>
      </c>
      <c r="CO289">
        <v>0</v>
      </c>
      <c r="CP289">
        <v>120</v>
      </c>
      <c r="CQ289">
        <v>0</v>
      </c>
      <c r="CR289">
        <v>0</v>
      </c>
      <c r="CS289">
        <v>0</v>
      </c>
      <c r="CT289">
        <v>497</v>
      </c>
      <c r="CU289">
        <v>0</v>
      </c>
      <c r="CV289">
        <v>0</v>
      </c>
      <c r="CW289">
        <v>29</v>
      </c>
      <c r="CX289">
        <v>0</v>
      </c>
      <c r="CY289">
        <v>96</v>
      </c>
      <c r="CZ289">
        <v>0</v>
      </c>
      <c r="DA289">
        <v>0</v>
      </c>
      <c r="DB289">
        <v>0</v>
      </c>
      <c r="DC289">
        <v>125</v>
      </c>
      <c r="DD289">
        <v>0</v>
      </c>
      <c r="DE289">
        <v>0</v>
      </c>
      <c r="DF289">
        <v>195</v>
      </c>
      <c r="DG289">
        <v>783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978</v>
      </c>
      <c r="DT289">
        <v>1594</v>
      </c>
      <c r="DU289">
        <v>400</v>
      </c>
      <c r="DV289">
        <v>0</v>
      </c>
      <c r="DW289">
        <v>0</v>
      </c>
      <c r="DX289">
        <v>6</v>
      </c>
      <c r="DY289">
        <v>378</v>
      </c>
      <c r="DZ289">
        <v>504</v>
      </c>
      <c r="EA289">
        <v>680</v>
      </c>
      <c r="EB289">
        <v>880</v>
      </c>
      <c r="EC289">
        <v>76</v>
      </c>
      <c r="ED289">
        <v>755</v>
      </c>
      <c r="EE289">
        <v>1763</v>
      </c>
      <c r="EF289">
        <v>0</v>
      </c>
      <c r="EG289">
        <v>0.25</v>
      </c>
      <c r="EH289">
        <v>1</v>
      </c>
      <c r="EI289">
        <v>1.8</v>
      </c>
      <c r="EJ289">
        <v>2</v>
      </c>
      <c r="EK289">
        <v>1.7</v>
      </c>
    </row>
    <row r="290" spans="1:141" x14ac:dyDescent="0.25">
      <c r="A290" t="str">
        <f>[1]ingredient!B290</f>
        <v>Oregano, getrocknet</v>
      </c>
      <c r="B290" t="s">
        <v>373</v>
      </c>
      <c r="C290" s="7">
        <f>_xlfn.XLOOKUP(A290,[1]ingredient!$B$2:$B$521,[1]ingredient!$A$2:$A$521)</f>
        <v>289</v>
      </c>
      <c r="D290">
        <v>338</v>
      </c>
      <c r="E290">
        <v>10</v>
      </c>
      <c r="F290">
        <v>11</v>
      </c>
      <c r="G290">
        <v>50</v>
      </c>
      <c r="H290">
        <v>15</v>
      </c>
      <c r="I290">
        <v>49</v>
      </c>
      <c r="J290">
        <v>0.22</v>
      </c>
      <c r="K290">
        <v>7</v>
      </c>
      <c r="L290">
        <v>690</v>
      </c>
      <c r="M290">
        <v>345</v>
      </c>
      <c r="N290">
        <v>0</v>
      </c>
      <c r="O290">
        <v>4140</v>
      </c>
      <c r="P290">
        <v>341</v>
      </c>
      <c r="Q290">
        <v>0</v>
      </c>
      <c r="R290">
        <v>6200</v>
      </c>
      <c r="S290">
        <v>8033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15</v>
      </c>
      <c r="AD290">
        <v>1670</v>
      </c>
      <c r="AE290">
        <v>1576</v>
      </c>
      <c r="AF290">
        <v>270</v>
      </c>
      <c r="AG290">
        <v>200</v>
      </c>
      <c r="AH290">
        <v>100</v>
      </c>
      <c r="AI290">
        <v>200</v>
      </c>
      <c r="AJ290">
        <v>44000</v>
      </c>
      <c r="AK290">
        <v>4430</v>
      </c>
      <c r="AL290">
        <v>940</v>
      </c>
      <c r="AM290">
        <v>1400</v>
      </c>
      <c r="AN290">
        <v>200</v>
      </c>
      <c r="AO290">
        <v>5</v>
      </c>
      <c r="AP290">
        <v>0</v>
      </c>
      <c r="AQ290">
        <v>0</v>
      </c>
      <c r="AR290">
        <v>0</v>
      </c>
      <c r="AS290">
        <v>0</v>
      </c>
      <c r="AT290">
        <v>19800</v>
      </c>
      <c r="AU290">
        <v>19800</v>
      </c>
      <c r="AV290">
        <v>0</v>
      </c>
      <c r="AW290">
        <v>39600</v>
      </c>
      <c r="AX290">
        <v>9405</v>
      </c>
      <c r="AY290">
        <v>0</v>
      </c>
      <c r="AZ290">
        <v>0</v>
      </c>
      <c r="BA290">
        <v>9405</v>
      </c>
      <c r="BB290">
        <v>0</v>
      </c>
      <c r="BC290">
        <v>0</v>
      </c>
      <c r="BD290">
        <v>0</v>
      </c>
      <c r="BE290">
        <v>495</v>
      </c>
      <c r="BF290">
        <v>495</v>
      </c>
      <c r="BG290">
        <f t="shared" si="43"/>
        <v>93.75</v>
      </c>
      <c r="BH290">
        <v>440</v>
      </c>
      <c r="BI290">
        <v>660</v>
      </c>
      <c r="BJ290">
        <v>550</v>
      </c>
      <c r="BK290">
        <v>132</v>
      </c>
      <c r="BL290">
        <v>110</v>
      </c>
      <c r="BM290">
        <v>330</v>
      </c>
      <c r="BN290">
        <v>220</v>
      </c>
      <c r="BO290">
        <v>385</v>
      </c>
      <c r="BP290">
        <v>110</v>
      </c>
      <c r="BQ290">
        <v>440</v>
      </c>
      <c r="BR290">
        <v>440</v>
      </c>
      <c r="BS290">
        <v>165</v>
      </c>
      <c r="BT290">
        <v>3982</v>
      </c>
      <c r="BU290">
        <v>550</v>
      </c>
      <c r="BV290">
        <v>1100</v>
      </c>
      <c r="BW290">
        <v>1650</v>
      </c>
      <c r="BX290">
        <v>308</v>
      </c>
      <c r="BY290">
        <v>440</v>
      </c>
      <c r="BZ290">
        <v>330</v>
      </c>
      <c r="CA290">
        <v>4378</v>
      </c>
      <c r="CB290">
        <v>166</v>
      </c>
      <c r="CC290">
        <v>69</v>
      </c>
      <c r="CD290">
        <v>2472</v>
      </c>
      <c r="CE290">
        <v>3297</v>
      </c>
      <c r="CF290">
        <v>1.33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41</v>
      </c>
      <c r="CM290">
        <v>0</v>
      </c>
      <c r="CN290">
        <v>1607</v>
      </c>
      <c r="CO290">
        <v>0</v>
      </c>
      <c r="CP290">
        <v>247</v>
      </c>
      <c r="CQ290">
        <v>0</v>
      </c>
      <c r="CR290">
        <v>0</v>
      </c>
      <c r="CS290">
        <v>0</v>
      </c>
      <c r="CT290">
        <v>1895</v>
      </c>
      <c r="CU290">
        <v>0</v>
      </c>
      <c r="CV290">
        <v>0</v>
      </c>
      <c r="CW290">
        <v>82</v>
      </c>
      <c r="CX290">
        <v>0</v>
      </c>
      <c r="CY290">
        <v>494</v>
      </c>
      <c r="CZ290">
        <v>0</v>
      </c>
      <c r="DA290">
        <v>0</v>
      </c>
      <c r="DB290">
        <v>0</v>
      </c>
      <c r="DC290">
        <v>576</v>
      </c>
      <c r="DD290">
        <v>0</v>
      </c>
      <c r="DE290">
        <v>0</v>
      </c>
      <c r="DF290">
        <v>3297</v>
      </c>
      <c r="DG290">
        <v>2472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5769</v>
      </c>
      <c r="DT290">
        <v>8240</v>
      </c>
      <c r="DU290">
        <v>2060</v>
      </c>
      <c r="DV290">
        <v>0</v>
      </c>
      <c r="DW290">
        <v>0</v>
      </c>
      <c r="DX290">
        <v>0</v>
      </c>
      <c r="DY290">
        <v>2244</v>
      </c>
      <c r="DZ290">
        <v>2992</v>
      </c>
      <c r="EA290">
        <v>4039</v>
      </c>
      <c r="EB290">
        <v>5236</v>
      </c>
      <c r="EC290">
        <v>449</v>
      </c>
      <c r="ED290">
        <v>4488</v>
      </c>
      <c r="EE290">
        <v>10472</v>
      </c>
      <c r="EF290">
        <v>0</v>
      </c>
      <c r="EG290">
        <v>0.3</v>
      </c>
      <c r="EH290">
        <v>7.1</v>
      </c>
      <c r="EI290">
        <v>10.5</v>
      </c>
      <c r="EJ290">
        <v>10.3</v>
      </c>
      <c r="EK290">
        <v>8.9</v>
      </c>
    </row>
    <row r="291" spans="1:141" x14ac:dyDescent="0.25">
      <c r="A291" t="str">
        <f>[1]ingredient!B291</f>
        <v>Oyster Sauce</v>
      </c>
      <c r="B291" t="s">
        <v>374</v>
      </c>
      <c r="C291" s="7">
        <f>_xlfn.XLOOKUP(A291,[1]ingredient!$B$2:$B$521,[1]ingredient!$A$2:$A$521)</f>
        <v>290</v>
      </c>
      <c r="D291">
        <v>78</v>
      </c>
      <c r="E291">
        <v>0.1</v>
      </c>
      <c r="F291">
        <v>7</v>
      </c>
      <c r="G291">
        <v>13</v>
      </c>
      <c r="H291">
        <v>0</v>
      </c>
      <c r="I291">
        <v>13</v>
      </c>
      <c r="J291">
        <v>6</v>
      </c>
      <c r="K291">
        <v>74</v>
      </c>
      <c r="L291">
        <v>0</v>
      </c>
      <c r="M291">
        <v>0</v>
      </c>
      <c r="N291">
        <v>0</v>
      </c>
      <c r="O291">
        <v>0</v>
      </c>
      <c r="P291">
        <v>100</v>
      </c>
      <c r="Q291">
        <v>100</v>
      </c>
      <c r="R291">
        <v>500</v>
      </c>
      <c r="S291">
        <v>1700</v>
      </c>
      <c r="T291">
        <v>100</v>
      </c>
      <c r="U291">
        <v>0</v>
      </c>
      <c r="V291">
        <v>1</v>
      </c>
      <c r="W291">
        <v>11</v>
      </c>
      <c r="X291">
        <v>1.5</v>
      </c>
      <c r="Y291">
        <v>3400</v>
      </c>
      <c r="Z291">
        <v>2</v>
      </c>
      <c r="AA291">
        <v>0</v>
      </c>
      <c r="AB291">
        <v>0</v>
      </c>
      <c r="AC291">
        <v>2500</v>
      </c>
      <c r="AD291">
        <v>101</v>
      </c>
      <c r="AE291">
        <v>37</v>
      </c>
      <c r="AF291">
        <v>17</v>
      </c>
      <c r="AG291">
        <v>80</v>
      </c>
      <c r="AH291">
        <v>97</v>
      </c>
      <c r="AI291">
        <v>3462</v>
      </c>
      <c r="AJ291">
        <v>1400</v>
      </c>
      <c r="AK291">
        <v>500</v>
      </c>
      <c r="AL291">
        <v>100</v>
      </c>
      <c r="AM291">
        <v>700</v>
      </c>
      <c r="AN291">
        <v>100</v>
      </c>
      <c r="AO291">
        <v>37</v>
      </c>
      <c r="AP291">
        <v>0</v>
      </c>
      <c r="AQ291">
        <v>0</v>
      </c>
      <c r="AR291">
        <v>0</v>
      </c>
      <c r="AS291">
        <v>0</v>
      </c>
      <c r="AT291">
        <v>337</v>
      </c>
      <c r="AU291">
        <v>436</v>
      </c>
      <c r="AV291">
        <v>0</v>
      </c>
      <c r="AW291">
        <v>773</v>
      </c>
      <c r="AX291">
        <v>11700</v>
      </c>
      <c r="AY291">
        <v>0</v>
      </c>
      <c r="AZ291">
        <v>0</v>
      </c>
      <c r="BA291">
        <v>11727</v>
      </c>
      <c r="BB291">
        <v>0</v>
      </c>
      <c r="BC291">
        <v>5</v>
      </c>
      <c r="BD291">
        <v>0</v>
      </c>
      <c r="BE291">
        <v>0</v>
      </c>
      <c r="BF291">
        <v>0</v>
      </c>
      <c r="BG291">
        <f t="shared" si="43"/>
        <v>115.22248243559719</v>
      </c>
      <c r="BH291">
        <v>302</v>
      </c>
      <c r="BI291">
        <v>492</v>
      </c>
      <c r="BJ291">
        <v>436</v>
      </c>
      <c r="BK291">
        <v>137</v>
      </c>
      <c r="BL291">
        <v>94</v>
      </c>
      <c r="BM291">
        <v>287</v>
      </c>
      <c r="BN291">
        <v>250</v>
      </c>
      <c r="BO291">
        <v>277</v>
      </c>
      <c r="BP291">
        <v>78</v>
      </c>
      <c r="BQ291">
        <v>359</v>
      </c>
      <c r="BR291">
        <v>468</v>
      </c>
      <c r="BS291">
        <v>159</v>
      </c>
      <c r="BT291">
        <v>3337</v>
      </c>
      <c r="BU291">
        <v>326</v>
      </c>
      <c r="BV291">
        <v>683</v>
      </c>
      <c r="BW291">
        <v>1152</v>
      </c>
      <c r="BX291">
        <v>305</v>
      </c>
      <c r="BY291">
        <v>349</v>
      </c>
      <c r="BZ291">
        <v>348</v>
      </c>
      <c r="CA291">
        <v>3163</v>
      </c>
      <c r="CB291">
        <v>33</v>
      </c>
      <c r="CC291">
        <v>11</v>
      </c>
      <c r="CD291">
        <v>7</v>
      </c>
      <c r="CE291">
        <v>2</v>
      </c>
      <c r="CF291">
        <v>0.27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2</v>
      </c>
      <c r="CM291">
        <v>0.2</v>
      </c>
      <c r="CN291">
        <v>11</v>
      </c>
      <c r="CO291">
        <v>0.4</v>
      </c>
      <c r="CP291">
        <v>4</v>
      </c>
      <c r="CQ291">
        <v>0.2</v>
      </c>
      <c r="CR291">
        <v>0.1</v>
      </c>
      <c r="CS291">
        <v>0.3</v>
      </c>
      <c r="CT291">
        <v>0</v>
      </c>
      <c r="CU291">
        <v>0</v>
      </c>
      <c r="CV291">
        <v>0</v>
      </c>
      <c r="CW291">
        <v>3</v>
      </c>
      <c r="CX291">
        <v>0</v>
      </c>
      <c r="CY291">
        <v>13</v>
      </c>
      <c r="CZ291">
        <v>2</v>
      </c>
      <c r="DA291">
        <v>2</v>
      </c>
      <c r="DB291">
        <v>0</v>
      </c>
      <c r="DC291">
        <v>0</v>
      </c>
      <c r="DD291">
        <v>1</v>
      </c>
      <c r="DE291">
        <v>0.2</v>
      </c>
      <c r="DF291">
        <v>0</v>
      </c>
      <c r="DG291">
        <v>0</v>
      </c>
      <c r="DH291">
        <v>2</v>
      </c>
      <c r="DI291">
        <v>0.3</v>
      </c>
      <c r="DJ291">
        <v>0.3</v>
      </c>
      <c r="DK291">
        <v>0.3</v>
      </c>
      <c r="DL291">
        <v>1</v>
      </c>
      <c r="DM291">
        <v>2</v>
      </c>
      <c r="DN291">
        <v>0.4</v>
      </c>
      <c r="DO291">
        <v>0.3</v>
      </c>
      <c r="DP291">
        <v>0</v>
      </c>
      <c r="DQ291">
        <v>1</v>
      </c>
      <c r="DR291">
        <v>2</v>
      </c>
      <c r="DS291">
        <v>0</v>
      </c>
      <c r="DT291">
        <v>78</v>
      </c>
      <c r="DU291">
        <v>22</v>
      </c>
      <c r="DV291">
        <v>30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350</v>
      </c>
      <c r="EH291">
        <v>6.3</v>
      </c>
      <c r="EI291">
        <v>0</v>
      </c>
      <c r="EJ291">
        <v>0.1</v>
      </c>
      <c r="EK291">
        <v>6.6</v>
      </c>
    </row>
    <row r="292" spans="1:141" x14ac:dyDescent="0.25">
      <c r="A292" t="str">
        <f>[1]ingredient!B292</f>
        <v>Pak-Choi</v>
      </c>
      <c r="B292" t="s">
        <v>375</v>
      </c>
      <c r="C292" s="7">
        <f>_xlfn.XLOOKUP(A292,[1]ingredient!$B$2:$B$521,[1]ingredient!$A$2:$A$521)</f>
        <v>291</v>
      </c>
      <c r="D292">
        <v>14</v>
      </c>
      <c r="E292">
        <v>0.3</v>
      </c>
      <c r="F292">
        <v>1</v>
      </c>
      <c r="G292">
        <v>1</v>
      </c>
      <c r="H292">
        <v>2</v>
      </c>
      <c r="I292">
        <v>1</v>
      </c>
      <c r="J292">
        <v>0.04</v>
      </c>
      <c r="K292">
        <v>94</v>
      </c>
      <c r="L292">
        <v>71</v>
      </c>
      <c r="M292">
        <v>35</v>
      </c>
      <c r="N292">
        <v>0</v>
      </c>
      <c r="O292">
        <v>425</v>
      </c>
      <c r="P292">
        <v>30</v>
      </c>
      <c r="Q292">
        <v>40</v>
      </c>
      <c r="R292">
        <v>400</v>
      </c>
      <c r="S292">
        <v>633</v>
      </c>
      <c r="T292">
        <v>200</v>
      </c>
      <c r="U292">
        <v>110</v>
      </c>
      <c r="V292">
        <v>1</v>
      </c>
      <c r="W292">
        <v>83</v>
      </c>
      <c r="X292">
        <v>0</v>
      </c>
      <c r="Y292">
        <v>26000</v>
      </c>
      <c r="Z292">
        <v>0</v>
      </c>
      <c r="AA292">
        <v>240</v>
      </c>
      <c r="AB292">
        <v>250</v>
      </c>
      <c r="AC292">
        <v>19</v>
      </c>
      <c r="AD292">
        <v>144</v>
      </c>
      <c r="AE292">
        <v>40</v>
      </c>
      <c r="AF292">
        <v>11</v>
      </c>
      <c r="AG292">
        <v>30</v>
      </c>
      <c r="AH292">
        <v>60</v>
      </c>
      <c r="AI292">
        <v>18</v>
      </c>
      <c r="AJ292">
        <v>600</v>
      </c>
      <c r="AK292">
        <v>340</v>
      </c>
      <c r="AL292">
        <v>20</v>
      </c>
      <c r="AM292">
        <v>280</v>
      </c>
      <c r="AN292">
        <v>15</v>
      </c>
      <c r="AO292">
        <v>0.3</v>
      </c>
      <c r="AP292">
        <v>0</v>
      </c>
      <c r="AQ292">
        <v>0</v>
      </c>
      <c r="AR292">
        <v>0</v>
      </c>
      <c r="AS292">
        <v>0</v>
      </c>
      <c r="AT292">
        <v>417</v>
      </c>
      <c r="AU292">
        <v>427</v>
      </c>
      <c r="AV292">
        <v>0</v>
      </c>
      <c r="AW292">
        <v>844</v>
      </c>
      <c r="AX292">
        <v>298</v>
      </c>
      <c r="AY292">
        <v>0</v>
      </c>
      <c r="AZ292">
        <v>0</v>
      </c>
      <c r="BA292">
        <v>298</v>
      </c>
      <c r="BB292">
        <v>0</v>
      </c>
      <c r="BC292">
        <v>0</v>
      </c>
      <c r="BD292">
        <v>0</v>
      </c>
      <c r="BE292">
        <v>48</v>
      </c>
      <c r="BF292">
        <v>48</v>
      </c>
      <c r="BG292">
        <f t="shared" si="43"/>
        <v>100</v>
      </c>
      <c r="BH292">
        <v>67</v>
      </c>
      <c r="BI292">
        <v>69</v>
      </c>
      <c r="BJ292">
        <v>62</v>
      </c>
      <c r="BK292">
        <v>12</v>
      </c>
      <c r="BL292">
        <v>11</v>
      </c>
      <c r="BM292">
        <v>39</v>
      </c>
      <c r="BN292">
        <v>29</v>
      </c>
      <c r="BO292">
        <v>44</v>
      </c>
      <c r="BP292">
        <v>14</v>
      </c>
      <c r="BQ292">
        <v>57</v>
      </c>
      <c r="BR292">
        <v>71</v>
      </c>
      <c r="BS292">
        <v>21</v>
      </c>
      <c r="BT292">
        <v>496</v>
      </c>
      <c r="BU292">
        <v>68</v>
      </c>
      <c r="BV292">
        <v>86</v>
      </c>
      <c r="BW292">
        <v>286</v>
      </c>
      <c r="BX292">
        <v>33</v>
      </c>
      <c r="BY292">
        <v>24</v>
      </c>
      <c r="BZ292">
        <v>38</v>
      </c>
      <c r="CA292">
        <v>535</v>
      </c>
      <c r="CB292">
        <v>25</v>
      </c>
      <c r="CC292">
        <v>10</v>
      </c>
      <c r="CD292">
        <v>99</v>
      </c>
      <c r="CE292">
        <v>26</v>
      </c>
      <c r="CF292">
        <v>0.26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66</v>
      </c>
      <c r="CO292">
        <v>0</v>
      </c>
      <c r="CP292">
        <v>8</v>
      </c>
      <c r="CQ292">
        <v>0</v>
      </c>
      <c r="CR292">
        <v>0</v>
      </c>
      <c r="CS292">
        <v>0</v>
      </c>
      <c r="CT292">
        <v>74</v>
      </c>
      <c r="CU292">
        <v>0</v>
      </c>
      <c r="CV292">
        <v>0</v>
      </c>
      <c r="CW292">
        <v>4</v>
      </c>
      <c r="CX292">
        <v>0</v>
      </c>
      <c r="CY292">
        <v>37</v>
      </c>
      <c r="CZ292">
        <v>0</v>
      </c>
      <c r="DA292">
        <v>0</v>
      </c>
      <c r="DB292">
        <v>0</v>
      </c>
      <c r="DC292">
        <v>41</v>
      </c>
      <c r="DD292">
        <v>0</v>
      </c>
      <c r="DE292">
        <v>0</v>
      </c>
      <c r="DF292">
        <v>26</v>
      </c>
      <c r="DG292">
        <v>99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125</v>
      </c>
      <c r="DT292">
        <v>240</v>
      </c>
      <c r="DU292">
        <v>60</v>
      </c>
      <c r="DV292">
        <v>0</v>
      </c>
      <c r="DW292">
        <v>0</v>
      </c>
      <c r="DX292">
        <v>0</v>
      </c>
      <c r="DY292">
        <v>399</v>
      </c>
      <c r="DZ292">
        <v>323</v>
      </c>
      <c r="EA292">
        <v>475</v>
      </c>
      <c r="EB292">
        <v>646</v>
      </c>
      <c r="EC292">
        <v>57</v>
      </c>
      <c r="ED292">
        <v>190</v>
      </c>
      <c r="EE292">
        <v>1710</v>
      </c>
      <c r="EF292">
        <v>0</v>
      </c>
      <c r="EG292">
        <v>0.4</v>
      </c>
      <c r="EH292">
        <v>0.6</v>
      </c>
      <c r="EI292">
        <v>1.7</v>
      </c>
      <c r="EJ292">
        <v>0.3</v>
      </c>
      <c r="EK292">
        <v>1.1000000000000001</v>
      </c>
    </row>
    <row r="293" spans="1:141" x14ac:dyDescent="0.25">
      <c r="A293" t="str">
        <f>[1]ingredient!B293</f>
        <v>Papaya</v>
      </c>
      <c r="B293" t="s">
        <v>376</v>
      </c>
      <c r="C293" s="7">
        <f>_xlfn.XLOOKUP(A293,[1]ingredient!$B$2:$B$521,[1]ingredient!$A$2:$A$521)</f>
        <v>292</v>
      </c>
      <c r="D293">
        <v>32</v>
      </c>
      <c r="E293">
        <v>0.09</v>
      </c>
      <c r="F293">
        <v>1</v>
      </c>
      <c r="G293">
        <v>7</v>
      </c>
      <c r="H293">
        <v>2</v>
      </c>
      <c r="I293">
        <v>7</v>
      </c>
      <c r="J293">
        <v>0.01</v>
      </c>
      <c r="K293">
        <v>90</v>
      </c>
      <c r="L293">
        <v>27</v>
      </c>
      <c r="M293">
        <v>14</v>
      </c>
      <c r="N293">
        <v>0</v>
      </c>
      <c r="O293">
        <v>165</v>
      </c>
      <c r="P293">
        <v>30</v>
      </c>
      <c r="Q293">
        <v>39</v>
      </c>
      <c r="R293">
        <v>300</v>
      </c>
      <c r="S293">
        <v>583</v>
      </c>
      <c r="T293">
        <v>218</v>
      </c>
      <c r="U293">
        <v>30</v>
      </c>
      <c r="V293">
        <v>2</v>
      </c>
      <c r="W293">
        <v>2</v>
      </c>
      <c r="X293">
        <v>0</v>
      </c>
      <c r="Y293">
        <v>80290</v>
      </c>
      <c r="Z293">
        <v>0</v>
      </c>
      <c r="AA293">
        <v>700</v>
      </c>
      <c r="AB293">
        <v>0</v>
      </c>
      <c r="AC293">
        <v>2</v>
      </c>
      <c r="AD293">
        <v>191</v>
      </c>
      <c r="AE293">
        <v>21</v>
      </c>
      <c r="AF293">
        <v>41</v>
      </c>
      <c r="AG293">
        <v>16</v>
      </c>
      <c r="AH293">
        <v>10</v>
      </c>
      <c r="AI293">
        <v>6</v>
      </c>
      <c r="AJ293">
        <v>420</v>
      </c>
      <c r="AK293">
        <v>376</v>
      </c>
      <c r="AL293">
        <v>35</v>
      </c>
      <c r="AM293">
        <v>23</v>
      </c>
      <c r="AN293">
        <v>15</v>
      </c>
      <c r="AO293">
        <v>2</v>
      </c>
      <c r="AP293">
        <v>0</v>
      </c>
      <c r="AQ293">
        <v>0</v>
      </c>
      <c r="AR293">
        <v>0</v>
      </c>
      <c r="AS293">
        <v>0</v>
      </c>
      <c r="AT293">
        <v>2517</v>
      </c>
      <c r="AU293">
        <v>2448</v>
      </c>
      <c r="AV293">
        <v>0</v>
      </c>
      <c r="AW293">
        <v>4965</v>
      </c>
      <c r="AX293">
        <v>2135</v>
      </c>
      <c r="AY293">
        <v>0</v>
      </c>
      <c r="AZ293">
        <v>0</v>
      </c>
      <c r="BA293">
        <v>2135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f t="shared" si="43"/>
        <v>21.739130434782609</v>
      </c>
      <c r="BH293">
        <v>17</v>
      </c>
      <c r="BI293">
        <v>35</v>
      </c>
      <c r="BJ293">
        <v>52</v>
      </c>
      <c r="BK293">
        <v>5</v>
      </c>
      <c r="BL293">
        <v>0</v>
      </c>
      <c r="BM293">
        <v>20</v>
      </c>
      <c r="BN293">
        <v>10</v>
      </c>
      <c r="BO293">
        <v>22</v>
      </c>
      <c r="BP293">
        <v>17</v>
      </c>
      <c r="BQ293">
        <v>20</v>
      </c>
      <c r="BR293">
        <v>20</v>
      </c>
      <c r="BS293">
        <v>10</v>
      </c>
      <c r="BT293">
        <v>228</v>
      </c>
      <c r="BU293">
        <v>30</v>
      </c>
      <c r="BV293">
        <v>103</v>
      </c>
      <c r="BW293">
        <v>69</v>
      </c>
      <c r="BX293">
        <v>39</v>
      </c>
      <c r="BY293">
        <v>20</v>
      </c>
      <c r="BZ293">
        <v>32</v>
      </c>
      <c r="CA293">
        <v>293</v>
      </c>
      <c r="CB293">
        <v>15</v>
      </c>
      <c r="CC293">
        <v>6</v>
      </c>
      <c r="CD293">
        <v>16</v>
      </c>
      <c r="CE293">
        <v>4</v>
      </c>
      <c r="CF293">
        <v>0.25</v>
      </c>
      <c r="CG293">
        <v>0</v>
      </c>
      <c r="CH293">
        <v>0</v>
      </c>
      <c r="CI293">
        <v>0</v>
      </c>
      <c r="CJ293">
        <v>0</v>
      </c>
      <c r="CK293">
        <v>1</v>
      </c>
      <c r="CL293">
        <v>5</v>
      </c>
      <c r="CM293">
        <v>0</v>
      </c>
      <c r="CN293">
        <v>20</v>
      </c>
      <c r="CO293">
        <v>0</v>
      </c>
      <c r="CP293">
        <v>1</v>
      </c>
      <c r="CQ293">
        <v>0</v>
      </c>
      <c r="CR293">
        <v>0</v>
      </c>
      <c r="CS293">
        <v>0</v>
      </c>
      <c r="CT293">
        <v>27</v>
      </c>
      <c r="CU293">
        <v>0</v>
      </c>
      <c r="CV293">
        <v>0</v>
      </c>
      <c r="CW293">
        <v>13</v>
      </c>
      <c r="CX293">
        <v>0</v>
      </c>
      <c r="CY293">
        <v>12</v>
      </c>
      <c r="CZ293">
        <v>0</v>
      </c>
      <c r="DA293">
        <v>0</v>
      </c>
      <c r="DB293">
        <v>0</v>
      </c>
      <c r="DC293">
        <v>25</v>
      </c>
      <c r="DD293">
        <v>0</v>
      </c>
      <c r="DE293">
        <v>0</v>
      </c>
      <c r="DF293">
        <v>4</v>
      </c>
      <c r="DG293">
        <v>16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20</v>
      </c>
      <c r="DT293">
        <v>72</v>
      </c>
      <c r="DU293">
        <v>18</v>
      </c>
      <c r="DV293">
        <v>0</v>
      </c>
      <c r="DW293">
        <v>0</v>
      </c>
      <c r="DX293">
        <v>0</v>
      </c>
      <c r="DY293">
        <v>418</v>
      </c>
      <c r="DZ293">
        <v>323</v>
      </c>
      <c r="EA293">
        <v>418</v>
      </c>
      <c r="EB293">
        <v>399</v>
      </c>
      <c r="EC293">
        <v>342</v>
      </c>
      <c r="ED293">
        <v>790</v>
      </c>
      <c r="EE293">
        <v>1110</v>
      </c>
      <c r="EF293">
        <v>0</v>
      </c>
      <c r="EG293">
        <v>0.06</v>
      </c>
      <c r="EH293">
        <v>0.6</v>
      </c>
      <c r="EI293">
        <v>1.1000000000000001</v>
      </c>
      <c r="EJ293">
        <v>0.1</v>
      </c>
      <c r="EK293">
        <v>0.6</v>
      </c>
    </row>
    <row r="294" spans="1:141" x14ac:dyDescent="0.25">
      <c r="A294" t="str">
        <f>[1]ingredient!B294</f>
        <v>Paprika edelsüß</v>
      </c>
      <c r="B294" t="s">
        <v>377</v>
      </c>
      <c r="C294" s="7">
        <f>_xlfn.XLOOKUP(A294,[1]ingredient!$B$2:$B$521,[1]ingredient!$A$2:$A$521)</f>
        <v>293</v>
      </c>
      <c r="D294">
        <v>317</v>
      </c>
      <c r="E294">
        <v>13</v>
      </c>
      <c r="F294">
        <v>15</v>
      </c>
      <c r="G294">
        <v>35</v>
      </c>
      <c r="H294">
        <v>21</v>
      </c>
      <c r="I294">
        <v>33</v>
      </c>
      <c r="J294">
        <v>0.25</v>
      </c>
      <c r="K294">
        <v>9</v>
      </c>
      <c r="L294">
        <v>6042</v>
      </c>
      <c r="M294">
        <v>3021</v>
      </c>
      <c r="N294">
        <v>0</v>
      </c>
      <c r="O294">
        <v>36250</v>
      </c>
      <c r="P294">
        <v>650</v>
      </c>
      <c r="Q294">
        <v>1740</v>
      </c>
      <c r="R294">
        <v>15300</v>
      </c>
      <c r="S294">
        <v>17767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34</v>
      </c>
      <c r="AD294">
        <v>2340</v>
      </c>
      <c r="AE294">
        <v>180</v>
      </c>
      <c r="AF294">
        <v>190</v>
      </c>
      <c r="AG294">
        <v>350</v>
      </c>
      <c r="AH294">
        <v>100</v>
      </c>
      <c r="AI294">
        <v>220</v>
      </c>
      <c r="AJ294">
        <v>23600</v>
      </c>
      <c r="AK294">
        <v>4100</v>
      </c>
      <c r="AL294">
        <v>610</v>
      </c>
      <c r="AM294">
        <v>800</v>
      </c>
      <c r="AN294">
        <v>400</v>
      </c>
      <c r="AO294">
        <v>5</v>
      </c>
      <c r="AP294">
        <v>0</v>
      </c>
      <c r="AQ294">
        <v>0</v>
      </c>
      <c r="AR294">
        <v>0</v>
      </c>
      <c r="AS294">
        <v>0</v>
      </c>
      <c r="AT294">
        <v>17450</v>
      </c>
      <c r="AU294">
        <v>14309</v>
      </c>
      <c r="AV294">
        <v>0</v>
      </c>
      <c r="AW294">
        <v>31759</v>
      </c>
      <c r="AX294">
        <v>1396</v>
      </c>
      <c r="AY294">
        <v>0</v>
      </c>
      <c r="AZ294">
        <v>0</v>
      </c>
      <c r="BA294">
        <v>1396</v>
      </c>
      <c r="BB294">
        <v>0</v>
      </c>
      <c r="BC294">
        <v>0</v>
      </c>
      <c r="BD294">
        <v>0</v>
      </c>
      <c r="BE294">
        <v>1745</v>
      </c>
      <c r="BF294">
        <v>1745</v>
      </c>
      <c r="BG294">
        <f t="shared" si="43"/>
        <v>80.874316939890718</v>
      </c>
      <c r="BH294">
        <v>444</v>
      </c>
      <c r="BI294">
        <v>740</v>
      </c>
      <c r="BJ294">
        <v>740</v>
      </c>
      <c r="BK294">
        <v>222</v>
      </c>
      <c r="BL294">
        <v>148</v>
      </c>
      <c r="BM294">
        <v>518</v>
      </c>
      <c r="BN294">
        <v>296</v>
      </c>
      <c r="BO294">
        <v>370</v>
      </c>
      <c r="BP294">
        <v>148</v>
      </c>
      <c r="BQ294">
        <v>592</v>
      </c>
      <c r="BR294">
        <v>666</v>
      </c>
      <c r="BS294">
        <v>222</v>
      </c>
      <c r="BT294">
        <v>5106</v>
      </c>
      <c r="BU294">
        <v>888</v>
      </c>
      <c r="BV294">
        <v>2220</v>
      </c>
      <c r="BW294">
        <v>2072</v>
      </c>
      <c r="BX294">
        <v>592</v>
      </c>
      <c r="BY294">
        <v>518</v>
      </c>
      <c r="BZ294">
        <v>592</v>
      </c>
      <c r="CA294">
        <v>6882</v>
      </c>
      <c r="CB294">
        <v>180</v>
      </c>
      <c r="CC294">
        <v>75</v>
      </c>
      <c r="CD294">
        <v>901</v>
      </c>
      <c r="CE294">
        <v>7464</v>
      </c>
      <c r="CF294">
        <v>8.2799999999999994</v>
      </c>
      <c r="CG294">
        <v>0</v>
      </c>
      <c r="CH294">
        <v>0</v>
      </c>
      <c r="CI294">
        <v>0</v>
      </c>
      <c r="CJ294">
        <v>0</v>
      </c>
      <c r="CK294">
        <v>222</v>
      </c>
      <c r="CL294">
        <v>527</v>
      </c>
      <c r="CM294">
        <v>0</v>
      </c>
      <c r="CN294">
        <v>1018</v>
      </c>
      <c r="CO294">
        <v>0</v>
      </c>
      <c r="CP294">
        <v>339</v>
      </c>
      <c r="CQ294">
        <v>0</v>
      </c>
      <c r="CR294">
        <v>0</v>
      </c>
      <c r="CS294">
        <v>0</v>
      </c>
      <c r="CT294">
        <v>2106</v>
      </c>
      <c r="CU294">
        <v>0</v>
      </c>
      <c r="CV294">
        <v>0</v>
      </c>
      <c r="CW294">
        <v>117</v>
      </c>
      <c r="CX294">
        <v>0</v>
      </c>
      <c r="CY294">
        <v>1112</v>
      </c>
      <c r="CZ294">
        <v>0</v>
      </c>
      <c r="DA294">
        <v>0</v>
      </c>
      <c r="DB294">
        <v>0</v>
      </c>
      <c r="DC294">
        <v>1229</v>
      </c>
      <c r="DD294">
        <v>0</v>
      </c>
      <c r="DE294">
        <v>0</v>
      </c>
      <c r="DF294">
        <v>7464</v>
      </c>
      <c r="DG294">
        <v>901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8365</v>
      </c>
      <c r="DT294">
        <v>11700</v>
      </c>
      <c r="DU294">
        <v>1300</v>
      </c>
      <c r="DV294">
        <v>0</v>
      </c>
      <c r="DW294">
        <v>0</v>
      </c>
      <c r="DX294">
        <v>0</v>
      </c>
      <c r="DY294">
        <v>4598</v>
      </c>
      <c r="DZ294">
        <v>3762</v>
      </c>
      <c r="EA294">
        <v>4180</v>
      </c>
      <c r="EB294">
        <v>4180</v>
      </c>
      <c r="EC294">
        <v>4180</v>
      </c>
      <c r="ED294">
        <v>6270</v>
      </c>
      <c r="EE294">
        <v>14630</v>
      </c>
      <c r="EF294">
        <v>0</v>
      </c>
      <c r="EG294">
        <v>0.04</v>
      </c>
      <c r="EH294">
        <v>7</v>
      </c>
      <c r="EI294">
        <v>14.6</v>
      </c>
      <c r="EJ294">
        <v>13</v>
      </c>
      <c r="EK294">
        <v>12.6</v>
      </c>
    </row>
    <row r="295" spans="1:141" x14ac:dyDescent="0.25">
      <c r="A295" t="str">
        <f>[1]ingredient!B295</f>
        <v>Paprika gelb</v>
      </c>
      <c r="B295" t="s">
        <v>378</v>
      </c>
      <c r="C295" s="7">
        <f>_xlfn.XLOOKUP(A295,[1]ingredient!$B$2:$B$521,[1]ingredient!$A$2:$A$521)</f>
        <v>294</v>
      </c>
      <c r="D295">
        <v>30</v>
      </c>
      <c r="E295">
        <v>0.3</v>
      </c>
      <c r="F295">
        <v>1</v>
      </c>
      <c r="G295">
        <v>5</v>
      </c>
      <c r="H295">
        <v>4</v>
      </c>
      <c r="I295">
        <v>5</v>
      </c>
      <c r="J295">
        <v>0.02</v>
      </c>
      <c r="K295">
        <v>89</v>
      </c>
      <c r="L295">
        <v>31</v>
      </c>
      <c r="M295">
        <v>11</v>
      </c>
      <c r="N295">
        <v>0</v>
      </c>
      <c r="O295">
        <v>135</v>
      </c>
      <c r="P295">
        <v>10</v>
      </c>
      <c r="Q295">
        <v>20</v>
      </c>
      <c r="R295">
        <v>700</v>
      </c>
      <c r="S295">
        <v>900</v>
      </c>
      <c r="T295">
        <v>80</v>
      </c>
      <c r="U295">
        <v>330</v>
      </c>
      <c r="V295">
        <v>3</v>
      </c>
      <c r="W295">
        <v>18</v>
      </c>
      <c r="X295">
        <v>0</v>
      </c>
      <c r="Y295">
        <v>130000</v>
      </c>
      <c r="Z295">
        <v>0</v>
      </c>
      <c r="AA295">
        <v>2519</v>
      </c>
      <c r="AB295">
        <v>5</v>
      </c>
      <c r="AC295">
        <v>4</v>
      </c>
      <c r="AD295">
        <v>220</v>
      </c>
      <c r="AE295">
        <v>8</v>
      </c>
      <c r="AF295">
        <v>16</v>
      </c>
      <c r="AG295">
        <v>26</v>
      </c>
      <c r="AH295">
        <v>19</v>
      </c>
      <c r="AI295">
        <v>15</v>
      </c>
      <c r="AJ295">
        <v>400</v>
      </c>
      <c r="AK295">
        <v>100</v>
      </c>
      <c r="AL295">
        <v>20</v>
      </c>
      <c r="AM295">
        <v>100</v>
      </c>
      <c r="AN295">
        <v>20</v>
      </c>
      <c r="AO295">
        <v>2</v>
      </c>
      <c r="AP295">
        <v>0</v>
      </c>
      <c r="AQ295">
        <v>0</v>
      </c>
      <c r="AR295">
        <v>0</v>
      </c>
      <c r="AS295">
        <v>0</v>
      </c>
      <c r="AT295">
        <v>2650</v>
      </c>
      <c r="AU295">
        <v>2173</v>
      </c>
      <c r="AV295">
        <v>0</v>
      </c>
      <c r="AW295">
        <v>4823</v>
      </c>
      <c r="AX295">
        <v>212</v>
      </c>
      <c r="AY295">
        <v>0</v>
      </c>
      <c r="AZ295">
        <v>0</v>
      </c>
      <c r="BA295">
        <v>212</v>
      </c>
      <c r="BB295">
        <v>0</v>
      </c>
      <c r="BC295">
        <v>0</v>
      </c>
      <c r="BD295">
        <v>0</v>
      </c>
      <c r="BE295">
        <v>265</v>
      </c>
      <c r="BF295">
        <v>265</v>
      </c>
      <c r="BG295">
        <f t="shared" si="43"/>
        <v>90.163934426229503</v>
      </c>
      <c r="BH295">
        <v>40</v>
      </c>
      <c r="BI295">
        <v>55</v>
      </c>
      <c r="BJ295">
        <v>52</v>
      </c>
      <c r="BK295">
        <v>11</v>
      </c>
      <c r="BL295">
        <v>22</v>
      </c>
      <c r="BM295">
        <v>46</v>
      </c>
      <c r="BN295">
        <v>24</v>
      </c>
      <c r="BO295">
        <v>42</v>
      </c>
      <c r="BP295">
        <v>12</v>
      </c>
      <c r="BQ295">
        <v>43</v>
      </c>
      <c r="BR295">
        <v>46</v>
      </c>
      <c r="BS295">
        <v>18</v>
      </c>
      <c r="BT295">
        <v>411</v>
      </c>
      <c r="BU295">
        <v>48</v>
      </c>
      <c r="BV295">
        <v>169</v>
      </c>
      <c r="BW295">
        <v>163</v>
      </c>
      <c r="BX295">
        <v>43</v>
      </c>
      <c r="BY295">
        <v>48</v>
      </c>
      <c r="BZ295">
        <v>54</v>
      </c>
      <c r="CA295">
        <v>525</v>
      </c>
      <c r="CB295">
        <v>10</v>
      </c>
      <c r="CC295">
        <v>4</v>
      </c>
      <c r="CD295">
        <v>29</v>
      </c>
      <c r="CE295">
        <v>138</v>
      </c>
      <c r="CF295">
        <v>4.76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7</v>
      </c>
      <c r="CM295">
        <v>0</v>
      </c>
      <c r="CN295">
        <v>37</v>
      </c>
      <c r="CO295">
        <v>0</v>
      </c>
      <c r="CP295">
        <v>10</v>
      </c>
      <c r="CQ295">
        <v>0</v>
      </c>
      <c r="CR295">
        <v>0</v>
      </c>
      <c r="CS295">
        <v>0</v>
      </c>
      <c r="CT295">
        <v>54</v>
      </c>
      <c r="CU295">
        <v>0</v>
      </c>
      <c r="CV295">
        <v>0</v>
      </c>
      <c r="CW295">
        <v>1</v>
      </c>
      <c r="CX295">
        <v>0</v>
      </c>
      <c r="CY295">
        <v>18</v>
      </c>
      <c r="CZ295">
        <v>0</v>
      </c>
      <c r="DA295">
        <v>0</v>
      </c>
      <c r="DB295">
        <v>0</v>
      </c>
      <c r="DC295">
        <v>19</v>
      </c>
      <c r="DD295">
        <v>0</v>
      </c>
      <c r="DE295">
        <v>0</v>
      </c>
      <c r="DF295">
        <v>138</v>
      </c>
      <c r="DG295">
        <v>29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167</v>
      </c>
      <c r="DT295">
        <v>240</v>
      </c>
      <c r="DU295">
        <v>60</v>
      </c>
      <c r="DV295">
        <v>0</v>
      </c>
      <c r="DW295">
        <v>0</v>
      </c>
      <c r="DX295">
        <v>0</v>
      </c>
      <c r="DY295">
        <v>251</v>
      </c>
      <c r="DZ295">
        <v>431</v>
      </c>
      <c r="EA295">
        <v>1257</v>
      </c>
      <c r="EB295">
        <v>1149</v>
      </c>
      <c r="EC295">
        <v>503</v>
      </c>
      <c r="ED295">
        <v>539</v>
      </c>
      <c r="EE295">
        <v>3052</v>
      </c>
      <c r="EF295">
        <v>0</v>
      </c>
      <c r="EG295">
        <v>0.33</v>
      </c>
      <c r="EH295">
        <v>0.6</v>
      </c>
      <c r="EI295">
        <v>3.1</v>
      </c>
      <c r="EJ295">
        <v>0.3</v>
      </c>
      <c r="EK295">
        <v>1</v>
      </c>
    </row>
    <row r="296" spans="1:141" x14ac:dyDescent="0.25">
      <c r="A296" t="str">
        <f>[1]ingredient!B296</f>
        <v>Paprika geräuchert</v>
      </c>
      <c r="B296" t="s">
        <v>379</v>
      </c>
      <c r="C296" s="7">
        <f>_xlfn.XLOOKUP(A296,[1]ingredient!$B$2:$B$521,[1]ingredient!$A$2:$A$521)</f>
        <v>295</v>
      </c>
      <c r="D296">
        <v>317</v>
      </c>
      <c r="E296">
        <v>13</v>
      </c>
      <c r="F296">
        <v>15</v>
      </c>
      <c r="G296">
        <v>35</v>
      </c>
      <c r="H296">
        <v>21</v>
      </c>
      <c r="I296">
        <v>33</v>
      </c>
      <c r="J296">
        <v>0.25</v>
      </c>
      <c r="K296">
        <v>9</v>
      </c>
      <c r="L296">
        <v>6042</v>
      </c>
      <c r="M296">
        <v>3021</v>
      </c>
      <c r="N296">
        <v>0</v>
      </c>
      <c r="O296">
        <v>36250</v>
      </c>
      <c r="P296">
        <v>650</v>
      </c>
      <c r="Q296">
        <v>1740</v>
      </c>
      <c r="R296">
        <v>15300</v>
      </c>
      <c r="S296">
        <v>17767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34</v>
      </c>
      <c r="AD296">
        <v>2340</v>
      </c>
      <c r="AE296">
        <v>180</v>
      </c>
      <c r="AF296">
        <v>190</v>
      </c>
      <c r="AG296">
        <v>350</v>
      </c>
      <c r="AH296">
        <v>100</v>
      </c>
      <c r="AI296">
        <v>220</v>
      </c>
      <c r="AJ296">
        <v>23600</v>
      </c>
      <c r="AK296">
        <v>4100</v>
      </c>
      <c r="AL296">
        <v>610</v>
      </c>
      <c r="AM296">
        <v>800</v>
      </c>
      <c r="AN296">
        <v>400</v>
      </c>
      <c r="AO296">
        <v>5</v>
      </c>
      <c r="AP296">
        <v>0</v>
      </c>
      <c r="AQ296">
        <v>0</v>
      </c>
      <c r="AR296">
        <v>0</v>
      </c>
      <c r="AS296">
        <v>0</v>
      </c>
      <c r="AT296">
        <v>17450</v>
      </c>
      <c r="AU296">
        <v>14309</v>
      </c>
      <c r="AV296">
        <v>0</v>
      </c>
      <c r="AW296">
        <v>31759</v>
      </c>
      <c r="AX296">
        <v>1396</v>
      </c>
      <c r="AY296">
        <v>0</v>
      </c>
      <c r="AZ296">
        <v>0</v>
      </c>
      <c r="BA296">
        <v>1396</v>
      </c>
      <c r="BB296">
        <v>0</v>
      </c>
      <c r="BC296">
        <v>0</v>
      </c>
      <c r="BD296">
        <v>0</v>
      </c>
      <c r="BE296">
        <v>1745</v>
      </c>
      <c r="BF296">
        <v>1745</v>
      </c>
      <c r="BG296">
        <f t="shared" si="43"/>
        <v>80.874316939890718</v>
      </c>
      <c r="BH296">
        <v>444</v>
      </c>
      <c r="BI296">
        <v>740</v>
      </c>
      <c r="BJ296">
        <v>740</v>
      </c>
      <c r="BK296">
        <v>222</v>
      </c>
      <c r="BL296">
        <v>148</v>
      </c>
      <c r="BM296">
        <v>518</v>
      </c>
      <c r="BN296">
        <v>296</v>
      </c>
      <c r="BO296">
        <v>370</v>
      </c>
      <c r="BP296">
        <v>148</v>
      </c>
      <c r="BQ296">
        <v>592</v>
      </c>
      <c r="BR296">
        <v>666</v>
      </c>
      <c r="BS296">
        <v>222</v>
      </c>
      <c r="BT296">
        <v>5106</v>
      </c>
      <c r="BU296">
        <v>888</v>
      </c>
      <c r="BV296">
        <v>2220</v>
      </c>
      <c r="BW296">
        <v>2072</v>
      </c>
      <c r="BX296">
        <v>592</v>
      </c>
      <c r="BY296">
        <v>518</v>
      </c>
      <c r="BZ296">
        <v>592</v>
      </c>
      <c r="CA296">
        <v>6882</v>
      </c>
      <c r="CB296">
        <v>180</v>
      </c>
      <c r="CC296">
        <v>75</v>
      </c>
      <c r="CD296">
        <v>901</v>
      </c>
      <c r="CE296">
        <v>7464</v>
      </c>
      <c r="CF296">
        <v>8.2799999999999994</v>
      </c>
      <c r="CG296">
        <v>0</v>
      </c>
      <c r="CH296">
        <v>0</v>
      </c>
      <c r="CI296">
        <v>0</v>
      </c>
      <c r="CJ296">
        <v>0</v>
      </c>
      <c r="CK296">
        <v>222</v>
      </c>
      <c r="CL296">
        <v>527</v>
      </c>
      <c r="CM296">
        <v>0</v>
      </c>
      <c r="CN296">
        <v>1018</v>
      </c>
      <c r="CO296">
        <v>0</v>
      </c>
      <c r="CP296">
        <v>339</v>
      </c>
      <c r="CQ296">
        <v>0</v>
      </c>
      <c r="CR296">
        <v>0</v>
      </c>
      <c r="CS296">
        <v>0</v>
      </c>
      <c r="CT296">
        <v>2106</v>
      </c>
      <c r="CU296">
        <v>0</v>
      </c>
      <c r="CV296">
        <v>0</v>
      </c>
      <c r="CW296">
        <v>117</v>
      </c>
      <c r="CX296">
        <v>0</v>
      </c>
      <c r="CY296">
        <v>1112</v>
      </c>
      <c r="CZ296">
        <v>0</v>
      </c>
      <c r="DA296">
        <v>0</v>
      </c>
      <c r="DB296">
        <v>0</v>
      </c>
      <c r="DC296">
        <v>1229</v>
      </c>
      <c r="DD296">
        <v>0</v>
      </c>
      <c r="DE296">
        <v>0</v>
      </c>
      <c r="DF296">
        <v>7464</v>
      </c>
      <c r="DG296">
        <v>901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8365</v>
      </c>
      <c r="DT296">
        <v>11700</v>
      </c>
      <c r="DU296">
        <v>1300</v>
      </c>
      <c r="DV296">
        <v>0</v>
      </c>
      <c r="DW296">
        <v>0</v>
      </c>
      <c r="DX296">
        <v>0</v>
      </c>
      <c r="DY296">
        <v>4598</v>
      </c>
      <c r="DZ296">
        <v>3762</v>
      </c>
      <c r="EA296">
        <v>4180</v>
      </c>
      <c r="EB296">
        <v>4180</v>
      </c>
      <c r="EC296">
        <v>4180</v>
      </c>
      <c r="ED296">
        <v>6270</v>
      </c>
      <c r="EE296">
        <v>14630</v>
      </c>
      <c r="EF296">
        <v>0</v>
      </c>
      <c r="EG296">
        <v>0.04</v>
      </c>
      <c r="EH296">
        <v>7</v>
      </c>
      <c r="EI296">
        <v>14.6</v>
      </c>
      <c r="EJ296">
        <v>13</v>
      </c>
      <c r="EK296">
        <v>12.6</v>
      </c>
    </row>
    <row r="297" spans="1:141" x14ac:dyDescent="0.25">
      <c r="A297" t="str">
        <f>[1]ingredient!B297</f>
        <v>Paprika grün</v>
      </c>
      <c r="B297" t="s">
        <v>180</v>
      </c>
      <c r="C297" s="7">
        <f>_xlfn.XLOOKUP(A297,[1]ingredient!$B$2:$B$521,[1]ingredient!$A$2:$A$521)</f>
        <v>296</v>
      </c>
      <c r="D297">
        <v>20</v>
      </c>
      <c r="E297">
        <v>0.3</v>
      </c>
      <c r="F297">
        <v>1</v>
      </c>
      <c r="G297">
        <v>3</v>
      </c>
      <c r="H297">
        <v>4</v>
      </c>
      <c r="I297">
        <v>3</v>
      </c>
      <c r="J297">
        <v>0.02</v>
      </c>
      <c r="K297">
        <v>91</v>
      </c>
      <c r="L297">
        <v>180</v>
      </c>
      <c r="M297">
        <v>45</v>
      </c>
      <c r="N297">
        <v>0</v>
      </c>
      <c r="O297">
        <v>535</v>
      </c>
      <c r="P297">
        <v>52</v>
      </c>
      <c r="Q297">
        <v>43</v>
      </c>
      <c r="R297">
        <v>330</v>
      </c>
      <c r="S297">
        <v>530</v>
      </c>
      <c r="T297">
        <v>230</v>
      </c>
      <c r="U297">
        <v>270</v>
      </c>
      <c r="V297">
        <v>3</v>
      </c>
      <c r="W297">
        <v>18</v>
      </c>
      <c r="X297">
        <v>0</v>
      </c>
      <c r="Y297">
        <v>139000</v>
      </c>
      <c r="Z297">
        <v>0</v>
      </c>
      <c r="AA297">
        <v>2519</v>
      </c>
      <c r="AB297">
        <v>14</v>
      </c>
      <c r="AC297">
        <v>3</v>
      </c>
      <c r="AD297">
        <v>177</v>
      </c>
      <c r="AE297">
        <v>11</v>
      </c>
      <c r="AF297">
        <v>12</v>
      </c>
      <c r="AG297">
        <v>29</v>
      </c>
      <c r="AH297">
        <v>21</v>
      </c>
      <c r="AI297">
        <v>19</v>
      </c>
      <c r="AJ297">
        <v>750</v>
      </c>
      <c r="AK297">
        <v>180</v>
      </c>
      <c r="AL297">
        <v>71</v>
      </c>
      <c r="AM297">
        <v>100</v>
      </c>
      <c r="AN297">
        <v>20</v>
      </c>
      <c r="AO297">
        <v>2</v>
      </c>
      <c r="AP297">
        <v>0</v>
      </c>
      <c r="AQ297">
        <v>0</v>
      </c>
      <c r="AR297">
        <v>0</v>
      </c>
      <c r="AS297">
        <v>0</v>
      </c>
      <c r="AT297">
        <v>1455</v>
      </c>
      <c r="AU297">
        <v>1193</v>
      </c>
      <c r="AV297">
        <v>0</v>
      </c>
      <c r="AW297">
        <v>2648</v>
      </c>
      <c r="AX297">
        <v>116</v>
      </c>
      <c r="AY297">
        <v>0</v>
      </c>
      <c r="AZ297">
        <v>0</v>
      </c>
      <c r="BA297">
        <v>116</v>
      </c>
      <c r="BB297">
        <v>0</v>
      </c>
      <c r="BC297">
        <v>0</v>
      </c>
      <c r="BD297">
        <v>0</v>
      </c>
      <c r="BE297">
        <v>146</v>
      </c>
      <c r="BF297">
        <v>146</v>
      </c>
      <c r="BG297">
        <f t="shared" si="43"/>
        <v>88.52459016393442</v>
      </c>
      <c r="BH297">
        <v>39</v>
      </c>
      <c r="BI297">
        <v>54</v>
      </c>
      <c r="BJ297">
        <v>50</v>
      </c>
      <c r="BK297">
        <v>11</v>
      </c>
      <c r="BL297">
        <v>21</v>
      </c>
      <c r="BM297">
        <v>44</v>
      </c>
      <c r="BN297">
        <v>23</v>
      </c>
      <c r="BO297">
        <v>41</v>
      </c>
      <c r="BP297">
        <v>12</v>
      </c>
      <c r="BQ297">
        <v>42</v>
      </c>
      <c r="BR297">
        <v>44</v>
      </c>
      <c r="BS297">
        <v>18</v>
      </c>
      <c r="BT297">
        <v>399</v>
      </c>
      <c r="BU297">
        <v>47</v>
      </c>
      <c r="BV297">
        <v>166</v>
      </c>
      <c r="BW297">
        <v>159</v>
      </c>
      <c r="BX297">
        <v>42</v>
      </c>
      <c r="BY297">
        <v>47</v>
      </c>
      <c r="BZ297">
        <v>53</v>
      </c>
      <c r="CA297">
        <v>514</v>
      </c>
      <c r="CB297">
        <v>10</v>
      </c>
      <c r="CC297">
        <v>4</v>
      </c>
      <c r="CD297">
        <v>29</v>
      </c>
      <c r="CE297">
        <v>138</v>
      </c>
      <c r="CF297">
        <v>4.76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7</v>
      </c>
      <c r="CM297">
        <v>0</v>
      </c>
      <c r="CN297">
        <v>37</v>
      </c>
      <c r="CO297">
        <v>0</v>
      </c>
      <c r="CP297">
        <v>10</v>
      </c>
      <c r="CQ297">
        <v>0</v>
      </c>
      <c r="CR297">
        <v>0</v>
      </c>
      <c r="CS297">
        <v>0</v>
      </c>
      <c r="CT297">
        <v>54</v>
      </c>
      <c r="CU297">
        <v>0</v>
      </c>
      <c r="CV297">
        <v>0</v>
      </c>
      <c r="CW297">
        <v>1</v>
      </c>
      <c r="CX297">
        <v>0</v>
      </c>
      <c r="CY297">
        <v>18</v>
      </c>
      <c r="CZ297">
        <v>0</v>
      </c>
      <c r="DA297">
        <v>0</v>
      </c>
      <c r="DB297">
        <v>0</v>
      </c>
      <c r="DC297">
        <v>19</v>
      </c>
      <c r="DD297">
        <v>0</v>
      </c>
      <c r="DE297">
        <v>0</v>
      </c>
      <c r="DF297">
        <v>138</v>
      </c>
      <c r="DG297">
        <v>29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167</v>
      </c>
      <c r="DT297">
        <v>240</v>
      </c>
      <c r="DU297">
        <v>60</v>
      </c>
      <c r="DV297">
        <v>0</v>
      </c>
      <c r="DW297">
        <v>0</v>
      </c>
      <c r="DX297">
        <v>0</v>
      </c>
      <c r="DY297">
        <v>251</v>
      </c>
      <c r="DZ297">
        <v>431</v>
      </c>
      <c r="EA297">
        <v>1257</v>
      </c>
      <c r="EB297">
        <v>1149</v>
      </c>
      <c r="EC297">
        <v>503</v>
      </c>
      <c r="ED297">
        <v>539</v>
      </c>
      <c r="EE297">
        <v>3052</v>
      </c>
      <c r="EF297">
        <v>0</v>
      </c>
      <c r="EG297">
        <v>0.32</v>
      </c>
      <c r="EH297">
        <v>0.6</v>
      </c>
      <c r="EI297">
        <v>3.1</v>
      </c>
      <c r="EJ297">
        <v>0.3</v>
      </c>
      <c r="EK297">
        <v>0.9</v>
      </c>
    </row>
    <row r="298" spans="1:141" x14ac:dyDescent="0.25">
      <c r="A298" t="str">
        <f>[1]ingredient!B298</f>
        <v>Paprika orange</v>
      </c>
      <c r="B298" t="s">
        <v>378</v>
      </c>
      <c r="C298" s="7">
        <f>_xlfn.XLOOKUP(A298,[1]ingredient!$B$2:$B$521,[1]ingredient!$A$2:$A$521)</f>
        <v>297</v>
      </c>
      <c r="D298">
        <v>30</v>
      </c>
      <c r="E298">
        <v>0.3</v>
      </c>
      <c r="F298">
        <v>1</v>
      </c>
      <c r="G298">
        <v>5</v>
      </c>
      <c r="H298">
        <v>4</v>
      </c>
      <c r="I298">
        <v>5</v>
      </c>
      <c r="J298">
        <v>0.02</v>
      </c>
      <c r="K298">
        <v>89</v>
      </c>
      <c r="L298">
        <v>31</v>
      </c>
      <c r="M298">
        <v>11</v>
      </c>
      <c r="N298">
        <v>0</v>
      </c>
      <c r="O298">
        <v>135</v>
      </c>
      <c r="P298">
        <v>10</v>
      </c>
      <c r="Q298">
        <v>20</v>
      </c>
      <c r="R298">
        <v>700</v>
      </c>
      <c r="S298">
        <v>900</v>
      </c>
      <c r="T298">
        <v>80</v>
      </c>
      <c r="U298">
        <v>330</v>
      </c>
      <c r="V298">
        <v>3</v>
      </c>
      <c r="W298">
        <v>18</v>
      </c>
      <c r="X298">
        <v>0</v>
      </c>
      <c r="Y298">
        <v>130000</v>
      </c>
      <c r="Z298">
        <v>0</v>
      </c>
      <c r="AA298">
        <v>2519</v>
      </c>
      <c r="AB298">
        <v>5</v>
      </c>
      <c r="AC298">
        <v>4</v>
      </c>
      <c r="AD298">
        <v>220</v>
      </c>
      <c r="AE298">
        <v>8</v>
      </c>
      <c r="AF298">
        <v>16</v>
      </c>
      <c r="AG298">
        <v>26</v>
      </c>
      <c r="AH298">
        <v>19</v>
      </c>
      <c r="AI298">
        <v>15</v>
      </c>
      <c r="AJ298">
        <v>400</v>
      </c>
      <c r="AK298">
        <v>100</v>
      </c>
      <c r="AL298">
        <v>20</v>
      </c>
      <c r="AM298">
        <v>100</v>
      </c>
      <c r="AN298">
        <v>20</v>
      </c>
      <c r="AO298">
        <v>2</v>
      </c>
      <c r="AP298">
        <v>0</v>
      </c>
      <c r="AQ298">
        <v>0</v>
      </c>
      <c r="AR298">
        <v>0</v>
      </c>
      <c r="AS298">
        <v>0</v>
      </c>
      <c r="AT298">
        <v>2650</v>
      </c>
      <c r="AU298">
        <v>2173</v>
      </c>
      <c r="AV298">
        <v>0</v>
      </c>
      <c r="AW298">
        <v>4823</v>
      </c>
      <c r="AX298">
        <v>212</v>
      </c>
      <c r="AY298">
        <v>0</v>
      </c>
      <c r="AZ298">
        <v>0</v>
      </c>
      <c r="BA298">
        <v>212</v>
      </c>
      <c r="BB298">
        <v>0</v>
      </c>
      <c r="BC298">
        <v>0</v>
      </c>
      <c r="BD298">
        <v>0</v>
      </c>
      <c r="BE298">
        <v>265</v>
      </c>
      <c r="BF298">
        <v>265</v>
      </c>
      <c r="BG298">
        <f t="shared" si="43"/>
        <v>90.163934426229503</v>
      </c>
      <c r="BH298">
        <v>40</v>
      </c>
      <c r="BI298">
        <v>55</v>
      </c>
      <c r="BJ298">
        <v>52</v>
      </c>
      <c r="BK298">
        <v>11</v>
      </c>
      <c r="BL298">
        <v>22</v>
      </c>
      <c r="BM298">
        <v>46</v>
      </c>
      <c r="BN298">
        <v>24</v>
      </c>
      <c r="BO298">
        <v>42</v>
      </c>
      <c r="BP298">
        <v>12</v>
      </c>
      <c r="BQ298">
        <v>43</v>
      </c>
      <c r="BR298">
        <v>46</v>
      </c>
      <c r="BS298">
        <v>18</v>
      </c>
      <c r="BT298">
        <v>411</v>
      </c>
      <c r="BU298">
        <v>48</v>
      </c>
      <c r="BV298">
        <v>169</v>
      </c>
      <c r="BW298">
        <v>163</v>
      </c>
      <c r="BX298">
        <v>43</v>
      </c>
      <c r="BY298">
        <v>48</v>
      </c>
      <c r="BZ298">
        <v>54</v>
      </c>
      <c r="CA298">
        <v>525</v>
      </c>
      <c r="CB298">
        <v>10</v>
      </c>
      <c r="CC298">
        <v>4</v>
      </c>
      <c r="CD298">
        <v>29</v>
      </c>
      <c r="CE298">
        <v>138</v>
      </c>
      <c r="CF298">
        <v>4.76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7</v>
      </c>
      <c r="CM298">
        <v>0</v>
      </c>
      <c r="CN298">
        <v>37</v>
      </c>
      <c r="CO298">
        <v>0</v>
      </c>
      <c r="CP298">
        <v>10</v>
      </c>
      <c r="CQ298">
        <v>0</v>
      </c>
      <c r="CR298">
        <v>0</v>
      </c>
      <c r="CS298">
        <v>0</v>
      </c>
      <c r="CT298">
        <v>54</v>
      </c>
      <c r="CU298">
        <v>0</v>
      </c>
      <c r="CV298">
        <v>0</v>
      </c>
      <c r="CW298">
        <v>1</v>
      </c>
      <c r="CX298">
        <v>0</v>
      </c>
      <c r="CY298">
        <v>18</v>
      </c>
      <c r="CZ298">
        <v>0</v>
      </c>
      <c r="DA298">
        <v>0</v>
      </c>
      <c r="DB298">
        <v>0</v>
      </c>
      <c r="DC298">
        <v>19</v>
      </c>
      <c r="DD298">
        <v>0</v>
      </c>
      <c r="DE298">
        <v>0</v>
      </c>
      <c r="DF298">
        <v>138</v>
      </c>
      <c r="DG298">
        <v>29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167</v>
      </c>
      <c r="DT298">
        <v>240</v>
      </c>
      <c r="DU298">
        <v>60</v>
      </c>
      <c r="DV298">
        <v>0</v>
      </c>
      <c r="DW298">
        <v>0</v>
      </c>
      <c r="DX298">
        <v>0</v>
      </c>
      <c r="DY298">
        <v>251</v>
      </c>
      <c r="DZ298">
        <v>431</v>
      </c>
      <c r="EA298">
        <v>1257</v>
      </c>
      <c r="EB298">
        <v>1149</v>
      </c>
      <c r="EC298">
        <v>503</v>
      </c>
      <c r="ED298">
        <v>539</v>
      </c>
      <c r="EE298">
        <v>3052</v>
      </c>
      <c r="EF298">
        <v>0</v>
      </c>
      <c r="EG298">
        <v>0.33</v>
      </c>
      <c r="EH298">
        <v>0.6</v>
      </c>
      <c r="EI298">
        <v>3.1</v>
      </c>
      <c r="EJ298">
        <v>0.3</v>
      </c>
      <c r="EK298">
        <v>1</v>
      </c>
    </row>
    <row r="299" spans="1:141" x14ac:dyDescent="0.25">
      <c r="A299" t="str">
        <f>[1]ingredient!B299</f>
        <v>Paprika rosenscharf</v>
      </c>
      <c r="B299" t="s">
        <v>380</v>
      </c>
      <c r="C299" s="7">
        <f>_xlfn.XLOOKUP(A299,[1]ingredient!$B$2:$B$521,[1]ingredient!$A$2:$A$521)</f>
        <v>298</v>
      </c>
      <c r="D299">
        <v>317</v>
      </c>
      <c r="E299">
        <v>13</v>
      </c>
      <c r="F299">
        <v>15</v>
      </c>
      <c r="G299">
        <v>35</v>
      </c>
      <c r="H299">
        <v>21</v>
      </c>
      <c r="I299">
        <v>33</v>
      </c>
      <c r="J299">
        <v>0.25</v>
      </c>
      <c r="K299">
        <v>9</v>
      </c>
      <c r="L299">
        <v>6042</v>
      </c>
      <c r="M299">
        <v>3021</v>
      </c>
      <c r="N299">
        <v>0</v>
      </c>
      <c r="O299">
        <v>36250</v>
      </c>
      <c r="P299">
        <v>650</v>
      </c>
      <c r="Q299">
        <v>1740</v>
      </c>
      <c r="R299">
        <v>15300</v>
      </c>
      <c r="S299">
        <v>17767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34</v>
      </c>
      <c r="AD299">
        <v>2340</v>
      </c>
      <c r="AE299">
        <v>180</v>
      </c>
      <c r="AF299">
        <v>190</v>
      </c>
      <c r="AG299">
        <v>350</v>
      </c>
      <c r="AH299">
        <v>100</v>
      </c>
      <c r="AI299">
        <v>220</v>
      </c>
      <c r="AJ299">
        <v>23600</v>
      </c>
      <c r="AK299">
        <v>4100</v>
      </c>
      <c r="AL299">
        <v>610</v>
      </c>
      <c r="AM299">
        <v>800</v>
      </c>
      <c r="AN299">
        <v>400</v>
      </c>
      <c r="AO299">
        <v>5</v>
      </c>
      <c r="AP299">
        <v>0</v>
      </c>
      <c r="AQ299">
        <v>0</v>
      </c>
      <c r="AR299">
        <v>0</v>
      </c>
      <c r="AS299">
        <v>0</v>
      </c>
      <c r="AT299">
        <v>17450</v>
      </c>
      <c r="AU299">
        <v>14309</v>
      </c>
      <c r="AV299">
        <v>0</v>
      </c>
      <c r="AW299">
        <v>31759</v>
      </c>
      <c r="AX299">
        <v>1396</v>
      </c>
      <c r="AY299">
        <v>0</v>
      </c>
      <c r="AZ299">
        <v>0</v>
      </c>
      <c r="BA299">
        <v>1396</v>
      </c>
      <c r="BB299">
        <v>0</v>
      </c>
      <c r="BC299">
        <v>0</v>
      </c>
      <c r="BD299">
        <v>0</v>
      </c>
      <c r="BE299">
        <v>1745</v>
      </c>
      <c r="BF299">
        <v>1745</v>
      </c>
      <c r="BG299">
        <f t="shared" si="43"/>
        <v>80.874316939890718</v>
      </c>
      <c r="BH299">
        <v>444</v>
      </c>
      <c r="BI299">
        <v>740</v>
      </c>
      <c r="BJ299">
        <v>740</v>
      </c>
      <c r="BK299">
        <v>222</v>
      </c>
      <c r="BL299">
        <v>148</v>
      </c>
      <c r="BM299">
        <v>518</v>
      </c>
      <c r="BN299">
        <v>296</v>
      </c>
      <c r="BO299">
        <v>370</v>
      </c>
      <c r="BP299">
        <v>148</v>
      </c>
      <c r="BQ299">
        <v>592</v>
      </c>
      <c r="BR299">
        <v>666</v>
      </c>
      <c r="BS299">
        <v>222</v>
      </c>
      <c r="BT299">
        <v>5106</v>
      </c>
      <c r="BU299">
        <v>888</v>
      </c>
      <c r="BV299">
        <v>2220</v>
      </c>
      <c r="BW299">
        <v>2072</v>
      </c>
      <c r="BX299">
        <v>592</v>
      </c>
      <c r="BY299">
        <v>518</v>
      </c>
      <c r="BZ299">
        <v>592</v>
      </c>
      <c r="CA299">
        <v>6882</v>
      </c>
      <c r="CB299">
        <v>180</v>
      </c>
      <c r="CC299">
        <v>75</v>
      </c>
      <c r="CD299">
        <v>901</v>
      </c>
      <c r="CE299">
        <v>7464</v>
      </c>
      <c r="CF299">
        <v>8.2799999999999994</v>
      </c>
      <c r="CG299">
        <v>0</v>
      </c>
      <c r="CH299">
        <v>0</v>
      </c>
      <c r="CI299">
        <v>0</v>
      </c>
      <c r="CJ299">
        <v>0</v>
      </c>
      <c r="CK299">
        <v>222</v>
      </c>
      <c r="CL299">
        <v>527</v>
      </c>
      <c r="CM299">
        <v>0</v>
      </c>
      <c r="CN299">
        <v>1018</v>
      </c>
      <c r="CO299">
        <v>0</v>
      </c>
      <c r="CP299">
        <v>339</v>
      </c>
      <c r="CQ299">
        <v>0</v>
      </c>
      <c r="CR299">
        <v>0</v>
      </c>
      <c r="CS299">
        <v>0</v>
      </c>
      <c r="CT299">
        <v>2106</v>
      </c>
      <c r="CU299">
        <v>0</v>
      </c>
      <c r="CV299">
        <v>0</v>
      </c>
      <c r="CW299">
        <v>117</v>
      </c>
      <c r="CX299">
        <v>0</v>
      </c>
      <c r="CY299">
        <v>1112</v>
      </c>
      <c r="CZ299">
        <v>0</v>
      </c>
      <c r="DA299">
        <v>0</v>
      </c>
      <c r="DB299">
        <v>0</v>
      </c>
      <c r="DC299">
        <v>1229</v>
      </c>
      <c r="DD299">
        <v>0</v>
      </c>
      <c r="DE299">
        <v>0</v>
      </c>
      <c r="DF299">
        <v>7464</v>
      </c>
      <c r="DG299">
        <v>901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8365</v>
      </c>
      <c r="DT299">
        <v>11700</v>
      </c>
      <c r="DU299">
        <v>1300</v>
      </c>
      <c r="DV299">
        <v>0</v>
      </c>
      <c r="DW299">
        <v>0</v>
      </c>
      <c r="DX299">
        <v>0</v>
      </c>
      <c r="DY299">
        <v>4598</v>
      </c>
      <c r="DZ299">
        <v>3762</v>
      </c>
      <c r="EA299">
        <v>4180</v>
      </c>
      <c r="EB299">
        <v>4180</v>
      </c>
      <c r="EC299">
        <v>4180</v>
      </c>
      <c r="ED299">
        <v>6270</v>
      </c>
      <c r="EE299">
        <v>14630</v>
      </c>
      <c r="EF299">
        <v>0</v>
      </c>
      <c r="EG299">
        <v>0.04</v>
      </c>
      <c r="EH299">
        <v>7</v>
      </c>
      <c r="EI299">
        <v>14.6</v>
      </c>
      <c r="EJ299">
        <v>13</v>
      </c>
      <c r="EK299">
        <v>12.6</v>
      </c>
    </row>
    <row r="300" spans="1:141" x14ac:dyDescent="0.25">
      <c r="A300" t="str">
        <f>[1]ingredient!B300</f>
        <v>Paprika rot</v>
      </c>
      <c r="B300" t="s">
        <v>381</v>
      </c>
      <c r="C300" s="7">
        <f>_xlfn.XLOOKUP(A300,[1]ingredient!$B$2:$B$521,[1]ingredient!$A$2:$A$521)</f>
        <v>299</v>
      </c>
      <c r="D300">
        <v>37</v>
      </c>
      <c r="E300">
        <v>1</v>
      </c>
      <c r="F300">
        <v>1</v>
      </c>
      <c r="G300">
        <v>6</v>
      </c>
      <c r="H300">
        <v>4</v>
      </c>
      <c r="I300">
        <v>6</v>
      </c>
      <c r="J300">
        <v>0.02</v>
      </c>
      <c r="K300">
        <v>87</v>
      </c>
      <c r="L300">
        <v>354</v>
      </c>
      <c r="M300">
        <v>177</v>
      </c>
      <c r="N300">
        <v>0</v>
      </c>
      <c r="O300">
        <v>2125</v>
      </c>
      <c r="P300">
        <v>40</v>
      </c>
      <c r="Q300">
        <v>120</v>
      </c>
      <c r="R300">
        <v>1600</v>
      </c>
      <c r="S300">
        <v>1817</v>
      </c>
      <c r="T300">
        <v>270</v>
      </c>
      <c r="U300">
        <v>450</v>
      </c>
      <c r="V300">
        <v>3</v>
      </c>
      <c r="W300">
        <v>50</v>
      </c>
      <c r="X300">
        <v>0</v>
      </c>
      <c r="Y300">
        <v>140000</v>
      </c>
      <c r="Z300">
        <v>0</v>
      </c>
      <c r="AA300">
        <v>2900</v>
      </c>
      <c r="AB300">
        <v>5</v>
      </c>
      <c r="AC300">
        <v>5</v>
      </c>
      <c r="AD300">
        <v>260</v>
      </c>
      <c r="AE300">
        <v>10</v>
      </c>
      <c r="AF300">
        <v>14</v>
      </c>
      <c r="AG300">
        <v>30</v>
      </c>
      <c r="AH300">
        <v>20</v>
      </c>
      <c r="AI300">
        <v>18</v>
      </c>
      <c r="AJ300">
        <v>550</v>
      </c>
      <c r="AK300">
        <v>260</v>
      </c>
      <c r="AL300">
        <v>80</v>
      </c>
      <c r="AM300">
        <v>100</v>
      </c>
      <c r="AN300">
        <v>20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2336</v>
      </c>
      <c r="AU300">
        <v>3744</v>
      </c>
      <c r="AV300">
        <v>256</v>
      </c>
      <c r="AW300">
        <v>6336</v>
      </c>
      <c r="AX300">
        <v>64</v>
      </c>
      <c r="AY300">
        <v>0</v>
      </c>
      <c r="AZ300">
        <v>0</v>
      </c>
      <c r="BA300">
        <v>64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f t="shared" si="43"/>
        <v>98.360655737704917</v>
      </c>
      <c r="BH300">
        <v>43</v>
      </c>
      <c r="BI300">
        <v>60</v>
      </c>
      <c r="BJ300">
        <v>56</v>
      </c>
      <c r="BK300">
        <v>12</v>
      </c>
      <c r="BL300">
        <v>23</v>
      </c>
      <c r="BM300">
        <v>49</v>
      </c>
      <c r="BN300">
        <v>26</v>
      </c>
      <c r="BO300">
        <v>46</v>
      </c>
      <c r="BP300">
        <v>13</v>
      </c>
      <c r="BQ300">
        <v>47</v>
      </c>
      <c r="BR300">
        <v>49</v>
      </c>
      <c r="BS300">
        <v>20</v>
      </c>
      <c r="BT300">
        <v>444</v>
      </c>
      <c r="BU300">
        <v>52</v>
      </c>
      <c r="BV300">
        <v>183</v>
      </c>
      <c r="BW300">
        <v>177</v>
      </c>
      <c r="BX300">
        <v>47</v>
      </c>
      <c r="BY300">
        <v>52</v>
      </c>
      <c r="BZ300">
        <v>59</v>
      </c>
      <c r="CA300">
        <v>570</v>
      </c>
      <c r="CB300">
        <v>15</v>
      </c>
      <c r="CC300">
        <v>6</v>
      </c>
      <c r="CD300">
        <v>48</v>
      </c>
      <c r="CE300">
        <v>229</v>
      </c>
      <c r="CF300">
        <v>4.7699999999999996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12</v>
      </c>
      <c r="CM300">
        <v>0</v>
      </c>
      <c r="CN300">
        <v>62</v>
      </c>
      <c r="CO300">
        <v>0</v>
      </c>
      <c r="CP300">
        <v>17</v>
      </c>
      <c r="CQ300">
        <v>0</v>
      </c>
      <c r="CR300">
        <v>0</v>
      </c>
      <c r="CS300">
        <v>0</v>
      </c>
      <c r="CT300">
        <v>91</v>
      </c>
      <c r="CU300">
        <v>0</v>
      </c>
      <c r="CV300">
        <v>0</v>
      </c>
      <c r="CW300">
        <v>2</v>
      </c>
      <c r="CX300">
        <v>0</v>
      </c>
      <c r="CY300">
        <v>30</v>
      </c>
      <c r="CZ300">
        <v>0</v>
      </c>
      <c r="DA300">
        <v>0</v>
      </c>
      <c r="DB300">
        <v>0</v>
      </c>
      <c r="DC300">
        <v>32</v>
      </c>
      <c r="DD300">
        <v>0</v>
      </c>
      <c r="DE300">
        <v>0</v>
      </c>
      <c r="DF300">
        <v>229</v>
      </c>
      <c r="DG300">
        <v>48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277</v>
      </c>
      <c r="DT300">
        <v>400</v>
      </c>
      <c r="DU300">
        <v>100</v>
      </c>
      <c r="DV300">
        <v>0</v>
      </c>
      <c r="DW300">
        <v>0</v>
      </c>
      <c r="DX300">
        <v>0</v>
      </c>
      <c r="DY300">
        <v>251</v>
      </c>
      <c r="DZ300">
        <v>431</v>
      </c>
      <c r="EA300">
        <v>1257</v>
      </c>
      <c r="EB300">
        <v>1149</v>
      </c>
      <c r="EC300">
        <v>503</v>
      </c>
      <c r="ED300">
        <v>539</v>
      </c>
      <c r="EE300">
        <v>3052</v>
      </c>
      <c r="EF300">
        <v>0</v>
      </c>
      <c r="EG300">
        <v>0.33</v>
      </c>
      <c r="EH300">
        <v>0.6</v>
      </c>
      <c r="EI300">
        <v>3.1</v>
      </c>
      <c r="EJ300">
        <v>0.5</v>
      </c>
      <c r="EK300">
        <v>1.1000000000000001</v>
      </c>
    </row>
    <row r="301" spans="1:141" x14ac:dyDescent="0.25">
      <c r="A301" t="str">
        <f>[1]ingredient!B301</f>
        <v>Paranüsse</v>
      </c>
      <c r="B301" t="s">
        <v>382</v>
      </c>
      <c r="C301" s="7">
        <f>_xlfn.XLOOKUP(A301,[1]ingredient!$B$2:$B$521,[1]ingredient!$A$2:$A$521)</f>
        <v>300</v>
      </c>
      <c r="D301">
        <v>660</v>
      </c>
      <c r="E301">
        <v>67</v>
      </c>
      <c r="F301">
        <v>14</v>
      </c>
      <c r="G301">
        <v>4</v>
      </c>
      <c r="H301">
        <v>8</v>
      </c>
      <c r="I301">
        <v>1</v>
      </c>
      <c r="J301">
        <v>0.06</v>
      </c>
      <c r="K301">
        <v>4</v>
      </c>
      <c r="L301">
        <v>0</v>
      </c>
      <c r="M301">
        <v>0</v>
      </c>
      <c r="N301">
        <v>0</v>
      </c>
      <c r="O301">
        <v>0</v>
      </c>
      <c r="P301">
        <v>1000</v>
      </c>
      <c r="Q301">
        <v>35</v>
      </c>
      <c r="R301">
        <v>200</v>
      </c>
      <c r="S301">
        <v>2683</v>
      </c>
      <c r="T301">
        <v>230</v>
      </c>
      <c r="U301">
        <v>110</v>
      </c>
      <c r="V301">
        <v>7</v>
      </c>
      <c r="W301">
        <v>40</v>
      </c>
      <c r="X301">
        <v>0</v>
      </c>
      <c r="Y301">
        <v>700</v>
      </c>
      <c r="Z301">
        <v>0</v>
      </c>
      <c r="AA301">
        <v>7600</v>
      </c>
      <c r="AB301">
        <v>0</v>
      </c>
      <c r="AC301">
        <v>2</v>
      </c>
      <c r="AD301">
        <v>645</v>
      </c>
      <c r="AE301">
        <v>132</v>
      </c>
      <c r="AF301">
        <v>160</v>
      </c>
      <c r="AG301">
        <v>675</v>
      </c>
      <c r="AH301">
        <v>245</v>
      </c>
      <c r="AI301">
        <v>57</v>
      </c>
      <c r="AJ301">
        <v>3400</v>
      </c>
      <c r="AK301">
        <v>4000</v>
      </c>
      <c r="AL301">
        <v>1300</v>
      </c>
      <c r="AM301">
        <v>600</v>
      </c>
      <c r="AN301">
        <v>120</v>
      </c>
      <c r="AO301">
        <v>0.1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1420</v>
      </c>
      <c r="AY301">
        <v>0</v>
      </c>
      <c r="AZ301">
        <v>0</v>
      </c>
      <c r="BA301">
        <v>1420</v>
      </c>
      <c r="BB301">
        <v>0</v>
      </c>
      <c r="BC301">
        <v>0</v>
      </c>
      <c r="BD301">
        <v>0</v>
      </c>
      <c r="BE301">
        <v>2130</v>
      </c>
      <c r="BF301">
        <v>2130</v>
      </c>
      <c r="BG301">
        <f t="shared" si="43"/>
        <v>56.696428571428569</v>
      </c>
      <c r="BH301">
        <v>503</v>
      </c>
      <c r="BI301">
        <v>965</v>
      </c>
      <c r="BJ301">
        <v>381</v>
      </c>
      <c r="BK301">
        <v>815</v>
      </c>
      <c r="BL301">
        <v>394</v>
      </c>
      <c r="BM301">
        <v>516</v>
      </c>
      <c r="BN301">
        <v>394</v>
      </c>
      <c r="BO301">
        <v>367</v>
      </c>
      <c r="BP301">
        <v>149</v>
      </c>
      <c r="BQ301">
        <v>693</v>
      </c>
      <c r="BR301">
        <v>1903</v>
      </c>
      <c r="BS301">
        <v>313</v>
      </c>
      <c r="BT301">
        <v>7393</v>
      </c>
      <c r="BU301">
        <v>489</v>
      </c>
      <c r="BV301">
        <v>1087</v>
      </c>
      <c r="BW301">
        <v>2691</v>
      </c>
      <c r="BX301">
        <v>584</v>
      </c>
      <c r="BY301">
        <v>666</v>
      </c>
      <c r="BZ301">
        <v>612</v>
      </c>
      <c r="CA301">
        <v>6129</v>
      </c>
      <c r="CB301">
        <v>22</v>
      </c>
      <c r="CC301">
        <v>9</v>
      </c>
      <c r="CD301">
        <v>0</v>
      </c>
      <c r="CE301">
        <v>24906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128</v>
      </c>
      <c r="CM301">
        <v>0</v>
      </c>
      <c r="CN301">
        <v>9962</v>
      </c>
      <c r="CO301">
        <v>0</v>
      </c>
      <c r="CP301">
        <v>6897</v>
      </c>
      <c r="CQ301">
        <v>0</v>
      </c>
      <c r="CR301">
        <v>0</v>
      </c>
      <c r="CS301">
        <v>0</v>
      </c>
      <c r="CT301">
        <v>16987</v>
      </c>
      <c r="CU301">
        <v>0</v>
      </c>
      <c r="CV301">
        <v>0</v>
      </c>
      <c r="CW301">
        <v>255</v>
      </c>
      <c r="CX301">
        <v>0</v>
      </c>
      <c r="CY301">
        <v>21649</v>
      </c>
      <c r="CZ301">
        <v>64</v>
      </c>
      <c r="DA301">
        <v>0</v>
      </c>
      <c r="DB301">
        <v>0</v>
      </c>
      <c r="DC301">
        <v>21968</v>
      </c>
      <c r="DD301">
        <v>0</v>
      </c>
      <c r="DE301">
        <v>0</v>
      </c>
      <c r="DF301">
        <v>24906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24906</v>
      </c>
      <c r="DT301">
        <v>63861</v>
      </c>
      <c r="DU301">
        <v>2939</v>
      </c>
      <c r="DV301">
        <v>0</v>
      </c>
      <c r="DW301">
        <v>0</v>
      </c>
      <c r="DX301">
        <v>0</v>
      </c>
      <c r="DY301">
        <v>1620</v>
      </c>
      <c r="DZ301">
        <v>1215</v>
      </c>
      <c r="EA301">
        <v>2025</v>
      </c>
      <c r="EB301">
        <v>2430</v>
      </c>
      <c r="EC301">
        <v>810</v>
      </c>
      <c r="ED301">
        <v>1620</v>
      </c>
      <c r="EE301">
        <v>6480</v>
      </c>
      <c r="EF301">
        <v>0</v>
      </c>
      <c r="EG301">
        <v>0</v>
      </c>
      <c r="EH301">
        <v>3.6</v>
      </c>
      <c r="EI301">
        <v>6.5</v>
      </c>
      <c r="EJ301">
        <v>66.8</v>
      </c>
      <c r="EK301">
        <v>13.6</v>
      </c>
    </row>
    <row r="302" spans="1:141" x14ac:dyDescent="0.25">
      <c r="A302" t="str">
        <f>[1]ingredient!B302</f>
        <v>Passionsfrüchte</v>
      </c>
      <c r="B302" t="s">
        <v>383</v>
      </c>
      <c r="C302" s="7">
        <f>_xlfn.XLOOKUP(A302,[1]ingredient!$B$2:$B$521,[1]ingredient!$A$2:$A$521)</f>
        <v>301</v>
      </c>
      <c r="D302">
        <v>80</v>
      </c>
      <c r="E302">
        <v>0.4</v>
      </c>
      <c r="F302">
        <v>2</v>
      </c>
      <c r="G302">
        <v>13</v>
      </c>
      <c r="H302">
        <v>1</v>
      </c>
      <c r="I302">
        <v>13</v>
      </c>
      <c r="J302">
        <v>7.0000000000000007E-2</v>
      </c>
      <c r="K302">
        <v>78</v>
      </c>
      <c r="L302">
        <v>40</v>
      </c>
      <c r="M302">
        <v>20</v>
      </c>
      <c r="N302">
        <v>0</v>
      </c>
      <c r="O302">
        <v>240</v>
      </c>
      <c r="P302">
        <v>20</v>
      </c>
      <c r="Q302">
        <v>100</v>
      </c>
      <c r="R302">
        <v>2100</v>
      </c>
      <c r="S302">
        <v>2500</v>
      </c>
      <c r="T302">
        <v>200</v>
      </c>
      <c r="U302">
        <v>400</v>
      </c>
      <c r="V302">
        <v>5</v>
      </c>
      <c r="W302">
        <v>20</v>
      </c>
      <c r="X302">
        <v>0</v>
      </c>
      <c r="Y302">
        <v>24000</v>
      </c>
      <c r="Z302">
        <v>0</v>
      </c>
      <c r="AA302">
        <v>400</v>
      </c>
      <c r="AB302">
        <v>10</v>
      </c>
      <c r="AC302">
        <v>28</v>
      </c>
      <c r="AD302">
        <v>340</v>
      </c>
      <c r="AE302">
        <v>17</v>
      </c>
      <c r="AF302">
        <v>0</v>
      </c>
      <c r="AG302">
        <v>57</v>
      </c>
      <c r="AH302">
        <v>19</v>
      </c>
      <c r="AI302">
        <v>37</v>
      </c>
      <c r="AJ302">
        <v>1300</v>
      </c>
      <c r="AK302">
        <v>250</v>
      </c>
      <c r="AL302">
        <v>120</v>
      </c>
      <c r="AM302">
        <v>120</v>
      </c>
      <c r="AN302">
        <v>20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5134</v>
      </c>
      <c r="AU302">
        <v>3965</v>
      </c>
      <c r="AV302">
        <v>0</v>
      </c>
      <c r="AW302">
        <v>9099</v>
      </c>
      <c r="AX302">
        <v>4341</v>
      </c>
      <c r="AY302">
        <v>0</v>
      </c>
      <c r="AZ302">
        <v>0</v>
      </c>
      <c r="BA302">
        <v>4341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f t="shared" si="43"/>
        <v>78.260869565217391</v>
      </c>
      <c r="BH302">
        <v>72</v>
      </c>
      <c r="BI302">
        <v>120</v>
      </c>
      <c r="BJ302">
        <v>120</v>
      </c>
      <c r="BK302">
        <v>24</v>
      </c>
      <c r="BL302">
        <v>12</v>
      </c>
      <c r="BM302">
        <v>60</v>
      </c>
      <c r="BN302">
        <v>48</v>
      </c>
      <c r="BO302">
        <v>72</v>
      </c>
      <c r="BP302">
        <v>24</v>
      </c>
      <c r="BQ302">
        <v>84</v>
      </c>
      <c r="BR302">
        <v>84</v>
      </c>
      <c r="BS302">
        <v>36</v>
      </c>
      <c r="BT302">
        <v>756</v>
      </c>
      <c r="BU302">
        <v>108</v>
      </c>
      <c r="BV302">
        <v>216</v>
      </c>
      <c r="BW302">
        <v>240</v>
      </c>
      <c r="BX302">
        <v>84</v>
      </c>
      <c r="BY302">
        <v>84</v>
      </c>
      <c r="BZ302">
        <v>96</v>
      </c>
      <c r="CA302">
        <v>828</v>
      </c>
      <c r="CB302">
        <v>15</v>
      </c>
      <c r="CC302">
        <v>6</v>
      </c>
      <c r="CD302">
        <v>30</v>
      </c>
      <c r="CE302">
        <v>128</v>
      </c>
      <c r="CF302">
        <v>4.2699999999999996</v>
      </c>
      <c r="CG302">
        <v>0</v>
      </c>
      <c r="CH302">
        <v>0</v>
      </c>
      <c r="CI302">
        <v>0</v>
      </c>
      <c r="CJ302">
        <v>0</v>
      </c>
      <c r="CK302">
        <v>2</v>
      </c>
      <c r="CL302">
        <v>3</v>
      </c>
      <c r="CM302">
        <v>0</v>
      </c>
      <c r="CN302">
        <v>77</v>
      </c>
      <c r="CO302">
        <v>0</v>
      </c>
      <c r="CP302">
        <v>13</v>
      </c>
      <c r="CQ302">
        <v>0</v>
      </c>
      <c r="CR302">
        <v>0</v>
      </c>
      <c r="CS302">
        <v>0</v>
      </c>
      <c r="CT302">
        <v>95</v>
      </c>
      <c r="CU302">
        <v>0</v>
      </c>
      <c r="CV302">
        <v>0</v>
      </c>
      <c r="CW302">
        <v>3</v>
      </c>
      <c r="CX302">
        <v>0</v>
      </c>
      <c r="CY302">
        <v>64</v>
      </c>
      <c r="CZ302">
        <v>0</v>
      </c>
      <c r="DA302">
        <v>0</v>
      </c>
      <c r="DB302">
        <v>0</v>
      </c>
      <c r="DC302">
        <v>67</v>
      </c>
      <c r="DD302">
        <v>0</v>
      </c>
      <c r="DE302">
        <v>0</v>
      </c>
      <c r="DF302">
        <v>128</v>
      </c>
      <c r="DG302">
        <v>30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158</v>
      </c>
      <c r="DT302">
        <v>320</v>
      </c>
      <c r="DU302">
        <v>80</v>
      </c>
      <c r="DV302">
        <v>0</v>
      </c>
      <c r="DW302">
        <v>0</v>
      </c>
      <c r="DX302">
        <v>0</v>
      </c>
      <c r="DY302">
        <v>261</v>
      </c>
      <c r="DZ302">
        <v>290</v>
      </c>
      <c r="EA302">
        <v>290</v>
      </c>
      <c r="EB302">
        <v>290</v>
      </c>
      <c r="EC302">
        <v>319</v>
      </c>
      <c r="ED302">
        <v>721</v>
      </c>
      <c r="EE302">
        <v>729</v>
      </c>
      <c r="EF302">
        <v>0</v>
      </c>
      <c r="EG302">
        <v>4</v>
      </c>
      <c r="EH302">
        <v>0.9</v>
      </c>
      <c r="EI302">
        <v>0.7</v>
      </c>
      <c r="EJ302">
        <v>0.4</v>
      </c>
      <c r="EK302">
        <v>1.6</v>
      </c>
    </row>
    <row r="303" spans="1:141" x14ac:dyDescent="0.25">
      <c r="A303" t="str">
        <f>[1]ingredient!B303</f>
        <v>Pastinaken</v>
      </c>
      <c r="B303" t="s">
        <v>384</v>
      </c>
      <c r="C303" s="7">
        <f>_xlfn.XLOOKUP(A303,[1]ingredient!$B$2:$B$521,[1]ingredient!$A$2:$A$521)</f>
        <v>302</v>
      </c>
      <c r="D303">
        <v>59</v>
      </c>
      <c r="E303">
        <v>0.43</v>
      </c>
      <c r="F303">
        <v>1</v>
      </c>
      <c r="G303">
        <v>12</v>
      </c>
      <c r="H303">
        <v>2</v>
      </c>
      <c r="I303">
        <v>3</v>
      </c>
      <c r="J303">
        <v>0.06</v>
      </c>
      <c r="K303">
        <v>82</v>
      </c>
      <c r="L303">
        <v>3</v>
      </c>
      <c r="M303">
        <v>2</v>
      </c>
      <c r="N303">
        <v>0</v>
      </c>
      <c r="O303">
        <v>20</v>
      </c>
      <c r="P303">
        <v>80</v>
      </c>
      <c r="Q303">
        <v>130</v>
      </c>
      <c r="R303">
        <v>940</v>
      </c>
      <c r="S303">
        <v>1173</v>
      </c>
      <c r="T303">
        <v>500</v>
      </c>
      <c r="U303">
        <v>110</v>
      </c>
      <c r="V303">
        <v>0</v>
      </c>
      <c r="W303">
        <v>59</v>
      </c>
      <c r="X303">
        <v>0</v>
      </c>
      <c r="Y303">
        <v>18000</v>
      </c>
      <c r="Z303">
        <v>0</v>
      </c>
      <c r="AA303">
        <v>880</v>
      </c>
      <c r="AB303">
        <v>1</v>
      </c>
      <c r="AC303">
        <v>8</v>
      </c>
      <c r="AD303">
        <v>523</v>
      </c>
      <c r="AE303">
        <v>47</v>
      </c>
      <c r="AF303">
        <v>26</v>
      </c>
      <c r="AG303">
        <v>82</v>
      </c>
      <c r="AH303">
        <v>17</v>
      </c>
      <c r="AI303">
        <v>49</v>
      </c>
      <c r="AJ303">
        <v>710</v>
      </c>
      <c r="AK303">
        <v>850</v>
      </c>
      <c r="AL303">
        <v>140</v>
      </c>
      <c r="AM303">
        <v>400</v>
      </c>
      <c r="AN303">
        <v>10</v>
      </c>
      <c r="AO303">
        <v>4</v>
      </c>
      <c r="AP303">
        <v>0</v>
      </c>
      <c r="AQ303">
        <v>0</v>
      </c>
      <c r="AR303">
        <v>0</v>
      </c>
      <c r="AS303">
        <v>0</v>
      </c>
      <c r="AT303">
        <v>245</v>
      </c>
      <c r="AU303">
        <v>256</v>
      </c>
      <c r="AV303">
        <v>0</v>
      </c>
      <c r="AW303">
        <v>501</v>
      </c>
      <c r="AX303">
        <v>2560</v>
      </c>
      <c r="AY303">
        <v>0</v>
      </c>
      <c r="AZ303">
        <v>0</v>
      </c>
      <c r="BA303">
        <v>2560</v>
      </c>
      <c r="BB303">
        <v>1808</v>
      </c>
      <c r="BC303">
        <v>630</v>
      </c>
      <c r="BD303">
        <v>0</v>
      </c>
      <c r="BE303">
        <v>8990</v>
      </c>
      <c r="BF303">
        <v>8990</v>
      </c>
      <c r="BG303">
        <f t="shared" si="43"/>
        <v>86.956521739130437</v>
      </c>
      <c r="BH303">
        <v>52</v>
      </c>
      <c r="BI303">
        <v>70</v>
      </c>
      <c r="BJ303">
        <v>78</v>
      </c>
      <c r="BK303">
        <v>16</v>
      </c>
      <c r="BL303">
        <v>4</v>
      </c>
      <c r="BM303">
        <v>45</v>
      </c>
      <c r="BN303">
        <v>26</v>
      </c>
      <c r="BO303">
        <v>49</v>
      </c>
      <c r="BP303">
        <v>14</v>
      </c>
      <c r="BQ303">
        <v>70</v>
      </c>
      <c r="BR303">
        <v>139</v>
      </c>
      <c r="BS303">
        <v>21</v>
      </c>
      <c r="BT303">
        <v>584</v>
      </c>
      <c r="BU303">
        <v>67</v>
      </c>
      <c r="BV303">
        <v>131</v>
      </c>
      <c r="BW303">
        <v>123</v>
      </c>
      <c r="BX303">
        <v>42</v>
      </c>
      <c r="BY303">
        <v>44</v>
      </c>
      <c r="BZ303">
        <v>48</v>
      </c>
      <c r="CA303">
        <v>455</v>
      </c>
      <c r="CB303">
        <v>30</v>
      </c>
      <c r="CC303">
        <v>13</v>
      </c>
      <c r="CD303">
        <v>21</v>
      </c>
      <c r="CE303">
        <v>234</v>
      </c>
      <c r="CF303">
        <v>11.14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3</v>
      </c>
      <c r="CM303">
        <v>0</v>
      </c>
      <c r="CN303">
        <v>62</v>
      </c>
      <c r="CO303">
        <v>0</v>
      </c>
      <c r="CP303">
        <v>3</v>
      </c>
      <c r="CQ303">
        <v>0</v>
      </c>
      <c r="CR303">
        <v>0</v>
      </c>
      <c r="CS303">
        <v>0</v>
      </c>
      <c r="CT303">
        <v>68</v>
      </c>
      <c r="CU303">
        <v>0</v>
      </c>
      <c r="CV303">
        <v>0</v>
      </c>
      <c r="CW303">
        <v>5</v>
      </c>
      <c r="CX303">
        <v>0</v>
      </c>
      <c r="CY303">
        <v>24</v>
      </c>
      <c r="CZ303">
        <v>0</v>
      </c>
      <c r="DA303">
        <v>0</v>
      </c>
      <c r="DB303">
        <v>0</v>
      </c>
      <c r="DC303">
        <v>29</v>
      </c>
      <c r="DD303">
        <v>0</v>
      </c>
      <c r="DE303">
        <v>0</v>
      </c>
      <c r="DF303">
        <v>234</v>
      </c>
      <c r="DG303">
        <v>21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255</v>
      </c>
      <c r="DT303">
        <v>352</v>
      </c>
      <c r="DU303">
        <v>86</v>
      </c>
      <c r="DV303">
        <v>0</v>
      </c>
      <c r="DW303">
        <v>0</v>
      </c>
      <c r="DX303">
        <v>0</v>
      </c>
      <c r="DY303">
        <v>320</v>
      </c>
      <c r="DZ303">
        <v>320</v>
      </c>
      <c r="EA303">
        <v>575</v>
      </c>
      <c r="EB303">
        <v>852</v>
      </c>
      <c r="EC303">
        <v>64</v>
      </c>
      <c r="ED303">
        <v>620</v>
      </c>
      <c r="EE303">
        <v>1510</v>
      </c>
      <c r="EF303">
        <v>0</v>
      </c>
      <c r="EG303">
        <v>0.48</v>
      </c>
      <c r="EH303">
        <v>1.2</v>
      </c>
      <c r="EI303">
        <v>1.5</v>
      </c>
      <c r="EJ303">
        <v>0.4</v>
      </c>
      <c r="EK303">
        <v>1.1000000000000001</v>
      </c>
    </row>
    <row r="304" spans="1:141" x14ac:dyDescent="0.25">
      <c r="A304" t="str">
        <f>[1]ingredient!B304</f>
        <v>Pekannüsse</v>
      </c>
      <c r="B304" t="s">
        <v>385</v>
      </c>
      <c r="C304" s="7">
        <f>_xlfn.XLOOKUP(A304,[1]ingredient!$B$2:$B$521,[1]ingredient!$A$2:$A$521)</f>
        <v>303</v>
      </c>
      <c r="D304">
        <v>692</v>
      </c>
      <c r="E304">
        <v>72</v>
      </c>
      <c r="F304">
        <v>9</v>
      </c>
      <c r="G304">
        <v>4</v>
      </c>
      <c r="H304">
        <v>9</v>
      </c>
      <c r="I304">
        <v>2</v>
      </c>
      <c r="J304">
        <v>0.02</v>
      </c>
      <c r="K304">
        <v>3</v>
      </c>
      <c r="L304">
        <v>13</v>
      </c>
      <c r="M304">
        <v>7</v>
      </c>
      <c r="N304">
        <v>0</v>
      </c>
      <c r="O304">
        <v>80</v>
      </c>
      <c r="P304">
        <v>860</v>
      </c>
      <c r="Q304">
        <v>130</v>
      </c>
      <c r="R304">
        <v>2000</v>
      </c>
      <c r="S304">
        <v>4783</v>
      </c>
      <c r="T304">
        <v>1710</v>
      </c>
      <c r="U304">
        <v>188</v>
      </c>
      <c r="V304">
        <v>30</v>
      </c>
      <c r="W304">
        <v>39</v>
      </c>
      <c r="X304">
        <v>0</v>
      </c>
      <c r="Y304">
        <v>2000</v>
      </c>
      <c r="Z304">
        <v>0</v>
      </c>
      <c r="AA304">
        <v>3060</v>
      </c>
      <c r="AB304">
        <v>10</v>
      </c>
      <c r="AC304">
        <v>3</v>
      </c>
      <c r="AD304">
        <v>500</v>
      </c>
      <c r="AE304">
        <v>55</v>
      </c>
      <c r="AF304">
        <v>140</v>
      </c>
      <c r="AG304">
        <v>290</v>
      </c>
      <c r="AH304">
        <v>150</v>
      </c>
      <c r="AI304">
        <v>15</v>
      </c>
      <c r="AJ304">
        <v>2400</v>
      </c>
      <c r="AK304">
        <v>5300</v>
      </c>
      <c r="AL304">
        <v>1100</v>
      </c>
      <c r="AM304">
        <v>4000</v>
      </c>
      <c r="AN304">
        <v>140</v>
      </c>
      <c r="AO304">
        <v>5</v>
      </c>
      <c r="AP304">
        <v>0</v>
      </c>
      <c r="AQ304">
        <v>0</v>
      </c>
      <c r="AR304">
        <v>0</v>
      </c>
      <c r="AS304">
        <v>0</v>
      </c>
      <c r="AT304">
        <v>222</v>
      </c>
      <c r="AU304">
        <v>0</v>
      </c>
      <c r="AV304">
        <v>0</v>
      </c>
      <c r="AW304">
        <v>222</v>
      </c>
      <c r="AX304">
        <v>1998</v>
      </c>
      <c r="AY304">
        <v>0</v>
      </c>
      <c r="AZ304">
        <v>0</v>
      </c>
      <c r="BA304">
        <v>1998</v>
      </c>
      <c r="BB304">
        <v>0</v>
      </c>
      <c r="BC304">
        <v>0</v>
      </c>
      <c r="BD304">
        <v>0</v>
      </c>
      <c r="BE304">
        <v>2220</v>
      </c>
      <c r="BF304">
        <v>2220</v>
      </c>
      <c r="BG304">
        <f t="shared" si="43"/>
        <v>86.111111111111114</v>
      </c>
      <c r="BH304">
        <v>419</v>
      </c>
      <c r="BI304">
        <v>642</v>
      </c>
      <c r="BJ304">
        <v>372</v>
      </c>
      <c r="BK304">
        <v>167</v>
      </c>
      <c r="BL304">
        <v>214</v>
      </c>
      <c r="BM304">
        <v>465</v>
      </c>
      <c r="BN304">
        <v>288</v>
      </c>
      <c r="BO304">
        <v>307</v>
      </c>
      <c r="BP304">
        <v>167</v>
      </c>
      <c r="BQ304">
        <v>428</v>
      </c>
      <c r="BR304">
        <v>1135</v>
      </c>
      <c r="BS304">
        <v>251</v>
      </c>
      <c r="BT304">
        <v>4855</v>
      </c>
      <c r="BU304">
        <v>400</v>
      </c>
      <c r="BV304">
        <v>837</v>
      </c>
      <c r="BW304">
        <v>1841</v>
      </c>
      <c r="BX304">
        <v>446</v>
      </c>
      <c r="BY304">
        <v>428</v>
      </c>
      <c r="BZ304">
        <v>446</v>
      </c>
      <c r="CA304">
        <v>4398</v>
      </c>
      <c r="CB304">
        <v>0</v>
      </c>
      <c r="CC304">
        <v>0</v>
      </c>
      <c r="CD304">
        <v>826</v>
      </c>
      <c r="CE304">
        <v>17139</v>
      </c>
      <c r="CF304">
        <v>20.75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4405</v>
      </c>
      <c r="CO304">
        <v>0</v>
      </c>
      <c r="CP304">
        <v>1790</v>
      </c>
      <c r="CQ304">
        <v>0</v>
      </c>
      <c r="CR304">
        <v>0</v>
      </c>
      <c r="CS304">
        <v>0</v>
      </c>
      <c r="CT304">
        <v>6195</v>
      </c>
      <c r="CU304">
        <v>0</v>
      </c>
      <c r="CV304">
        <v>0</v>
      </c>
      <c r="CW304">
        <v>275</v>
      </c>
      <c r="CX304">
        <v>0</v>
      </c>
      <c r="CY304">
        <v>43915</v>
      </c>
      <c r="CZ304">
        <v>482</v>
      </c>
      <c r="DA304">
        <v>0</v>
      </c>
      <c r="DB304">
        <v>0</v>
      </c>
      <c r="DC304">
        <v>44672</v>
      </c>
      <c r="DD304">
        <v>0</v>
      </c>
      <c r="DE304">
        <v>0</v>
      </c>
      <c r="DF304">
        <v>17139</v>
      </c>
      <c r="DG304">
        <v>826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17965</v>
      </c>
      <c r="DT304">
        <v>68832</v>
      </c>
      <c r="DU304">
        <v>3168</v>
      </c>
      <c r="DV304">
        <v>0</v>
      </c>
      <c r="DW304">
        <v>0</v>
      </c>
      <c r="DX304">
        <v>0</v>
      </c>
      <c r="DY304">
        <v>1892</v>
      </c>
      <c r="DZ304">
        <v>1419</v>
      </c>
      <c r="EA304">
        <v>2365</v>
      </c>
      <c r="EB304">
        <v>2838</v>
      </c>
      <c r="EC304">
        <v>946</v>
      </c>
      <c r="ED304">
        <v>4730</v>
      </c>
      <c r="EE304">
        <v>4730</v>
      </c>
      <c r="EF304">
        <v>0</v>
      </c>
      <c r="EG304">
        <v>0</v>
      </c>
      <c r="EH304">
        <v>1.6</v>
      </c>
      <c r="EI304">
        <v>4.7</v>
      </c>
      <c r="EJ304">
        <v>72</v>
      </c>
      <c r="EK304">
        <v>9.3000000000000007</v>
      </c>
    </row>
    <row r="305" spans="1:141" x14ac:dyDescent="0.25">
      <c r="A305" t="str">
        <f>[1]ingredient!B305</f>
        <v>Petersilie</v>
      </c>
      <c r="B305" t="s">
        <v>386</v>
      </c>
      <c r="C305" s="7">
        <f>_xlfn.XLOOKUP(A305,[1]ingredient!$B$2:$B$521,[1]ingredient!$A$2:$A$521)</f>
        <v>304</v>
      </c>
      <c r="D305">
        <v>53</v>
      </c>
      <c r="E305">
        <v>0.4</v>
      </c>
      <c r="F305">
        <v>4</v>
      </c>
      <c r="G305">
        <v>7</v>
      </c>
      <c r="H305">
        <v>4</v>
      </c>
      <c r="I305">
        <v>5</v>
      </c>
      <c r="J305">
        <v>0.19</v>
      </c>
      <c r="K305">
        <v>81</v>
      </c>
      <c r="L305">
        <v>902</v>
      </c>
      <c r="M305">
        <v>451</v>
      </c>
      <c r="N305">
        <v>0</v>
      </c>
      <c r="O305">
        <v>5413</v>
      </c>
      <c r="P305">
        <v>140</v>
      </c>
      <c r="Q305">
        <v>300</v>
      </c>
      <c r="R305">
        <v>1350</v>
      </c>
      <c r="S305">
        <v>2533</v>
      </c>
      <c r="T305">
        <v>300</v>
      </c>
      <c r="U305">
        <v>200</v>
      </c>
      <c r="V305">
        <v>0.4</v>
      </c>
      <c r="W305">
        <v>116</v>
      </c>
      <c r="X305">
        <v>0</v>
      </c>
      <c r="Y305">
        <v>166000</v>
      </c>
      <c r="Z305">
        <v>0</v>
      </c>
      <c r="AA305">
        <v>3703</v>
      </c>
      <c r="AB305">
        <v>790</v>
      </c>
      <c r="AC305">
        <v>33</v>
      </c>
      <c r="AD305">
        <v>1000</v>
      </c>
      <c r="AE305">
        <v>245</v>
      </c>
      <c r="AF305">
        <v>41</v>
      </c>
      <c r="AG305">
        <v>128</v>
      </c>
      <c r="AH305">
        <v>190</v>
      </c>
      <c r="AI305">
        <v>160</v>
      </c>
      <c r="AJ305">
        <v>5500</v>
      </c>
      <c r="AK305">
        <v>900</v>
      </c>
      <c r="AL305">
        <v>520</v>
      </c>
      <c r="AM305">
        <v>2700</v>
      </c>
      <c r="AN305">
        <v>110</v>
      </c>
      <c r="AO305">
        <v>15</v>
      </c>
      <c r="AP305">
        <v>0</v>
      </c>
      <c r="AQ305">
        <v>0</v>
      </c>
      <c r="AR305">
        <v>0</v>
      </c>
      <c r="AS305">
        <v>0</v>
      </c>
      <c r="AT305">
        <v>2952</v>
      </c>
      <c r="AU305">
        <v>1845</v>
      </c>
      <c r="AV305">
        <v>0</v>
      </c>
      <c r="AW305">
        <v>4797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2583</v>
      </c>
      <c r="BF305">
        <v>2583</v>
      </c>
      <c r="BG305">
        <f t="shared" si="43"/>
        <v>48.913043478260867</v>
      </c>
      <c r="BH305">
        <v>204</v>
      </c>
      <c r="BI305">
        <v>296</v>
      </c>
      <c r="BJ305">
        <v>275</v>
      </c>
      <c r="BK305">
        <v>27</v>
      </c>
      <c r="BL305">
        <v>18</v>
      </c>
      <c r="BM305">
        <v>239</v>
      </c>
      <c r="BN305">
        <v>124</v>
      </c>
      <c r="BO305">
        <v>182</v>
      </c>
      <c r="BP305">
        <v>71</v>
      </c>
      <c r="BQ305">
        <v>297</v>
      </c>
      <c r="BR305">
        <v>177</v>
      </c>
      <c r="BS305">
        <v>97</v>
      </c>
      <c r="BT305">
        <v>2007</v>
      </c>
      <c r="BU305">
        <v>301</v>
      </c>
      <c r="BV305">
        <v>470</v>
      </c>
      <c r="BW305">
        <v>390</v>
      </c>
      <c r="BX305">
        <v>204</v>
      </c>
      <c r="BY305">
        <v>425</v>
      </c>
      <c r="BZ305">
        <v>190</v>
      </c>
      <c r="CA305">
        <v>1980</v>
      </c>
      <c r="CB305">
        <v>40</v>
      </c>
      <c r="CC305">
        <v>17</v>
      </c>
      <c r="CD305">
        <v>149</v>
      </c>
      <c r="CE305">
        <v>88</v>
      </c>
      <c r="CF305">
        <v>0.59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48</v>
      </c>
      <c r="CO305">
        <v>0</v>
      </c>
      <c r="CP305">
        <v>3</v>
      </c>
      <c r="CQ305">
        <v>0</v>
      </c>
      <c r="CR305">
        <v>0</v>
      </c>
      <c r="CS305">
        <v>0</v>
      </c>
      <c r="CT305">
        <v>51</v>
      </c>
      <c r="CU305">
        <v>0</v>
      </c>
      <c r="CV305">
        <v>0</v>
      </c>
      <c r="CW305">
        <v>8</v>
      </c>
      <c r="CX305">
        <v>0</v>
      </c>
      <c r="CY305">
        <v>24</v>
      </c>
      <c r="CZ305">
        <v>0</v>
      </c>
      <c r="DA305">
        <v>0</v>
      </c>
      <c r="DB305">
        <v>0</v>
      </c>
      <c r="DC305">
        <v>32</v>
      </c>
      <c r="DD305">
        <v>0</v>
      </c>
      <c r="DE305">
        <v>0</v>
      </c>
      <c r="DF305">
        <v>88</v>
      </c>
      <c r="DG305">
        <v>149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237</v>
      </c>
      <c r="DT305">
        <v>320</v>
      </c>
      <c r="DU305">
        <v>80</v>
      </c>
      <c r="DV305">
        <v>0</v>
      </c>
      <c r="DW305">
        <v>0</v>
      </c>
      <c r="DX305">
        <v>0</v>
      </c>
      <c r="DY305">
        <v>850</v>
      </c>
      <c r="DZ305">
        <v>850</v>
      </c>
      <c r="EA305">
        <v>298</v>
      </c>
      <c r="EB305">
        <v>1657</v>
      </c>
      <c r="EC305">
        <v>595</v>
      </c>
      <c r="ED305">
        <v>1063</v>
      </c>
      <c r="EE305">
        <v>3188</v>
      </c>
      <c r="EF305">
        <v>0</v>
      </c>
      <c r="EG305">
        <v>0.36</v>
      </c>
      <c r="EH305">
        <v>2.1</v>
      </c>
      <c r="EI305">
        <v>3.2</v>
      </c>
      <c r="EJ305">
        <v>0.4</v>
      </c>
      <c r="EK305">
        <v>4.0999999999999996</v>
      </c>
    </row>
    <row r="306" spans="1:141" x14ac:dyDescent="0.25">
      <c r="A306" t="str">
        <f>[1]ingredient!B306</f>
        <v>Petersilie, getrocknet</v>
      </c>
      <c r="B306" t="s">
        <v>387</v>
      </c>
      <c r="C306" s="7">
        <f>_xlfn.XLOOKUP(A306,[1]ingredient!$B$2:$B$521,[1]ingredient!$A$2:$A$521)</f>
        <v>305</v>
      </c>
      <c r="D306">
        <v>262</v>
      </c>
      <c r="E306">
        <v>2</v>
      </c>
      <c r="F306">
        <v>23</v>
      </c>
      <c r="G306">
        <v>36</v>
      </c>
      <c r="H306">
        <v>22</v>
      </c>
      <c r="I306">
        <v>23</v>
      </c>
      <c r="J306">
        <v>1</v>
      </c>
      <c r="K306">
        <v>6</v>
      </c>
      <c r="L306">
        <v>2314</v>
      </c>
      <c r="M306">
        <v>1156</v>
      </c>
      <c r="N306">
        <v>0</v>
      </c>
      <c r="O306">
        <v>13871</v>
      </c>
      <c r="P306">
        <v>540</v>
      </c>
      <c r="Q306">
        <v>1075</v>
      </c>
      <c r="R306">
        <v>5881</v>
      </c>
      <c r="S306">
        <v>11914</v>
      </c>
      <c r="T306">
        <v>1228</v>
      </c>
      <c r="U306">
        <v>820</v>
      </c>
      <c r="V306">
        <v>0</v>
      </c>
      <c r="W306">
        <v>296</v>
      </c>
      <c r="X306">
        <v>0</v>
      </c>
      <c r="Y306">
        <v>340344</v>
      </c>
      <c r="Z306">
        <v>0</v>
      </c>
      <c r="AA306">
        <v>17082</v>
      </c>
      <c r="AB306">
        <v>4051</v>
      </c>
      <c r="AC306">
        <v>143</v>
      </c>
      <c r="AD306">
        <v>4357</v>
      </c>
      <c r="AE306">
        <v>1131</v>
      </c>
      <c r="AF306">
        <v>189</v>
      </c>
      <c r="AG306">
        <v>591</v>
      </c>
      <c r="AH306">
        <v>877</v>
      </c>
      <c r="AI306">
        <v>739</v>
      </c>
      <c r="AJ306">
        <v>23961</v>
      </c>
      <c r="AK306">
        <v>4153</v>
      </c>
      <c r="AL306">
        <v>2400</v>
      </c>
      <c r="AM306">
        <v>12455</v>
      </c>
      <c r="AN306">
        <v>510</v>
      </c>
      <c r="AO306">
        <v>72</v>
      </c>
      <c r="AP306">
        <v>0</v>
      </c>
      <c r="AQ306">
        <v>0</v>
      </c>
      <c r="AR306">
        <v>0</v>
      </c>
      <c r="AS306">
        <v>0</v>
      </c>
      <c r="AT306">
        <v>14376</v>
      </c>
      <c r="AU306">
        <v>8984</v>
      </c>
      <c r="AV306">
        <v>0</v>
      </c>
      <c r="AW306">
        <v>23360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12577</v>
      </c>
      <c r="BF306">
        <v>12577</v>
      </c>
      <c r="BG306">
        <f t="shared" si="43"/>
        <v>43.478260869565219</v>
      </c>
      <c r="BH306">
        <v>1045</v>
      </c>
      <c r="BI306">
        <v>1519</v>
      </c>
      <c r="BJ306">
        <v>1412</v>
      </c>
      <c r="BK306">
        <v>138</v>
      </c>
      <c r="BL306">
        <v>92</v>
      </c>
      <c r="BM306">
        <v>1223</v>
      </c>
      <c r="BN306">
        <v>637</v>
      </c>
      <c r="BO306">
        <v>933</v>
      </c>
      <c r="BP306">
        <v>362</v>
      </c>
      <c r="BQ306">
        <v>1522</v>
      </c>
      <c r="BR306">
        <v>907</v>
      </c>
      <c r="BS306">
        <v>499</v>
      </c>
      <c r="BT306">
        <v>10289</v>
      </c>
      <c r="BU306">
        <v>1544</v>
      </c>
      <c r="BV306">
        <v>2410</v>
      </c>
      <c r="BW306">
        <v>1998</v>
      </c>
      <c r="BX306">
        <v>1045</v>
      </c>
      <c r="BY306">
        <v>2176</v>
      </c>
      <c r="BZ306">
        <v>973</v>
      </c>
      <c r="CA306">
        <v>10146</v>
      </c>
      <c r="CB306">
        <v>204</v>
      </c>
      <c r="CC306">
        <v>85</v>
      </c>
      <c r="CD306">
        <v>764</v>
      </c>
      <c r="CE306">
        <v>454</v>
      </c>
      <c r="CF306">
        <v>0.59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245</v>
      </c>
      <c r="CO306">
        <v>0</v>
      </c>
      <c r="CP306">
        <v>15</v>
      </c>
      <c r="CQ306">
        <v>0</v>
      </c>
      <c r="CR306">
        <v>0</v>
      </c>
      <c r="CS306">
        <v>0</v>
      </c>
      <c r="CT306">
        <v>260</v>
      </c>
      <c r="CU306">
        <v>0</v>
      </c>
      <c r="CV306">
        <v>0</v>
      </c>
      <c r="CW306">
        <v>41</v>
      </c>
      <c r="CX306">
        <v>0</v>
      </c>
      <c r="CY306">
        <v>122</v>
      </c>
      <c r="CZ306">
        <v>0</v>
      </c>
      <c r="DA306">
        <v>0</v>
      </c>
      <c r="DB306">
        <v>0</v>
      </c>
      <c r="DC306">
        <v>163</v>
      </c>
      <c r="DD306">
        <v>0</v>
      </c>
      <c r="DE306">
        <v>0</v>
      </c>
      <c r="DF306">
        <v>454</v>
      </c>
      <c r="DG306">
        <v>764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1218</v>
      </c>
      <c r="DT306">
        <v>1641</v>
      </c>
      <c r="DU306">
        <v>408</v>
      </c>
      <c r="DV306">
        <v>0</v>
      </c>
      <c r="DW306">
        <v>0</v>
      </c>
      <c r="DX306">
        <v>0</v>
      </c>
      <c r="DY306">
        <v>4357</v>
      </c>
      <c r="DZ306">
        <v>4357</v>
      </c>
      <c r="EA306">
        <v>1529</v>
      </c>
      <c r="EB306">
        <v>8495</v>
      </c>
      <c r="EC306">
        <v>3047</v>
      </c>
      <c r="ED306">
        <v>5448</v>
      </c>
      <c r="EE306">
        <v>16343</v>
      </c>
      <c r="EF306">
        <v>0</v>
      </c>
      <c r="EG306">
        <v>2</v>
      </c>
      <c r="EH306">
        <v>9.6999999999999993</v>
      </c>
      <c r="EI306">
        <v>16.3</v>
      </c>
      <c r="EJ306">
        <v>2</v>
      </c>
      <c r="EK306">
        <v>21.1</v>
      </c>
    </row>
    <row r="307" spans="1:141" x14ac:dyDescent="0.25">
      <c r="A307" t="str">
        <f>[1]ingredient!B307</f>
        <v>Pfeffer</v>
      </c>
      <c r="B307" t="s">
        <v>388</v>
      </c>
      <c r="C307" s="7">
        <f>_xlfn.XLOOKUP(A307,[1]ingredient!$B$2:$B$521,[1]ingredient!$A$2:$A$521)</f>
        <v>306</v>
      </c>
      <c r="D307">
        <v>285</v>
      </c>
      <c r="E307">
        <v>3</v>
      </c>
      <c r="F307">
        <v>11</v>
      </c>
      <c r="G307">
        <v>52</v>
      </c>
      <c r="H307">
        <v>13</v>
      </c>
      <c r="I307">
        <v>49</v>
      </c>
      <c r="J307">
        <v>0.1</v>
      </c>
      <c r="K307">
        <v>16</v>
      </c>
      <c r="L307">
        <v>19</v>
      </c>
      <c r="M307">
        <v>10</v>
      </c>
      <c r="N307">
        <v>0</v>
      </c>
      <c r="O307">
        <v>115</v>
      </c>
      <c r="P307">
        <v>110</v>
      </c>
      <c r="Q307">
        <v>240</v>
      </c>
      <c r="R307">
        <v>1100</v>
      </c>
      <c r="S307">
        <v>3100</v>
      </c>
      <c r="T307">
        <v>500</v>
      </c>
      <c r="U307">
        <v>200</v>
      </c>
      <c r="V307">
        <v>10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44</v>
      </c>
      <c r="AD307">
        <v>1260</v>
      </c>
      <c r="AE307">
        <v>430</v>
      </c>
      <c r="AF307">
        <v>190</v>
      </c>
      <c r="AG307">
        <v>170</v>
      </c>
      <c r="AH307">
        <v>99</v>
      </c>
      <c r="AI307">
        <v>60</v>
      </c>
      <c r="AJ307">
        <v>11200</v>
      </c>
      <c r="AK307">
        <v>1400</v>
      </c>
      <c r="AL307">
        <v>1130</v>
      </c>
      <c r="AM307">
        <v>6500</v>
      </c>
      <c r="AN307">
        <v>50</v>
      </c>
      <c r="AO307">
        <v>5</v>
      </c>
      <c r="AP307">
        <v>0</v>
      </c>
      <c r="AQ307">
        <v>0</v>
      </c>
      <c r="AR307">
        <v>0</v>
      </c>
      <c r="AS307">
        <v>0</v>
      </c>
      <c r="AT307">
        <v>26000</v>
      </c>
      <c r="AU307">
        <v>21320</v>
      </c>
      <c r="AV307">
        <v>0</v>
      </c>
      <c r="AW307">
        <v>47320</v>
      </c>
      <c r="AX307">
        <v>2080</v>
      </c>
      <c r="AY307">
        <v>0</v>
      </c>
      <c r="AZ307">
        <v>0</v>
      </c>
      <c r="BA307">
        <v>2080</v>
      </c>
      <c r="BB307">
        <v>0</v>
      </c>
      <c r="BC307">
        <v>0</v>
      </c>
      <c r="BD307">
        <v>0</v>
      </c>
      <c r="BE307">
        <v>2600</v>
      </c>
      <c r="BF307">
        <v>2600</v>
      </c>
      <c r="BG307">
        <f t="shared" si="43"/>
        <v>88.825757575757578</v>
      </c>
      <c r="BH307">
        <v>436</v>
      </c>
      <c r="BI307">
        <v>839</v>
      </c>
      <c r="BJ307">
        <v>469</v>
      </c>
      <c r="BK307">
        <v>131</v>
      </c>
      <c r="BL307">
        <v>131</v>
      </c>
      <c r="BM307">
        <v>349</v>
      </c>
      <c r="BN307">
        <v>316</v>
      </c>
      <c r="BO307">
        <v>403</v>
      </c>
      <c r="BP307">
        <v>120</v>
      </c>
      <c r="BQ307">
        <v>632</v>
      </c>
      <c r="BR307">
        <v>1210</v>
      </c>
      <c r="BS307">
        <v>240</v>
      </c>
      <c r="BT307">
        <v>5276</v>
      </c>
      <c r="BU307">
        <v>578</v>
      </c>
      <c r="BV307">
        <v>1123</v>
      </c>
      <c r="BW307">
        <v>2331</v>
      </c>
      <c r="BX307">
        <v>643</v>
      </c>
      <c r="BY307">
        <v>556</v>
      </c>
      <c r="BZ307">
        <v>338</v>
      </c>
      <c r="CA307">
        <v>5569</v>
      </c>
      <c r="CB307">
        <v>50</v>
      </c>
      <c r="CC307">
        <v>21</v>
      </c>
      <c r="CD307">
        <v>143</v>
      </c>
      <c r="CE307">
        <v>853</v>
      </c>
      <c r="CF307">
        <v>5.97</v>
      </c>
      <c r="CG307">
        <v>0</v>
      </c>
      <c r="CH307">
        <v>0</v>
      </c>
      <c r="CI307">
        <v>0</v>
      </c>
      <c r="CJ307">
        <v>0</v>
      </c>
      <c r="CK307">
        <v>25</v>
      </c>
      <c r="CL307">
        <v>44</v>
      </c>
      <c r="CM307">
        <v>0</v>
      </c>
      <c r="CN307">
        <v>791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860</v>
      </c>
      <c r="CU307">
        <v>0</v>
      </c>
      <c r="CV307">
        <v>0</v>
      </c>
      <c r="CW307">
        <v>0</v>
      </c>
      <c r="CX307">
        <v>0</v>
      </c>
      <c r="CY307">
        <v>890</v>
      </c>
      <c r="CZ307">
        <v>0</v>
      </c>
      <c r="DA307">
        <v>0</v>
      </c>
      <c r="DB307">
        <v>0</v>
      </c>
      <c r="DC307">
        <v>890</v>
      </c>
      <c r="DD307">
        <v>0</v>
      </c>
      <c r="DE307">
        <v>0</v>
      </c>
      <c r="DF307">
        <v>853</v>
      </c>
      <c r="DG307">
        <v>143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996</v>
      </c>
      <c r="DT307">
        <v>2746</v>
      </c>
      <c r="DU307">
        <v>554</v>
      </c>
      <c r="DV307">
        <v>0</v>
      </c>
      <c r="DW307">
        <v>0</v>
      </c>
      <c r="DX307">
        <v>0</v>
      </c>
      <c r="DY307">
        <v>2889</v>
      </c>
      <c r="DZ307">
        <v>2363</v>
      </c>
      <c r="EA307">
        <v>2626</v>
      </c>
      <c r="EB307">
        <v>2626</v>
      </c>
      <c r="EC307">
        <v>2626</v>
      </c>
      <c r="ED307">
        <v>3939</v>
      </c>
      <c r="EE307">
        <v>9191</v>
      </c>
      <c r="EF307">
        <v>0</v>
      </c>
      <c r="EG307">
        <v>0.02</v>
      </c>
      <c r="EH307">
        <v>4.3</v>
      </c>
      <c r="EI307">
        <v>9.1999999999999993</v>
      </c>
      <c r="EJ307">
        <v>3.3</v>
      </c>
      <c r="EK307">
        <v>11</v>
      </c>
    </row>
    <row r="308" spans="1:141" x14ac:dyDescent="0.25">
      <c r="A308" t="str">
        <f>[1]ingredient!B308</f>
        <v>Pfeffer rot</v>
      </c>
      <c r="B308" s="11" t="s">
        <v>389</v>
      </c>
      <c r="C308" s="7">
        <f>_xlfn.XLOOKUP(A308,[1]ingredient!$B$2:$B$521,[1]ingredient!$A$2:$A$521)</f>
        <v>307</v>
      </c>
      <c r="D308"/>
    </row>
    <row r="309" spans="1:141" x14ac:dyDescent="0.25">
      <c r="A309" t="str">
        <f>[1]ingredient!B309</f>
        <v>Pfeffer weiß</v>
      </c>
      <c r="B309" s="11" t="s">
        <v>389</v>
      </c>
      <c r="C309" s="7">
        <f>_xlfn.XLOOKUP(A309,[1]ingredient!$B$2:$B$521,[1]ingredient!$A$2:$A$521)</f>
        <v>308</v>
      </c>
      <c r="D309"/>
    </row>
    <row r="310" spans="1:141" x14ac:dyDescent="0.25">
      <c r="A310" t="str">
        <f>[1]ingredient!B310</f>
        <v>Pfefferminze</v>
      </c>
      <c r="B310" t="s">
        <v>354</v>
      </c>
      <c r="C310" s="7">
        <f>_xlfn.XLOOKUP(A310,[1]ingredient!$B$2:$B$521,[1]ingredient!$A$2:$A$521)</f>
        <v>309</v>
      </c>
      <c r="D310">
        <v>44</v>
      </c>
      <c r="E310">
        <v>1</v>
      </c>
      <c r="F310">
        <v>4</v>
      </c>
      <c r="G310">
        <v>5</v>
      </c>
      <c r="H310">
        <v>3</v>
      </c>
      <c r="I310">
        <v>5</v>
      </c>
      <c r="J310">
        <v>0.05</v>
      </c>
      <c r="K310">
        <v>86</v>
      </c>
      <c r="L310">
        <v>123</v>
      </c>
      <c r="M310">
        <v>62</v>
      </c>
      <c r="N310">
        <v>0</v>
      </c>
      <c r="O310">
        <v>740</v>
      </c>
      <c r="P310">
        <v>120</v>
      </c>
      <c r="Q310">
        <v>330</v>
      </c>
      <c r="R310">
        <v>1100</v>
      </c>
      <c r="S310">
        <v>1733</v>
      </c>
      <c r="T310">
        <v>190</v>
      </c>
      <c r="U310">
        <v>50</v>
      </c>
      <c r="V310">
        <v>2</v>
      </c>
      <c r="W310">
        <v>110</v>
      </c>
      <c r="X310">
        <v>0</v>
      </c>
      <c r="Y310">
        <v>31000</v>
      </c>
      <c r="Z310">
        <v>0</v>
      </c>
      <c r="AA310">
        <v>5000</v>
      </c>
      <c r="AB310">
        <v>300</v>
      </c>
      <c r="AC310">
        <v>15</v>
      </c>
      <c r="AD310">
        <v>260</v>
      </c>
      <c r="AE310">
        <v>210</v>
      </c>
      <c r="AF310">
        <v>30</v>
      </c>
      <c r="AG310">
        <v>75</v>
      </c>
      <c r="AH310">
        <v>84</v>
      </c>
      <c r="AI310">
        <v>34</v>
      </c>
      <c r="AJ310">
        <v>9500</v>
      </c>
      <c r="AK310">
        <v>1200</v>
      </c>
      <c r="AL310">
        <v>120</v>
      </c>
      <c r="AM310">
        <v>1400</v>
      </c>
      <c r="AN310">
        <v>50</v>
      </c>
      <c r="AO310">
        <v>4</v>
      </c>
      <c r="AP310">
        <v>0</v>
      </c>
      <c r="AQ310">
        <v>0</v>
      </c>
      <c r="AR310">
        <v>0</v>
      </c>
      <c r="AS310">
        <v>0</v>
      </c>
      <c r="AT310">
        <v>2120</v>
      </c>
      <c r="AU310">
        <v>2120</v>
      </c>
      <c r="AV310">
        <v>0</v>
      </c>
      <c r="AW310">
        <v>4240</v>
      </c>
      <c r="AX310">
        <v>1007</v>
      </c>
      <c r="AY310">
        <v>0</v>
      </c>
      <c r="AZ310">
        <v>0</v>
      </c>
      <c r="BA310">
        <v>1007</v>
      </c>
      <c r="BB310">
        <v>0</v>
      </c>
      <c r="BC310">
        <v>0</v>
      </c>
      <c r="BD310">
        <v>0</v>
      </c>
      <c r="BE310">
        <v>53</v>
      </c>
      <c r="BF310">
        <v>53</v>
      </c>
      <c r="BG310">
        <f t="shared" si="43"/>
        <v>89.0625</v>
      </c>
      <c r="BH310">
        <v>152</v>
      </c>
      <c r="BI310">
        <v>228</v>
      </c>
      <c r="BJ310">
        <v>190</v>
      </c>
      <c r="BK310">
        <v>46</v>
      </c>
      <c r="BL310">
        <v>38</v>
      </c>
      <c r="BM310">
        <v>114</v>
      </c>
      <c r="BN310">
        <v>76</v>
      </c>
      <c r="BO310">
        <v>133</v>
      </c>
      <c r="BP310">
        <v>38</v>
      </c>
      <c r="BQ310">
        <v>152</v>
      </c>
      <c r="BR310">
        <v>152</v>
      </c>
      <c r="BS310">
        <v>57</v>
      </c>
      <c r="BT310">
        <v>1376</v>
      </c>
      <c r="BU310">
        <v>190</v>
      </c>
      <c r="BV310">
        <v>380</v>
      </c>
      <c r="BW310">
        <v>570</v>
      </c>
      <c r="BX310">
        <v>106</v>
      </c>
      <c r="BY310">
        <v>152</v>
      </c>
      <c r="BZ310">
        <v>114</v>
      </c>
      <c r="CA310">
        <v>1512</v>
      </c>
      <c r="CB310">
        <v>15</v>
      </c>
      <c r="CC310">
        <v>6</v>
      </c>
      <c r="CD310">
        <v>168</v>
      </c>
      <c r="CE310">
        <v>223</v>
      </c>
      <c r="CF310">
        <v>1.33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3</v>
      </c>
      <c r="CM310">
        <v>0</v>
      </c>
      <c r="CN310">
        <v>109</v>
      </c>
      <c r="CO310">
        <v>0</v>
      </c>
      <c r="CP310">
        <v>17</v>
      </c>
      <c r="CQ310">
        <v>0</v>
      </c>
      <c r="CR310">
        <v>0</v>
      </c>
      <c r="CS310">
        <v>0</v>
      </c>
      <c r="CT310">
        <v>129</v>
      </c>
      <c r="CU310">
        <v>0</v>
      </c>
      <c r="CV310">
        <v>0</v>
      </c>
      <c r="CW310">
        <v>6</v>
      </c>
      <c r="CX310">
        <v>0</v>
      </c>
      <c r="CY310">
        <v>34</v>
      </c>
      <c r="CZ310">
        <v>0</v>
      </c>
      <c r="DA310">
        <v>0</v>
      </c>
      <c r="DB310">
        <v>0</v>
      </c>
      <c r="DC310">
        <v>40</v>
      </c>
      <c r="DD310">
        <v>0</v>
      </c>
      <c r="DE310">
        <v>0</v>
      </c>
      <c r="DF310">
        <v>223</v>
      </c>
      <c r="DG310">
        <v>168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391</v>
      </c>
      <c r="DT310">
        <v>560</v>
      </c>
      <c r="DU310">
        <v>140</v>
      </c>
      <c r="DV310">
        <v>0</v>
      </c>
      <c r="DW310">
        <v>0</v>
      </c>
      <c r="DX310">
        <v>0</v>
      </c>
      <c r="DY310">
        <v>450</v>
      </c>
      <c r="DZ310">
        <v>600</v>
      </c>
      <c r="EA310">
        <v>810</v>
      </c>
      <c r="EB310">
        <v>1050</v>
      </c>
      <c r="EC310">
        <v>90</v>
      </c>
      <c r="ED310">
        <v>900</v>
      </c>
      <c r="EE310">
        <v>2100</v>
      </c>
      <c r="EF310">
        <v>0</v>
      </c>
      <c r="EG310">
        <v>0.25</v>
      </c>
      <c r="EH310">
        <v>0.8</v>
      </c>
      <c r="EI310">
        <v>2.1</v>
      </c>
      <c r="EJ310">
        <v>0.7</v>
      </c>
      <c r="EK310">
        <v>2.9</v>
      </c>
    </row>
    <row r="311" spans="1:141" x14ac:dyDescent="0.25">
      <c r="A311" t="str">
        <f>[1]ingredient!B311</f>
        <v>Pfifferlinge</v>
      </c>
      <c r="B311" t="s">
        <v>390</v>
      </c>
      <c r="C311" s="7">
        <f>_xlfn.XLOOKUP(A311,[1]ingredient!$B$2:$B$521,[1]ingredient!$A$2:$A$521)</f>
        <v>310</v>
      </c>
      <c r="D311">
        <v>11</v>
      </c>
      <c r="E311">
        <v>1</v>
      </c>
      <c r="F311">
        <v>2</v>
      </c>
      <c r="G311">
        <v>0.2</v>
      </c>
      <c r="H311">
        <v>6</v>
      </c>
      <c r="I311">
        <v>0.04</v>
      </c>
      <c r="J311">
        <v>0.03</v>
      </c>
      <c r="K311">
        <v>91</v>
      </c>
      <c r="L311">
        <v>217</v>
      </c>
      <c r="M311">
        <v>108</v>
      </c>
      <c r="N311">
        <v>0</v>
      </c>
      <c r="O311">
        <v>1300</v>
      </c>
      <c r="P311">
        <v>20</v>
      </c>
      <c r="Q311">
        <v>230</v>
      </c>
      <c r="R311">
        <v>6500</v>
      </c>
      <c r="S311">
        <v>7317</v>
      </c>
      <c r="T311">
        <v>2500</v>
      </c>
      <c r="U311">
        <v>40</v>
      </c>
      <c r="V311">
        <v>15</v>
      </c>
      <c r="W311">
        <v>25</v>
      </c>
      <c r="X311">
        <v>0</v>
      </c>
      <c r="Y311">
        <v>6000</v>
      </c>
      <c r="Z311">
        <v>2</v>
      </c>
      <c r="AA311">
        <v>60</v>
      </c>
      <c r="AB311">
        <v>15</v>
      </c>
      <c r="AC311">
        <v>3</v>
      </c>
      <c r="AD311">
        <v>507</v>
      </c>
      <c r="AE311">
        <v>8</v>
      </c>
      <c r="AF311">
        <v>14</v>
      </c>
      <c r="AG311">
        <v>55</v>
      </c>
      <c r="AH311">
        <v>35</v>
      </c>
      <c r="AI311">
        <v>30</v>
      </c>
      <c r="AJ311">
        <v>6500</v>
      </c>
      <c r="AK311">
        <v>650</v>
      </c>
      <c r="AL311">
        <v>420</v>
      </c>
      <c r="AM311">
        <v>180</v>
      </c>
      <c r="AN311">
        <v>50</v>
      </c>
      <c r="AO311">
        <v>3</v>
      </c>
      <c r="AP311">
        <v>160</v>
      </c>
      <c r="AQ311">
        <v>0</v>
      </c>
      <c r="AR311">
        <v>0</v>
      </c>
      <c r="AS311">
        <v>160</v>
      </c>
      <c r="AT311">
        <v>24</v>
      </c>
      <c r="AU311">
        <v>10</v>
      </c>
      <c r="AV311">
        <v>0</v>
      </c>
      <c r="AW311">
        <v>34</v>
      </c>
      <c r="AX311">
        <v>6</v>
      </c>
      <c r="AY311">
        <v>0</v>
      </c>
      <c r="AZ311">
        <v>0</v>
      </c>
      <c r="BA311">
        <v>6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f t="shared" si="43"/>
        <v>40.625</v>
      </c>
      <c r="BH311">
        <v>39</v>
      </c>
      <c r="BI311">
        <v>113</v>
      </c>
      <c r="BJ311">
        <v>39</v>
      </c>
      <c r="BK311">
        <v>8</v>
      </c>
      <c r="BL311">
        <v>123</v>
      </c>
      <c r="BM311">
        <v>91</v>
      </c>
      <c r="BN311">
        <v>86</v>
      </c>
      <c r="BO311">
        <v>135</v>
      </c>
      <c r="BP311">
        <v>49</v>
      </c>
      <c r="BQ311">
        <v>63</v>
      </c>
      <c r="BR311">
        <v>94</v>
      </c>
      <c r="BS311">
        <v>30</v>
      </c>
      <c r="BT311">
        <v>870</v>
      </c>
      <c r="BU311">
        <v>79</v>
      </c>
      <c r="BV311">
        <v>72</v>
      </c>
      <c r="BW311">
        <v>108</v>
      </c>
      <c r="BX311">
        <v>42</v>
      </c>
      <c r="BY311">
        <v>86</v>
      </c>
      <c r="BZ311">
        <v>47</v>
      </c>
      <c r="CA311">
        <v>434</v>
      </c>
      <c r="CB311">
        <v>30</v>
      </c>
      <c r="CC311">
        <v>13</v>
      </c>
      <c r="CD311">
        <v>221</v>
      </c>
      <c r="CE311">
        <v>53</v>
      </c>
      <c r="CF311">
        <v>0.24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2</v>
      </c>
      <c r="CM311">
        <v>0</v>
      </c>
      <c r="CN311">
        <v>110</v>
      </c>
      <c r="CO311">
        <v>0</v>
      </c>
      <c r="CP311">
        <v>8</v>
      </c>
      <c r="CQ311">
        <v>0</v>
      </c>
      <c r="CR311">
        <v>0</v>
      </c>
      <c r="CS311">
        <v>0</v>
      </c>
      <c r="CT311">
        <v>120</v>
      </c>
      <c r="CU311">
        <v>0</v>
      </c>
      <c r="CV311">
        <v>0</v>
      </c>
      <c r="CW311">
        <v>1</v>
      </c>
      <c r="CX311">
        <v>0</v>
      </c>
      <c r="CY311">
        <v>5</v>
      </c>
      <c r="CZ311">
        <v>0</v>
      </c>
      <c r="DA311">
        <v>0</v>
      </c>
      <c r="DB311">
        <v>0</v>
      </c>
      <c r="DC311">
        <v>6</v>
      </c>
      <c r="DD311">
        <v>0</v>
      </c>
      <c r="DE311">
        <v>0</v>
      </c>
      <c r="DF311">
        <v>53</v>
      </c>
      <c r="DG311">
        <v>221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274</v>
      </c>
      <c r="DT311">
        <v>400</v>
      </c>
      <c r="DU311">
        <v>100</v>
      </c>
      <c r="DV311">
        <v>0</v>
      </c>
      <c r="DW311">
        <v>0</v>
      </c>
      <c r="DX311">
        <v>0</v>
      </c>
      <c r="DY311">
        <v>0</v>
      </c>
      <c r="DZ311">
        <v>2296</v>
      </c>
      <c r="EA311">
        <v>56</v>
      </c>
      <c r="EB311">
        <v>3192</v>
      </c>
      <c r="EC311">
        <v>56</v>
      </c>
      <c r="ED311">
        <v>1064</v>
      </c>
      <c r="EE311">
        <v>4536</v>
      </c>
      <c r="EF311">
        <v>0</v>
      </c>
      <c r="EG311">
        <v>0.06</v>
      </c>
      <c r="EH311">
        <v>1</v>
      </c>
      <c r="EI311">
        <v>4.5</v>
      </c>
      <c r="EJ311">
        <v>0.5</v>
      </c>
      <c r="EK311">
        <v>1.4</v>
      </c>
    </row>
    <row r="312" spans="1:141" x14ac:dyDescent="0.25">
      <c r="A312" t="str">
        <f>[1]ingredient!B312</f>
        <v>Pfirsich</v>
      </c>
      <c r="B312" t="s">
        <v>391</v>
      </c>
      <c r="C312" s="7">
        <f>_xlfn.XLOOKUP(A312,[1]ingredient!$B$2:$B$521,[1]ingredient!$A$2:$A$521)</f>
        <v>311</v>
      </c>
      <c r="D312">
        <v>41</v>
      </c>
      <c r="E312">
        <v>0.1</v>
      </c>
      <c r="F312">
        <v>1</v>
      </c>
      <c r="G312">
        <v>9</v>
      </c>
      <c r="H312">
        <v>2</v>
      </c>
      <c r="I312">
        <v>8</v>
      </c>
      <c r="J312">
        <v>0</v>
      </c>
      <c r="K312">
        <v>87</v>
      </c>
      <c r="L312">
        <v>73</v>
      </c>
      <c r="M312">
        <v>37</v>
      </c>
      <c r="N312">
        <v>0</v>
      </c>
      <c r="O312">
        <v>440</v>
      </c>
      <c r="P312">
        <v>27</v>
      </c>
      <c r="Q312">
        <v>50</v>
      </c>
      <c r="R312">
        <v>900</v>
      </c>
      <c r="S312">
        <v>1000</v>
      </c>
      <c r="T312">
        <v>140</v>
      </c>
      <c r="U312">
        <v>25</v>
      </c>
      <c r="V312">
        <v>2</v>
      </c>
      <c r="W312">
        <v>3</v>
      </c>
      <c r="X312">
        <v>0</v>
      </c>
      <c r="Y312">
        <v>10000</v>
      </c>
      <c r="Z312">
        <v>0</v>
      </c>
      <c r="AA312">
        <v>965</v>
      </c>
      <c r="AB312">
        <v>10</v>
      </c>
      <c r="AC312">
        <v>1</v>
      </c>
      <c r="AD312">
        <v>176</v>
      </c>
      <c r="AE312">
        <v>7</v>
      </c>
      <c r="AF312">
        <v>9</v>
      </c>
      <c r="AG312">
        <v>25</v>
      </c>
      <c r="AH312">
        <v>6</v>
      </c>
      <c r="AI312">
        <v>3</v>
      </c>
      <c r="AJ312">
        <v>480</v>
      </c>
      <c r="AK312">
        <v>145</v>
      </c>
      <c r="AL312">
        <v>50</v>
      </c>
      <c r="AM312">
        <v>83</v>
      </c>
      <c r="AN312">
        <v>20</v>
      </c>
      <c r="AO312">
        <v>1</v>
      </c>
      <c r="AP312">
        <v>0</v>
      </c>
      <c r="AQ312">
        <v>890</v>
      </c>
      <c r="AR312">
        <v>0</v>
      </c>
      <c r="AS312">
        <v>890</v>
      </c>
      <c r="AT312">
        <v>1041</v>
      </c>
      <c r="AU312">
        <v>1237</v>
      </c>
      <c r="AV312">
        <v>0</v>
      </c>
      <c r="AW312">
        <v>2278</v>
      </c>
      <c r="AX312">
        <v>5732</v>
      </c>
      <c r="AY312">
        <v>0</v>
      </c>
      <c r="AZ312">
        <v>0</v>
      </c>
      <c r="BA312">
        <v>5732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f t="shared" si="43"/>
        <v>46.666666666666664</v>
      </c>
      <c r="BH312">
        <v>14</v>
      </c>
      <c r="BI312">
        <v>30</v>
      </c>
      <c r="BJ312">
        <v>30</v>
      </c>
      <c r="BK312">
        <v>31</v>
      </c>
      <c r="BL312">
        <v>10</v>
      </c>
      <c r="BM312">
        <v>19</v>
      </c>
      <c r="BN312">
        <v>21</v>
      </c>
      <c r="BO312">
        <v>29</v>
      </c>
      <c r="BP312">
        <v>6</v>
      </c>
      <c r="BQ312">
        <v>41</v>
      </c>
      <c r="BR312">
        <v>18</v>
      </c>
      <c r="BS312">
        <v>18</v>
      </c>
      <c r="BT312">
        <v>267</v>
      </c>
      <c r="BU312">
        <v>41</v>
      </c>
      <c r="BV312">
        <v>94</v>
      </c>
      <c r="BW312">
        <v>145</v>
      </c>
      <c r="BX312">
        <v>16</v>
      </c>
      <c r="BY312">
        <v>29</v>
      </c>
      <c r="BZ312">
        <v>34</v>
      </c>
      <c r="CA312">
        <v>359</v>
      </c>
      <c r="CB312">
        <v>18</v>
      </c>
      <c r="CC312">
        <v>8</v>
      </c>
      <c r="CD312">
        <v>1</v>
      </c>
      <c r="CE312">
        <v>39</v>
      </c>
      <c r="CF312">
        <v>39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8</v>
      </c>
      <c r="CO312">
        <v>0</v>
      </c>
      <c r="CP312">
        <v>1</v>
      </c>
      <c r="CQ312">
        <v>0</v>
      </c>
      <c r="CR312">
        <v>0</v>
      </c>
      <c r="CS312">
        <v>0</v>
      </c>
      <c r="CT312">
        <v>9</v>
      </c>
      <c r="CU312">
        <v>0</v>
      </c>
      <c r="CV312">
        <v>0</v>
      </c>
      <c r="CW312">
        <v>1</v>
      </c>
      <c r="CX312">
        <v>0</v>
      </c>
      <c r="CY312">
        <v>30</v>
      </c>
      <c r="CZ312">
        <v>0</v>
      </c>
      <c r="DA312">
        <v>0</v>
      </c>
      <c r="DB312">
        <v>0</v>
      </c>
      <c r="DC312">
        <v>31</v>
      </c>
      <c r="DD312">
        <v>0</v>
      </c>
      <c r="DE312">
        <v>0</v>
      </c>
      <c r="DF312">
        <v>39</v>
      </c>
      <c r="DG312">
        <v>1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40</v>
      </c>
      <c r="DT312">
        <v>80</v>
      </c>
      <c r="DU312">
        <v>20</v>
      </c>
      <c r="DV312">
        <v>0</v>
      </c>
      <c r="DW312">
        <v>0</v>
      </c>
      <c r="DX312">
        <v>0</v>
      </c>
      <c r="DY312">
        <v>1035</v>
      </c>
      <c r="DZ312">
        <v>115</v>
      </c>
      <c r="EA312">
        <v>575</v>
      </c>
      <c r="EB312">
        <v>460</v>
      </c>
      <c r="EC312">
        <v>115</v>
      </c>
      <c r="ED312">
        <v>932</v>
      </c>
      <c r="EE312">
        <v>1369</v>
      </c>
      <c r="EF312">
        <v>0</v>
      </c>
      <c r="EG312">
        <v>1</v>
      </c>
      <c r="EH312">
        <v>0.5</v>
      </c>
      <c r="EI312">
        <v>1.4</v>
      </c>
      <c r="EJ312">
        <v>0.1</v>
      </c>
      <c r="EK312">
        <v>0.7</v>
      </c>
    </row>
    <row r="313" spans="1:141" x14ac:dyDescent="0.25">
      <c r="A313" t="str">
        <f>[1]ingredient!B313</f>
        <v>Pflaumen</v>
      </c>
      <c r="B313" t="s">
        <v>392</v>
      </c>
      <c r="C313" s="7">
        <f>_xlfn.XLOOKUP(A313,[1]ingredient!$B$2:$B$521,[1]ingredient!$A$2:$A$521)</f>
        <v>312</v>
      </c>
      <c r="D313">
        <v>45</v>
      </c>
      <c r="E313">
        <v>0.17</v>
      </c>
      <c r="F313">
        <v>1</v>
      </c>
      <c r="G313">
        <v>10</v>
      </c>
      <c r="H313">
        <v>2</v>
      </c>
      <c r="I313">
        <v>9</v>
      </c>
      <c r="J313">
        <v>0</v>
      </c>
      <c r="K313">
        <v>86</v>
      </c>
      <c r="L313">
        <v>61</v>
      </c>
      <c r="M313">
        <v>31</v>
      </c>
      <c r="N313">
        <v>0</v>
      </c>
      <c r="O313">
        <v>366</v>
      </c>
      <c r="P313">
        <v>72</v>
      </c>
      <c r="Q313">
        <v>43</v>
      </c>
      <c r="R313">
        <v>440</v>
      </c>
      <c r="S313">
        <v>440</v>
      </c>
      <c r="T313">
        <v>180</v>
      </c>
      <c r="U313">
        <v>45</v>
      </c>
      <c r="V313">
        <v>0</v>
      </c>
      <c r="W313">
        <v>2</v>
      </c>
      <c r="X313">
        <v>0</v>
      </c>
      <c r="Y313">
        <v>5400</v>
      </c>
      <c r="Z313">
        <v>0</v>
      </c>
      <c r="AA313">
        <v>850</v>
      </c>
      <c r="AB313">
        <v>8</v>
      </c>
      <c r="AC313">
        <v>2</v>
      </c>
      <c r="AD313">
        <v>161</v>
      </c>
      <c r="AE313">
        <v>8</v>
      </c>
      <c r="AF313">
        <v>7</v>
      </c>
      <c r="AG313">
        <v>16</v>
      </c>
      <c r="AH313">
        <v>6</v>
      </c>
      <c r="AI313">
        <v>2</v>
      </c>
      <c r="AJ313">
        <v>256</v>
      </c>
      <c r="AK313">
        <v>83</v>
      </c>
      <c r="AL313">
        <v>64</v>
      </c>
      <c r="AM313">
        <v>64</v>
      </c>
      <c r="AN313">
        <v>2</v>
      </c>
      <c r="AO313">
        <v>1</v>
      </c>
      <c r="AP313">
        <v>0</v>
      </c>
      <c r="AQ313">
        <v>2610</v>
      </c>
      <c r="AR313">
        <v>0</v>
      </c>
      <c r="AS313">
        <v>2610</v>
      </c>
      <c r="AT313">
        <v>3360</v>
      </c>
      <c r="AU313">
        <v>2010</v>
      </c>
      <c r="AV313">
        <v>0</v>
      </c>
      <c r="AW313">
        <v>5370</v>
      </c>
      <c r="AX313">
        <v>3380</v>
      </c>
      <c r="AY313">
        <v>0</v>
      </c>
      <c r="AZ313">
        <v>0</v>
      </c>
      <c r="BA313">
        <v>3380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f t="shared" si="43"/>
        <v>0</v>
      </c>
      <c r="BH313">
        <v>18</v>
      </c>
      <c r="BI313">
        <v>24</v>
      </c>
      <c r="BJ313">
        <v>19</v>
      </c>
      <c r="BK313">
        <v>7</v>
      </c>
      <c r="BL313">
        <v>4</v>
      </c>
      <c r="BM313">
        <v>19</v>
      </c>
      <c r="BN313">
        <v>7</v>
      </c>
      <c r="BO313">
        <v>18</v>
      </c>
      <c r="BP313">
        <v>0</v>
      </c>
      <c r="BQ313">
        <v>21</v>
      </c>
      <c r="BR313">
        <v>15</v>
      </c>
      <c r="BS313">
        <v>15</v>
      </c>
      <c r="BT313">
        <v>167</v>
      </c>
      <c r="BU313">
        <v>33</v>
      </c>
      <c r="BV313">
        <v>283</v>
      </c>
      <c r="BW313">
        <v>42</v>
      </c>
      <c r="BX313">
        <v>13</v>
      </c>
      <c r="BY313">
        <v>39</v>
      </c>
      <c r="BZ313">
        <v>22</v>
      </c>
      <c r="CA313">
        <v>432</v>
      </c>
      <c r="CB313">
        <v>24</v>
      </c>
      <c r="CC313">
        <v>10</v>
      </c>
      <c r="CD313">
        <v>31</v>
      </c>
      <c r="CE313">
        <v>47</v>
      </c>
      <c r="CF313">
        <v>1.52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17</v>
      </c>
      <c r="CO313">
        <v>0</v>
      </c>
      <c r="CP313">
        <v>5</v>
      </c>
      <c r="CQ313">
        <v>0</v>
      </c>
      <c r="CR313">
        <v>0</v>
      </c>
      <c r="CS313">
        <v>0</v>
      </c>
      <c r="CT313">
        <v>22</v>
      </c>
      <c r="CU313">
        <v>0</v>
      </c>
      <c r="CV313">
        <v>0</v>
      </c>
      <c r="CW313">
        <v>1</v>
      </c>
      <c r="CX313">
        <v>0</v>
      </c>
      <c r="CY313">
        <v>51</v>
      </c>
      <c r="CZ313">
        <v>0</v>
      </c>
      <c r="DA313">
        <v>0</v>
      </c>
      <c r="DB313">
        <v>0</v>
      </c>
      <c r="DC313">
        <v>52</v>
      </c>
      <c r="DD313">
        <v>0</v>
      </c>
      <c r="DE313">
        <v>0</v>
      </c>
      <c r="DF313">
        <v>47</v>
      </c>
      <c r="DG313">
        <v>31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78</v>
      </c>
      <c r="DT313">
        <v>152</v>
      </c>
      <c r="DU313">
        <v>34</v>
      </c>
      <c r="DV313">
        <v>0</v>
      </c>
      <c r="DW313">
        <v>0</v>
      </c>
      <c r="DX313">
        <v>0</v>
      </c>
      <c r="DY313">
        <v>170</v>
      </c>
      <c r="DZ313">
        <v>141</v>
      </c>
      <c r="EA313">
        <v>818</v>
      </c>
      <c r="EB313">
        <v>230</v>
      </c>
      <c r="EC313">
        <v>323</v>
      </c>
      <c r="ED313">
        <v>670</v>
      </c>
      <c r="EE313">
        <v>910</v>
      </c>
      <c r="EF313">
        <v>0</v>
      </c>
      <c r="EG313">
        <v>1</v>
      </c>
      <c r="EH313">
        <v>0.5</v>
      </c>
      <c r="EI313">
        <v>0.9</v>
      </c>
      <c r="EJ313">
        <v>0.2</v>
      </c>
      <c r="EK313">
        <v>0.7</v>
      </c>
    </row>
    <row r="314" spans="1:141" x14ac:dyDescent="0.25">
      <c r="A314" t="str">
        <f>[1]ingredient!B314</f>
        <v>Physalis</v>
      </c>
      <c r="B314" t="s">
        <v>393</v>
      </c>
      <c r="C314" s="7">
        <f>_xlfn.XLOOKUP(A314,[1]ingredient!$B$2:$B$521,[1]ingredient!$A$2:$A$521)</f>
        <v>313</v>
      </c>
      <c r="D314">
        <v>76</v>
      </c>
      <c r="E314">
        <v>1</v>
      </c>
      <c r="F314">
        <v>2</v>
      </c>
      <c r="G314">
        <v>13</v>
      </c>
      <c r="H314">
        <v>1</v>
      </c>
      <c r="I314">
        <v>13</v>
      </c>
      <c r="J314">
        <v>0.01</v>
      </c>
      <c r="K314">
        <v>81</v>
      </c>
      <c r="L314">
        <v>150</v>
      </c>
      <c r="M314">
        <v>75</v>
      </c>
      <c r="N314">
        <v>0</v>
      </c>
      <c r="O314">
        <v>900</v>
      </c>
      <c r="P314">
        <v>60</v>
      </c>
      <c r="Q314">
        <v>40</v>
      </c>
      <c r="R314">
        <v>2000</v>
      </c>
      <c r="S314">
        <v>2383</v>
      </c>
      <c r="T314">
        <v>200</v>
      </c>
      <c r="U314">
        <v>50</v>
      </c>
      <c r="V314">
        <v>0.1</v>
      </c>
      <c r="W314">
        <v>8</v>
      </c>
      <c r="X314">
        <v>0</v>
      </c>
      <c r="Y314">
        <v>28000</v>
      </c>
      <c r="Z314">
        <v>0</v>
      </c>
      <c r="AA314">
        <v>500</v>
      </c>
      <c r="AB314">
        <v>10</v>
      </c>
      <c r="AC314">
        <v>5</v>
      </c>
      <c r="AD314">
        <v>170</v>
      </c>
      <c r="AE314">
        <v>12</v>
      </c>
      <c r="AF314">
        <v>8</v>
      </c>
      <c r="AG314">
        <v>39</v>
      </c>
      <c r="AH314">
        <v>6</v>
      </c>
      <c r="AI314">
        <v>2</v>
      </c>
      <c r="AJ314">
        <v>1300</v>
      </c>
      <c r="AK314">
        <v>110</v>
      </c>
      <c r="AL314">
        <v>115</v>
      </c>
      <c r="AM314">
        <v>350</v>
      </c>
      <c r="AN314">
        <v>15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4655</v>
      </c>
      <c r="AU314">
        <v>4655</v>
      </c>
      <c r="AV314">
        <v>0</v>
      </c>
      <c r="AW314">
        <v>9310</v>
      </c>
      <c r="AX314">
        <v>3990</v>
      </c>
      <c r="AY314">
        <v>0</v>
      </c>
      <c r="AZ314">
        <v>0</v>
      </c>
      <c r="BA314">
        <v>3990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f t="shared" si="43"/>
        <v>76.08695652173914</v>
      </c>
      <c r="BH314">
        <v>69</v>
      </c>
      <c r="BI314">
        <v>115</v>
      </c>
      <c r="BJ314">
        <v>115</v>
      </c>
      <c r="BK314">
        <v>23</v>
      </c>
      <c r="BL314">
        <v>12</v>
      </c>
      <c r="BM314">
        <v>58</v>
      </c>
      <c r="BN314">
        <v>46</v>
      </c>
      <c r="BO314">
        <v>69</v>
      </c>
      <c r="BP314">
        <v>23</v>
      </c>
      <c r="BQ314">
        <v>81</v>
      </c>
      <c r="BR314">
        <v>81</v>
      </c>
      <c r="BS314">
        <v>35</v>
      </c>
      <c r="BT314">
        <v>727</v>
      </c>
      <c r="BU314">
        <v>104</v>
      </c>
      <c r="BV314">
        <v>207</v>
      </c>
      <c r="BW314">
        <v>226</v>
      </c>
      <c r="BX314">
        <v>81</v>
      </c>
      <c r="BY314">
        <v>81</v>
      </c>
      <c r="BZ314">
        <v>92</v>
      </c>
      <c r="CA314">
        <v>791</v>
      </c>
      <c r="CB314">
        <v>15</v>
      </c>
      <c r="CC314">
        <v>6</v>
      </c>
      <c r="CD314">
        <v>84</v>
      </c>
      <c r="CE314">
        <v>352</v>
      </c>
      <c r="CF314">
        <v>4.1900000000000004</v>
      </c>
      <c r="CG314">
        <v>0</v>
      </c>
      <c r="CH314">
        <v>0</v>
      </c>
      <c r="CI314">
        <v>0</v>
      </c>
      <c r="CJ314">
        <v>0</v>
      </c>
      <c r="CK314">
        <v>4</v>
      </c>
      <c r="CL314">
        <v>9</v>
      </c>
      <c r="CM314">
        <v>0</v>
      </c>
      <c r="CN314">
        <v>211</v>
      </c>
      <c r="CO314">
        <v>0</v>
      </c>
      <c r="CP314">
        <v>35</v>
      </c>
      <c r="CQ314">
        <v>0</v>
      </c>
      <c r="CR314">
        <v>0</v>
      </c>
      <c r="CS314">
        <v>0</v>
      </c>
      <c r="CT314">
        <v>259</v>
      </c>
      <c r="CU314">
        <v>0</v>
      </c>
      <c r="CV314">
        <v>0</v>
      </c>
      <c r="CW314">
        <v>9</v>
      </c>
      <c r="CX314">
        <v>0</v>
      </c>
      <c r="CY314">
        <v>176</v>
      </c>
      <c r="CZ314">
        <v>0</v>
      </c>
      <c r="DA314">
        <v>0</v>
      </c>
      <c r="DB314">
        <v>0</v>
      </c>
      <c r="DC314">
        <v>185</v>
      </c>
      <c r="DD314">
        <v>0</v>
      </c>
      <c r="DE314">
        <v>0</v>
      </c>
      <c r="DF314">
        <v>352</v>
      </c>
      <c r="DG314">
        <v>84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436</v>
      </c>
      <c r="DT314">
        <v>880</v>
      </c>
      <c r="DU314">
        <v>220</v>
      </c>
      <c r="DV314">
        <v>0</v>
      </c>
      <c r="DW314">
        <v>0</v>
      </c>
      <c r="DX314">
        <v>0</v>
      </c>
      <c r="DY314">
        <v>75</v>
      </c>
      <c r="DZ314">
        <v>100</v>
      </c>
      <c r="EA314">
        <v>100</v>
      </c>
      <c r="EB314">
        <v>100</v>
      </c>
      <c r="EC314">
        <v>125</v>
      </c>
      <c r="ED314">
        <v>125</v>
      </c>
      <c r="EE314">
        <v>375</v>
      </c>
      <c r="EF314">
        <v>0</v>
      </c>
      <c r="EG314">
        <v>1</v>
      </c>
      <c r="EH314">
        <v>0.8</v>
      </c>
      <c r="EI314">
        <v>0.4</v>
      </c>
      <c r="EJ314">
        <v>1.1000000000000001</v>
      </c>
      <c r="EK314">
        <v>1.6</v>
      </c>
    </row>
    <row r="315" spans="1:141" x14ac:dyDescent="0.25">
      <c r="A315" s="12" t="str">
        <f>[1]ingredient!B315</f>
        <v>Pilze</v>
      </c>
      <c r="C315" s="7">
        <f>_xlfn.XLOOKUP(A315,[1]ingredient!$B$2:$B$521,[1]ingredient!$A$2:$A$521)</f>
        <v>314</v>
      </c>
      <c r="D315">
        <f t="shared" ref="D315:BF315" si="47">AVERAGE(D17,D65,D66,D102,D214,D251,D311,D340,D377,D402)</f>
        <v>20.399999999999999</v>
      </c>
      <c r="E315">
        <f t="shared" si="47"/>
        <v>0.34400000000000003</v>
      </c>
      <c r="F315">
        <f t="shared" si="47"/>
        <v>2.9</v>
      </c>
      <c r="G315">
        <f t="shared" si="47"/>
        <v>2.52</v>
      </c>
      <c r="H315">
        <f t="shared" si="47"/>
        <v>3.3</v>
      </c>
      <c r="I315">
        <f t="shared" si="47"/>
        <v>0.47000000000000003</v>
      </c>
      <c r="J315">
        <f t="shared" si="47"/>
        <v>6.6000000000000003E-2</v>
      </c>
      <c r="K315">
        <f t="shared" si="47"/>
        <v>90.4</v>
      </c>
      <c r="L315">
        <f t="shared" si="47"/>
        <v>22.8</v>
      </c>
      <c r="M315">
        <f t="shared" si="47"/>
        <v>11.4</v>
      </c>
      <c r="N315">
        <f t="shared" si="47"/>
        <v>0</v>
      </c>
      <c r="O315">
        <f t="shared" si="47"/>
        <v>135.6</v>
      </c>
      <c r="P315">
        <f t="shared" si="47"/>
        <v>88.1</v>
      </c>
      <c r="Q315">
        <f t="shared" si="47"/>
        <v>355.5</v>
      </c>
      <c r="R315">
        <f t="shared" si="47"/>
        <v>5440</v>
      </c>
      <c r="S315">
        <f t="shared" si="47"/>
        <v>6255.2</v>
      </c>
      <c r="T315">
        <f t="shared" si="47"/>
        <v>1820</v>
      </c>
      <c r="U315">
        <f t="shared" si="47"/>
        <v>63.3</v>
      </c>
      <c r="V315">
        <f t="shared" si="47"/>
        <v>15.7</v>
      </c>
      <c r="W315">
        <f t="shared" si="47"/>
        <v>28.9</v>
      </c>
      <c r="X315">
        <f t="shared" si="47"/>
        <v>0.02</v>
      </c>
      <c r="Y315">
        <f t="shared" si="47"/>
        <v>3620</v>
      </c>
      <c r="Z315">
        <f t="shared" si="47"/>
        <v>1.81</v>
      </c>
      <c r="AA315">
        <f t="shared" si="47"/>
        <v>89.8</v>
      </c>
      <c r="AB315">
        <f t="shared" si="47"/>
        <v>11.5</v>
      </c>
      <c r="AC315">
        <f t="shared" si="47"/>
        <v>7.7</v>
      </c>
      <c r="AD315">
        <f t="shared" si="47"/>
        <v>375.2</v>
      </c>
      <c r="AE315">
        <f t="shared" si="47"/>
        <v>10.4</v>
      </c>
      <c r="AF315">
        <f t="shared" si="47"/>
        <v>13.6</v>
      </c>
      <c r="AG315">
        <f t="shared" si="47"/>
        <v>97.1</v>
      </c>
      <c r="AH315">
        <f t="shared" si="47"/>
        <v>32.799999999999997</v>
      </c>
      <c r="AI315">
        <f t="shared" si="47"/>
        <v>55.9</v>
      </c>
      <c r="AJ315">
        <f t="shared" si="47"/>
        <v>1640</v>
      </c>
      <c r="AK315">
        <f t="shared" si="47"/>
        <v>621.6</v>
      </c>
      <c r="AL315">
        <f t="shared" si="47"/>
        <v>326.8</v>
      </c>
      <c r="AM315">
        <f t="shared" si="47"/>
        <v>120.3</v>
      </c>
      <c r="AN315">
        <f t="shared" si="47"/>
        <v>34.6</v>
      </c>
      <c r="AO315">
        <f t="shared" si="47"/>
        <v>11.9</v>
      </c>
      <c r="AP315">
        <f t="shared" si="47"/>
        <v>1743.9</v>
      </c>
      <c r="AQ315">
        <f t="shared" si="47"/>
        <v>0</v>
      </c>
      <c r="AR315">
        <f t="shared" si="47"/>
        <v>0</v>
      </c>
      <c r="AS315">
        <f t="shared" si="47"/>
        <v>1743.9</v>
      </c>
      <c r="AT315">
        <f t="shared" si="47"/>
        <v>332.3</v>
      </c>
      <c r="AU315">
        <f t="shared" si="47"/>
        <v>92.3</v>
      </c>
      <c r="AV315">
        <f t="shared" si="47"/>
        <v>0</v>
      </c>
      <c r="AW315">
        <f t="shared" si="47"/>
        <v>424.6</v>
      </c>
      <c r="AX315">
        <f t="shared" si="47"/>
        <v>55.5</v>
      </c>
      <c r="AY315">
        <f t="shared" si="47"/>
        <v>0</v>
      </c>
      <c r="AZ315">
        <f t="shared" si="47"/>
        <v>0</v>
      </c>
      <c r="BA315">
        <f t="shared" si="47"/>
        <v>55.5</v>
      </c>
      <c r="BB315">
        <f t="shared" si="47"/>
        <v>0</v>
      </c>
      <c r="BC315">
        <f t="shared" si="47"/>
        <v>0</v>
      </c>
      <c r="BD315">
        <f t="shared" si="47"/>
        <v>0</v>
      </c>
      <c r="BE315">
        <f t="shared" si="47"/>
        <v>0</v>
      </c>
      <c r="BF315">
        <f t="shared" si="47"/>
        <v>0</v>
      </c>
      <c r="BG315">
        <f t="shared" si="43"/>
        <v>74.505370265686835</v>
      </c>
      <c r="BH315">
        <f t="shared" ref="BH315:DS315" si="48">AVERAGE(BH17,BH65,BH66,BH102,BH214,BH251,BH311,BH340,BH377,BH402)</f>
        <v>91.8</v>
      </c>
      <c r="BI315">
        <f t="shared" si="48"/>
        <v>131.80000000000001</v>
      </c>
      <c r="BJ315">
        <f t="shared" si="48"/>
        <v>150.5</v>
      </c>
      <c r="BK315">
        <f t="shared" si="48"/>
        <v>33.799999999999997</v>
      </c>
      <c r="BL315">
        <f t="shared" si="48"/>
        <v>100.1</v>
      </c>
      <c r="BM315">
        <f t="shared" si="48"/>
        <v>87.4</v>
      </c>
      <c r="BN315">
        <f t="shared" si="48"/>
        <v>107.1</v>
      </c>
      <c r="BO315">
        <f t="shared" si="48"/>
        <v>102.8</v>
      </c>
      <c r="BP315">
        <f t="shared" si="48"/>
        <v>49.4</v>
      </c>
      <c r="BQ315">
        <f t="shared" si="48"/>
        <v>97.4</v>
      </c>
      <c r="BR315">
        <f t="shared" si="48"/>
        <v>197</v>
      </c>
      <c r="BS315">
        <f t="shared" si="48"/>
        <v>71.599999999999994</v>
      </c>
      <c r="BT315">
        <f t="shared" si="48"/>
        <v>1220.7</v>
      </c>
      <c r="BU315">
        <f t="shared" si="48"/>
        <v>152.80000000000001</v>
      </c>
      <c r="BV315">
        <f t="shared" si="48"/>
        <v>143.6</v>
      </c>
      <c r="BW315">
        <f t="shared" si="48"/>
        <v>236.8</v>
      </c>
      <c r="BX315">
        <f t="shared" si="48"/>
        <v>83.7</v>
      </c>
      <c r="BY315">
        <f t="shared" si="48"/>
        <v>165.1</v>
      </c>
      <c r="BZ315">
        <f t="shared" si="48"/>
        <v>93.9</v>
      </c>
      <c r="CA315">
        <f t="shared" si="48"/>
        <v>875.9</v>
      </c>
      <c r="CB315">
        <f t="shared" si="48"/>
        <v>56</v>
      </c>
      <c r="CC315">
        <f t="shared" si="48"/>
        <v>23</v>
      </c>
      <c r="CD315">
        <f t="shared" si="48"/>
        <v>112.5</v>
      </c>
      <c r="CE315">
        <f t="shared" si="48"/>
        <v>44</v>
      </c>
      <c r="CF315">
        <f t="shared" si="48"/>
        <v>0.32222222222222219</v>
      </c>
      <c r="CG315">
        <f t="shared" si="48"/>
        <v>0</v>
      </c>
      <c r="CH315">
        <f t="shared" si="48"/>
        <v>0</v>
      </c>
      <c r="CI315">
        <f t="shared" si="48"/>
        <v>0</v>
      </c>
      <c r="CJ315">
        <f t="shared" si="48"/>
        <v>0</v>
      </c>
      <c r="CK315">
        <f t="shared" si="48"/>
        <v>0</v>
      </c>
      <c r="CL315">
        <f t="shared" si="48"/>
        <v>1</v>
      </c>
      <c r="CM315">
        <f t="shared" si="48"/>
        <v>0</v>
      </c>
      <c r="CN315">
        <f t="shared" si="48"/>
        <v>59.8</v>
      </c>
      <c r="CO315">
        <f t="shared" si="48"/>
        <v>0</v>
      </c>
      <c r="CP315">
        <f t="shared" si="48"/>
        <v>4.2</v>
      </c>
      <c r="CQ315">
        <f t="shared" si="48"/>
        <v>0</v>
      </c>
      <c r="CR315">
        <f t="shared" si="48"/>
        <v>0</v>
      </c>
      <c r="CS315">
        <f t="shared" si="48"/>
        <v>0</v>
      </c>
      <c r="CT315">
        <f t="shared" si="48"/>
        <v>68.8</v>
      </c>
      <c r="CU315">
        <f t="shared" si="48"/>
        <v>0</v>
      </c>
      <c r="CV315">
        <f t="shared" si="48"/>
        <v>0</v>
      </c>
      <c r="CW315">
        <f t="shared" si="48"/>
        <v>1</v>
      </c>
      <c r="CX315">
        <f t="shared" si="48"/>
        <v>0</v>
      </c>
      <c r="CY315">
        <f t="shared" si="48"/>
        <v>7.1</v>
      </c>
      <c r="CZ315">
        <f t="shared" si="48"/>
        <v>0</v>
      </c>
      <c r="DA315">
        <f t="shared" si="48"/>
        <v>0</v>
      </c>
      <c r="DB315">
        <f t="shared" si="48"/>
        <v>0</v>
      </c>
      <c r="DC315">
        <f t="shared" si="48"/>
        <v>5</v>
      </c>
      <c r="DD315">
        <f t="shared" si="48"/>
        <v>0</v>
      </c>
      <c r="DE315">
        <f t="shared" si="48"/>
        <v>0</v>
      </c>
      <c r="DF315">
        <f t="shared" si="48"/>
        <v>44</v>
      </c>
      <c r="DG315">
        <f t="shared" si="48"/>
        <v>112.5</v>
      </c>
      <c r="DH315">
        <f t="shared" si="48"/>
        <v>0</v>
      </c>
      <c r="DI315">
        <f t="shared" si="48"/>
        <v>0</v>
      </c>
      <c r="DJ315">
        <f t="shared" si="48"/>
        <v>0</v>
      </c>
      <c r="DK315">
        <f t="shared" si="48"/>
        <v>0</v>
      </c>
      <c r="DL315">
        <f t="shared" si="48"/>
        <v>0</v>
      </c>
      <c r="DM315">
        <f t="shared" si="48"/>
        <v>0</v>
      </c>
      <c r="DN315">
        <f t="shared" si="48"/>
        <v>0</v>
      </c>
      <c r="DO315">
        <f t="shared" si="48"/>
        <v>0</v>
      </c>
      <c r="DP315">
        <f t="shared" si="48"/>
        <v>0</v>
      </c>
      <c r="DQ315">
        <f t="shared" si="48"/>
        <v>0</v>
      </c>
      <c r="DR315">
        <f t="shared" si="48"/>
        <v>0</v>
      </c>
      <c r="DS315">
        <f t="shared" si="48"/>
        <v>156.5</v>
      </c>
      <c r="DT315">
        <f t="shared" ref="DT315:EK315" si="49">AVERAGE(DT17,DT65,DT66,DT102,DT214,DT251,DT311,DT340,DT377,DT402)</f>
        <v>231.9</v>
      </c>
      <c r="DU315">
        <f t="shared" si="49"/>
        <v>70.2</v>
      </c>
      <c r="DV315">
        <f t="shared" si="49"/>
        <v>0</v>
      </c>
      <c r="DW315">
        <f t="shared" si="49"/>
        <v>0</v>
      </c>
      <c r="DX315">
        <f t="shared" si="49"/>
        <v>0</v>
      </c>
      <c r="DY315">
        <f t="shared" si="49"/>
        <v>0</v>
      </c>
      <c r="DZ315">
        <f t="shared" si="49"/>
        <v>1342.6</v>
      </c>
      <c r="EA315">
        <f t="shared" si="49"/>
        <v>32.700000000000003</v>
      </c>
      <c r="EB315">
        <f t="shared" si="49"/>
        <v>1867.1</v>
      </c>
      <c r="EC315">
        <f t="shared" si="49"/>
        <v>32.700000000000003</v>
      </c>
      <c r="ED315">
        <f t="shared" si="49"/>
        <v>622.5</v>
      </c>
      <c r="EE315">
        <f t="shared" si="49"/>
        <v>2652.6</v>
      </c>
      <c r="EF315">
        <f t="shared" si="49"/>
        <v>0</v>
      </c>
      <c r="EG315">
        <f t="shared" si="49"/>
        <v>20.096</v>
      </c>
      <c r="EH315">
        <f t="shared" si="49"/>
        <v>0.85</v>
      </c>
      <c r="EI315">
        <f t="shared" si="49"/>
        <v>2.6300000000000003</v>
      </c>
      <c r="EJ315">
        <f t="shared" si="49"/>
        <v>0.27</v>
      </c>
      <c r="EK315">
        <f t="shared" si="49"/>
        <v>2.29</v>
      </c>
    </row>
    <row r="316" spans="1:141" x14ac:dyDescent="0.25">
      <c r="A316" t="str">
        <f>[1]ingredient!B316</f>
        <v>Piment</v>
      </c>
      <c r="B316" s="8" t="s">
        <v>394</v>
      </c>
      <c r="C316" s="7">
        <f>_xlfn.XLOOKUP(A316,[1]ingredient!$B$2:$B$521,[1]ingredient!$A$2:$A$521)</f>
        <v>315</v>
      </c>
      <c r="D316">
        <v>308</v>
      </c>
      <c r="E316">
        <v>9</v>
      </c>
      <c r="F316">
        <v>6</v>
      </c>
      <c r="G316">
        <v>51</v>
      </c>
      <c r="H316">
        <v>22</v>
      </c>
      <c r="I316">
        <v>48</v>
      </c>
      <c r="J316">
        <v>0.14000000000000001</v>
      </c>
      <c r="K316">
        <v>8</v>
      </c>
      <c r="L316">
        <v>54</v>
      </c>
      <c r="M316">
        <v>27</v>
      </c>
      <c r="N316">
        <v>0</v>
      </c>
      <c r="O316">
        <v>325</v>
      </c>
      <c r="P316">
        <v>100</v>
      </c>
      <c r="Q316">
        <v>60</v>
      </c>
      <c r="R316">
        <v>2900</v>
      </c>
      <c r="S316">
        <v>3917</v>
      </c>
      <c r="T316">
        <v>500</v>
      </c>
      <c r="U316">
        <v>200</v>
      </c>
      <c r="V316">
        <v>10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77</v>
      </c>
      <c r="AD316">
        <v>1040</v>
      </c>
      <c r="AE316">
        <v>660</v>
      </c>
      <c r="AF316">
        <v>130</v>
      </c>
      <c r="AG316">
        <v>110</v>
      </c>
      <c r="AH316">
        <v>100</v>
      </c>
      <c r="AI316">
        <v>60</v>
      </c>
      <c r="AJ316">
        <v>7100</v>
      </c>
      <c r="AK316">
        <v>1000</v>
      </c>
      <c r="AL316">
        <v>550</v>
      </c>
      <c r="AM316">
        <v>1700</v>
      </c>
      <c r="AN316">
        <v>50</v>
      </c>
      <c r="AO316">
        <v>5</v>
      </c>
      <c r="AP316">
        <v>0</v>
      </c>
      <c r="AQ316">
        <v>0</v>
      </c>
      <c r="AR316">
        <v>0</v>
      </c>
      <c r="AS316">
        <v>0</v>
      </c>
      <c r="AT316">
        <v>25250</v>
      </c>
      <c r="AU316">
        <v>20705</v>
      </c>
      <c r="AV316">
        <v>0</v>
      </c>
      <c r="AW316">
        <v>45955</v>
      </c>
      <c r="AX316">
        <v>2020</v>
      </c>
      <c r="AY316">
        <v>0</v>
      </c>
      <c r="AZ316">
        <v>0</v>
      </c>
      <c r="BA316">
        <v>2020</v>
      </c>
      <c r="BB316">
        <v>0</v>
      </c>
      <c r="BC316">
        <v>0</v>
      </c>
      <c r="BD316">
        <v>0</v>
      </c>
      <c r="BE316">
        <v>2525</v>
      </c>
      <c r="BF316">
        <v>2525</v>
      </c>
      <c r="BG316">
        <f t="shared" si="43"/>
        <v>83.333333333333343</v>
      </c>
      <c r="BH316">
        <v>183</v>
      </c>
      <c r="BI316">
        <v>305</v>
      </c>
      <c r="BJ316">
        <v>305</v>
      </c>
      <c r="BK316">
        <v>92</v>
      </c>
      <c r="BL316">
        <v>61</v>
      </c>
      <c r="BM316">
        <v>214</v>
      </c>
      <c r="BN316">
        <v>122</v>
      </c>
      <c r="BO316">
        <v>153</v>
      </c>
      <c r="BP316">
        <v>61</v>
      </c>
      <c r="BQ316">
        <v>244</v>
      </c>
      <c r="BR316">
        <v>275</v>
      </c>
      <c r="BS316">
        <v>92</v>
      </c>
      <c r="BT316">
        <v>2107</v>
      </c>
      <c r="BU316">
        <v>366</v>
      </c>
      <c r="BV316">
        <v>912</v>
      </c>
      <c r="BW316">
        <v>854</v>
      </c>
      <c r="BX316">
        <v>244</v>
      </c>
      <c r="BY316">
        <v>214</v>
      </c>
      <c r="BZ316">
        <v>244</v>
      </c>
      <c r="CA316">
        <v>2834</v>
      </c>
      <c r="CB316">
        <v>29</v>
      </c>
      <c r="CC316">
        <v>12</v>
      </c>
      <c r="CD316">
        <v>80</v>
      </c>
      <c r="CE316">
        <v>2767</v>
      </c>
      <c r="CF316">
        <v>34.590000000000003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20</v>
      </c>
      <c r="CM316">
        <v>0</v>
      </c>
      <c r="CN316">
        <v>616</v>
      </c>
      <c r="CO316">
        <v>0</v>
      </c>
      <c r="CP316">
        <v>2426</v>
      </c>
      <c r="CQ316">
        <v>0</v>
      </c>
      <c r="CR316">
        <v>0</v>
      </c>
      <c r="CS316">
        <v>0</v>
      </c>
      <c r="CT316">
        <v>3062</v>
      </c>
      <c r="CU316">
        <v>0</v>
      </c>
      <c r="CV316">
        <v>0</v>
      </c>
      <c r="CW316">
        <v>0</v>
      </c>
      <c r="CX316">
        <v>0</v>
      </c>
      <c r="CY316">
        <v>790</v>
      </c>
      <c r="CZ316">
        <v>0</v>
      </c>
      <c r="DA316">
        <v>0</v>
      </c>
      <c r="DB316">
        <v>0</v>
      </c>
      <c r="DC316">
        <v>790</v>
      </c>
      <c r="DD316">
        <v>0</v>
      </c>
      <c r="DE316">
        <v>0</v>
      </c>
      <c r="DF316">
        <v>2767</v>
      </c>
      <c r="DG316">
        <v>80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2847</v>
      </c>
      <c r="DT316">
        <v>6699</v>
      </c>
      <c r="DU316">
        <v>2001</v>
      </c>
      <c r="DV316">
        <v>0</v>
      </c>
      <c r="DW316">
        <v>0</v>
      </c>
      <c r="DX316">
        <v>0</v>
      </c>
      <c r="DY316">
        <v>4761</v>
      </c>
      <c r="DZ316">
        <v>3895</v>
      </c>
      <c r="EA316">
        <v>4328</v>
      </c>
      <c r="EB316">
        <v>4328</v>
      </c>
      <c r="EC316">
        <v>4328</v>
      </c>
      <c r="ED316">
        <v>6492</v>
      </c>
      <c r="EE316">
        <v>15148</v>
      </c>
      <c r="EF316">
        <v>0</v>
      </c>
      <c r="EG316">
        <v>0.48</v>
      </c>
      <c r="EH316">
        <v>4.7</v>
      </c>
      <c r="EI316">
        <v>15.1</v>
      </c>
      <c r="EJ316">
        <v>8.6999999999999993</v>
      </c>
      <c r="EK316">
        <v>5</v>
      </c>
    </row>
    <row r="317" spans="1:141" x14ac:dyDescent="0.25">
      <c r="A317" t="str">
        <f>[1]ingredient!B317</f>
        <v>Pinienkerne</v>
      </c>
      <c r="B317" t="s">
        <v>395</v>
      </c>
      <c r="C317" s="7">
        <f>_xlfn.XLOOKUP(A317,[1]ingredient!$B$2:$B$521,[1]ingredient!$A$2:$A$521)</f>
        <v>316</v>
      </c>
      <c r="D317">
        <v>575</v>
      </c>
      <c r="E317">
        <v>51</v>
      </c>
      <c r="F317">
        <v>24</v>
      </c>
      <c r="G317">
        <v>7</v>
      </c>
      <c r="H317">
        <v>7</v>
      </c>
      <c r="I317">
        <v>0.15</v>
      </c>
      <c r="J317">
        <v>0.05</v>
      </c>
      <c r="K317">
        <v>6</v>
      </c>
      <c r="L317">
        <v>3</v>
      </c>
      <c r="M317">
        <v>2</v>
      </c>
      <c r="N317">
        <v>0</v>
      </c>
      <c r="O317">
        <v>18</v>
      </c>
      <c r="P317">
        <v>810</v>
      </c>
      <c r="Q317">
        <v>190</v>
      </c>
      <c r="R317">
        <v>3600</v>
      </c>
      <c r="S317">
        <v>8400</v>
      </c>
      <c r="T317">
        <v>208</v>
      </c>
      <c r="U317">
        <v>110</v>
      </c>
      <c r="V317">
        <v>10</v>
      </c>
      <c r="W317">
        <v>57</v>
      </c>
      <c r="X317">
        <v>0</v>
      </c>
      <c r="Y317">
        <v>1900</v>
      </c>
      <c r="Z317">
        <v>0</v>
      </c>
      <c r="AA317">
        <v>13650</v>
      </c>
      <c r="AB317">
        <v>0</v>
      </c>
      <c r="AC317">
        <v>4</v>
      </c>
      <c r="AD317">
        <v>600</v>
      </c>
      <c r="AE317">
        <v>26</v>
      </c>
      <c r="AF317">
        <v>235</v>
      </c>
      <c r="AG317">
        <v>510</v>
      </c>
      <c r="AH317">
        <v>150</v>
      </c>
      <c r="AI317">
        <v>41</v>
      </c>
      <c r="AJ317">
        <v>9200</v>
      </c>
      <c r="AK317">
        <v>4250</v>
      </c>
      <c r="AL317">
        <v>1030</v>
      </c>
      <c r="AM317">
        <v>4300</v>
      </c>
      <c r="AN317">
        <v>50</v>
      </c>
      <c r="AO317">
        <v>2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146</v>
      </c>
      <c r="AY317">
        <v>0</v>
      </c>
      <c r="AZ317">
        <v>0</v>
      </c>
      <c r="BA317">
        <v>146</v>
      </c>
      <c r="BB317">
        <v>0</v>
      </c>
      <c r="BC317">
        <v>0</v>
      </c>
      <c r="BD317">
        <v>0</v>
      </c>
      <c r="BE317">
        <v>7154</v>
      </c>
      <c r="BF317">
        <v>7154</v>
      </c>
      <c r="BG317">
        <f t="shared" si="43"/>
        <v>75</v>
      </c>
      <c r="BH317">
        <v>888</v>
      </c>
      <c r="BI317">
        <v>1680</v>
      </c>
      <c r="BJ317">
        <v>864</v>
      </c>
      <c r="BK317">
        <v>384</v>
      </c>
      <c r="BL317">
        <v>408</v>
      </c>
      <c r="BM317">
        <v>888</v>
      </c>
      <c r="BN317">
        <v>840</v>
      </c>
      <c r="BO317">
        <v>720</v>
      </c>
      <c r="BP317">
        <v>288</v>
      </c>
      <c r="BQ317">
        <v>1200</v>
      </c>
      <c r="BR317">
        <v>4488</v>
      </c>
      <c r="BS317">
        <v>528</v>
      </c>
      <c r="BT317">
        <v>13176</v>
      </c>
      <c r="BU317">
        <v>1224</v>
      </c>
      <c r="BV317">
        <v>2112</v>
      </c>
      <c r="BW317">
        <v>3960</v>
      </c>
      <c r="BX317">
        <v>1176</v>
      </c>
      <c r="BY317">
        <v>1248</v>
      </c>
      <c r="BZ317">
        <v>984</v>
      </c>
      <c r="CA317">
        <v>10704</v>
      </c>
      <c r="CB317">
        <v>0</v>
      </c>
      <c r="CC317">
        <v>0</v>
      </c>
      <c r="CD317">
        <v>630</v>
      </c>
      <c r="CE317">
        <v>22103</v>
      </c>
      <c r="CF317">
        <v>35.08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48</v>
      </c>
      <c r="CM317">
        <v>0</v>
      </c>
      <c r="CN317">
        <v>4023</v>
      </c>
      <c r="CO317">
        <v>0</v>
      </c>
      <c r="CP317">
        <v>1696</v>
      </c>
      <c r="CQ317">
        <v>339</v>
      </c>
      <c r="CR317">
        <v>0</v>
      </c>
      <c r="CS317">
        <v>0</v>
      </c>
      <c r="CT317">
        <v>6106</v>
      </c>
      <c r="CU317">
        <v>0</v>
      </c>
      <c r="CV317">
        <v>0</v>
      </c>
      <c r="CW317">
        <v>145</v>
      </c>
      <c r="CX317">
        <v>0</v>
      </c>
      <c r="CY317">
        <v>18564</v>
      </c>
      <c r="CZ317">
        <v>921</v>
      </c>
      <c r="DA317">
        <v>0</v>
      </c>
      <c r="DB317">
        <v>0</v>
      </c>
      <c r="DC317">
        <v>19630</v>
      </c>
      <c r="DD317">
        <v>0</v>
      </c>
      <c r="DE317">
        <v>0</v>
      </c>
      <c r="DF317">
        <v>22103</v>
      </c>
      <c r="DG317">
        <v>630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22733</v>
      </c>
      <c r="DT317">
        <v>48469</v>
      </c>
      <c r="DU317">
        <v>2231</v>
      </c>
      <c r="DV317">
        <v>0</v>
      </c>
      <c r="DW317">
        <v>0</v>
      </c>
      <c r="DX317">
        <v>0</v>
      </c>
      <c r="DY317">
        <v>1080</v>
      </c>
      <c r="DZ317">
        <v>4752</v>
      </c>
      <c r="EA317">
        <v>144</v>
      </c>
      <c r="EB317">
        <v>1080</v>
      </c>
      <c r="EC317">
        <v>144</v>
      </c>
      <c r="ED317">
        <v>1440</v>
      </c>
      <c r="EE317">
        <v>5760</v>
      </c>
      <c r="EF317">
        <v>0</v>
      </c>
      <c r="EG317">
        <v>0</v>
      </c>
      <c r="EH317">
        <v>4.4000000000000004</v>
      </c>
      <c r="EI317">
        <v>5.8</v>
      </c>
      <c r="EJ317">
        <v>50.7</v>
      </c>
      <c r="EK317">
        <v>23.9</v>
      </c>
    </row>
    <row r="318" spans="1:141" x14ac:dyDescent="0.25">
      <c r="A318" t="str">
        <f>[1]ingredient!B318</f>
        <v>Pintobohnen</v>
      </c>
      <c r="B318" t="s">
        <v>396</v>
      </c>
      <c r="C318" s="7">
        <f>_xlfn.XLOOKUP(A318,[1]ingredient!$B$2:$B$521,[1]ingredient!$A$2:$A$521)</f>
        <v>317</v>
      </c>
      <c r="D318">
        <v>313</v>
      </c>
      <c r="E318">
        <v>2</v>
      </c>
      <c r="F318">
        <v>18</v>
      </c>
      <c r="G318">
        <v>46</v>
      </c>
      <c r="H318">
        <v>17</v>
      </c>
      <c r="I318">
        <v>4</v>
      </c>
      <c r="J318">
        <v>0.01</v>
      </c>
      <c r="K318">
        <v>11</v>
      </c>
      <c r="L318">
        <v>0</v>
      </c>
      <c r="M318">
        <v>0</v>
      </c>
      <c r="N318">
        <v>0</v>
      </c>
      <c r="O318">
        <v>0</v>
      </c>
      <c r="P318">
        <v>600</v>
      </c>
      <c r="Q318">
        <v>200</v>
      </c>
      <c r="R318">
        <v>2200</v>
      </c>
      <c r="S318">
        <v>5200</v>
      </c>
      <c r="T318">
        <v>800</v>
      </c>
      <c r="U318">
        <v>400</v>
      </c>
      <c r="V318">
        <v>11</v>
      </c>
      <c r="W318">
        <v>160</v>
      </c>
      <c r="X318">
        <v>0</v>
      </c>
      <c r="Y318">
        <v>3900</v>
      </c>
      <c r="Z318">
        <v>0</v>
      </c>
      <c r="AA318">
        <v>0</v>
      </c>
      <c r="AB318">
        <v>0</v>
      </c>
      <c r="AC318">
        <v>5</v>
      </c>
      <c r="AD318">
        <v>1502</v>
      </c>
      <c r="AE318">
        <v>110</v>
      </c>
      <c r="AF318">
        <v>165</v>
      </c>
      <c r="AG318">
        <v>450</v>
      </c>
      <c r="AH318">
        <v>186</v>
      </c>
      <c r="AI318">
        <v>2</v>
      </c>
      <c r="AJ318">
        <v>7000</v>
      </c>
      <c r="AK318">
        <v>3300</v>
      </c>
      <c r="AL318">
        <v>700</v>
      </c>
      <c r="AM318">
        <v>1300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3600</v>
      </c>
      <c r="AY318">
        <v>0</v>
      </c>
      <c r="AZ318">
        <v>0</v>
      </c>
      <c r="BA318">
        <v>3600</v>
      </c>
      <c r="BB318">
        <v>1400</v>
      </c>
      <c r="BC318">
        <v>3948</v>
      </c>
      <c r="BD318">
        <v>0</v>
      </c>
      <c r="BE318">
        <v>41000</v>
      </c>
      <c r="BF318">
        <v>0</v>
      </c>
      <c r="BG318">
        <f t="shared" si="43"/>
        <v>91.787439613526573</v>
      </c>
      <c r="BH318">
        <v>820</v>
      </c>
      <c r="BI318">
        <v>1500</v>
      </c>
      <c r="BJ318">
        <v>1440</v>
      </c>
      <c r="BK318">
        <v>220</v>
      </c>
      <c r="BL318">
        <v>160</v>
      </c>
      <c r="BM318">
        <v>1039</v>
      </c>
      <c r="BN318">
        <v>500</v>
      </c>
      <c r="BO318">
        <v>800</v>
      </c>
      <c r="BP318">
        <v>180</v>
      </c>
      <c r="BQ318">
        <v>920</v>
      </c>
      <c r="BR318">
        <v>1140</v>
      </c>
      <c r="BS318">
        <v>561</v>
      </c>
      <c r="BT318">
        <v>9280</v>
      </c>
      <c r="BU318">
        <v>819</v>
      </c>
      <c r="BV318">
        <v>2400</v>
      </c>
      <c r="BW318">
        <v>2920</v>
      </c>
      <c r="BX318">
        <v>760</v>
      </c>
      <c r="BY318">
        <v>700</v>
      </c>
      <c r="BZ318">
        <v>1120</v>
      </c>
      <c r="CA318">
        <v>8720</v>
      </c>
      <c r="CB318">
        <v>161</v>
      </c>
      <c r="CC318">
        <v>54</v>
      </c>
      <c r="CD318">
        <v>600</v>
      </c>
      <c r="CE318">
        <v>300</v>
      </c>
      <c r="CF318">
        <v>0.5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268</v>
      </c>
      <c r="CO318">
        <v>0</v>
      </c>
      <c r="CP318">
        <v>32</v>
      </c>
      <c r="CQ318">
        <v>0</v>
      </c>
      <c r="CR318">
        <v>0</v>
      </c>
      <c r="CS318">
        <v>0</v>
      </c>
      <c r="CT318">
        <v>300</v>
      </c>
      <c r="CU318">
        <v>0</v>
      </c>
      <c r="CV318">
        <v>0</v>
      </c>
      <c r="CW318">
        <v>0</v>
      </c>
      <c r="CX318">
        <v>0</v>
      </c>
      <c r="CY318">
        <v>117</v>
      </c>
      <c r="CZ318">
        <v>0</v>
      </c>
      <c r="DA318">
        <v>0</v>
      </c>
      <c r="DB318">
        <v>0</v>
      </c>
      <c r="DC318">
        <v>100</v>
      </c>
      <c r="DD318">
        <v>0</v>
      </c>
      <c r="DE318">
        <v>0</v>
      </c>
      <c r="DF318">
        <v>300</v>
      </c>
      <c r="DG318">
        <v>600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900</v>
      </c>
      <c r="DT318">
        <v>1342</v>
      </c>
      <c r="DU318">
        <v>358</v>
      </c>
      <c r="DV318">
        <v>0</v>
      </c>
      <c r="DW318">
        <v>0</v>
      </c>
      <c r="DX318">
        <v>0</v>
      </c>
      <c r="DY318">
        <v>2210</v>
      </c>
      <c r="DZ318">
        <v>5950</v>
      </c>
      <c r="EA318">
        <v>2210</v>
      </c>
      <c r="EB318">
        <v>6290</v>
      </c>
      <c r="EC318">
        <v>340</v>
      </c>
      <c r="ED318">
        <v>8500</v>
      </c>
      <c r="EE318">
        <v>8500</v>
      </c>
      <c r="EF318">
        <v>0</v>
      </c>
      <c r="EG318">
        <v>0</v>
      </c>
      <c r="EH318">
        <v>2.4</v>
      </c>
      <c r="EI318">
        <v>8.5</v>
      </c>
      <c r="EJ318">
        <v>1.7</v>
      </c>
      <c r="EK318">
        <v>18.5</v>
      </c>
    </row>
    <row r="319" spans="1:141" x14ac:dyDescent="0.25">
      <c r="A319" t="str">
        <f>[1]ingredient!B319</f>
        <v>Pistazien</v>
      </c>
      <c r="B319" t="s">
        <v>397</v>
      </c>
      <c r="C319" s="7">
        <f>_xlfn.XLOOKUP(A319,[1]ingredient!$B$2:$B$521,[1]ingredient!$A$2:$A$521)</f>
        <v>318</v>
      </c>
      <c r="D319">
        <v>587</v>
      </c>
      <c r="E319">
        <v>52</v>
      </c>
      <c r="F319">
        <v>21</v>
      </c>
      <c r="G319">
        <v>12</v>
      </c>
      <c r="H319">
        <v>11</v>
      </c>
      <c r="I319">
        <v>2</v>
      </c>
      <c r="J319">
        <v>0.05</v>
      </c>
      <c r="K319">
        <v>3</v>
      </c>
      <c r="L319">
        <v>25</v>
      </c>
      <c r="M319">
        <v>13</v>
      </c>
      <c r="N319">
        <v>0</v>
      </c>
      <c r="O319">
        <v>150</v>
      </c>
      <c r="P319">
        <v>690</v>
      </c>
      <c r="Q319">
        <v>200</v>
      </c>
      <c r="R319">
        <v>1450</v>
      </c>
      <c r="S319">
        <v>4933</v>
      </c>
      <c r="T319">
        <v>1190</v>
      </c>
      <c r="U319">
        <v>250</v>
      </c>
      <c r="V319">
        <v>18</v>
      </c>
      <c r="W319">
        <v>58</v>
      </c>
      <c r="X319">
        <v>0</v>
      </c>
      <c r="Y319">
        <v>7000</v>
      </c>
      <c r="Z319">
        <v>0</v>
      </c>
      <c r="AA319">
        <v>5200</v>
      </c>
      <c r="AB319">
        <v>59</v>
      </c>
      <c r="AC319">
        <v>6</v>
      </c>
      <c r="AD319">
        <v>1020</v>
      </c>
      <c r="AE319">
        <v>136</v>
      </c>
      <c r="AF319">
        <v>158</v>
      </c>
      <c r="AG319">
        <v>500</v>
      </c>
      <c r="AH319">
        <v>250</v>
      </c>
      <c r="AI319">
        <v>40</v>
      </c>
      <c r="AJ319">
        <v>7300</v>
      </c>
      <c r="AK319">
        <v>3340</v>
      </c>
      <c r="AL319">
        <v>1180</v>
      </c>
      <c r="AM319">
        <v>464</v>
      </c>
      <c r="AN319">
        <v>120</v>
      </c>
      <c r="AO319">
        <v>5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2310</v>
      </c>
      <c r="AY319">
        <v>0</v>
      </c>
      <c r="AZ319">
        <v>0</v>
      </c>
      <c r="BA319">
        <v>2310</v>
      </c>
      <c r="BB319">
        <v>0</v>
      </c>
      <c r="BC319">
        <v>0</v>
      </c>
      <c r="BD319">
        <v>0</v>
      </c>
      <c r="BE319">
        <v>9240</v>
      </c>
      <c r="BF319">
        <v>9240</v>
      </c>
      <c r="BG319">
        <f t="shared" si="43"/>
        <v>109.92063492063492</v>
      </c>
      <c r="BH319">
        <v>878</v>
      </c>
      <c r="BI319">
        <v>1505</v>
      </c>
      <c r="BJ319">
        <v>1108</v>
      </c>
      <c r="BK319">
        <v>356</v>
      </c>
      <c r="BL319">
        <v>397</v>
      </c>
      <c r="BM319">
        <v>1066</v>
      </c>
      <c r="BN319">
        <v>648</v>
      </c>
      <c r="BO319">
        <v>606</v>
      </c>
      <c r="BP319">
        <v>209</v>
      </c>
      <c r="BQ319">
        <v>1275</v>
      </c>
      <c r="BR319">
        <v>1944</v>
      </c>
      <c r="BS319">
        <v>460</v>
      </c>
      <c r="BT319">
        <v>10452</v>
      </c>
      <c r="BU319">
        <v>920</v>
      </c>
      <c r="BV319">
        <v>1923</v>
      </c>
      <c r="BW319">
        <v>4432</v>
      </c>
      <c r="BX319">
        <v>983</v>
      </c>
      <c r="BY319">
        <v>857</v>
      </c>
      <c r="BZ319">
        <v>1233</v>
      </c>
      <c r="CA319">
        <v>10348</v>
      </c>
      <c r="CB319">
        <v>0</v>
      </c>
      <c r="CC319">
        <v>0</v>
      </c>
      <c r="CD319">
        <v>198</v>
      </c>
      <c r="CE319">
        <v>7539</v>
      </c>
      <c r="CF319">
        <v>38.08</v>
      </c>
      <c r="CG319">
        <v>0</v>
      </c>
      <c r="CH319">
        <v>0</v>
      </c>
      <c r="CI319">
        <v>0</v>
      </c>
      <c r="CJ319">
        <v>0</v>
      </c>
      <c r="CK319">
        <v>51</v>
      </c>
      <c r="CL319">
        <v>102</v>
      </c>
      <c r="CM319">
        <v>0</v>
      </c>
      <c r="CN319">
        <v>4910</v>
      </c>
      <c r="CO319">
        <v>0</v>
      </c>
      <c r="CP319">
        <v>1004</v>
      </c>
      <c r="CQ319">
        <v>178</v>
      </c>
      <c r="CR319">
        <v>0</v>
      </c>
      <c r="CS319">
        <v>0</v>
      </c>
      <c r="CT319">
        <v>6245</v>
      </c>
      <c r="CU319">
        <v>0</v>
      </c>
      <c r="CV319">
        <v>0</v>
      </c>
      <c r="CW319">
        <v>361</v>
      </c>
      <c r="CX319">
        <v>0</v>
      </c>
      <c r="CY319">
        <v>34511</v>
      </c>
      <c r="CZ319">
        <v>281</v>
      </c>
      <c r="DA319">
        <v>0</v>
      </c>
      <c r="DB319">
        <v>0</v>
      </c>
      <c r="DC319">
        <v>35153</v>
      </c>
      <c r="DD319">
        <v>0</v>
      </c>
      <c r="DE319">
        <v>0</v>
      </c>
      <c r="DF319">
        <v>7539</v>
      </c>
      <c r="DG319">
        <v>198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7737</v>
      </c>
      <c r="DT319">
        <v>49135</v>
      </c>
      <c r="DU319">
        <v>2466</v>
      </c>
      <c r="DV319">
        <v>0</v>
      </c>
      <c r="DW319">
        <v>0</v>
      </c>
      <c r="DX319">
        <v>0</v>
      </c>
      <c r="DY319">
        <v>1592</v>
      </c>
      <c r="DZ319">
        <v>7002</v>
      </c>
      <c r="EA319">
        <v>212</v>
      </c>
      <c r="EB319">
        <v>1592</v>
      </c>
      <c r="EC319">
        <v>212</v>
      </c>
      <c r="ED319">
        <v>310</v>
      </c>
      <c r="EE319">
        <v>10300</v>
      </c>
      <c r="EF319">
        <v>0</v>
      </c>
      <c r="EG319">
        <v>0</v>
      </c>
      <c r="EH319">
        <v>2.7</v>
      </c>
      <c r="EI319">
        <v>10.3</v>
      </c>
      <c r="EJ319">
        <v>51.6</v>
      </c>
      <c r="EK319">
        <v>20.8</v>
      </c>
    </row>
    <row r="320" spans="1:141" x14ac:dyDescent="0.25">
      <c r="A320" t="str">
        <f>[1]ingredient!B320</f>
        <v>Pistazienmus</v>
      </c>
      <c r="B320" t="s">
        <v>398</v>
      </c>
      <c r="C320" s="7">
        <f>_xlfn.XLOOKUP(A320,[1]ingredient!$B$2:$B$521,[1]ingredient!$A$2:$A$521)</f>
        <v>319</v>
      </c>
      <c r="D320">
        <v>594</v>
      </c>
      <c r="E320">
        <v>53</v>
      </c>
      <c r="F320">
        <v>18</v>
      </c>
      <c r="G320">
        <v>12</v>
      </c>
      <c r="H320">
        <v>8</v>
      </c>
      <c r="I320">
        <v>2</v>
      </c>
      <c r="J320">
        <v>0.05</v>
      </c>
      <c r="K320">
        <v>6</v>
      </c>
      <c r="L320">
        <v>21</v>
      </c>
      <c r="M320">
        <v>10</v>
      </c>
      <c r="N320">
        <v>0</v>
      </c>
      <c r="O320">
        <v>124</v>
      </c>
      <c r="P320">
        <v>357</v>
      </c>
      <c r="Q320">
        <v>145</v>
      </c>
      <c r="R320">
        <v>1049</v>
      </c>
      <c r="S320">
        <v>4082</v>
      </c>
      <c r="T320">
        <v>738</v>
      </c>
      <c r="U320">
        <v>155</v>
      </c>
      <c r="V320">
        <v>9</v>
      </c>
      <c r="W320">
        <v>30</v>
      </c>
      <c r="X320">
        <v>0</v>
      </c>
      <c r="Y320">
        <v>3617</v>
      </c>
      <c r="Z320">
        <v>0</v>
      </c>
      <c r="AA320">
        <v>4837</v>
      </c>
      <c r="AB320">
        <v>51</v>
      </c>
      <c r="AC320">
        <v>6</v>
      </c>
      <c r="AD320">
        <v>1054</v>
      </c>
      <c r="AE320">
        <v>140</v>
      </c>
      <c r="AF320">
        <v>165</v>
      </c>
      <c r="AG320">
        <v>517</v>
      </c>
      <c r="AH320">
        <v>258</v>
      </c>
      <c r="AI320">
        <v>41</v>
      </c>
      <c r="AJ320">
        <v>7545</v>
      </c>
      <c r="AK320">
        <v>837</v>
      </c>
      <c r="AL320">
        <v>1220</v>
      </c>
      <c r="AM320">
        <v>480</v>
      </c>
      <c r="AN320">
        <v>124</v>
      </c>
      <c r="AO320">
        <v>5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2387</v>
      </c>
      <c r="AY320">
        <v>0</v>
      </c>
      <c r="AZ320">
        <v>0</v>
      </c>
      <c r="BA320">
        <v>2387</v>
      </c>
      <c r="BB320">
        <v>0</v>
      </c>
      <c r="BC320">
        <v>0</v>
      </c>
      <c r="BD320">
        <v>0</v>
      </c>
      <c r="BE320">
        <v>9550</v>
      </c>
      <c r="BF320">
        <v>9550</v>
      </c>
      <c r="BG320">
        <f t="shared" si="43"/>
        <v>111.80555555555556</v>
      </c>
      <c r="BH320">
        <v>766</v>
      </c>
      <c r="BI320">
        <v>1313</v>
      </c>
      <c r="BJ320">
        <v>966</v>
      </c>
      <c r="BK320">
        <v>310</v>
      </c>
      <c r="BL320">
        <v>346</v>
      </c>
      <c r="BM320">
        <v>930</v>
      </c>
      <c r="BN320">
        <v>565</v>
      </c>
      <c r="BO320">
        <v>529</v>
      </c>
      <c r="BP320">
        <v>182</v>
      </c>
      <c r="BQ320">
        <v>1112</v>
      </c>
      <c r="BR320">
        <v>1696</v>
      </c>
      <c r="BS320">
        <v>401</v>
      </c>
      <c r="BT320">
        <v>9116</v>
      </c>
      <c r="BU320">
        <v>802</v>
      </c>
      <c r="BV320">
        <v>1677</v>
      </c>
      <c r="BW320">
        <v>3865</v>
      </c>
      <c r="BX320">
        <v>857</v>
      </c>
      <c r="BY320">
        <v>747</v>
      </c>
      <c r="BZ320">
        <v>1076</v>
      </c>
      <c r="CA320">
        <v>9024</v>
      </c>
      <c r="CB320">
        <v>0</v>
      </c>
      <c r="CC320">
        <v>0</v>
      </c>
      <c r="CD320">
        <v>254</v>
      </c>
      <c r="CE320">
        <v>7623</v>
      </c>
      <c r="CF320">
        <v>30.01</v>
      </c>
      <c r="CG320">
        <v>0</v>
      </c>
      <c r="CH320">
        <v>0</v>
      </c>
      <c r="CI320">
        <v>0</v>
      </c>
      <c r="CJ320">
        <v>0</v>
      </c>
      <c r="CK320">
        <v>51</v>
      </c>
      <c r="CL320">
        <v>51</v>
      </c>
      <c r="CM320">
        <v>0</v>
      </c>
      <c r="CN320">
        <v>5997</v>
      </c>
      <c r="CO320">
        <v>0</v>
      </c>
      <c r="CP320">
        <v>660</v>
      </c>
      <c r="CQ320">
        <v>254</v>
      </c>
      <c r="CR320">
        <v>0</v>
      </c>
      <c r="CS320">
        <v>0</v>
      </c>
      <c r="CT320">
        <v>7013</v>
      </c>
      <c r="CU320">
        <v>0</v>
      </c>
      <c r="CV320">
        <v>0</v>
      </c>
      <c r="CW320">
        <v>254</v>
      </c>
      <c r="CX320">
        <v>0</v>
      </c>
      <c r="CY320">
        <v>35475</v>
      </c>
      <c r="CZ320">
        <v>204</v>
      </c>
      <c r="DA320">
        <v>0</v>
      </c>
      <c r="DB320">
        <v>0</v>
      </c>
      <c r="DC320">
        <v>35933</v>
      </c>
      <c r="DD320">
        <v>0</v>
      </c>
      <c r="DE320">
        <v>0</v>
      </c>
      <c r="DF320">
        <v>7623</v>
      </c>
      <c r="DG320">
        <v>254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7877</v>
      </c>
      <c r="DT320">
        <v>50823</v>
      </c>
      <c r="DU320">
        <v>2506</v>
      </c>
      <c r="DV320">
        <v>0</v>
      </c>
      <c r="DW320">
        <v>0</v>
      </c>
      <c r="DX320">
        <v>0</v>
      </c>
      <c r="DY320">
        <v>1152</v>
      </c>
      <c r="DZ320">
        <v>5066</v>
      </c>
      <c r="EA320">
        <v>153</v>
      </c>
      <c r="EB320">
        <v>1152</v>
      </c>
      <c r="EC320">
        <v>153</v>
      </c>
      <c r="ED320">
        <v>3070</v>
      </c>
      <c r="EE320">
        <v>4606</v>
      </c>
      <c r="EF320">
        <v>0</v>
      </c>
      <c r="EG320">
        <v>0</v>
      </c>
      <c r="EH320">
        <v>2.8</v>
      </c>
      <c r="EI320">
        <v>4.5999999999999996</v>
      </c>
      <c r="EJ320">
        <v>53.3</v>
      </c>
      <c r="EK320">
        <v>18.100000000000001</v>
      </c>
    </row>
    <row r="321" spans="1:141" x14ac:dyDescent="0.25">
      <c r="A321" t="str">
        <f>[1]ingredient!B321</f>
        <v>Portulak</v>
      </c>
      <c r="B321" s="11" t="s">
        <v>399</v>
      </c>
      <c r="C321" s="7"/>
      <c r="D321"/>
    </row>
    <row r="322" spans="1:141" x14ac:dyDescent="0.25">
      <c r="A322" t="str">
        <f>[1]ingredient!B322</f>
        <v>Puy-Linsen</v>
      </c>
      <c r="B322" t="s">
        <v>331</v>
      </c>
      <c r="C322" s="7">
        <f>_xlfn.XLOOKUP(A322,[1]ingredient!$B$2:$B$521,[1]ingredient!$A$2:$A$521)</f>
        <v>321</v>
      </c>
      <c r="D322">
        <v>336</v>
      </c>
      <c r="E322">
        <v>2</v>
      </c>
      <c r="F322">
        <v>25</v>
      </c>
      <c r="G322">
        <v>48</v>
      </c>
      <c r="H322">
        <v>12</v>
      </c>
      <c r="I322">
        <v>1</v>
      </c>
      <c r="J322">
        <v>0.09</v>
      </c>
      <c r="K322">
        <v>9</v>
      </c>
      <c r="L322">
        <v>0</v>
      </c>
      <c r="M322">
        <v>8</v>
      </c>
      <c r="N322">
        <v>0</v>
      </c>
      <c r="O322">
        <v>100</v>
      </c>
      <c r="P322">
        <v>400</v>
      </c>
      <c r="Q322">
        <v>300</v>
      </c>
      <c r="R322">
        <v>2200</v>
      </c>
      <c r="S322">
        <v>6200</v>
      </c>
      <c r="T322">
        <v>1600</v>
      </c>
      <c r="U322">
        <v>600</v>
      </c>
      <c r="V322">
        <v>9</v>
      </c>
      <c r="W322">
        <v>132</v>
      </c>
      <c r="X322">
        <v>0</v>
      </c>
      <c r="Y322">
        <v>1000</v>
      </c>
      <c r="Z322">
        <v>0</v>
      </c>
      <c r="AA322">
        <v>0</v>
      </c>
      <c r="AB322">
        <v>22</v>
      </c>
      <c r="AC322">
        <v>4</v>
      </c>
      <c r="AD322">
        <v>840</v>
      </c>
      <c r="AE322">
        <v>71</v>
      </c>
      <c r="AF322">
        <v>129</v>
      </c>
      <c r="AG322">
        <v>411</v>
      </c>
      <c r="AH322">
        <v>120</v>
      </c>
      <c r="AI322">
        <v>84</v>
      </c>
      <c r="AJ322">
        <v>7500</v>
      </c>
      <c r="AK322">
        <v>3600</v>
      </c>
      <c r="AL322">
        <v>700</v>
      </c>
      <c r="AM322">
        <v>1400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1200</v>
      </c>
      <c r="AY322">
        <v>0</v>
      </c>
      <c r="AZ322">
        <v>0</v>
      </c>
      <c r="BA322">
        <v>1200</v>
      </c>
      <c r="BB322">
        <v>4700</v>
      </c>
      <c r="BC322">
        <v>2380</v>
      </c>
      <c r="BD322">
        <v>0</v>
      </c>
      <c r="BE322">
        <v>42100</v>
      </c>
      <c r="BF322">
        <v>0</v>
      </c>
      <c r="BG322">
        <f t="shared" si="43"/>
        <v>77.913043478260875</v>
      </c>
      <c r="BH322">
        <v>1184</v>
      </c>
      <c r="BI322">
        <v>1895</v>
      </c>
      <c r="BJ322">
        <v>1841</v>
      </c>
      <c r="BK322">
        <v>211</v>
      </c>
      <c r="BL322">
        <v>237</v>
      </c>
      <c r="BM322">
        <v>1316</v>
      </c>
      <c r="BN322">
        <v>842</v>
      </c>
      <c r="BO322">
        <v>1052</v>
      </c>
      <c r="BP322">
        <v>237</v>
      </c>
      <c r="BQ322">
        <v>1421</v>
      </c>
      <c r="BR322">
        <v>2079</v>
      </c>
      <c r="BS322">
        <v>632</v>
      </c>
      <c r="BT322">
        <v>12946</v>
      </c>
      <c r="BU322">
        <v>1132</v>
      </c>
      <c r="BV322">
        <v>3027</v>
      </c>
      <c r="BW322">
        <v>4342</v>
      </c>
      <c r="BX322">
        <v>1080</v>
      </c>
      <c r="BY322">
        <v>1105</v>
      </c>
      <c r="BZ322">
        <v>1368</v>
      </c>
      <c r="CA322">
        <v>12054</v>
      </c>
      <c r="CB322">
        <v>200</v>
      </c>
      <c r="CC322">
        <v>67</v>
      </c>
      <c r="CD322">
        <v>100</v>
      </c>
      <c r="CE322">
        <v>600</v>
      </c>
      <c r="CF322">
        <v>6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353</v>
      </c>
      <c r="CO322">
        <v>0</v>
      </c>
      <c r="CP322">
        <v>23</v>
      </c>
      <c r="CQ322">
        <v>23</v>
      </c>
      <c r="CR322">
        <v>0</v>
      </c>
      <c r="CS322">
        <v>0</v>
      </c>
      <c r="CT322">
        <v>400</v>
      </c>
      <c r="CU322">
        <v>0</v>
      </c>
      <c r="CV322">
        <v>0</v>
      </c>
      <c r="CW322">
        <v>0</v>
      </c>
      <c r="CX322">
        <v>0</v>
      </c>
      <c r="CY322">
        <v>248</v>
      </c>
      <c r="CZ322">
        <v>12</v>
      </c>
      <c r="DA322">
        <v>0</v>
      </c>
      <c r="DB322">
        <v>0</v>
      </c>
      <c r="DC322">
        <v>300</v>
      </c>
      <c r="DD322">
        <v>0</v>
      </c>
      <c r="DE322">
        <v>0</v>
      </c>
      <c r="DF322">
        <v>600</v>
      </c>
      <c r="DG322">
        <v>100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700</v>
      </c>
      <c r="DT322">
        <v>1357</v>
      </c>
      <c r="DU322">
        <v>343</v>
      </c>
      <c r="DV322">
        <v>0</v>
      </c>
      <c r="DW322">
        <v>0</v>
      </c>
      <c r="DX322">
        <v>0</v>
      </c>
      <c r="DY322">
        <v>1560</v>
      </c>
      <c r="DZ322">
        <v>4200</v>
      </c>
      <c r="EA322">
        <v>1560</v>
      </c>
      <c r="EB322">
        <v>4440</v>
      </c>
      <c r="EC322">
        <v>240</v>
      </c>
      <c r="ED322">
        <v>4800</v>
      </c>
      <c r="EE322">
        <v>7200</v>
      </c>
      <c r="EF322">
        <v>0</v>
      </c>
      <c r="EG322">
        <v>0</v>
      </c>
      <c r="EH322">
        <v>1.7</v>
      </c>
      <c r="EI322">
        <v>7.2</v>
      </c>
      <c r="EJ322">
        <v>1.7</v>
      </c>
      <c r="EK322">
        <v>25.6</v>
      </c>
    </row>
    <row r="323" spans="1:141" x14ac:dyDescent="0.25">
      <c r="A323" t="str">
        <f>[1]ingredient!B323</f>
        <v>Quinoa</v>
      </c>
      <c r="B323" t="s">
        <v>400</v>
      </c>
      <c r="C323" s="7">
        <f>_xlfn.XLOOKUP(A323,[1]ingredient!$B$2:$B$521,[1]ingredient!$A$2:$A$521)</f>
        <v>322</v>
      </c>
      <c r="D323">
        <v>366</v>
      </c>
      <c r="E323">
        <v>6</v>
      </c>
      <c r="F323">
        <v>13</v>
      </c>
      <c r="G323">
        <v>64</v>
      </c>
      <c r="H323">
        <v>7</v>
      </c>
      <c r="I323">
        <v>2</v>
      </c>
      <c r="J323">
        <v>0.11</v>
      </c>
      <c r="K323">
        <v>11</v>
      </c>
      <c r="L323">
        <v>0</v>
      </c>
      <c r="M323">
        <v>0</v>
      </c>
      <c r="N323">
        <v>0</v>
      </c>
      <c r="O323">
        <v>0</v>
      </c>
      <c r="P323">
        <v>474</v>
      </c>
      <c r="Q323">
        <v>46</v>
      </c>
      <c r="R323">
        <v>464</v>
      </c>
      <c r="S323">
        <v>3296</v>
      </c>
      <c r="T323">
        <v>1078</v>
      </c>
      <c r="U323">
        <v>143</v>
      </c>
      <c r="V323">
        <v>1</v>
      </c>
      <c r="W323">
        <v>50</v>
      </c>
      <c r="X323">
        <v>0</v>
      </c>
      <c r="Y323">
        <v>4326</v>
      </c>
      <c r="Z323">
        <v>0</v>
      </c>
      <c r="AA323">
        <v>103</v>
      </c>
      <c r="AB323">
        <v>1</v>
      </c>
      <c r="AC323">
        <v>3</v>
      </c>
      <c r="AD323">
        <v>579</v>
      </c>
      <c r="AE323">
        <v>26</v>
      </c>
      <c r="AF323">
        <v>204</v>
      </c>
      <c r="AG323">
        <v>610</v>
      </c>
      <c r="AH323">
        <v>66</v>
      </c>
      <c r="AI323">
        <v>108</v>
      </c>
      <c r="AJ323">
        <v>3006</v>
      </c>
      <c r="AK323">
        <v>2314</v>
      </c>
      <c r="AL323">
        <v>496</v>
      </c>
      <c r="AM323">
        <v>1578</v>
      </c>
      <c r="AN323">
        <v>24</v>
      </c>
      <c r="AO323">
        <v>2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1647</v>
      </c>
      <c r="AY323">
        <v>224</v>
      </c>
      <c r="AZ323">
        <v>0</v>
      </c>
      <c r="BA323">
        <v>1870</v>
      </c>
      <c r="BB323">
        <v>742</v>
      </c>
      <c r="BC323">
        <v>340</v>
      </c>
      <c r="BD323">
        <v>0</v>
      </c>
      <c r="BE323">
        <v>61701</v>
      </c>
      <c r="BF323">
        <v>61701</v>
      </c>
      <c r="BG323">
        <f t="shared" si="43"/>
        <v>120.80706179066836</v>
      </c>
      <c r="BH323">
        <v>740</v>
      </c>
      <c r="BI323">
        <v>958</v>
      </c>
      <c r="BJ323">
        <v>886</v>
      </c>
      <c r="BK323">
        <v>194</v>
      </c>
      <c r="BL323">
        <v>201</v>
      </c>
      <c r="BM323">
        <v>546</v>
      </c>
      <c r="BN323">
        <v>436</v>
      </c>
      <c r="BO323">
        <v>608</v>
      </c>
      <c r="BP323">
        <v>170</v>
      </c>
      <c r="BQ323">
        <v>652</v>
      </c>
      <c r="BR323">
        <v>1136</v>
      </c>
      <c r="BS323">
        <v>379</v>
      </c>
      <c r="BT323">
        <v>6901</v>
      </c>
      <c r="BU323">
        <v>618</v>
      </c>
      <c r="BV323">
        <v>1154</v>
      </c>
      <c r="BW323">
        <v>2112</v>
      </c>
      <c r="BX323">
        <v>814</v>
      </c>
      <c r="BY323">
        <v>525</v>
      </c>
      <c r="BZ323">
        <v>649</v>
      </c>
      <c r="CA323">
        <v>5871</v>
      </c>
      <c r="CB323">
        <v>68</v>
      </c>
      <c r="CC323">
        <v>28</v>
      </c>
      <c r="CD323">
        <v>206</v>
      </c>
      <c r="CE323">
        <v>2503</v>
      </c>
      <c r="CF323">
        <v>12.15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5</v>
      </c>
      <c r="CM323">
        <v>0</v>
      </c>
      <c r="CN323">
        <v>422</v>
      </c>
      <c r="CO323">
        <v>62</v>
      </c>
      <c r="CP323">
        <v>34</v>
      </c>
      <c r="CQ323">
        <v>25</v>
      </c>
      <c r="CR323">
        <v>0</v>
      </c>
      <c r="CS323">
        <v>0</v>
      </c>
      <c r="CT323">
        <v>548</v>
      </c>
      <c r="CU323">
        <v>0</v>
      </c>
      <c r="CV323">
        <v>0</v>
      </c>
      <c r="CW323">
        <v>4</v>
      </c>
      <c r="CX323">
        <v>0</v>
      </c>
      <c r="CY323">
        <v>1257</v>
      </c>
      <c r="CZ323">
        <v>82</v>
      </c>
      <c r="DA323">
        <v>8</v>
      </c>
      <c r="DB323">
        <v>0</v>
      </c>
      <c r="DC323">
        <v>1351</v>
      </c>
      <c r="DD323">
        <v>0</v>
      </c>
      <c r="DE323">
        <v>0</v>
      </c>
      <c r="DF323">
        <v>2503</v>
      </c>
      <c r="DG323">
        <v>206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2709</v>
      </c>
      <c r="DT323">
        <v>4608</v>
      </c>
      <c r="DU323">
        <v>803</v>
      </c>
      <c r="DV323">
        <v>0</v>
      </c>
      <c r="DW323">
        <v>0</v>
      </c>
      <c r="DX323">
        <v>0</v>
      </c>
      <c r="DY323">
        <v>778</v>
      </c>
      <c r="DZ323">
        <v>3674</v>
      </c>
      <c r="EA323">
        <v>1131</v>
      </c>
      <c r="EB323">
        <v>919</v>
      </c>
      <c r="EC323">
        <v>565</v>
      </c>
      <c r="ED323">
        <v>1298</v>
      </c>
      <c r="EE323">
        <v>5541</v>
      </c>
      <c r="EF323">
        <v>0</v>
      </c>
      <c r="EG323">
        <v>0</v>
      </c>
      <c r="EH323">
        <v>1.4</v>
      </c>
      <c r="EI323">
        <v>5.5</v>
      </c>
      <c r="EJ323">
        <v>6.1</v>
      </c>
      <c r="EK323">
        <v>13</v>
      </c>
    </row>
    <row r="324" spans="1:141" x14ac:dyDescent="0.25">
      <c r="A324" t="str">
        <f>[1]ingredient!B324</f>
        <v>Quinoa rot</v>
      </c>
      <c r="B324" t="s">
        <v>400</v>
      </c>
      <c r="C324" s="7">
        <f>_xlfn.XLOOKUP(A324,[1]ingredient!$B$2:$B$521,[1]ingredient!$A$2:$A$521)</f>
        <v>323</v>
      </c>
      <c r="D324">
        <v>366</v>
      </c>
      <c r="E324">
        <v>6</v>
      </c>
      <c r="F324">
        <v>13</v>
      </c>
      <c r="G324">
        <v>64</v>
      </c>
      <c r="H324">
        <v>7</v>
      </c>
      <c r="I324">
        <v>2</v>
      </c>
      <c r="J324">
        <v>0.11</v>
      </c>
      <c r="K324">
        <v>11</v>
      </c>
      <c r="L324">
        <v>0</v>
      </c>
      <c r="M324">
        <v>0</v>
      </c>
      <c r="N324">
        <v>0</v>
      </c>
      <c r="O324">
        <v>0</v>
      </c>
      <c r="P324">
        <v>474</v>
      </c>
      <c r="Q324">
        <v>46</v>
      </c>
      <c r="R324">
        <v>464</v>
      </c>
      <c r="S324">
        <v>3296</v>
      </c>
      <c r="T324">
        <v>1078</v>
      </c>
      <c r="U324">
        <v>143</v>
      </c>
      <c r="V324">
        <v>1</v>
      </c>
      <c r="W324">
        <v>50</v>
      </c>
      <c r="X324">
        <v>0</v>
      </c>
      <c r="Y324">
        <v>4326</v>
      </c>
      <c r="Z324">
        <v>0</v>
      </c>
      <c r="AA324">
        <v>103</v>
      </c>
      <c r="AB324">
        <v>1</v>
      </c>
      <c r="AC324">
        <v>3</v>
      </c>
      <c r="AD324">
        <v>579</v>
      </c>
      <c r="AE324">
        <v>26</v>
      </c>
      <c r="AF324">
        <v>204</v>
      </c>
      <c r="AG324">
        <v>610</v>
      </c>
      <c r="AH324">
        <v>66</v>
      </c>
      <c r="AI324">
        <v>108</v>
      </c>
      <c r="AJ324">
        <v>3006</v>
      </c>
      <c r="AK324">
        <v>2314</v>
      </c>
      <c r="AL324">
        <v>496</v>
      </c>
      <c r="AM324">
        <v>1578</v>
      </c>
      <c r="AN324">
        <v>24</v>
      </c>
      <c r="AO324">
        <v>2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1647</v>
      </c>
      <c r="AY324">
        <v>224</v>
      </c>
      <c r="AZ324">
        <v>0</v>
      </c>
      <c r="BA324">
        <v>1870</v>
      </c>
      <c r="BB324">
        <v>742</v>
      </c>
      <c r="BC324">
        <v>340</v>
      </c>
      <c r="BD324">
        <v>0</v>
      </c>
      <c r="BE324">
        <v>61701</v>
      </c>
      <c r="BF324">
        <v>61701</v>
      </c>
      <c r="BG324">
        <f t="shared" si="43"/>
        <v>120.80706179066836</v>
      </c>
      <c r="BH324">
        <v>740</v>
      </c>
      <c r="BI324">
        <v>958</v>
      </c>
      <c r="BJ324">
        <v>886</v>
      </c>
      <c r="BK324">
        <v>194</v>
      </c>
      <c r="BL324">
        <v>201</v>
      </c>
      <c r="BM324">
        <v>546</v>
      </c>
      <c r="BN324">
        <v>436</v>
      </c>
      <c r="BO324">
        <v>608</v>
      </c>
      <c r="BP324">
        <v>170</v>
      </c>
      <c r="BQ324">
        <v>652</v>
      </c>
      <c r="BR324">
        <v>1136</v>
      </c>
      <c r="BS324">
        <v>379</v>
      </c>
      <c r="BT324">
        <v>6901</v>
      </c>
      <c r="BU324">
        <v>618</v>
      </c>
      <c r="BV324">
        <v>1154</v>
      </c>
      <c r="BW324">
        <v>2112</v>
      </c>
      <c r="BX324">
        <v>814</v>
      </c>
      <c r="BY324">
        <v>525</v>
      </c>
      <c r="BZ324">
        <v>649</v>
      </c>
      <c r="CA324">
        <v>5871</v>
      </c>
      <c r="CB324">
        <v>68</v>
      </c>
      <c r="CC324">
        <v>28</v>
      </c>
      <c r="CD324">
        <v>206</v>
      </c>
      <c r="CE324">
        <v>2503</v>
      </c>
      <c r="CF324">
        <v>12.15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5</v>
      </c>
      <c r="CM324">
        <v>0</v>
      </c>
      <c r="CN324">
        <v>422</v>
      </c>
      <c r="CO324">
        <v>62</v>
      </c>
      <c r="CP324">
        <v>34</v>
      </c>
      <c r="CQ324">
        <v>25</v>
      </c>
      <c r="CR324">
        <v>0</v>
      </c>
      <c r="CS324">
        <v>0</v>
      </c>
      <c r="CT324">
        <v>548</v>
      </c>
      <c r="CU324">
        <v>0</v>
      </c>
      <c r="CV324">
        <v>0</v>
      </c>
      <c r="CW324">
        <v>4</v>
      </c>
      <c r="CX324">
        <v>0</v>
      </c>
      <c r="CY324">
        <v>1257</v>
      </c>
      <c r="CZ324">
        <v>82</v>
      </c>
      <c r="DA324">
        <v>8</v>
      </c>
      <c r="DB324">
        <v>0</v>
      </c>
      <c r="DC324">
        <v>1351</v>
      </c>
      <c r="DD324">
        <v>0</v>
      </c>
      <c r="DE324">
        <v>0</v>
      </c>
      <c r="DF324">
        <v>2503</v>
      </c>
      <c r="DG324">
        <v>206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2709</v>
      </c>
      <c r="DT324">
        <v>4608</v>
      </c>
      <c r="DU324">
        <v>803</v>
      </c>
      <c r="DV324">
        <v>0</v>
      </c>
      <c r="DW324">
        <v>0</v>
      </c>
      <c r="DX324">
        <v>0</v>
      </c>
      <c r="DY324">
        <v>778</v>
      </c>
      <c r="DZ324">
        <v>3674</v>
      </c>
      <c r="EA324">
        <v>1131</v>
      </c>
      <c r="EB324">
        <v>919</v>
      </c>
      <c r="EC324">
        <v>565</v>
      </c>
      <c r="ED324">
        <v>1298</v>
      </c>
      <c r="EE324">
        <v>5541</v>
      </c>
      <c r="EF324">
        <v>0</v>
      </c>
      <c r="EG324">
        <v>0</v>
      </c>
      <c r="EH324">
        <v>1.4</v>
      </c>
      <c r="EI324">
        <v>5.5</v>
      </c>
      <c r="EJ324">
        <v>6.1</v>
      </c>
      <c r="EK324">
        <v>13</v>
      </c>
    </row>
    <row r="325" spans="1:141" x14ac:dyDescent="0.25">
      <c r="A325" t="str">
        <f>[1]ingredient!B325</f>
        <v>Quinoa schwarz</v>
      </c>
      <c r="B325" t="s">
        <v>400</v>
      </c>
      <c r="C325" s="7">
        <f>_xlfn.XLOOKUP(A325,[1]ingredient!$B$2:$B$521,[1]ingredient!$A$2:$A$521)</f>
        <v>324</v>
      </c>
      <c r="D325">
        <v>366</v>
      </c>
      <c r="E325">
        <v>6</v>
      </c>
      <c r="F325">
        <v>13</v>
      </c>
      <c r="G325">
        <v>64</v>
      </c>
      <c r="H325">
        <v>7</v>
      </c>
      <c r="I325">
        <v>2</v>
      </c>
      <c r="J325">
        <v>0.11</v>
      </c>
      <c r="K325">
        <v>11</v>
      </c>
      <c r="L325">
        <v>0</v>
      </c>
      <c r="M325">
        <v>0</v>
      </c>
      <c r="N325">
        <v>0</v>
      </c>
      <c r="O325">
        <v>0</v>
      </c>
      <c r="P325">
        <v>474</v>
      </c>
      <c r="Q325">
        <v>46</v>
      </c>
      <c r="R325">
        <v>464</v>
      </c>
      <c r="S325">
        <v>3296</v>
      </c>
      <c r="T325">
        <v>1078</v>
      </c>
      <c r="U325">
        <v>143</v>
      </c>
      <c r="V325">
        <v>1</v>
      </c>
      <c r="W325">
        <v>50</v>
      </c>
      <c r="X325">
        <v>0</v>
      </c>
      <c r="Y325">
        <v>4326</v>
      </c>
      <c r="Z325">
        <v>0</v>
      </c>
      <c r="AA325">
        <v>103</v>
      </c>
      <c r="AB325">
        <v>1</v>
      </c>
      <c r="AC325">
        <v>3</v>
      </c>
      <c r="AD325">
        <v>579</v>
      </c>
      <c r="AE325">
        <v>26</v>
      </c>
      <c r="AF325">
        <v>204</v>
      </c>
      <c r="AG325">
        <v>610</v>
      </c>
      <c r="AH325">
        <v>66</v>
      </c>
      <c r="AI325">
        <v>108</v>
      </c>
      <c r="AJ325">
        <v>3006</v>
      </c>
      <c r="AK325">
        <v>2314</v>
      </c>
      <c r="AL325">
        <v>496</v>
      </c>
      <c r="AM325">
        <v>1578</v>
      </c>
      <c r="AN325">
        <v>24</v>
      </c>
      <c r="AO325">
        <v>2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1647</v>
      </c>
      <c r="AY325">
        <v>224</v>
      </c>
      <c r="AZ325">
        <v>0</v>
      </c>
      <c r="BA325">
        <v>1870</v>
      </c>
      <c r="BB325">
        <v>742</v>
      </c>
      <c r="BC325">
        <v>340</v>
      </c>
      <c r="BD325">
        <v>0</v>
      </c>
      <c r="BE325">
        <v>61701</v>
      </c>
      <c r="BF325">
        <v>61701</v>
      </c>
      <c r="BG325">
        <f t="shared" si="43"/>
        <v>120.80706179066836</v>
      </c>
      <c r="BH325">
        <v>740</v>
      </c>
      <c r="BI325">
        <v>958</v>
      </c>
      <c r="BJ325">
        <v>886</v>
      </c>
      <c r="BK325">
        <v>194</v>
      </c>
      <c r="BL325">
        <v>201</v>
      </c>
      <c r="BM325">
        <v>546</v>
      </c>
      <c r="BN325">
        <v>436</v>
      </c>
      <c r="BO325">
        <v>608</v>
      </c>
      <c r="BP325">
        <v>170</v>
      </c>
      <c r="BQ325">
        <v>652</v>
      </c>
      <c r="BR325">
        <v>1136</v>
      </c>
      <c r="BS325">
        <v>379</v>
      </c>
      <c r="BT325">
        <v>6901</v>
      </c>
      <c r="BU325">
        <v>618</v>
      </c>
      <c r="BV325">
        <v>1154</v>
      </c>
      <c r="BW325">
        <v>2112</v>
      </c>
      <c r="BX325">
        <v>814</v>
      </c>
      <c r="BY325">
        <v>525</v>
      </c>
      <c r="BZ325">
        <v>649</v>
      </c>
      <c r="CA325">
        <v>5871</v>
      </c>
      <c r="CB325">
        <v>68</v>
      </c>
      <c r="CC325">
        <v>28</v>
      </c>
      <c r="CD325">
        <v>206</v>
      </c>
      <c r="CE325">
        <v>2503</v>
      </c>
      <c r="CF325">
        <v>12.15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5</v>
      </c>
      <c r="CM325">
        <v>0</v>
      </c>
      <c r="CN325">
        <v>422</v>
      </c>
      <c r="CO325">
        <v>62</v>
      </c>
      <c r="CP325">
        <v>34</v>
      </c>
      <c r="CQ325">
        <v>25</v>
      </c>
      <c r="CR325">
        <v>0</v>
      </c>
      <c r="CS325">
        <v>0</v>
      </c>
      <c r="CT325">
        <v>548</v>
      </c>
      <c r="CU325">
        <v>0</v>
      </c>
      <c r="CV325">
        <v>0</v>
      </c>
      <c r="CW325">
        <v>4</v>
      </c>
      <c r="CX325">
        <v>0</v>
      </c>
      <c r="CY325">
        <v>1257</v>
      </c>
      <c r="CZ325">
        <v>82</v>
      </c>
      <c r="DA325">
        <v>8</v>
      </c>
      <c r="DB325">
        <v>0</v>
      </c>
      <c r="DC325">
        <v>1351</v>
      </c>
      <c r="DD325">
        <v>0</v>
      </c>
      <c r="DE325">
        <v>0</v>
      </c>
      <c r="DF325">
        <v>2503</v>
      </c>
      <c r="DG325">
        <v>206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2709</v>
      </c>
      <c r="DT325">
        <v>4608</v>
      </c>
      <c r="DU325">
        <v>803</v>
      </c>
      <c r="DV325">
        <v>0</v>
      </c>
      <c r="DW325">
        <v>0</v>
      </c>
      <c r="DX325">
        <v>0</v>
      </c>
      <c r="DY325">
        <v>778</v>
      </c>
      <c r="DZ325">
        <v>3674</v>
      </c>
      <c r="EA325">
        <v>1131</v>
      </c>
      <c r="EB325">
        <v>919</v>
      </c>
      <c r="EC325">
        <v>565</v>
      </c>
      <c r="ED325">
        <v>1298</v>
      </c>
      <c r="EE325">
        <v>5541</v>
      </c>
      <c r="EF325">
        <v>0</v>
      </c>
      <c r="EG325">
        <v>0</v>
      </c>
      <c r="EH325">
        <v>1.4</v>
      </c>
      <c r="EI325">
        <v>5.5</v>
      </c>
      <c r="EJ325">
        <v>6.1</v>
      </c>
      <c r="EK325">
        <v>13</v>
      </c>
    </row>
    <row r="326" spans="1:141" x14ac:dyDescent="0.25">
      <c r="A326" t="str">
        <f>[1]ingredient!B326</f>
        <v>Quinoa weiß</v>
      </c>
      <c r="B326" t="s">
        <v>400</v>
      </c>
      <c r="C326" s="7">
        <f>_xlfn.XLOOKUP(A326,[1]ingredient!$B$2:$B$521,[1]ingredient!$A$2:$A$521)</f>
        <v>325</v>
      </c>
      <c r="D326">
        <v>366</v>
      </c>
      <c r="E326">
        <v>6</v>
      </c>
      <c r="F326">
        <v>13</v>
      </c>
      <c r="G326">
        <v>64</v>
      </c>
      <c r="H326">
        <v>7</v>
      </c>
      <c r="I326">
        <v>2</v>
      </c>
      <c r="J326">
        <v>0.11</v>
      </c>
      <c r="K326">
        <v>11</v>
      </c>
      <c r="L326">
        <v>0</v>
      </c>
      <c r="M326">
        <v>0</v>
      </c>
      <c r="N326">
        <v>0</v>
      </c>
      <c r="O326">
        <v>0</v>
      </c>
      <c r="P326">
        <v>474</v>
      </c>
      <c r="Q326">
        <v>46</v>
      </c>
      <c r="R326">
        <v>464</v>
      </c>
      <c r="S326">
        <v>3296</v>
      </c>
      <c r="T326">
        <v>1078</v>
      </c>
      <c r="U326">
        <v>143</v>
      </c>
      <c r="V326">
        <v>1</v>
      </c>
      <c r="W326">
        <v>50</v>
      </c>
      <c r="X326">
        <v>0</v>
      </c>
      <c r="Y326">
        <v>4326</v>
      </c>
      <c r="Z326">
        <v>0</v>
      </c>
      <c r="AA326">
        <v>103</v>
      </c>
      <c r="AB326">
        <v>1</v>
      </c>
      <c r="AC326">
        <v>3</v>
      </c>
      <c r="AD326">
        <v>579</v>
      </c>
      <c r="AE326">
        <v>26</v>
      </c>
      <c r="AF326">
        <v>204</v>
      </c>
      <c r="AG326">
        <v>610</v>
      </c>
      <c r="AH326">
        <v>66</v>
      </c>
      <c r="AI326">
        <v>108</v>
      </c>
      <c r="AJ326">
        <v>3006</v>
      </c>
      <c r="AK326">
        <v>2314</v>
      </c>
      <c r="AL326">
        <v>496</v>
      </c>
      <c r="AM326">
        <v>1578</v>
      </c>
      <c r="AN326">
        <v>24</v>
      </c>
      <c r="AO326">
        <v>2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1647</v>
      </c>
      <c r="AY326">
        <v>224</v>
      </c>
      <c r="AZ326">
        <v>0</v>
      </c>
      <c r="BA326">
        <v>1870</v>
      </c>
      <c r="BB326">
        <v>742</v>
      </c>
      <c r="BC326">
        <v>340</v>
      </c>
      <c r="BD326">
        <v>0</v>
      </c>
      <c r="BE326">
        <v>61701</v>
      </c>
      <c r="BF326">
        <v>61701</v>
      </c>
      <c r="BG326">
        <f t="shared" si="43"/>
        <v>120.80706179066836</v>
      </c>
      <c r="BH326">
        <v>740</v>
      </c>
      <c r="BI326">
        <v>958</v>
      </c>
      <c r="BJ326">
        <v>886</v>
      </c>
      <c r="BK326">
        <v>194</v>
      </c>
      <c r="BL326">
        <v>201</v>
      </c>
      <c r="BM326">
        <v>546</v>
      </c>
      <c r="BN326">
        <v>436</v>
      </c>
      <c r="BO326">
        <v>608</v>
      </c>
      <c r="BP326">
        <v>170</v>
      </c>
      <c r="BQ326">
        <v>652</v>
      </c>
      <c r="BR326">
        <v>1136</v>
      </c>
      <c r="BS326">
        <v>379</v>
      </c>
      <c r="BT326">
        <v>6901</v>
      </c>
      <c r="BU326">
        <v>618</v>
      </c>
      <c r="BV326">
        <v>1154</v>
      </c>
      <c r="BW326">
        <v>2112</v>
      </c>
      <c r="BX326">
        <v>814</v>
      </c>
      <c r="BY326">
        <v>525</v>
      </c>
      <c r="BZ326">
        <v>649</v>
      </c>
      <c r="CA326">
        <v>5871</v>
      </c>
      <c r="CB326">
        <v>68</v>
      </c>
      <c r="CC326">
        <v>28</v>
      </c>
      <c r="CD326">
        <v>206</v>
      </c>
      <c r="CE326">
        <v>2503</v>
      </c>
      <c r="CF326">
        <v>12.15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5</v>
      </c>
      <c r="CM326">
        <v>0</v>
      </c>
      <c r="CN326">
        <v>422</v>
      </c>
      <c r="CO326">
        <v>62</v>
      </c>
      <c r="CP326">
        <v>34</v>
      </c>
      <c r="CQ326">
        <v>25</v>
      </c>
      <c r="CR326">
        <v>0</v>
      </c>
      <c r="CS326">
        <v>0</v>
      </c>
      <c r="CT326">
        <v>548</v>
      </c>
      <c r="CU326">
        <v>0</v>
      </c>
      <c r="CV326">
        <v>0</v>
      </c>
      <c r="CW326">
        <v>4</v>
      </c>
      <c r="CX326">
        <v>0</v>
      </c>
      <c r="CY326">
        <v>1257</v>
      </c>
      <c r="CZ326">
        <v>82</v>
      </c>
      <c r="DA326">
        <v>8</v>
      </c>
      <c r="DB326">
        <v>0</v>
      </c>
      <c r="DC326">
        <v>1351</v>
      </c>
      <c r="DD326">
        <v>0</v>
      </c>
      <c r="DE326">
        <v>0</v>
      </c>
      <c r="DF326">
        <v>2503</v>
      </c>
      <c r="DG326">
        <v>206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2709</v>
      </c>
      <c r="DT326">
        <v>4608</v>
      </c>
      <c r="DU326">
        <v>803</v>
      </c>
      <c r="DV326">
        <v>0</v>
      </c>
      <c r="DW326">
        <v>0</v>
      </c>
      <c r="DX326">
        <v>0</v>
      </c>
      <c r="DY326">
        <v>778</v>
      </c>
      <c r="DZ326">
        <v>3674</v>
      </c>
      <c r="EA326">
        <v>1131</v>
      </c>
      <c r="EB326">
        <v>919</v>
      </c>
      <c r="EC326">
        <v>565</v>
      </c>
      <c r="ED326">
        <v>1298</v>
      </c>
      <c r="EE326">
        <v>5541</v>
      </c>
      <c r="EF326">
        <v>0</v>
      </c>
      <c r="EG326">
        <v>0</v>
      </c>
      <c r="EH326">
        <v>1.4</v>
      </c>
      <c r="EI326">
        <v>5.5</v>
      </c>
      <c r="EJ326">
        <v>6.1</v>
      </c>
      <c r="EK326">
        <v>13</v>
      </c>
    </row>
    <row r="327" spans="1:141" x14ac:dyDescent="0.25">
      <c r="A327" t="str">
        <f>[1]ingredient!B327</f>
        <v>Quinoa-Sprossen</v>
      </c>
      <c r="B327" t="s">
        <v>401</v>
      </c>
      <c r="C327" s="7">
        <f>_xlfn.XLOOKUP(A327,[1]ingredient!$B$2:$B$521,[1]ingredient!$A$2:$A$521)</f>
        <v>326</v>
      </c>
      <c r="D327">
        <v>70</v>
      </c>
      <c r="E327">
        <v>0.4</v>
      </c>
      <c r="F327">
        <v>3</v>
      </c>
      <c r="G327">
        <v>13</v>
      </c>
      <c r="H327">
        <v>3</v>
      </c>
      <c r="I327">
        <v>6</v>
      </c>
      <c r="J327">
        <v>0.02</v>
      </c>
      <c r="K327">
        <v>80</v>
      </c>
      <c r="L327">
        <v>1</v>
      </c>
      <c r="M327">
        <v>0.42</v>
      </c>
      <c r="N327">
        <v>0</v>
      </c>
      <c r="O327">
        <v>5</v>
      </c>
      <c r="P327">
        <v>120</v>
      </c>
      <c r="Q327">
        <v>40</v>
      </c>
      <c r="R327">
        <v>2350</v>
      </c>
      <c r="S327">
        <v>2883</v>
      </c>
      <c r="T327">
        <v>300</v>
      </c>
      <c r="U327">
        <v>110</v>
      </c>
      <c r="V327">
        <v>2</v>
      </c>
      <c r="W327">
        <v>6</v>
      </c>
      <c r="X327">
        <v>0</v>
      </c>
      <c r="Y327">
        <v>0</v>
      </c>
      <c r="Z327">
        <v>0</v>
      </c>
      <c r="AA327">
        <v>330</v>
      </c>
      <c r="AB327">
        <v>5</v>
      </c>
      <c r="AC327">
        <v>1</v>
      </c>
      <c r="AD327">
        <v>100</v>
      </c>
      <c r="AE327">
        <v>11</v>
      </c>
      <c r="AF327">
        <v>50</v>
      </c>
      <c r="AG327">
        <v>100</v>
      </c>
      <c r="AH327">
        <v>30</v>
      </c>
      <c r="AI327">
        <v>15</v>
      </c>
      <c r="AJ327">
        <v>800</v>
      </c>
      <c r="AK327">
        <v>950</v>
      </c>
      <c r="AL327">
        <v>150</v>
      </c>
      <c r="AM327">
        <v>700</v>
      </c>
      <c r="AN327">
        <v>25</v>
      </c>
      <c r="AO327">
        <v>0.2</v>
      </c>
      <c r="AP327">
        <v>0</v>
      </c>
      <c r="AQ327">
        <v>0</v>
      </c>
      <c r="AR327">
        <v>0</v>
      </c>
      <c r="AS327">
        <v>0</v>
      </c>
      <c r="AT327">
        <v>2600</v>
      </c>
      <c r="AU327">
        <v>2600</v>
      </c>
      <c r="AV327">
        <v>0</v>
      </c>
      <c r="AW327">
        <v>5200</v>
      </c>
      <c r="AX327">
        <v>650</v>
      </c>
      <c r="AY327">
        <v>0</v>
      </c>
      <c r="AZ327">
        <v>0</v>
      </c>
      <c r="BA327">
        <v>650</v>
      </c>
      <c r="BB327">
        <v>0</v>
      </c>
      <c r="BC327">
        <v>0</v>
      </c>
      <c r="BD327">
        <v>0</v>
      </c>
      <c r="BE327">
        <v>7150</v>
      </c>
      <c r="BF327">
        <v>7150</v>
      </c>
      <c r="BG327">
        <f t="shared" si="43"/>
        <v>59.722222222222221</v>
      </c>
      <c r="BH327">
        <v>125</v>
      </c>
      <c r="BI327">
        <v>214</v>
      </c>
      <c r="BJ327">
        <v>86</v>
      </c>
      <c r="BK327">
        <v>48</v>
      </c>
      <c r="BL327">
        <v>64</v>
      </c>
      <c r="BM327">
        <v>147</v>
      </c>
      <c r="BN327">
        <v>96</v>
      </c>
      <c r="BO327">
        <v>93</v>
      </c>
      <c r="BP327">
        <v>32</v>
      </c>
      <c r="BQ327">
        <v>144</v>
      </c>
      <c r="BR327">
        <v>144</v>
      </c>
      <c r="BS327">
        <v>61</v>
      </c>
      <c r="BT327">
        <v>1254</v>
      </c>
      <c r="BU327">
        <v>112</v>
      </c>
      <c r="BV327">
        <v>157</v>
      </c>
      <c r="BW327">
        <v>970</v>
      </c>
      <c r="BX327">
        <v>147</v>
      </c>
      <c r="BY327">
        <v>365</v>
      </c>
      <c r="BZ327">
        <v>163</v>
      </c>
      <c r="CA327">
        <v>1914</v>
      </c>
      <c r="CB327">
        <v>15</v>
      </c>
      <c r="CC327">
        <v>6</v>
      </c>
      <c r="CD327">
        <v>20</v>
      </c>
      <c r="CE327">
        <v>146</v>
      </c>
      <c r="CF327">
        <v>7.3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58</v>
      </c>
      <c r="CO327">
        <v>0</v>
      </c>
      <c r="CP327">
        <v>2</v>
      </c>
      <c r="CQ327">
        <v>2</v>
      </c>
      <c r="CR327">
        <v>0</v>
      </c>
      <c r="CS327">
        <v>0</v>
      </c>
      <c r="CT327">
        <v>62</v>
      </c>
      <c r="CU327">
        <v>0</v>
      </c>
      <c r="CV327">
        <v>0</v>
      </c>
      <c r="CW327">
        <v>1</v>
      </c>
      <c r="CX327">
        <v>0</v>
      </c>
      <c r="CY327">
        <v>51</v>
      </c>
      <c r="CZ327">
        <v>0</v>
      </c>
      <c r="DA327">
        <v>0</v>
      </c>
      <c r="DB327">
        <v>0</v>
      </c>
      <c r="DC327">
        <v>52</v>
      </c>
      <c r="DD327">
        <v>0</v>
      </c>
      <c r="DE327">
        <v>0</v>
      </c>
      <c r="DF327">
        <v>146</v>
      </c>
      <c r="DG327">
        <v>20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166</v>
      </c>
      <c r="DT327">
        <v>280</v>
      </c>
      <c r="DU327">
        <v>120</v>
      </c>
      <c r="DV327">
        <v>0</v>
      </c>
      <c r="DW327">
        <v>0</v>
      </c>
      <c r="DX327">
        <v>0</v>
      </c>
      <c r="DY327">
        <v>1000</v>
      </c>
      <c r="DZ327">
        <v>1000</v>
      </c>
      <c r="EA327">
        <v>200</v>
      </c>
      <c r="EB327">
        <v>250</v>
      </c>
      <c r="EC327">
        <v>50</v>
      </c>
      <c r="ED327">
        <v>750</v>
      </c>
      <c r="EE327">
        <v>1750</v>
      </c>
      <c r="EF327">
        <v>0</v>
      </c>
      <c r="EG327">
        <v>0.05</v>
      </c>
      <c r="EH327">
        <v>0.5</v>
      </c>
      <c r="EI327">
        <v>1.8</v>
      </c>
      <c r="EJ327">
        <v>0.4</v>
      </c>
      <c r="EK327">
        <v>3.2</v>
      </c>
    </row>
    <row r="328" spans="1:141" x14ac:dyDescent="0.25">
      <c r="A328" t="str">
        <f>[1]ingredient!B328</f>
        <v>Radicchio</v>
      </c>
      <c r="B328" t="s">
        <v>402</v>
      </c>
      <c r="C328" s="7">
        <f>_xlfn.XLOOKUP(A328,[1]ingredient!$B$2:$B$521,[1]ingredient!$A$2:$A$521)</f>
        <v>327</v>
      </c>
      <c r="D328">
        <v>14</v>
      </c>
      <c r="E328">
        <v>0.22</v>
      </c>
      <c r="F328">
        <v>1</v>
      </c>
      <c r="G328">
        <v>2</v>
      </c>
      <c r="H328">
        <v>2</v>
      </c>
      <c r="I328">
        <v>1</v>
      </c>
      <c r="J328">
        <v>7.0000000000000007E-2</v>
      </c>
      <c r="K328">
        <v>95</v>
      </c>
      <c r="L328">
        <v>133</v>
      </c>
      <c r="M328">
        <v>67</v>
      </c>
      <c r="N328">
        <v>0</v>
      </c>
      <c r="O328">
        <v>800</v>
      </c>
      <c r="P328">
        <v>70</v>
      </c>
      <c r="Q328">
        <v>30</v>
      </c>
      <c r="R328">
        <v>250</v>
      </c>
      <c r="S328">
        <v>467</v>
      </c>
      <c r="T328">
        <v>180</v>
      </c>
      <c r="U328">
        <v>45</v>
      </c>
      <c r="V328">
        <v>2</v>
      </c>
      <c r="W328">
        <v>34</v>
      </c>
      <c r="X328">
        <v>0</v>
      </c>
      <c r="Y328">
        <v>28000</v>
      </c>
      <c r="Z328">
        <v>0</v>
      </c>
      <c r="AA328">
        <v>500</v>
      </c>
      <c r="AB328">
        <v>200</v>
      </c>
      <c r="AC328">
        <v>10</v>
      </c>
      <c r="AD328">
        <v>240</v>
      </c>
      <c r="AE328">
        <v>40</v>
      </c>
      <c r="AF328">
        <v>11</v>
      </c>
      <c r="AG328">
        <v>27</v>
      </c>
      <c r="AH328">
        <v>12</v>
      </c>
      <c r="AI328">
        <v>55</v>
      </c>
      <c r="AJ328">
        <v>1500</v>
      </c>
      <c r="AK328">
        <v>200</v>
      </c>
      <c r="AL328">
        <v>50</v>
      </c>
      <c r="AM328">
        <v>350</v>
      </c>
      <c r="AN328">
        <v>32</v>
      </c>
      <c r="AO328">
        <v>3</v>
      </c>
      <c r="AP328">
        <v>0</v>
      </c>
      <c r="AQ328">
        <v>0</v>
      </c>
      <c r="AR328">
        <v>0</v>
      </c>
      <c r="AS328">
        <v>0</v>
      </c>
      <c r="AT328">
        <v>600</v>
      </c>
      <c r="AU328">
        <v>600</v>
      </c>
      <c r="AV328">
        <v>0</v>
      </c>
      <c r="AW328">
        <v>1200</v>
      </c>
      <c r="AX328">
        <v>285</v>
      </c>
      <c r="AY328">
        <v>0</v>
      </c>
      <c r="AZ328">
        <v>0</v>
      </c>
      <c r="BA328">
        <v>285</v>
      </c>
      <c r="BB328">
        <v>0</v>
      </c>
      <c r="BC328">
        <v>0</v>
      </c>
      <c r="BD328">
        <v>0</v>
      </c>
      <c r="BE328">
        <v>15</v>
      </c>
      <c r="BF328">
        <v>15</v>
      </c>
      <c r="BG328">
        <f t="shared" si="43"/>
        <v>95.652173913043484</v>
      </c>
      <c r="BH328">
        <v>78</v>
      </c>
      <c r="BI328">
        <v>82</v>
      </c>
      <c r="BJ328">
        <v>60</v>
      </c>
      <c r="BK328">
        <v>14</v>
      </c>
      <c r="BL328">
        <v>8</v>
      </c>
      <c r="BM328">
        <v>54</v>
      </c>
      <c r="BN328">
        <v>34</v>
      </c>
      <c r="BO328">
        <v>46</v>
      </c>
      <c r="BP328">
        <v>13</v>
      </c>
      <c r="BQ328">
        <v>60</v>
      </c>
      <c r="BR328">
        <v>58</v>
      </c>
      <c r="BS328">
        <v>19</v>
      </c>
      <c r="BT328">
        <v>526</v>
      </c>
      <c r="BU328">
        <v>52</v>
      </c>
      <c r="BV328">
        <v>132</v>
      </c>
      <c r="BW328">
        <v>146</v>
      </c>
      <c r="BX328">
        <v>48</v>
      </c>
      <c r="BY328">
        <v>62</v>
      </c>
      <c r="BZ328">
        <v>42</v>
      </c>
      <c r="CA328">
        <v>482</v>
      </c>
      <c r="CB328">
        <v>10</v>
      </c>
      <c r="CC328">
        <v>4</v>
      </c>
      <c r="CD328">
        <v>88</v>
      </c>
      <c r="CE328">
        <v>39</v>
      </c>
      <c r="CF328">
        <v>0.44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4</v>
      </c>
      <c r="CM328">
        <v>0</v>
      </c>
      <c r="CN328">
        <v>35</v>
      </c>
      <c r="CO328">
        <v>0</v>
      </c>
      <c r="CP328">
        <v>3</v>
      </c>
      <c r="CQ328">
        <v>0</v>
      </c>
      <c r="CR328">
        <v>0</v>
      </c>
      <c r="CS328">
        <v>0</v>
      </c>
      <c r="CT328">
        <v>42</v>
      </c>
      <c r="CU328">
        <v>0</v>
      </c>
      <c r="CV328">
        <v>0</v>
      </c>
      <c r="CW328">
        <v>2</v>
      </c>
      <c r="CX328">
        <v>0</v>
      </c>
      <c r="CY328">
        <v>6</v>
      </c>
      <c r="CZ328">
        <v>0</v>
      </c>
      <c r="DA328">
        <v>0</v>
      </c>
      <c r="DB328">
        <v>0</v>
      </c>
      <c r="DC328">
        <v>8</v>
      </c>
      <c r="DD328">
        <v>0</v>
      </c>
      <c r="DE328">
        <v>0</v>
      </c>
      <c r="DF328">
        <v>39</v>
      </c>
      <c r="DG328">
        <v>88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127</v>
      </c>
      <c r="DT328">
        <v>177</v>
      </c>
      <c r="DU328">
        <v>44</v>
      </c>
      <c r="DV328">
        <v>0</v>
      </c>
      <c r="DW328">
        <v>0</v>
      </c>
      <c r="DX328">
        <v>0</v>
      </c>
      <c r="DY328">
        <v>192</v>
      </c>
      <c r="DZ328">
        <v>160</v>
      </c>
      <c r="EA328">
        <v>432</v>
      </c>
      <c r="EB328">
        <v>800</v>
      </c>
      <c r="EC328">
        <v>16</v>
      </c>
      <c r="ED328">
        <v>240</v>
      </c>
      <c r="EE328">
        <v>1360</v>
      </c>
      <c r="EF328">
        <v>0</v>
      </c>
      <c r="EG328">
        <v>0.2</v>
      </c>
      <c r="EH328">
        <v>0.6</v>
      </c>
      <c r="EI328">
        <v>1.4</v>
      </c>
      <c r="EJ328">
        <v>0.2</v>
      </c>
      <c r="EK328">
        <v>1</v>
      </c>
    </row>
    <row r="329" spans="1:141" x14ac:dyDescent="0.25">
      <c r="A329" t="str">
        <f>[1]ingredient!B329</f>
        <v>Radieschen</v>
      </c>
      <c r="B329" t="s">
        <v>403</v>
      </c>
      <c r="C329" s="7">
        <f>_xlfn.XLOOKUP(A329,[1]ingredient!$B$2:$B$521,[1]ingredient!$A$2:$A$521)</f>
        <v>328</v>
      </c>
      <c r="D329">
        <v>15</v>
      </c>
      <c r="E329">
        <v>0.14000000000000001</v>
      </c>
      <c r="F329">
        <v>1</v>
      </c>
      <c r="G329">
        <v>2</v>
      </c>
      <c r="H329">
        <v>2</v>
      </c>
      <c r="I329">
        <v>2</v>
      </c>
      <c r="J329">
        <v>0.06</v>
      </c>
      <c r="K329">
        <v>94</v>
      </c>
      <c r="L329">
        <v>4</v>
      </c>
      <c r="M329">
        <v>2</v>
      </c>
      <c r="N329">
        <v>0</v>
      </c>
      <c r="O329">
        <v>23</v>
      </c>
      <c r="P329">
        <v>33</v>
      </c>
      <c r="Q329">
        <v>30</v>
      </c>
      <c r="R329">
        <v>250</v>
      </c>
      <c r="S329">
        <v>333</v>
      </c>
      <c r="T329">
        <v>180</v>
      </c>
      <c r="U329">
        <v>60</v>
      </c>
      <c r="V329">
        <v>1</v>
      </c>
      <c r="W329">
        <v>24</v>
      </c>
      <c r="X329">
        <v>0</v>
      </c>
      <c r="Y329">
        <v>29000</v>
      </c>
      <c r="Z329">
        <v>0</v>
      </c>
      <c r="AA329">
        <v>10</v>
      </c>
      <c r="AB329">
        <v>50</v>
      </c>
      <c r="AC329">
        <v>17</v>
      </c>
      <c r="AD329">
        <v>255</v>
      </c>
      <c r="AE329">
        <v>34</v>
      </c>
      <c r="AF329">
        <v>8</v>
      </c>
      <c r="AG329">
        <v>26</v>
      </c>
      <c r="AH329">
        <v>37</v>
      </c>
      <c r="AI329">
        <v>44</v>
      </c>
      <c r="AJ329">
        <v>1500</v>
      </c>
      <c r="AK329">
        <v>160</v>
      </c>
      <c r="AL329">
        <v>53</v>
      </c>
      <c r="AM329">
        <v>125</v>
      </c>
      <c r="AN329">
        <v>70</v>
      </c>
      <c r="AO329">
        <v>8</v>
      </c>
      <c r="AP329">
        <v>0</v>
      </c>
      <c r="AQ329">
        <v>0</v>
      </c>
      <c r="AR329">
        <v>0</v>
      </c>
      <c r="AS329">
        <v>0</v>
      </c>
      <c r="AT329">
        <v>1384</v>
      </c>
      <c r="AU329">
        <v>639</v>
      </c>
      <c r="AV329">
        <v>0</v>
      </c>
      <c r="AW329">
        <v>2023</v>
      </c>
      <c r="AX329">
        <v>107</v>
      </c>
      <c r="AY329">
        <v>0</v>
      </c>
      <c r="AZ329">
        <v>0</v>
      </c>
      <c r="BA329">
        <v>107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f t="shared" si="43"/>
        <v>75.757575757575751</v>
      </c>
      <c r="BH329">
        <v>47</v>
      </c>
      <c r="BI329">
        <v>59</v>
      </c>
      <c r="BJ329">
        <v>58</v>
      </c>
      <c r="BK329">
        <v>11</v>
      </c>
      <c r="BL329">
        <v>11</v>
      </c>
      <c r="BM329">
        <v>37</v>
      </c>
      <c r="BN329">
        <v>21</v>
      </c>
      <c r="BO329">
        <v>47</v>
      </c>
      <c r="BP329">
        <v>5</v>
      </c>
      <c r="BQ329">
        <v>53</v>
      </c>
      <c r="BR329">
        <v>60</v>
      </c>
      <c r="BS329">
        <v>21</v>
      </c>
      <c r="BT329">
        <v>430</v>
      </c>
      <c r="BU329">
        <v>37</v>
      </c>
      <c r="BV329">
        <v>79</v>
      </c>
      <c r="BW329">
        <v>210</v>
      </c>
      <c r="BX329">
        <v>35</v>
      </c>
      <c r="BY329">
        <v>27</v>
      </c>
      <c r="BZ329">
        <v>32</v>
      </c>
      <c r="CA329">
        <v>420</v>
      </c>
      <c r="CB329">
        <v>10</v>
      </c>
      <c r="CC329">
        <v>4</v>
      </c>
      <c r="CD329">
        <v>43</v>
      </c>
      <c r="CE329">
        <v>13</v>
      </c>
      <c r="CF329">
        <v>0.3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32</v>
      </c>
      <c r="CO329">
        <v>0</v>
      </c>
      <c r="CP329">
        <v>5</v>
      </c>
      <c r="CQ329">
        <v>0</v>
      </c>
      <c r="CR329">
        <v>0</v>
      </c>
      <c r="CS329">
        <v>0</v>
      </c>
      <c r="CT329">
        <v>37</v>
      </c>
      <c r="CU329">
        <v>0</v>
      </c>
      <c r="CV329">
        <v>0</v>
      </c>
      <c r="CW329">
        <v>1</v>
      </c>
      <c r="CX329">
        <v>0</v>
      </c>
      <c r="CY329">
        <v>18</v>
      </c>
      <c r="CZ329">
        <v>0</v>
      </c>
      <c r="DA329">
        <v>0</v>
      </c>
      <c r="DB329">
        <v>0</v>
      </c>
      <c r="DC329">
        <v>19</v>
      </c>
      <c r="DD329">
        <v>0</v>
      </c>
      <c r="DE329">
        <v>0</v>
      </c>
      <c r="DF329">
        <v>13</v>
      </c>
      <c r="DG329">
        <v>43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56</v>
      </c>
      <c r="DT329">
        <v>112</v>
      </c>
      <c r="DU329">
        <v>28</v>
      </c>
      <c r="DV329">
        <v>0</v>
      </c>
      <c r="DW329">
        <v>0</v>
      </c>
      <c r="DX329">
        <v>0</v>
      </c>
      <c r="DY329">
        <v>163</v>
      </c>
      <c r="DZ329">
        <v>245</v>
      </c>
      <c r="EA329">
        <v>440</v>
      </c>
      <c r="EB329">
        <v>733</v>
      </c>
      <c r="EC329">
        <v>49</v>
      </c>
      <c r="ED329">
        <v>489</v>
      </c>
      <c r="EE329">
        <v>1141</v>
      </c>
      <c r="EF329">
        <v>0</v>
      </c>
      <c r="EG329">
        <v>0.1</v>
      </c>
      <c r="EH329">
        <v>0.9</v>
      </c>
      <c r="EI329">
        <v>1.1000000000000001</v>
      </c>
      <c r="EJ329">
        <v>0.1</v>
      </c>
      <c r="EK329">
        <v>0.9</v>
      </c>
    </row>
    <row r="330" spans="1:141" x14ac:dyDescent="0.25">
      <c r="A330" t="str">
        <f>[1]ingredient!B330</f>
        <v>Radieschen-Sprossen</v>
      </c>
      <c r="B330" t="s">
        <v>404</v>
      </c>
      <c r="C330" s="7">
        <f>_xlfn.XLOOKUP(A330,[1]ingredient!$B$2:$B$521,[1]ingredient!$A$2:$A$521)</f>
        <v>329</v>
      </c>
      <c r="D330">
        <v>12</v>
      </c>
      <c r="E330">
        <v>0</v>
      </c>
      <c r="F330">
        <v>0.1</v>
      </c>
      <c r="G330">
        <v>1</v>
      </c>
      <c r="H330">
        <v>3</v>
      </c>
      <c r="I330">
        <v>1</v>
      </c>
      <c r="J330">
        <v>7.0000000000000007E-2</v>
      </c>
      <c r="K330">
        <v>96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100</v>
      </c>
      <c r="S330">
        <v>100</v>
      </c>
      <c r="T330">
        <v>0</v>
      </c>
      <c r="U330">
        <v>0</v>
      </c>
      <c r="V330">
        <v>0.3</v>
      </c>
      <c r="W330">
        <v>8</v>
      </c>
      <c r="X330">
        <v>0</v>
      </c>
      <c r="Y330">
        <v>20000</v>
      </c>
      <c r="Z330">
        <v>0</v>
      </c>
      <c r="AA330">
        <v>0</v>
      </c>
      <c r="AB330">
        <v>0</v>
      </c>
      <c r="AC330">
        <v>12</v>
      </c>
      <c r="AD330">
        <v>250</v>
      </c>
      <c r="AE330">
        <v>1</v>
      </c>
      <c r="AF330">
        <v>1</v>
      </c>
      <c r="AG330">
        <v>2</v>
      </c>
      <c r="AH330">
        <v>14</v>
      </c>
      <c r="AI330">
        <v>55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0.3</v>
      </c>
      <c r="AP330">
        <v>0</v>
      </c>
      <c r="AQ330">
        <v>0</v>
      </c>
      <c r="AR330">
        <v>0</v>
      </c>
      <c r="AS330">
        <v>0</v>
      </c>
      <c r="AT330">
        <v>350</v>
      </c>
      <c r="AU330">
        <v>410</v>
      </c>
      <c r="AV330">
        <v>0</v>
      </c>
      <c r="AW330">
        <v>760</v>
      </c>
      <c r="AX330">
        <v>200</v>
      </c>
      <c r="AY330">
        <v>0</v>
      </c>
      <c r="AZ330">
        <v>0</v>
      </c>
      <c r="BA330">
        <v>200</v>
      </c>
      <c r="BB330">
        <v>48</v>
      </c>
      <c r="BC330">
        <v>0</v>
      </c>
      <c r="BD330">
        <v>0</v>
      </c>
      <c r="BE330">
        <v>432</v>
      </c>
      <c r="BF330">
        <v>0</v>
      </c>
      <c r="BG330">
        <f t="shared" si="43"/>
        <v>125</v>
      </c>
      <c r="BH330">
        <v>5</v>
      </c>
      <c r="BI330">
        <v>14</v>
      </c>
      <c r="BJ330">
        <v>8</v>
      </c>
      <c r="BK330">
        <v>3</v>
      </c>
      <c r="BL330">
        <v>0</v>
      </c>
      <c r="BM330">
        <v>5</v>
      </c>
      <c r="BN330">
        <v>5</v>
      </c>
      <c r="BO330">
        <v>13</v>
      </c>
      <c r="BP330">
        <v>2</v>
      </c>
      <c r="BQ330">
        <v>11</v>
      </c>
      <c r="BR330">
        <v>11</v>
      </c>
      <c r="BS330">
        <v>2</v>
      </c>
      <c r="BT330">
        <v>80</v>
      </c>
      <c r="BU330">
        <v>7</v>
      </c>
      <c r="BV330">
        <v>22</v>
      </c>
      <c r="BW330">
        <v>14</v>
      </c>
      <c r="BX330">
        <v>4</v>
      </c>
      <c r="BY330">
        <v>5</v>
      </c>
      <c r="BZ330">
        <v>12</v>
      </c>
      <c r="CA330">
        <v>65</v>
      </c>
      <c r="CB330">
        <v>1</v>
      </c>
      <c r="CC330">
        <v>0.2</v>
      </c>
      <c r="CD330">
        <v>0</v>
      </c>
      <c r="CE330">
        <v>0</v>
      </c>
      <c r="CF330">
        <v>1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9</v>
      </c>
      <c r="CO330">
        <v>0</v>
      </c>
      <c r="CP330">
        <v>2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3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22</v>
      </c>
      <c r="DU330">
        <v>0</v>
      </c>
      <c r="DV330">
        <v>0</v>
      </c>
      <c r="DW330">
        <v>0</v>
      </c>
      <c r="DX330">
        <v>0</v>
      </c>
      <c r="DY330">
        <v>338</v>
      </c>
      <c r="DZ330">
        <v>910</v>
      </c>
      <c r="EA330">
        <v>338</v>
      </c>
      <c r="EB330">
        <v>962</v>
      </c>
      <c r="EC330">
        <v>52</v>
      </c>
      <c r="ED330">
        <v>0</v>
      </c>
      <c r="EE330">
        <v>1300</v>
      </c>
      <c r="EF330">
        <v>0</v>
      </c>
      <c r="EG330">
        <v>0</v>
      </c>
      <c r="EH330">
        <v>0.3</v>
      </c>
      <c r="EI330">
        <v>1.3</v>
      </c>
      <c r="EJ330">
        <v>0</v>
      </c>
      <c r="EK330">
        <v>0.1</v>
      </c>
    </row>
    <row r="331" spans="1:141" x14ac:dyDescent="0.25">
      <c r="A331" t="str">
        <f>[1]ingredient!B331</f>
        <v>Rapsöl</v>
      </c>
      <c r="B331" t="s">
        <v>405</v>
      </c>
      <c r="C331" s="7">
        <f>_xlfn.XLOOKUP(A331,[1]ingredient!$B$2:$B$521,[1]ingredient!$A$2:$A$521)</f>
        <v>330</v>
      </c>
      <c r="D331">
        <v>875</v>
      </c>
      <c r="E331">
        <v>99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550</v>
      </c>
      <c r="M331">
        <v>275</v>
      </c>
      <c r="N331">
        <v>0</v>
      </c>
      <c r="O331">
        <v>3300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22814</v>
      </c>
      <c r="AB331">
        <v>150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0</v>
      </c>
      <c r="AI331">
        <v>1</v>
      </c>
      <c r="AJ331">
        <v>100</v>
      </c>
      <c r="AK331">
        <v>1</v>
      </c>
      <c r="AL331">
        <v>1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 t="str">
        <f t="shared" si="43"/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9464</v>
      </c>
      <c r="CE331">
        <v>22431</v>
      </c>
      <c r="CF331">
        <v>2.37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473</v>
      </c>
      <c r="CM331">
        <v>0</v>
      </c>
      <c r="CN331">
        <v>3313</v>
      </c>
      <c r="CO331">
        <v>95</v>
      </c>
      <c r="CP331">
        <v>1893</v>
      </c>
      <c r="CQ331">
        <v>946</v>
      </c>
      <c r="CR331">
        <v>473</v>
      </c>
      <c r="CS331">
        <v>473</v>
      </c>
      <c r="CT331">
        <v>7666</v>
      </c>
      <c r="CU331">
        <v>0</v>
      </c>
      <c r="CV331">
        <v>0</v>
      </c>
      <c r="CW331">
        <v>473</v>
      </c>
      <c r="CX331">
        <v>0</v>
      </c>
      <c r="CY331">
        <v>52055</v>
      </c>
      <c r="CZ331">
        <v>1420</v>
      </c>
      <c r="DA331">
        <v>189</v>
      </c>
      <c r="DB331">
        <v>946</v>
      </c>
      <c r="DC331">
        <v>55083</v>
      </c>
      <c r="DD331">
        <v>0</v>
      </c>
      <c r="DE331">
        <v>0</v>
      </c>
      <c r="DF331">
        <v>22052</v>
      </c>
      <c r="DG331">
        <v>9464</v>
      </c>
      <c r="DH331">
        <v>0</v>
      </c>
      <c r="DI331">
        <v>0</v>
      </c>
      <c r="DJ331">
        <v>379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31895</v>
      </c>
      <c r="DT331">
        <v>94644</v>
      </c>
      <c r="DU331">
        <v>4356</v>
      </c>
      <c r="DV331">
        <v>2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99</v>
      </c>
      <c r="EK331">
        <v>0</v>
      </c>
    </row>
    <row r="332" spans="1:141" x14ac:dyDescent="0.25">
      <c r="A332" s="9" t="str">
        <f>[1]ingredient!B332</f>
        <v>Ras el Hanout</v>
      </c>
      <c r="C332" s="7">
        <f>_xlfn.XLOOKUP(A332,[1]ingredient!$B$2:$B$521,[1]ingredient!$A$2:$A$521)</f>
        <v>331</v>
      </c>
      <c r="D332">
        <f t="shared" ref="D332:BF332" si="50">(3*D212+2*D217+2*D177+2*D307+D225+D296+D166+D461+2*D280+D71)/16</f>
        <v>335.25</v>
      </c>
      <c r="E332">
        <f t="shared" si="50"/>
        <v>12.625</v>
      </c>
      <c r="F332">
        <f t="shared" si="50"/>
        <v>10.8125</v>
      </c>
      <c r="G332">
        <f t="shared" si="50"/>
        <v>42.5</v>
      </c>
      <c r="H332">
        <f t="shared" si="50"/>
        <v>18.0625</v>
      </c>
      <c r="I332">
        <f t="shared" si="50"/>
        <v>36.125</v>
      </c>
      <c r="J332">
        <f t="shared" si="50"/>
        <v>0.1925</v>
      </c>
      <c r="K332">
        <f t="shared" si="50"/>
        <v>9.875</v>
      </c>
      <c r="L332">
        <f t="shared" si="50"/>
        <v>665.25</v>
      </c>
      <c r="M332">
        <f t="shared" si="50"/>
        <v>333.71249999999998</v>
      </c>
      <c r="N332">
        <f t="shared" si="50"/>
        <v>0</v>
      </c>
      <c r="O332">
        <f t="shared" si="50"/>
        <v>4004.0625</v>
      </c>
      <c r="P332">
        <f t="shared" si="50"/>
        <v>251.25</v>
      </c>
      <c r="Q332">
        <f t="shared" si="50"/>
        <v>383.125</v>
      </c>
      <c r="R332">
        <f t="shared" si="50"/>
        <v>3527.5</v>
      </c>
      <c r="S332">
        <f t="shared" si="50"/>
        <v>5476.5</v>
      </c>
      <c r="T332">
        <f t="shared" si="50"/>
        <v>360.625</v>
      </c>
      <c r="U332">
        <f t="shared" si="50"/>
        <v>175.625</v>
      </c>
      <c r="V332">
        <f t="shared" si="50"/>
        <v>5.625</v>
      </c>
      <c r="W332">
        <f t="shared" si="50"/>
        <v>0</v>
      </c>
      <c r="X332">
        <f t="shared" si="50"/>
        <v>0</v>
      </c>
      <c r="Y332">
        <f t="shared" si="50"/>
        <v>6368.75</v>
      </c>
      <c r="Z332">
        <f t="shared" si="50"/>
        <v>0</v>
      </c>
      <c r="AA332">
        <f t="shared" si="50"/>
        <v>0</v>
      </c>
      <c r="AB332">
        <f t="shared" si="50"/>
        <v>0</v>
      </c>
      <c r="AC332">
        <f t="shared" si="50"/>
        <v>77.0625</v>
      </c>
      <c r="AD332">
        <f t="shared" si="50"/>
        <v>1363.6875</v>
      </c>
      <c r="AE332">
        <f t="shared" si="50"/>
        <v>520.9375</v>
      </c>
      <c r="AF332">
        <f t="shared" si="50"/>
        <v>238.1875</v>
      </c>
      <c r="AG332">
        <f t="shared" si="50"/>
        <v>264.5</v>
      </c>
      <c r="AH332">
        <f t="shared" si="50"/>
        <v>103</v>
      </c>
      <c r="AI332">
        <f t="shared" si="50"/>
        <v>115</v>
      </c>
      <c r="AJ332">
        <f t="shared" si="50"/>
        <v>33937.5</v>
      </c>
      <c r="AK332">
        <f t="shared" si="50"/>
        <v>3284.375</v>
      </c>
      <c r="AL332">
        <f t="shared" si="50"/>
        <v>868.125</v>
      </c>
      <c r="AM332">
        <f t="shared" si="50"/>
        <v>5406.25</v>
      </c>
      <c r="AN332">
        <f t="shared" si="50"/>
        <v>156.25</v>
      </c>
      <c r="AO332">
        <f t="shared" si="50"/>
        <v>5</v>
      </c>
      <c r="AP332">
        <f t="shared" si="50"/>
        <v>0</v>
      </c>
      <c r="AQ332">
        <f t="shared" si="50"/>
        <v>0</v>
      </c>
      <c r="AR332">
        <f t="shared" si="50"/>
        <v>0</v>
      </c>
      <c r="AS332">
        <f t="shared" si="50"/>
        <v>0</v>
      </c>
      <c r="AT332">
        <f t="shared" si="50"/>
        <v>16929.0625</v>
      </c>
      <c r="AU332">
        <f t="shared" si="50"/>
        <v>14887.1875</v>
      </c>
      <c r="AV332">
        <f t="shared" si="50"/>
        <v>0</v>
      </c>
      <c r="AW332">
        <f t="shared" si="50"/>
        <v>31816.25</v>
      </c>
      <c r="AX332">
        <f t="shared" si="50"/>
        <v>4408.625</v>
      </c>
      <c r="AY332">
        <f t="shared" si="50"/>
        <v>0</v>
      </c>
      <c r="AZ332">
        <f t="shared" si="50"/>
        <v>0</v>
      </c>
      <c r="BA332">
        <f t="shared" si="50"/>
        <v>4410.5</v>
      </c>
      <c r="BB332">
        <f t="shared" si="50"/>
        <v>1250</v>
      </c>
      <c r="BC332">
        <f t="shared" si="50"/>
        <v>0</v>
      </c>
      <c r="BD332">
        <f t="shared" si="50"/>
        <v>0</v>
      </c>
      <c r="BE332">
        <f t="shared" si="50"/>
        <v>5035.75</v>
      </c>
      <c r="BF332">
        <f t="shared" si="50"/>
        <v>4673.25</v>
      </c>
      <c r="BG332">
        <f t="shared" si="43"/>
        <v>93.870423892100192</v>
      </c>
      <c r="BH332">
        <f t="shared" ref="BH332:DS332" si="51">(3*BH212+2*BH217+2*BH177+2*BH307+BH225+BH296+BH166+BH461+2*BH280+BH71)/16</f>
        <v>384.625</v>
      </c>
      <c r="BI332">
        <f t="shared" si="51"/>
        <v>622.625</v>
      </c>
      <c r="BJ332">
        <f t="shared" si="51"/>
        <v>487.1875</v>
      </c>
      <c r="BK332">
        <f t="shared" si="51"/>
        <v>161.375</v>
      </c>
      <c r="BL332">
        <f t="shared" si="51"/>
        <v>124.8125</v>
      </c>
      <c r="BM332">
        <f t="shared" si="51"/>
        <v>385.6875</v>
      </c>
      <c r="BN332">
        <f t="shared" si="51"/>
        <v>249</v>
      </c>
      <c r="BO332">
        <f t="shared" si="51"/>
        <v>316.1875</v>
      </c>
      <c r="BP332">
        <f t="shared" si="51"/>
        <v>117.0625</v>
      </c>
      <c r="BQ332">
        <f t="shared" si="51"/>
        <v>495.8125</v>
      </c>
      <c r="BR332">
        <f t="shared" si="51"/>
        <v>675.125</v>
      </c>
      <c r="BS332">
        <f t="shared" si="51"/>
        <v>203.5</v>
      </c>
      <c r="BT332">
        <f t="shared" si="51"/>
        <v>4223</v>
      </c>
      <c r="BU332">
        <f t="shared" si="51"/>
        <v>557.25</v>
      </c>
      <c r="BV332">
        <f t="shared" si="51"/>
        <v>1386.625</v>
      </c>
      <c r="BW332">
        <f t="shared" si="51"/>
        <v>1739.625</v>
      </c>
      <c r="BX332">
        <f t="shared" si="51"/>
        <v>462</v>
      </c>
      <c r="BY332">
        <f t="shared" si="51"/>
        <v>409.8125</v>
      </c>
      <c r="BZ332">
        <f t="shared" si="51"/>
        <v>413.3125</v>
      </c>
      <c r="CA332">
        <f t="shared" si="51"/>
        <v>4968.625</v>
      </c>
      <c r="CB332">
        <f t="shared" si="51"/>
        <v>79.8125</v>
      </c>
      <c r="CC332">
        <f t="shared" si="51"/>
        <v>33.25</v>
      </c>
      <c r="CD332">
        <f t="shared" si="51"/>
        <v>185.25</v>
      </c>
      <c r="CE332">
        <f t="shared" si="51"/>
        <v>2538.125</v>
      </c>
      <c r="CF332">
        <f t="shared" si="51"/>
        <v>12.381874999999999</v>
      </c>
      <c r="CG332">
        <f t="shared" si="51"/>
        <v>0</v>
      </c>
      <c r="CH332">
        <f t="shared" si="51"/>
        <v>0</v>
      </c>
      <c r="CI332">
        <f t="shared" si="51"/>
        <v>7.5</v>
      </c>
      <c r="CJ332">
        <f t="shared" si="51"/>
        <v>17.3125</v>
      </c>
      <c r="CK332">
        <f t="shared" si="51"/>
        <v>100.625</v>
      </c>
      <c r="CL332">
        <f t="shared" si="51"/>
        <v>155.75</v>
      </c>
      <c r="CM332">
        <f t="shared" si="51"/>
        <v>0</v>
      </c>
      <c r="CN332">
        <f t="shared" si="51"/>
        <v>1379.75</v>
      </c>
      <c r="CO332">
        <f t="shared" si="51"/>
        <v>0</v>
      </c>
      <c r="CP332">
        <f t="shared" si="51"/>
        <v>159.1875</v>
      </c>
      <c r="CQ332">
        <f t="shared" si="51"/>
        <v>0</v>
      </c>
      <c r="CR332">
        <f t="shared" si="51"/>
        <v>0</v>
      </c>
      <c r="CS332">
        <f t="shared" si="51"/>
        <v>0</v>
      </c>
      <c r="CT332">
        <f t="shared" si="51"/>
        <v>1820.125</v>
      </c>
      <c r="CU332">
        <f t="shared" si="51"/>
        <v>0</v>
      </c>
      <c r="CV332">
        <f t="shared" si="51"/>
        <v>0</v>
      </c>
      <c r="CW332">
        <f t="shared" si="51"/>
        <v>131.4375</v>
      </c>
      <c r="CX332">
        <f t="shared" si="51"/>
        <v>0</v>
      </c>
      <c r="CY332">
        <f t="shared" si="51"/>
        <v>5837.8125</v>
      </c>
      <c r="CZ332">
        <f t="shared" si="51"/>
        <v>7.5</v>
      </c>
      <c r="DA332">
        <f t="shared" si="51"/>
        <v>0</v>
      </c>
      <c r="DB332">
        <f t="shared" si="51"/>
        <v>0</v>
      </c>
      <c r="DC332">
        <f t="shared" si="51"/>
        <v>5977.8125</v>
      </c>
      <c r="DD332">
        <f t="shared" si="51"/>
        <v>0</v>
      </c>
      <c r="DE332">
        <f t="shared" si="51"/>
        <v>0</v>
      </c>
      <c r="DF332">
        <f t="shared" si="51"/>
        <v>2538.125</v>
      </c>
      <c r="DG332">
        <f t="shared" si="51"/>
        <v>185.25</v>
      </c>
      <c r="DH332">
        <f t="shared" si="51"/>
        <v>0</v>
      </c>
      <c r="DI332">
        <f t="shared" si="51"/>
        <v>0</v>
      </c>
      <c r="DJ332">
        <f t="shared" si="51"/>
        <v>0</v>
      </c>
      <c r="DK332">
        <f t="shared" si="51"/>
        <v>0</v>
      </c>
      <c r="DL332">
        <f t="shared" si="51"/>
        <v>0</v>
      </c>
      <c r="DM332">
        <f t="shared" si="51"/>
        <v>0</v>
      </c>
      <c r="DN332">
        <f t="shared" si="51"/>
        <v>0</v>
      </c>
      <c r="DO332">
        <f t="shared" si="51"/>
        <v>0</v>
      </c>
      <c r="DP332">
        <f t="shared" si="51"/>
        <v>0</v>
      </c>
      <c r="DQ332">
        <f t="shared" si="51"/>
        <v>0</v>
      </c>
      <c r="DR332">
        <f t="shared" si="51"/>
        <v>0</v>
      </c>
      <c r="DS332">
        <f t="shared" si="51"/>
        <v>2723.375</v>
      </c>
      <c r="DT332">
        <f t="shared" ref="DT332:EK332" si="52">(3*DT212+2*DT217+2*DT177+2*DT307+DT225+DT296+DT166+DT461+2*DT280+DT71)/16</f>
        <v>10495</v>
      </c>
      <c r="DU332">
        <f t="shared" si="52"/>
        <v>2113.875</v>
      </c>
      <c r="DV332">
        <f t="shared" si="52"/>
        <v>0</v>
      </c>
      <c r="DW332">
        <f t="shared" si="52"/>
        <v>0</v>
      </c>
      <c r="DX332">
        <f t="shared" si="52"/>
        <v>24.8125</v>
      </c>
      <c r="DY332">
        <f t="shared" si="52"/>
        <v>3494.9375</v>
      </c>
      <c r="DZ332">
        <f t="shared" si="52"/>
        <v>3769.4375</v>
      </c>
      <c r="EA332">
        <f t="shared" si="52"/>
        <v>3733</v>
      </c>
      <c r="EB332">
        <f t="shared" si="52"/>
        <v>4532.8125</v>
      </c>
      <c r="EC332">
        <f t="shared" si="52"/>
        <v>2460.4375</v>
      </c>
      <c r="ED332">
        <f t="shared" si="52"/>
        <v>5323.5</v>
      </c>
      <c r="EE332">
        <f t="shared" si="52"/>
        <v>12667.1875</v>
      </c>
      <c r="EF332">
        <f t="shared" si="52"/>
        <v>0</v>
      </c>
      <c r="EG332">
        <f t="shared" si="52"/>
        <v>0.13375000000000001</v>
      </c>
      <c r="EH332">
        <f t="shared" si="52"/>
        <v>6.03125</v>
      </c>
      <c r="EI332">
        <f t="shared" si="52"/>
        <v>12.65625</v>
      </c>
      <c r="EJ332">
        <f t="shared" si="52"/>
        <v>12.637500000000003</v>
      </c>
      <c r="EK332">
        <f t="shared" si="52"/>
        <v>9.4499999999999993</v>
      </c>
    </row>
    <row r="333" spans="1:141" x14ac:dyDescent="0.25">
      <c r="A333" t="str">
        <f>[1]ingredient!B333</f>
        <v>Räucher-Tofu</v>
      </c>
      <c r="B333" t="s">
        <v>362</v>
      </c>
      <c r="C333" s="7">
        <f>_xlfn.XLOOKUP(A333,[1]ingredient!$B$2:$B$521,[1]ingredient!$A$2:$A$521)</f>
        <v>332</v>
      </c>
      <c r="D333">
        <v>144</v>
      </c>
      <c r="E333">
        <v>9</v>
      </c>
      <c r="F333">
        <v>16</v>
      </c>
      <c r="G333">
        <v>1</v>
      </c>
      <c r="H333">
        <v>1</v>
      </c>
      <c r="I333">
        <v>1</v>
      </c>
      <c r="J333">
        <v>0.02</v>
      </c>
      <c r="K333">
        <v>73</v>
      </c>
      <c r="L333">
        <v>4</v>
      </c>
      <c r="M333">
        <v>2</v>
      </c>
      <c r="N333">
        <v>0</v>
      </c>
      <c r="O333">
        <v>25</v>
      </c>
      <c r="P333">
        <v>20</v>
      </c>
      <c r="Q333">
        <v>20</v>
      </c>
      <c r="R333">
        <v>600</v>
      </c>
      <c r="S333">
        <v>4017</v>
      </c>
      <c r="T333">
        <v>280</v>
      </c>
      <c r="U333">
        <v>155</v>
      </c>
      <c r="V333">
        <v>7</v>
      </c>
      <c r="W333">
        <v>84</v>
      </c>
      <c r="X333">
        <v>0</v>
      </c>
      <c r="Y333">
        <v>0</v>
      </c>
      <c r="Z333">
        <v>0</v>
      </c>
      <c r="AA333">
        <v>600</v>
      </c>
      <c r="AB333">
        <v>50</v>
      </c>
      <c r="AC333">
        <v>7</v>
      </c>
      <c r="AD333">
        <v>375</v>
      </c>
      <c r="AE333">
        <v>159</v>
      </c>
      <c r="AF333">
        <v>50</v>
      </c>
      <c r="AG333">
        <v>109</v>
      </c>
      <c r="AH333">
        <v>33</v>
      </c>
      <c r="AI333">
        <v>10</v>
      </c>
      <c r="AJ333">
        <v>2500</v>
      </c>
      <c r="AK333">
        <v>220</v>
      </c>
      <c r="AL333">
        <v>22</v>
      </c>
      <c r="AM333">
        <v>620</v>
      </c>
      <c r="AN333">
        <v>13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614</v>
      </c>
      <c r="AY333">
        <v>0</v>
      </c>
      <c r="AZ333">
        <v>0</v>
      </c>
      <c r="BA333">
        <v>614</v>
      </c>
      <c r="BB333">
        <v>0</v>
      </c>
      <c r="BC333">
        <v>0</v>
      </c>
      <c r="BD333">
        <v>0</v>
      </c>
      <c r="BE333">
        <v>6</v>
      </c>
      <c r="BF333">
        <v>6</v>
      </c>
      <c r="BG333">
        <f t="shared" si="43"/>
        <v>89.945652173913047</v>
      </c>
      <c r="BH333">
        <v>789</v>
      </c>
      <c r="BI333">
        <v>1184</v>
      </c>
      <c r="BJ333">
        <v>789</v>
      </c>
      <c r="BK333">
        <v>205</v>
      </c>
      <c r="BL333">
        <v>126</v>
      </c>
      <c r="BM333">
        <v>789</v>
      </c>
      <c r="BN333">
        <v>521</v>
      </c>
      <c r="BO333">
        <v>757</v>
      </c>
      <c r="BP333">
        <v>205</v>
      </c>
      <c r="BQ333">
        <v>868</v>
      </c>
      <c r="BR333">
        <v>978</v>
      </c>
      <c r="BS333">
        <v>347</v>
      </c>
      <c r="BT333">
        <v>7558</v>
      </c>
      <c r="BU333">
        <v>679</v>
      </c>
      <c r="BV333">
        <v>1704</v>
      </c>
      <c r="BW333">
        <v>2683</v>
      </c>
      <c r="BX333">
        <v>757</v>
      </c>
      <c r="BY333">
        <v>1152</v>
      </c>
      <c r="BZ333">
        <v>852</v>
      </c>
      <c r="CA333">
        <v>7827</v>
      </c>
      <c r="CB333">
        <v>65</v>
      </c>
      <c r="CC333">
        <v>27</v>
      </c>
      <c r="CD333">
        <v>633</v>
      </c>
      <c r="CE333">
        <v>4648</v>
      </c>
      <c r="CF333">
        <v>7.34</v>
      </c>
      <c r="CG333">
        <v>0</v>
      </c>
      <c r="CH333">
        <v>0</v>
      </c>
      <c r="CI333">
        <v>0</v>
      </c>
      <c r="CJ333">
        <v>0</v>
      </c>
      <c r="CK333">
        <v>8</v>
      </c>
      <c r="CL333">
        <v>16</v>
      </c>
      <c r="CM333">
        <v>0</v>
      </c>
      <c r="CN333">
        <v>892</v>
      </c>
      <c r="CO333">
        <v>0</v>
      </c>
      <c r="CP333">
        <v>308</v>
      </c>
      <c r="CQ333">
        <v>24</v>
      </c>
      <c r="CR333">
        <v>8</v>
      </c>
      <c r="CS333">
        <v>0</v>
      </c>
      <c r="CT333">
        <v>1256</v>
      </c>
      <c r="CU333">
        <v>0</v>
      </c>
      <c r="CV333">
        <v>0</v>
      </c>
      <c r="CW333">
        <v>16</v>
      </c>
      <c r="CX333">
        <v>0</v>
      </c>
      <c r="CY333">
        <v>1541</v>
      </c>
      <c r="CZ333">
        <v>16</v>
      </c>
      <c r="DA333">
        <v>0</v>
      </c>
      <c r="DB333">
        <v>0</v>
      </c>
      <c r="DC333">
        <v>1573</v>
      </c>
      <c r="DD333">
        <v>0</v>
      </c>
      <c r="DE333">
        <v>0</v>
      </c>
      <c r="DF333">
        <v>4648</v>
      </c>
      <c r="DG333">
        <v>633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5281</v>
      </c>
      <c r="DT333">
        <v>8110</v>
      </c>
      <c r="DU333">
        <v>610</v>
      </c>
      <c r="DV333">
        <v>0</v>
      </c>
      <c r="DW333">
        <v>0</v>
      </c>
      <c r="DX333">
        <v>0</v>
      </c>
      <c r="DY333">
        <v>150</v>
      </c>
      <c r="DZ333">
        <v>219</v>
      </c>
      <c r="EA333">
        <v>84</v>
      </c>
      <c r="EB333">
        <v>144</v>
      </c>
      <c r="EC333">
        <v>3</v>
      </c>
      <c r="ED333">
        <v>300</v>
      </c>
      <c r="EE333">
        <v>300</v>
      </c>
      <c r="EF333">
        <v>0</v>
      </c>
      <c r="EG333">
        <v>0</v>
      </c>
      <c r="EH333">
        <v>1.4</v>
      </c>
      <c r="EI333">
        <v>0.3</v>
      </c>
      <c r="EJ333">
        <v>8.6999999999999993</v>
      </c>
      <c r="EK333">
        <v>15.6</v>
      </c>
    </row>
    <row r="334" spans="1:141" x14ac:dyDescent="0.25">
      <c r="A334" t="str">
        <f>[1]ingredient!B334</f>
        <v>Reis schwarz</v>
      </c>
      <c r="B334" t="s">
        <v>361</v>
      </c>
      <c r="C334" s="7">
        <f>_xlfn.XLOOKUP(A334,[1]ingredient!$B$2:$B$521,[1]ingredient!$A$2:$A$521)</f>
        <v>333</v>
      </c>
      <c r="D334">
        <v>349</v>
      </c>
      <c r="E334">
        <v>2</v>
      </c>
      <c r="F334">
        <v>7</v>
      </c>
      <c r="G334">
        <v>74</v>
      </c>
      <c r="H334">
        <v>2</v>
      </c>
      <c r="I334">
        <v>0.22</v>
      </c>
      <c r="J334">
        <v>0.24</v>
      </c>
      <c r="K334">
        <v>13</v>
      </c>
      <c r="L334">
        <v>0</v>
      </c>
      <c r="M334">
        <v>0</v>
      </c>
      <c r="N334">
        <v>0</v>
      </c>
      <c r="O334">
        <v>0</v>
      </c>
      <c r="P334">
        <v>410</v>
      </c>
      <c r="Q334">
        <v>91</v>
      </c>
      <c r="R334">
        <v>5200</v>
      </c>
      <c r="S334">
        <v>6400</v>
      </c>
      <c r="T334">
        <v>1700</v>
      </c>
      <c r="U334">
        <v>670</v>
      </c>
      <c r="V334">
        <v>12</v>
      </c>
      <c r="W334">
        <v>16</v>
      </c>
      <c r="X334">
        <v>0</v>
      </c>
      <c r="Y334">
        <v>0</v>
      </c>
      <c r="Z334">
        <v>0</v>
      </c>
      <c r="AA334">
        <v>740</v>
      </c>
      <c r="AB334">
        <v>1</v>
      </c>
      <c r="AC334">
        <v>10</v>
      </c>
      <c r="AD334">
        <v>150</v>
      </c>
      <c r="AE334">
        <v>23</v>
      </c>
      <c r="AF334">
        <v>157</v>
      </c>
      <c r="AG334">
        <v>325</v>
      </c>
      <c r="AH334">
        <v>90</v>
      </c>
      <c r="AI334">
        <v>230</v>
      </c>
      <c r="AJ334">
        <v>2600</v>
      </c>
      <c r="AK334">
        <v>1520</v>
      </c>
      <c r="AL334">
        <v>240</v>
      </c>
      <c r="AM334">
        <v>1100</v>
      </c>
      <c r="AN334">
        <v>50</v>
      </c>
      <c r="AO334">
        <v>2</v>
      </c>
      <c r="AP334">
        <v>0</v>
      </c>
      <c r="AQ334">
        <v>0</v>
      </c>
      <c r="AR334">
        <v>0</v>
      </c>
      <c r="AS334">
        <v>0</v>
      </c>
      <c r="AT334">
        <v>74</v>
      </c>
      <c r="AU334">
        <v>74</v>
      </c>
      <c r="AV334">
        <v>0</v>
      </c>
      <c r="AW334">
        <v>148</v>
      </c>
      <c r="AX334">
        <v>74</v>
      </c>
      <c r="AY334">
        <v>0</v>
      </c>
      <c r="AZ334">
        <v>0</v>
      </c>
      <c r="BA334">
        <v>74</v>
      </c>
      <c r="BB334">
        <v>0</v>
      </c>
      <c r="BC334">
        <v>0</v>
      </c>
      <c r="BD334">
        <v>0</v>
      </c>
      <c r="BE334">
        <v>73838</v>
      </c>
      <c r="BF334">
        <v>73838</v>
      </c>
      <c r="BG334">
        <f t="shared" ref="BG334:BG404" si="53">IF($F334=0,"0",MIN(
BH334/(30*$F334),
BI334/(61*$F334),
BJ334/(48*$F334),
(BK334+BL334)/(23*$F334),
(BM334+BN334)/(41*$F334),
BO334/(25*$F334),
BP334/(6.6*$F334),
BQ334/(40*$F334),
BS334/(16*$F334)
)*100)</f>
        <v>81.547619047619051</v>
      </c>
      <c r="BH334">
        <v>339</v>
      </c>
      <c r="BI334">
        <v>621</v>
      </c>
      <c r="BJ334">
        <v>274</v>
      </c>
      <c r="BK334">
        <v>130</v>
      </c>
      <c r="BL334">
        <v>87</v>
      </c>
      <c r="BM334">
        <v>361</v>
      </c>
      <c r="BN334">
        <v>325</v>
      </c>
      <c r="BO334">
        <v>282</v>
      </c>
      <c r="BP334">
        <v>72</v>
      </c>
      <c r="BQ334">
        <v>484</v>
      </c>
      <c r="BR334">
        <v>419</v>
      </c>
      <c r="BS334">
        <v>116</v>
      </c>
      <c r="BT334">
        <v>3510</v>
      </c>
      <c r="BU334">
        <v>433</v>
      </c>
      <c r="BV334">
        <v>686</v>
      </c>
      <c r="BW334">
        <v>1407</v>
      </c>
      <c r="BX334">
        <v>325</v>
      </c>
      <c r="BY334">
        <v>361</v>
      </c>
      <c r="BZ334">
        <v>354</v>
      </c>
      <c r="CA334">
        <v>3566</v>
      </c>
      <c r="CB334">
        <v>134</v>
      </c>
      <c r="CC334">
        <v>56</v>
      </c>
      <c r="CD334">
        <v>28</v>
      </c>
      <c r="CE334">
        <v>751</v>
      </c>
      <c r="CF334">
        <v>26.82</v>
      </c>
      <c r="CG334">
        <v>0</v>
      </c>
      <c r="CH334">
        <v>0</v>
      </c>
      <c r="CI334">
        <v>0</v>
      </c>
      <c r="CJ334">
        <v>0</v>
      </c>
      <c r="CK334">
        <v>2</v>
      </c>
      <c r="CL334">
        <v>24</v>
      </c>
      <c r="CM334">
        <v>0</v>
      </c>
      <c r="CN334">
        <v>486</v>
      </c>
      <c r="CO334">
        <v>0</v>
      </c>
      <c r="CP334">
        <v>39</v>
      </c>
      <c r="CQ334">
        <v>7</v>
      </c>
      <c r="CR334">
        <v>0</v>
      </c>
      <c r="CS334">
        <v>0</v>
      </c>
      <c r="CT334">
        <v>558</v>
      </c>
      <c r="CU334">
        <v>0</v>
      </c>
      <c r="CV334">
        <v>0</v>
      </c>
      <c r="CW334">
        <v>9</v>
      </c>
      <c r="CX334">
        <v>0</v>
      </c>
      <c r="CY334">
        <v>524</v>
      </c>
      <c r="CZ334">
        <v>0</v>
      </c>
      <c r="DA334">
        <v>0</v>
      </c>
      <c r="DB334">
        <v>0</v>
      </c>
      <c r="DC334">
        <v>533</v>
      </c>
      <c r="DD334">
        <v>0</v>
      </c>
      <c r="DE334">
        <v>0</v>
      </c>
      <c r="DF334">
        <v>749</v>
      </c>
      <c r="DG334">
        <v>28</v>
      </c>
      <c r="DH334">
        <v>0</v>
      </c>
      <c r="DI334">
        <v>0</v>
      </c>
      <c r="DJ334">
        <v>0</v>
      </c>
      <c r="DK334">
        <v>0</v>
      </c>
      <c r="DL334">
        <v>2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779</v>
      </c>
      <c r="DT334">
        <v>1870</v>
      </c>
      <c r="DU334">
        <v>330</v>
      </c>
      <c r="DV334">
        <v>0</v>
      </c>
      <c r="DW334">
        <v>0</v>
      </c>
      <c r="DX334">
        <v>0</v>
      </c>
      <c r="DY334">
        <v>244</v>
      </c>
      <c r="DZ334">
        <v>1422</v>
      </c>
      <c r="EA334">
        <v>156</v>
      </c>
      <c r="EB334">
        <v>244</v>
      </c>
      <c r="EC334">
        <v>156</v>
      </c>
      <c r="ED334">
        <v>711</v>
      </c>
      <c r="EE334">
        <v>1511</v>
      </c>
      <c r="EF334">
        <v>0</v>
      </c>
      <c r="EG334">
        <v>0</v>
      </c>
      <c r="EH334">
        <v>1.2</v>
      </c>
      <c r="EI334">
        <v>1.5</v>
      </c>
      <c r="EJ334">
        <v>2.2000000000000002</v>
      </c>
      <c r="EK334">
        <v>7.5</v>
      </c>
    </row>
    <row r="335" spans="1:141" x14ac:dyDescent="0.25">
      <c r="A335" t="str">
        <f>[1]ingredient!B335</f>
        <v>Reis-Essig</v>
      </c>
      <c r="B335" t="s">
        <v>406</v>
      </c>
      <c r="C335" s="7">
        <f>_xlfn.XLOOKUP(A335,[1]ingredient!$B$2:$B$521,[1]ingredient!$A$2:$A$521)</f>
        <v>334</v>
      </c>
      <c r="D335">
        <v>15</v>
      </c>
      <c r="E335">
        <v>0</v>
      </c>
      <c r="F335">
        <v>0</v>
      </c>
      <c r="G335">
        <v>0</v>
      </c>
      <c r="H335">
        <v>0</v>
      </c>
      <c r="I335">
        <v>0.02</v>
      </c>
      <c r="J335">
        <v>0.05</v>
      </c>
      <c r="K335">
        <v>95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89</v>
      </c>
      <c r="AE335">
        <v>15</v>
      </c>
      <c r="AF335">
        <v>22</v>
      </c>
      <c r="AG335">
        <v>32</v>
      </c>
      <c r="AH335">
        <v>19</v>
      </c>
      <c r="AI335">
        <v>47</v>
      </c>
      <c r="AJ335">
        <v>500</v>
      </c>
      <c r="AK335">
        <v>100</v>
      </c>
      <c r="AL335">
        <v>0</v>
      </c>
      <c r="AM335">
        <v>200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10</v>
      </c>
      <c r="AU335">
        <v>10</v>
      </c>
      <c r="AV335">
        <v>0</v>
      </c>
      <c r="AW335">
        <v>20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 t="str">
        <f t="shared" si="53"/>
        <v>0</v>
      </c>
      <c r="BH335">
        <v>1</v>
      </c>
      <c r="BI335">
        <v>0.4</v>
      </c>
      <c r="BJ335">
        <v>1</v>
      </c>
      <c r="BK335">
        <v>0.1</v>
      </c>
      <c r="BL335">
        <v>0.4</v>
      </c>
      <c r="BM335">
        <v>0.4</v>
      </c>
      <c r="BN335">
        <v>0.2</v>
      </c>
      <c r="BO335">
        <v>3</v>
      </c>
      <c r="BP335">
        <v>0.1</v>
      </c>
      <c r="BQ335">
        <v>1</v>
      </c>
      <c r="BR335">
        <v>2</v>
      </c>
      <c r="BS335">
        <v>0.3</v>
      </c>
      <c r="BT335">
        <v>9</v>
      </c>
      <c r="BU335">
        <v>1</v>
      </c>
      <c r="BV335">
        <v>1</v>
      </c>
      <c r="BW335">
        <v>4</v>
      </c>
      <c r="BX335">
        <v>1</v>
      </c>
      <c r="BY335">
        <v>3</v>
      </c>
      <c r="BZ335">
        <v>1</v>
      </c>
      <c r="CA335">
        <v>11</v>
      </c>
      <c r="CB335">
        <v>0</v>
      </c>
      <c r="CC335">
        <v>0</v>
      </c>
      <c r="CD335">
        <v>0</v>
      </c>
      <c r="CE335">
        <v>0</v>
      </c>
      <c r="CF335">
        <v>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5000</v>
      </c>
      <c r="EH335">
        <v>0.2</v>
      </c>
      <c r="EI335">
        <v>0</v>
      </c>
      <c r="EJ335">
        <v>0</v>
      </c>
      <c r="EK335">
        <v>0</v>
      </c>
    </row>
    <row r="336" spans="1:141" x14ac:dyDescent="0.25">
      <c r="A336" t="str">
        <f>[1]ingredient!B336</f>
        <v>Reismilch</v>
      </c>
      <c r="B336" t="s">
        <v>407</v>
      </c>
      <c r="C336" s="7">
        <f>_xlfn.XLOOKUP(A336,[1]ingredient!$B$2:$B$521,[1]ingredient!$A$2:$A$521)</f>
        <v>335</v>
      </c>
      <c r="D336">
        <v>52</v>
      </c>
      <c r="E336">
        <v>1</v>
      </c>
      <c r="F336">
        <v>1</v>
      </c>
      <c r="G336">
        <v>10</v>
      </c>
      <c r="H336">
        <v>1</v>
      </c>
      <c r="I336">
        <v>7</v>
      </c>
      <c r="J336">
        <v>0.33</v>
      </c>
      <c r="K336">
        <v>88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100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0.1</v>
      </c>
      <c r="AC336">
        <v>28</v>
      </c>
      <c r="AD336">
        <v>1</v>
      </c>
      <c r="AE336">
        <v>9</v>
      </c>
      <c r="AF336">
        <v>4</v>
      </c>
      <c r="AG336">
        <v>1</v>
      </c>
      <c r="AH336">
        <v>2</v>
      </c>
      <c r="AI336">
        <v>301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10</v>
      </c>
      <c r="AP336">
        <v>0</v>
      </c>
      <c r="AQ336">
        <v>0</v>
      </c>
      <c r="AR336">
        <v>0</v>
      </c>
      <c r="AS336">
        <v>0</v>
      </c>
      <c r="AT336">
        <v>7100</v>
      </c>
      <c r="AU336">
        <v>0</v>
      </c>
      <c r="AV336">
        <v>0</v>
      </c>
      <c r="AW336">
        <v>7100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2800</v>
      </c>
      <c r="BF336">
        <v>0</v>
      </c>
      <c r="BG336">
        <f t="shared" si="53"/>
        <v>41.666666666666671</v>
      </c>
      <c r="BH336">
        <v>24</v>
      </c>
      <c r="BI336">
        <v>43</v>
      </c>
      <c r="BJ336">
        <v>20</v>
      </c>
      <c r="BK336">
        <v>9</v>
      </c>
      <c r="BL336">
        <v>6</v>
      </c>
      <c r="BM336">
        <v>26</v>
      </c>
      <c r="BN336">
        <v>23</v>
      </c>
      <c r="BO336">
        <v>20</v>
      </c>
      <c r="BP336">
        <v>5</v>
      </c>
      <c r="BQ336">
        <v>34</v>
      </c>
      <c r="BR336">
        <v>30</v>
      </c>
      <c r="BS336">
        <v>8</v>
      </c>
      <c r="BT336">
        <v>248</v>
      </c>
      <c r="BU336">
        <v>31</v>
      </c>
      <c r="BV336">
        <v>49</v>
      </c>
      <c r="BW336">
        <v>99</v>
      </c>
      <c r="BX336">
        <v>23</v>
      </c>
      <c r="BY336">
        <v>26</v>
      </c>
      <c r="BZ336">
        <v>25</v>
      </c>
      <c r="CA336">
        <v>252</v>
      </c>
      <c r="CB336">
        <v>0</v>
      </c>
      <c r="CC336">
        <v>0</v>
      </c>
      <c r="CD336">
        <v>0</v>
      </c>
      <c r="CE336">
        <v>700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1</v>
      </c>
      <c r="CM336">
        <v>0</v>
      </c>
      <c r="CN336">
        <v>49</v>
      </c>
      <c r="CO336">
        <v>0</v>
      </c>
      <c r="CP336">
        <v>39</v>
      </c>
      <c r="CQ336">
        <v>3</v>
      </c>
      <c r="CR336">
        <v>6</v>
      </c>
      <c r="CS336">
        <v>2</v>
      </c>
      <c r="CT336">
        <v>100</v>
      </c>
      <c r="CU336">
        <v>0</v>
      </c>
      <c r="CV336">
        <v>0</v>
      </c>
      <c r="CW336">
        <v>1</v>
      </c>
      <c r="CX336">
        <v>0</v>
      </c>
      <c r="CY336">
        <v>255</v>
      </c>
      <c r="CZ336">
        <v>2</v>
      </c>
      <c r="DA336">
        <v>1</v>
      </c>
      <c r="DB336">
        <v>0</v>
      </c>
      <c r="DC336">
        <v>300</v>
      </c>
      <c r="DD336">
        <v>0</v>
      </c>
      <c r="DE336">
        <v>0</v>
      </c>
      <c r="DF336">
        <v>700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700</v>
      </c>
      <c r="DT336">
        <v>1100</v>
      </c>
      <c r="DU336">
        <v>0</v>
      </c>
      <c r="DV336">
        <v>0</v>
      </c>
      <c r="DW336">
        <v>0</v>
      </c>
      <c r="DX336">
        <v>0</v>
      </c>
      <c r="DY336">
        <v>18</v>
      </c>
      <c r="DZ336">
        <v>295</v>
      </c>
      <c r="EA336">
        <v>65</v>
      </c>
      <c r="EB336">
        <v>75</v>
      </c>
      <c r="EC336">
        <v>48</v>
      </c>
      <c r="ED336">
        <v>313</v>
      </c>
      <c r="EE336">
        <v>188</v>
      </c>
      <c r="EF336">
        <v>0</v>
      </c>
      <c r="EG336">
        <v>0</v>
      </c>
      <c r="EH336">
        <v>0.3</v>
      </c>
      <c r="EI336">
        <v>0.2</v>
      </c>
      <c r="EJ336">
        <v>1.1000000000000001</v>
      </c>
      <c r="EK336">
        <v>0.5</v>
      </c>
    </row>
    <row r="337" spans="1:141" x14ac:dyDescent="0.25">
      <c r="A337" t="str">
        <f>[1]ingredient!B337</f>
        <v>Reispapier</v>
      </c>
      <c r="B337" t="s">
        <v>408</v>
      </c>
      <c r="C337" s="7">
        <f>_xlfn.XLOOKUP(A337,[1]ingredient!$B$2:$B$521,[1]ingredient!$A$2:$A$521)</f>
        <v>336</v>
      </c>
      <c r="D337">
        <v>350</v>
      </c>
      <c r="E337">
        <v>1</v>
      </c>
      <c r="F337">
        <v>4</v>
      </c>
      <c r="G337">
        <v>81</v>
      </c>
      <c r="H337">
        <v>1</v>
      </c>
      <c r="I337">
        <v>0.4</v>
      </c>
      <c r="J337">
        <v>2</v>
      </c>
      <c r="K337">
        <v>11</v>
      </c>
      <c r="L337">
        <v>0</v>
      </c>
      <c r="M337">
        <v>0</v>
      </c>
      <c r="N337">
        <v>0</v>
      </c>
      <c r="O337">
        <v>0</v>
      </c>
      <c r="P337">
        <v>100</v>
      </c>
      <c r="Q337">
        <v>0</v>
      </c>
      <c r="R337">
        <v>1400</v>
      </c>
      <c r="S337">
        <v>2200</v>
      </c>
      <c r="T337">
        <v>500</v>
      </c>
      <c r="U337">
        <v>200</v>
      </c>
      <c r="V337">
        <v>1</v>
      </c>
      <c r="W337">
        <v>10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532</v>
      </c>
      <c r="AD337">
        <v>103</v>
      </c>
      <c r="AE337">
        <v>8</v>
      </c>
      <c r="AF337">
        <v>23</v>
      </c>
      <c r="AG337">
        <v>88</v>
      </c>
      <c r="AH337">
        <v>49</v>
      </c>
      <c r="AI337">
        <v>1440</v>
      </c>
      <c r="AJ337">
        <v>500</v>
      </c>
      <c r="AK337">
        <v>400</v>
      </c>
      <c r="AL337">
        <v>200</v>
      </c>
      <c r="AM337">
        <v>600</v>
      </c>
      <c r="AN337">
        <v>0</v>
      </c>
      <c r="AO337">
        <v>49</v>
      </c>
      <c r="AP337">
        <v>0</v>
      </c>
      <c r="AQ337">
        <v>0</v>
      </c>
      <c r="AR337">
        <v>0</v>
      </c>
      <c r="AS337">
        <v>0</v>
      </c>
      <c r="AT337">
        <v>133</v>
      </c>
      <c r="AU337">
        <v>133</v>
      </c>
      <c r="AV337">
        <v>0</v>
      </c>
      <c r="AW337">
        <v>267</v>
      </c>
      <c r="AX337">
        <v>100</v>
      </c>
      <c r="AY337">
        <v>0</v>
      </c>
      <c r="AZ337">
        <v>0</v>
      </c>
      <c r="BA337">
        <v>133</v>
      </c>
      <c r="BB337">
        <v>0</v>
      </c>
      <c r="BC337">
        <v>0</v>
      </c>
      <c r="BD337">
        <v>0</v>
      </c>
      <c r="BE337">
        <v>80600</v>
      </c>
      <c r="BF337">
        <v>0</v>
      </c>
      <c r="BG337">
        <f t="shared" si="53"/>
        <v>73.958333333333343</v>
      </c>
      <c r="BH337">
        <v>167</v>
      </c>
      <c r="BI337">
        <v>314</v>
      </c>
      <c r="BJ337">
        <v>142</v>
      </c>
      <c r="BK337">
        <v>96</v>
      </c>
      <c r="BL337">
        <v>46</v>
      </c>
      <c r="BM337">
        <v>197</v>
      </c>
      <c r="BN337">
        <v>142</v>
      </c>
      <c r="BO337">
        <v>121</v>
      </c>
      <c r="BP337">
        <v>51</v>
      </c>
      <c r="BQ337">
        <v>253</v>
      </c>
      <c r="BR337">
        <v>293</v>
      </c>
      <c r="BS337">
        <v>91</v>
      </c>
      <c r="BT337">
        <v>1911</v>
      </c>
      <c r="BU337">
        <v>223</v>
      </c>
      <c r="BV337">
        <v>339</v>
      </c>
      <c r="BW337">
        <v>582</v>
      </c>
      <c r="BX337">
        <v>172</v>
      </c>
      <c r="BY337">
        <v>167</v>
      </c>
      <c r="BZ337">
        <v>207</v>
      </c>
      <c r="CA337">
        <v>1689</v>
      </c>
      <c r="CB337">
        <v>83</v>
      </c>
      <c r="CC337">
        <v>28</v>
      </c>
      <c r="CD337">
        <v>0</v>
      </c>
      <c r="CE337">
        <v>300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13</v>
      </c>
      <c r="CM337">
        <v>0</v>
      </c>
      <c r="CN337">
        <v>346</v>
      </c>
      <c r="CO337">
        <v>0</v>
      </c>
      <c r="CP337">
        <v>36</v>
      </c>
      <c r="CQ337">
        <v>5</v>
      </c>
      <c r="CR337">
        <v>0</v>
      </c>
      <c r="CS337">
        <v>0</v>
      </c>
      <c r="CT337">
        <v>400</v>
      </c>
      <c r="CU337">
        <v>0</v>
      </c>
      <c r="CV337">
        <v>0</v>
      </c>
      <c r="CW337">
        <v>1</v>
      </c>
      <c r="CX337">
        <v>0</v>
      </c>
      <c r="CY337">
        <v>198</v>
      </c>
      <c r="CZ337">
        <v>0</v>
      </c>
      <c r="DA337">
        <v>0</v>
      </c>
      <c r="DB337">
        <v>0</v>
      </c>
      <c r="DC337">
        <v>200</v>
      </c>
      <c r="DD337">
        <v>0</v>
      </c>
      <c r="DE337">
        <v>0</v>
      </c>
      <c r="DF337">
        <v>300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300</v>
      </c>
      <c r="DT337">
        <v>882</v>
      </c>
      <c r="DU337">
        <v>119</v>
      </c>
      <c r="DV337">
        <v>0</v>
      </c>
      <c r="DW337">
        <v>0</v>
      </c>
      <c r="DX337">
        <v>0</v>
      </c>
      <c r="DY337">
        <v>35</v>
      </c>
      <c r="DZ337">
        <v>590</v>
      </c>
      <c r="EA337">
        <v>130</v>
      </c>
      <c r="EB337">
        <v>150</v>
      </c>
      <c r="EC337">
        <v>95</v>
      </c>
      <c r="ED337">
        <v>625</v>
      </c>
      <c r="EE337">
        <v>375</v>
      </c>
      <c r="EF337">
        <v>0</v>
      </c>
      <c r="EG337">
        <v>0</v>
      </c>
      <c r="EH337">
        <v>2.2000000000000002</v>
      </c>
      <c r="EI337">
        <v>0.4</v>
      </c>
      <c r="EJ337">
        <v>1</v>
      </c>
      <c r="EK337">
        <v>3.9</v>
      </c>
    </row>
    <row r="338" spans="1:141" x14ac:dyDescent="0.25">
      <c r="A338" t="str">
        <f>[1]ingredient!B338</f>
        <v>Rettich</v>
      </c>
      <c r="B338" t="s">
        <v>409</v>
      </c>
      <c r="C338" s="7">
        <f>_xlfn.XLOOKUP(A338,[1]ingredient!$B$2:$B$521,[1]ingredient!$A$2:$A$521)</f>
        <v>337</v>
      </c>
      <c r="D338">
        <v>14</v>
      </c>
      <c r="E338">
        <v>0.15</v>
      </c>
      <c r="F338">
        <v>1</v>
      </c>
      <c r="G338">
        <v>2</v>
      </c>
      <c r="H338">
        <v>3</v>
      </c>
      <c r="I338">
        <v>2</v>
      </c>
      <c r="J338">
        <v>0.04</v>
      </c>
      <c r="K338">
        <v>94</v>
      </c>
      <c r="L338">
        <v>2</v>
      </c>
      <c r="M338">
        <v>1</v>
      </c>
      <c r="N338">
        <v>0</v>
      </c>
      <c r="O338">
        <v>9</v>
      </c>
      <c r="P338">
        <v>30</v>
      </c>
      <c r="Q338">
        <v>30</v>
      </c>
      <c r="R338">
        <v>400</v>
      </c>
      <c r="S338">
        <v>467</v>
      </c>
      <c r="T338">
        <v>180</v>
      </c>
      <c r="U338">
        <v>60</v>
      </c>
      <c r="V338">
        <v>1</v>
      </c>
      <c r="W338">
        <v>24</v>
      </c>
      <c r="X338">
        <v>0</v>
      </c>
      <c r="Y338">
        <v>27000</v>
      </c>
      <c r="Z338">
        <v>0</v>
      </c>
      <c r="AA338">
        <v>10</v>
      </c>
      <c r="AB338">
        <v>50</v>
      </c>
      <c r="AC338">
        <v>18</v>
      </c>
      <c r="AD338">
        <v>322</v>
      </c>
      <c r="AE338">
        <v>33</v>
      </c>
      <c r="AF338">
        <v>15</v>
      </c>
      <c r="AG338">
        <v>29</v>
      </c>
      <c r="AH338">
        <v>25</v>
      </c>
      <c r="AI338">
        <v>19</v>
      </c>
      <c r="AJ338">
        <v>800</v>
      </c>
      <c r="AK338">
        <v>265</v>
      </c>
      <c r="AL338">
        <v>37</v>
      </c>
      <c r="AM338">
        <v>50</v>
      </c>
      <c r="AN338">
        <v>30</v>
      </c>
      <c r="AO338">
        <v>8</v>
      </c>
      <c r="AP338">
        <v>0</v>
      </c>
      <c r="AQ338">
        <v>0</v>
      </c>
      <c r="AR338">
        <v>0</v>
      </c>
      <c r="AS338">
        <v>0</v>
      </c>
      <c r="AT338">
        <v>1228</v>
      </c>
      <c r="AU338">
        <v>567</v>
      </c>
      <c r="AV338">
        <v>0</v>
      </c>
      <c r="AW338">
        <v>1795</v>
      </c>
      <c r="AX338">
        <v>95</v>
      </c>
      <c r="AY338">
        <v>0</v>
      </c>
      <c r="AZ338">
        <v>0</v>
      </c>
      <c r="BA338">
        <v>95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f t="shared" si="53"/>
        <v>60.606060606060609</v>
      </c>
      <c r="BH338">
        <v>50</v>
      </c>
      <c r="BI338">
        <v>64</v>
      </c>
      <c r="BJ338">
        <v>49</v>
      </c>
      <c r="BK338">
        <v>9</v>
      </c>
      <c r="BL338">
        <v>8</v>
      </c>
      <c r="BM338">
        <v>40</v>
      </c>
      <c r="BN338">
        <v>21</v>
      </c>
      <c r="BO338">
        <v>42</v>
      </c>
      <c r="BP338">
        <v>4</v>
      </c>
      <c r="BQ338">
        <v>58</v>
      </c>
      <c r="BR338">
        <v>74</v>
      </c>
      <c r="BS338">
        <v>25</v>
      </c>
      <c r="BT338">
        <v>444</v>
      </c>
      <c r="BU338">
        <v>38</v>
      </c>
      <c r="BV338">
        <v>79</v>
      </c>
      <c r="BW338">
        <v>231</v>
      </c>
      <c r="BX338">
        <v>33</v>
      </c>
      <c r="BY338">
        <v>30</v>
      </c>
      <c r="BZ338">
        <v>37</v>
      </c>
      <c r="CA338">
        <v>448</v>
      </c>
      <c r="CB338">
        <v>10</v>
      </c>
      <c r="CC338">
        <v>4</v>
      </c>
      <c r="CD338">
        <v>54</v>
      </c>
      <c r="CE338">
        <v>18</v>
      </c>
      <c r="CF338">
        <v>0.33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29</v>
      </c>
      <c r="CO338">
        <v>0</v>
      </c>
      <c r="CP338">
        <v>4</v>
      </c>
      <c r="CQ338">
        <v>0</v>
      </c>
      <c r="CR338">
        <v>0</v>
      </c>
      <c r="CS338">
        <v>0</v>
      </c>
      <c r="CT338">
        <v>33</v>
      </c>
      <c r="CU338">
        <v>0</v>
      </c>
      <c r="CV338">
        <v>0</v>
      </c>
      <c r="CW338">
        <v>0</v>
      </c>
      <c r="CX338">
        <v>0</v>
      </c>
      <c r="CY338">
        <v>15</v>
      </c>
      <c r="CZ338">
        <v>0</v>
      </c>
      <c r="DA338">
        <v>0</v>
      </c>
      <c r="DB338">
        <v>0</v>
      </c>
      <c r="DC338">
        <v>15</v>
      </c>
      <c r="DD338">
        <v>0</v>
      </c>
      <c r="DE338">
        <v>0</v>
      </c>
      <c r="DF338">
        <v>18</v>
      </c>
      <c r="DG338">
        <v>54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72</v>
      </c>
      <c r="DT338">
        <v>120</v>
      </c>
      <c r="DU338">
        <v>30</v>
      </c>
      <c r="DV338">
        <v>0</v>
      </c>
      <c r="DW338">
        <v>0</v>
      </c>
      <c r="DX338">
        <v>0</v>
      </c>
      <c r="DY338">
        <v>250</v>
      </c>
      <c r="DZ338">
        <v>375</v>
      </c>
      <c r="EA338">
        <v>675</v>
      </c>
      <c r="EB338">
        <v>1125</v>
      </c>
      <c r="EC338">
        <v>75</v>
      </c>
      <c r="ED338">
        <v>575</v>
      </c>
      <c r="EE338">
        <v>1925</v>
      </c>
      <c r="EF338">
        <v>0</v>
      </c>
      <c r="EG338">
        <v>0.12</v>
      </c>
      <c r="EH338">
        <v>0.7</v>
      </c>
      <c r="EI338">
        <v>1.9</v>
      </c>
      <c r="EJ338">
        <v>0.2</v>
      </c>
      <c r="EK338">
        <v>0.9</v>
      </c>
    </row>
    <row r="339" spans="1:141" x14ac:dyDescent="0.25">
      <c r="A339" t="str">
        <f>[1]ingredient!B339</f>
        <v>Rhabarber</v>
      </c>
      <c r="B339" t="s">
        <v>410</v>
      </c>
      <c r="C339" s="7">
        <f>_xlfn.XLOOKUP(A339,[1]ingredient!$B$2:$B$521,[1]ingredient!$A$2:$A$521)</f>
        <v>338</v>
      </c>
      <c r="D339">
        <v>13</v>
      </c>
      <c r="E339">
        <v>0.1</v>
      </c>
      <c r="F339">
        <v>1</v>
      </c>
      <c r="G339">
        <v>1</v>
      </c>
      <c r="H339">
        <v>2</v>
      </c>
      <c r="I339">
        <v>1</v>
      </c>
      <c r="J339">
        <v>0.06</v>
      </c>
      <c r="K339">
        <v>94</v>
      </c>
      <c r="L339">
        <v>12</v>
      </c>
      <c r="M339">
        <v>6</v>
      </c>
      <c r="N339">
        <v>0</v>
      </c>
      <c r="O339">
        <v>70</v>
      </c>
      <c r="P339">
        <v>30</v>
      </c>
      <c r="Q339">
        <v>30</v>
      </c>
      <c r="R339">
        <v>250</v>
      </c>
      <c r="S339">
        <v>367</v>
      </c>
      <c r="T339">
        <v>85</v>
      </c>
      <c r="U339">
        <v>30</v>
      </c>
      <c r="V339">
        <v>1</v>
      </c>
      <c r="W339">
        <v>3</v>
      </c>
      <c r="X339">
        <v>0</v>
      </c>
      <c r="Y339">
        <v>10000</v>
      </c>
      <c r="Z339">
        <v>0</v>
      </c>
      <c r="AA339">
        <v>250</v>
      </c>
      <c r="AB339">
        <v>11</v>
      </c>
      <c r="AC339">
        <v>2</v>
      </c>
      <c r="AD339">
        <v>270</v>
      </c>
      <c r="AE339">
        <v>52</v>
      </c>
      <c r="AF339">
        <v>13</v>
      </c>
      <c r="AG339">
        <v>24</v>
      </c>
      <c r="AH339">
        <v>8</v>
      </c>
      <c r="AI339">
        <v>60</v>
      </c>
      <c r="AJ339">
        <v>500</v>
      </c>
      <c r="AK339">
        <v>150</v>
      </c>
      <c r="AL339">
        <v>50</v>
      </c>
      <c r="AM339">
        <v>130</v>
      </c>
      <c r="AN339">
        <v>40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408</v>
      </c>
      <c r="AU339">
        <v>386</v>
      </c>
      <c r="AV339">
        <v>0</v>
      </c>
      <c r="AW339">
        <v>794</v>
      </c>
      <c r="AX339">
        <v>335</v>
      </c>
      <c r="AY339">
        <v>0</v>
      </c>
      <c r="AZ339">
        <v>0</v>
      </c>
      <c r="BA339">
        <v>335</v>
      </c>
      <c r="BB339">
        <v>0</v>
      </c>
      <c r="BC339">
        <v>0</v>
      </c>
      <c r="BD339">
        <v>0</v>
      </c>
      <c r="BE339">
        <v>231</v>
      </c>
      <c r="BF339">
        <v>231</v>
      </c>
      <c r="BG339">
        <f t="shared" si="53"/>
        <v>34.782608695652172</v>
      </c>
      <c r="BH339">
        <v>17</v>
      </c>
      <c r="BI339">
        <v>24</v>
      </c>
      <c r="BJ339">
        <v>25</v>
      </c>
      <c r="BK339">
        <v>7</v>
      </c>
      <c r="BL339">
        <v>1</v>
      </c>
      <c r="BM339">
        <v>17</v>
      </c>
      <c r="BN339">
        <v>11</v>
      </c>
      <c r="BO339">
        <v>14</v>
      </c>
      <c r="BP339">
        <v>7</v>
      </c>
      <c r="BQ339">
        <v>25</v>
      </c>
      <c r="BR339">
        <v>20</v>
      </c>
      <c r="BS339">
        <v>11</v>
      </c>
      <c r="BT339">
        <v>179</v>
      </c>
      <c r="BU339">
        <v>18</v>
      </c>
      <c r="BV339">
        <v>29</v>
      </c>
      <c r="BW339">
        <v>48</v>
      </c>
      <c r="BX339">
        <v>17</v>
      </c>
      <c r="BY339">
        <v>15</v>
      </c>
      <c r="BZ339">
        <v>17</v>
      </c>
      <c r="CA339">
        <v>144</v>
      </c>
      <c r="CB339">
        <v>5</v>
      </c>
      <c r="CC339">
        <v>2</v>
      </c>
      <c r="CD339">
        <v>12</v>
      </c>
      <c r="CE339">
        <v>38</v>
      </c>
      <c r="CF339">
        <v>3.17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21</v>
      </c>
      <c r="CO339">
        <v>0</v>
      </c>
      <c r="CP339">
        <v>4</v>
      </c>
      <c r="CQ339">
        <v>0</v>
      </c>
      <c r="CR339">
        <v>0</v>
      </c>
      <c r="CS339">
        <v>0</v>
      </c>
      <c r="CT339">
        <v>25</v>
      </c>
      <c r="CU339">
        <v>0</v>
      </c>
      <c r="CV339">
        <v>0</v>
      </c>
      <c r="CW339">
        <v>0</v>
      </c>
      <c r="CX339">
        <v>0</v>
      </c>
      <c r="CY339">
        <v>5</v>
      </c>
      <c r="CZ339">
        <v>0</v>
      </c>
      <c r="DA339">
        <v>0</v>
      </c>
      <c r="DB339">
        <v>0</v>
      </c>
      <c r="DC339">
        <v>5</v>
      </c>
      <c r="DD339">
        <v>0</v>
      </c>
      <c r="DE339">
        <v>0</v>
      </c>
      <c r="DF339">
        <v>38</v>
      </c>
      <c r="DG339">
        <v>12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50</v>
      </c>
      <c r="DT339">
        <v>80</v>
      </c>
      <c r="DU339">
        <v>20</v>
      </c>
      <c r="DV339">
        <v>0</v>
      </c>
      <c r="DW339">
        <v>0</v>
      </c>
      <c r="DX339">
        <v>0</v>
      </c>
      <c r="DY339">
        <v>253</v>
      </c>
      <c r="DZ339">
        <v>584</v>
      </c>
      <c r="EA339">
        <v>435</v>
      </c>
      <c r="EB339">
        <v>941</v>
      </c>
      <c r="EC339">
        <v>87</v>
      </c>
      <c r="ED339">
        <v>766</v>
      </c>
      <c r="EE339">
        <v>1534</v>
      </c>
      <c r="EF339">
        <v>0</v>
      </c>
      <c r="EG339">
        <v>1</v>
      </c>
      <c r="EH339">
        <v>0.6</v>
      </c>
      <c r="EI339">
        <v>1.5</v>
      </c>
      <c r="EJ339">
        <v>0.1</v>
      </c>
      <c r="EK339">
        <v>0.3</v>
      </c>
    </row>
    <row r="340" spans="1:141" x14ac:dyDescent="0.25">
      <c r="A340" t="str">
        <f>[1]ingredient!B340</f>
        <v>Riesenchampignons</v>
      </c>
      <c r="B340" t="s">
        <v>197</v>
      </c>
      <c r="C340" s="7">
        <f>_xlfn.XLOOKUP(A340,[1]ingredient!$B$2:$B$521,[1]ingredient!$A$2:$A$521)</f>
        <v>339</v>
      </c>
      <c r="D340">
        <v>15</v>
      </c>
      <c r="E340">
        <v>0.24</v>
      </c>
      <c r="F340">
        <v>3</v>
      </c>
      <c r="G340">
        <v>1</v>
      </c>
      <c r="H340">
        <v>2</v>
      </c>
      <c r="I340">
        <v>0.11</v>
      </c>
      <c r="J340">
        <v>0.08</v>
      </c>
      <c r="K340">
        <v>93</v>
      </c>
      <c r="L340">
        <v>2</v>
      </c>
      <c r="M340">
        <v>1</v>
      </c>
      <c r="N340">
        <v>0</v>
      </c>
      <c r="O340">
        <v>10</v>
      </c>
      <c r="P340">
        <v>100</v>
      </c>
      <c r="Q340">
        <v>440</v>
      </c>
      <c r="R340">
        <v>5200</v>
      </c>
      <c r="S340">
        <v>5567</v>
      </c>
      <c r="T340">
        <v>2100</v>
      </c>
      <c r="U340">
        <v>65</v>
      </c>
      <c r="V340">
        <v>16</v>
      </c>
      <c r="W340">
        <v>25</v>
      </c>
      <c r="X340">
        <v>0</v>
      </c>
      <c r="Y340">
        <v>4900</v>
      </c>
      <c r="Z340">
        <v>2</v>
      </c>
      <c r="AA340">
        <v>116</v>
      </c>
      <c r="AB340">
        <v>14</v>
      </c>
      <c r="AC340">
        <v>8</v>
      </c>
      <c r="AD340">
        <v>422</v>
      </c>
      <c r="AE340">
        <v>11</v>
      </c>
      <c r="AF340">
        <v>13</v>
      </c>
      <c r="AG340">
        <v>123</v>
      </c>
      <c r="AH340">
        <v>34</v>
      </c>
      <c r="AI340">
        <v>67</v>
      </c>
      <c r="AJ340">
        <v>1186</v>
      </c>
      <c r="AK340">
        <v>540</v>
      </c>
      <c r="AL340">
        <v>400</v>
      </c>
      <c r="AM340">
        <v>89</v>
      </c>
      <c r="AN340">
        <v>31</v>
      </c>
      <c r="AO340">
        <v>18</v>
      </c>
      <c r="AP340">
        <v>448</v>
      </c>
      <c r="AQ340">
        <v>0</v>
      </c>
      <c r="AR340">
        <v>0</v>
      </c>
      <c r="AS340">
        <v>448</v>
      </c>
      <c r="AT340">
        <v>67</v>
      </c>
      <c r="AU340">
        <v>28</v>
      </c>
      <c r="AV340">
        <v>0</v>
      </c>
      <c r="AW340">
        <v>95</v>
      </c>
      <c r="AX340">
        <v>17</v>
      </c>
      <c r="AY340">
        <v>0</v>
      </c>
      <c r="AZ340">
        <v>0</v>
      </c>
      <c r="BA340">
        <v>17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f t="shared" si="53"/>
        <v>59.420289855072461</v>
      </c>
      <c r="BH340">
        <v>110</v>
      </c>
      <c r="BI340">
        <v>118</v>
      </c>
      <c r="BJ340">
        <v>170</v>
      </c>
      <c r="BK340">
        <v>25</v>
      </c>
      <c r="BL340">
        <v>16</v>
      </c>
      <c r="BM340">
        <v>74</v>
      </c>
      <c r="BN340">
        <v>66</v>
      </c>
      <c r="BO340">
        <v>85</v>
      </c>
      <c r="BP340">
        <v>22</v>
      </c>
      <c r="BQ340">
        <v>88</v>
      </c>
      <c r="BR340">
        <v>190</v>
      </c>
      <c r="BS340">
        <v>55</v>
      </c>
      <c r="BT340">
        <v>1019</v>
      </c>
      <c r="BU340">
        <v>137</v>
      </c>
      <c r="BV340">
        <v>126</v>
      </c>
      <c r="BW340">
        <v>192</v>
      </c>
      <c r="BX340">
        <v>74</v>
      </c>
      <c r="BY340">
        <v>151</v>
      </c>
      <c r="BZ340">
        <v>82</v>
      </c>
      <c r="CA340">
        <v>762</v>
      </c>
      <c r="CB340">
        <v>60</v>
      </c>
      <c r="CC340">
        <v>25</v>
      </c>
      <c r="CD340">
        <v>106</v>
      </c>
      <c r="CE340">
        <v>25</v>
      </c>
      <c r="CF340">
        <v>0.24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1</v>
      </c>
      <c r="CM340">
        <v>0</v>
      </c>
      <c r="CN340">
        <v>53</v>
      </c>
      <c r="CO340">
        <v>0</v>
      </c>
      <c r="CP340">
        <v>4</v>
      </c>
      <c r="CQ340">
        <v>0</v>
      </c>
      <c r="CR340">
        <v>0</v>
      </c>
      <c r="CS340">
        <v>0</v>
      </c>
      <c r="CT340">
        <v>58</v>
      </c>
      <c r="CU340">
        <v>0</v>
      </c>
      <c r="CV340">
        <v>0</v>
      </c>
      <c r="CW340">
        <v>1</v>
      </c>
      <c r="CX340">
        <v>0</v>
      </c>
      <c r="CY340">
        <v>2</v>
      </c>
      <c r="CZ340">
        <v>0</v>
      </c>
      <c r="DA340">
        <v>0</v>
      </c>
      <c r="DB340">
        <v>0</v>
      </c>
      <c r="DC340">
        <v>3</v>
      </c>
      <c r="DD340">
        <v>0</v>
      </c>
      <c r="DE340">
        <v>0</v>
      </c>
      <c r="DF340">
        <v>25</v>
      </c>
      <c r="DG340">
        <v>106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131</v>
      </c>
      <c r="DT340">
        <v>192</v>
      </c>
      <c r="DU340">
        <v>48</v>
      </c>
      <c r="DV340">
        <v>0</v>
      </c>
      <c r="DW340">
        <v>0</v>
      </c>
      <c r="DX340">
        <v>0</v>
      </c>
      <c r="DY340">
        <v>0</v>
      </c>
      <c r="DZ340">
        <v>832</v>
      </c>
      <c r="EA340">
        <v>20</v>
      </c>
      <c r="EB340">
        <v>1158</v>
      </c>
      <c r="EC340">
        <v>20</v>
      </c>
      <c r="ED340">
        <v>386</v>
      </c>
      <c r="EE340">
        <v>1644</v>
      </c>
      <c r="EF340">
        <v>0</v>
      </c>
      <c r="EG340">
        <v>0.13</v>
      </c>
      <c r="EH340">
        <v>1</v>
      </c>
      <c r="EI340">
        <v>1.6</v>
      </c>
      <c r="EJ340">
        <v>0.2</v>
      </c>
      <c r="EK340">
        <v>2</v>
      </c>
    </row>
    <row r="341" spans="1:141" x14ac:dyDescent="0.25">
      <c r="A341" t="str">
        <f>[1]ingredient!B341</f>
        <v>Ringelbeete</v>
      </c>
      <c r="B341" t="s">
        <v>411</v>
      </c>
      <c r="C341" s="7">
        <f>_xlfn.XLOOKUP(A341,[1]ingredient!$B$2:$B$521,[1]ingredient!$A$2:$A$521)</f>
        <v>340</v>
      </c>
      <c r="D341">
        <v>42</v>
      </c>
      <c r="E341">
        <v>0.1</v>
      </c>
      <c r="F341">
        <v>2</v>
      </c>
      <c r="G341">
        <v>8</v>
      </c>
      <c r="H341">
        <v>3</v>
      </c>
      <c r="I341">
        <v>8</v>
      </c>
      <c r="J341">
        <v>0.14000000000000001</v>
      </c>
      <c r="K341">
        <v>86</v>
      </c>
      <c r="L341">
        <v>2</v>
      </c>
      <c r="M341">
        <v>1</v>
      </c>
      <c r="N341">
        <v>0</v>
      </c>
      <c r="O341">
        <v>11</v>
      </c>
      <c r="P341">
        <v>22</v>
      </c>
      <c r="Q341">
        <v>42</v>
      </c>
      <c r="R341">
        <v>230</v>
      </c>
      <c r="S341">
        <v>430</v>
      </c>
      <c r="T341">
        <v>130</v>
      </c>
      <c r="U341">
        <v>50</v>
      </c>
      <c r="V341">
        <v>0.1</v>
      </c>
      <c r="W341">
        <v>93</v>
      </c>
      <c r="X341">
        <v>0</v>
      </c>
      <c r="Y341">
        <v>10000</v>
      </c>
      <c r="Z341">
        <v>0</v>
      </c>
      <c r="AA341">
        <v>47</v>
      </c>
      <c r="AB341">
        <v>5</v>
      </c>
      <c r="AC341">
        <v>58</v>
      </c>
      <c r="AD341">
        <v>336</v>
      </c>
      <c r="AE341">
        <v>29</v>
      </c>
      <c r="AF341">
        <v>25</v>
      </c>
      <c r="AG341">
        <v>45</v>
      </c>
      <c r="AH341">
        <v>16</v>
      </c>
      <c r="AI341">
        <v>82</v>
      </c>
      <c r="AJ341">
        <v>930</v>
      </c>
      <c r="AK341">
        <v>344</v>
      </c>
      <c r="AL341">
        <v>80</v>
      </c>
      <c r="AM341">
        <v>155</v>
      </c>
      <c r="AN341">
        <v>20</v>
      </c>
      <c r="AO341">
        <v>0.4</v>
      </c>
      <c r="AP341">
        <v>0</v>
      </c>
      <c r="AQ341">
        <v>0</v>
      </c>
      <c r="AR341">
        <v>0</v>
      </c>
      <c r="AS341">
        <v>0</v>
      </c>
      <c r="AT341">
        <v>335</v>
      </c>
      <c r="AU341">
        <v>335</v>
      </c>
      <c r="AV341">
        <v>0</v>
      </c>
      <c r="AW341">
        <v>670</v>
      </c>
      <c r="AX341">
        <v>7710</v>
      </c>
      <c r="AY341">
        <v>0</v>
      </c>
      <c r="AZ341">
        <v>0</v>
      </c>
      <c r="BA341">
        <v>7710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f t="shared" si="53"/>
        <v>47.5</v>
      </c>
      <c r="BH341">
        <v>38</v>
      </c>
      <c r="BI341">
        <v>61</v>
      </c>
      <c r="BJ341">
        <v>80</v>
      </c>
      <c r="BK341">
        <v>28</v>
      </c>
      <c r="BL341">
        <v>17</v>
      </c>
      <c r="BM341">
        <v>46</v>
      </c>
      <c r="BN341">
        <v>54</v>
      </c>
      <c r="BO341">
        <v>44</v>
      </c>
      <c r="BP341">
        <v>12</v>
      </c>
      <c r="BQ341">
        <v>38</v>
      </c>
      <c r="BR341">
        <v>31</v>
      </c>
      <c r="BS341">
        <v>18</v>
      </c>
      <c r="BT341">
        <v>467</v>
      </c>
      <c r="BU341">
        <v>35</v>
      </c>
      <c r="BV341">
        <v>110</v>
      </c>
      <c r="BW341">
        <v>398</v>
      </c>
      <c r="BX341">
        <v>31</v>
      </c>
      <c r="BY341">
        <v>38</v>
      </c>
      <c r="BZ341">
        <v>38</v>
      </c>
      <c r="CA341">
        <v>650</v>
      </c>
      <c r="CB341">
        <v>20</v>
      </c>
      <c r="CC341">
        <v>8</v>
      </c>
      <c r="CD341">
        <v>8</v>
      </c>
      <c r="CE341">
        <v>42</v>
      </c>
      <c r="CF341">
        <v>5.25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19</v>
      </c>
      <c r="CO341">
        <v>0</v>
      </c>
      <c r="CP341">
        <v>1</v>
      </c>
      <c r="CQ341">
        <v>0</v>
      </c>
      <c r="CR341">
        <v>0</v>
      </c>
      <c r="CS341">
        <v>0</v>
      </c>
      <c r="CT341">
        <v>20</v>
      </c>
      <c r="CU341">
        <v>0</v>
      </c>
      <c r="CV341">
        <v>0</v>
      </c>
      <c r="CW341">
        <v>0</v>
      </c>
      <c r="CX341">
        <v>0</v>
      </c>
      <c r="CY341">
        <v>10</v>
      </c>
      <c r="CZ341">
        <v>0</v>
      </c>
      <c r="DA341">
        <v>0</v>
      </c>
      <c r="DB341">
        <v>0</v>
      </c>
      <c r="DC341">
        <v>10</v>
      </c>
      <c r="DD341">
        <v>0</v>
      </c>
      <c r="DE341">
        <v>0</v>
      </c>
      <c r="DF341">
        <v>42</v>
      </c>
      <c r="DG341">
        <v>8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50</v>
      </c>
      <c r="DT341">
        <v>80</v>
      </c>
      <c r="DU341">
        <v>20</v>
      </c>
      <c r="DV341">
        <v>0</v>
      </c>
      <c r="DW341">
        <v>0</v>
      </c>
      <c r="DX341">
        <v>0</v>
      </c>
      <c r="DY341">
        <v>1000</v>
      </c>
      <c r="DZ341">
        <v>500</v>
      </c>
      <c r="EA341">
        <v>225</v>
      </c>
      <c r="EB341">
        <v>750</v>
      </c>
      <c r="EC341">
        <v>25</v>
      </c>
      <c r="ED341">
        <v>625</v>
      </c>
      <c r="EE341">
        <v>1875</v>
      </c>
      <c r="EF341">
        <v>0</v>
      </c>
      <c r="EG341">
        <v>0.23</v>
      </c>
      <c r="EH341">
        <v>1</v>
      </c>
      <c r="EI341">
        <v>1.9</v>
      </c>
      <c r="EJ341">
        <v>0.1</v>
      </c>
      <c r="EK341">
        <v>1.2</v>
      </c>
    </row>
    <row r="342" spans="1:141" x14ac:dyDescent="0.25">
      <c r="A342" t="str">
        <f>[1]ingredient!B342</f>
        <v>Roggen</v>
      </c>
      <c r="B342" t="s">
        <v>412</v>
      </c>
      <c r="C342" s="7">
        <f>_xlfn.XLOOKUP(A342,[1]ingredient!$B$2:$B$521,[1]ingredient!$A$2:$A$521)</f>
        <v>341</v>
      </c>
      <c r="D342">
        <v>294</v>
      </c>
      <c r="E342">
        <v>2</v>
      </c>
      <c r="F342">
        <v>9</v>
      </c>
      <c r="G342">
        <v>60</v>
      </c>
      <c r="H342">
        <v>14</v>
      </c>
      <c r="I342">
        <v>1</v>
      </c>
      <c r="J342">
        <v>0.02</v>
      </c>
      <c r="K342">
        <v>14</v>
      </c>
      <c r="L342">
        <v>2</v>
      </c>
      <c r="M342">
        <v>1</v>
      </c>
      <c r="N342">
        <v>0</v>
      </c>
      <c r="O342">
        <v>12</v>
      </c>
      <c r="P342">
        <v>350</v>
      </c>
      <c r="Q342">
        <v>170</v>
      </c>
      <c r="R342">
        <v>1810</v>
      </c>
      <c r="S342">
        <v>3310</v>
      </c>
      <c r="T342">
        <v>1500</v>
      </c>
      <c r="U342">
        <v>290</v>
      </c>
      <c r="V342">
        <v>5</v>
      </c>
      <c r="W342">
        <v>56</v>
      </c>
      <c r="X342">
        <v>0</v>
      </c>
      <c r="Y342">
        <v>0</v>
      </c>
      <c r="Z342">
        <v>0</v>
      </c>
      <c r="AA342">
        <v>1959</v>
      </c>
      <c r="AB342">
        <v>30</v>
      </c>
      <c r="AC342">
        <v>4</v>
      </c>
      <c r="AD342">
        <v>510</v>
      </c>
      <c r="AE342">
        <v>64</v>
      </c>
      <c r="AF342">
        <v>120</v>
      </c>
      <c r="AG342">
        <v>360</v>
      </c>
      <c r="AH342">
        <v>130</v>
      </c>
      <c r="AI342">
        <v>20</v>
      </c>
      <c r="AJ342">
        <v>4855</v>
      </c>
      <c r="AK342">
        <v>3886</v>
      </c>
      <c r="AL342">
        <v>463</v>
      </c>
      <c r="AM342">
        <v>4176</v>
      </c>
      <c r="AN342">
        <v>150</v>
      </c>
      <c r="AO342">
        <v>7</v>
      </c>
      <c r="AP342">
        <v>0</v>
      </c>
      <c r="AQ342">
        <v>0</v>
      </c>
      <c r="AR342">
        <v>0</v>
      </c>
      <c r="AS342">
        <v>0</v>
      </c>
      <c r="AT342">
        <v>60</v>
      </c>
      <c r="AU342">
        <v>60</v>
      </c>
      <c r="AV342">
        <v>0</v>
      </c>
      <c r="AW342">
        <v>120</v>
      </c>
      <c r="AX342">
        <v>896</v>
      </c>
      <c r="AY342">
        <v>0</v>
      </c>
      <c r="AZ342">
        <v>0</v>
      </c>
      <c r="BA342">
        <v>896</v>
      </c>
      <c r="BB342">
        <v>597</v>
      </c>
      <c r="BC342">
        <v>0</v>
      </c>
      <c r="BD342">
        <v>0</v>
      </c>
      <c r="BE342">
        <v>58087</v>
      </c>
      <c r="BF342">
        <v>58087</v>
      </c>
      <c r="BG342">
        <f t="shared" si="53"/>
        <v>81.25</v>
      </c>
      <c r="BH342">
        <v>333</v>
      </c>
      <c r="BI342">
        <v>594</v>
      </c>
      <c r="BJ342">
        <v>351</v>
      </c>
      <c r="BK342">
        <v>126</v>
      </c>
      <c r="BL342">
        <v>162</v>
      </c>
      <c r="BM342">
        <v>414</v>
      </c>
      <c r="BN342">
        <v>180</v>
      </c>
      <c r="BO342">
        <v>315</v>
      </c>
      <c r="BP342">
        <v>90</v>
      </c>
      <c r="BQ342">
        <v>459</v>
      </c>
      <c r="BR342">
        <v>441</v>
      </c>
      <c r="BS342">
        <v>162</v>
      </c>
      <c r="BT342">
        <v>3627</v>
      </c>
      <c r="BU342">
        <v>414</v>
      </c>
      <c r="BV342">
        <v>612</v>
      </c>
      <c r="BW342">
        <v>2331</v>
      </c>
      <c r="BX342">
        <v>405</v>
      </c>
      <c r="BY342">
        <v>1035</v>
      </c>
      <c r="BZ342">
        <v>396</v>
      </c>
      <c r="CA342">
        <v>5193</v>
      </c>
      <c r="CB342">
        <v>70</v>
      </c>
      <c r="CC342">
        <v>29</v>
      </c>
      <c r="CD342">
        <v>105</v>
      </c>
      <c r="CE342">
        <v>697</v>
      </c>
      <c r="CF342">
        <v>6.64</v>
      </c>
      <c r="CG342">
        <v>0</v>
      </c>
      <c r="CH342">
        <v>0</v>
      </c>
      <c r="CI342">
        <v>0</v>
      </c>
      <c r="CJ342">
        <v>0</v>
      </c>
      <c r="CK342">
        <v>1</v>
      </c>
      <c r="CL342">
        <v>1</v>
      </c>
      <c r="CM342">
        <v>0</v>
      </c>
      <c r="CN342">
        <v>228</v>
      </c>
      <c r="CO342">
        <v>0</v>
      </c>
      <c r="CP342">
        <v>7</v>
      </c>
      <c r="CQ342">
        <v>1</v>
      </c>
      <c r="CR342">
        <v>0</v>
      </c>
      <c r="CS342">
        <v>0</v>
      </c>
      <c r="CT342">
        <v>238</v>
      </c>
      <c r="CU342">
        <v>0</v>
      </c>
      <c r="CV342">
        <v>0</v>
      </c>
      <c r="CW342">
        <v>6</v>
      </c>
      <c r="CX342">
        <v>0</v>
      </c>
      <c r="CY342">
        <v>168</v>
      </c>
      <c r="CZ342">
        <v>10</v>
      </c>
      <c r="DA342">
        <v>0</v>
      </c>
      <c r="DB342">
        <v>0</v>
      </c>
      <c r="DC342">
        <v>184</v>
      </c>
      <c r="DD342">
        <v>0</v>
      </c>
      <c r="DE342">
        <v>0</v>
      </c>
      <c r="DF342">
        <v>695</v>
      </c>
      <c r="DG342">
        <v>105</v>
      </c>
      <c r="DH342">
        <v>0</v>
      </c>
      <c r="DI342">
        <v>0</v>
      </c>
      <c r="DJ342">
        <v>0</v>
      </c>
      <c r="DK342">
        <v>0</v>
      </c>
      <c r="DL342">
        <v>2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802</v>
      </c>
      <c r="DT342">
        <v>1224</v>
      </c>
      <c r="DU342">
        <v>476</v>
      </c>
      <c r="DV342">
        <v>0</v>
      </c>
      <c r="DW342">
        <v>0</v>
      </c>
      <c r="DX342">
        <v>0</v>
      </c>
      <c r="DY342">
        <v>7000</v>
      </c>
      <c r="DZ342">
        <v>4200</v>
      </c>
      <c r="EA342">
        <v>700</v>
      </c>
      <c r="EB342">
        <v>1400</v>
      </c>
      <c r="EC342">
        <v>700</v>
      </c>
      <c r="ED342">
        <v>4970</v>
      </c>
      <c r="EE342">
        <v>9030</v>
      </c>
      <c r="EF342">
        <v>0</v>
      </c>
      <c r="EG342">
        <v>0</v>
      </c>
      <c r="EH342">
        <v>1.9</v>
      </c>
      <c r="EI342">
        <v>9</v>
      </c>
      <c r="EJ342">
        <v>1.7</v>
      </c>
      <c r="EK342">
        <v>9.1</v>
      </c>
    </row>
    <row r="343" spans="1:141" x14ac:dyDescent="0.25">
      <c r="A343" t="str">
        <f>[1]ingredient!B343</f>
        <v>Roggenflocken</v>
      </c>
      <c r="B343" t="s">
        <v>413</v>
      </c>
      <c r="C343" s="7">
        <f>_xlfn.XLOOKUP(A343,[1]ingredient!$B$2:$B$521,[1]ingredient!$A$2:$A$521)</f>
        <v>342</v>
      </c>
      <c r="D343">
        <v>295</v>
      </c>
      <c r="E343">
        <v>2</v>
      </c>
      <c r="F343">
        <v>9</v>
      </c>
      <c r="G343">
        <v>60</v>
      </c>
      <c r="H343">
        <v>14</v>
      </c>
      <c r="I343">
        <v>1</v>
      </c>
      <c r="J343">
        <v>0.02</v>
      </c>
      <c r="K343">
        <v>14</v>
      </c>
      <c r="L343">
        <v>2</v>
      </c>
      <c r="M343">
        <v>1</v>
      </c>
      <c r="N343">
        <v>0</v>
      </c>
      <c r="O343">
        <v>12</v>
      </c>
      <c r="P343">
        <v>350</v>
      </c>
      <c r="Q343">
        <v>170</v>
      </c>
      <c r="R343">
        <v>1800</v>
      </c>
      <c r="S343">
        <v>3300</v>
      </c>
      <c r="T343">
        <v>1500</v>
      </c>
      <c r="U343">
        <v>290</v>
      </c>
      <c r="V343">
        <v>5</v>
      </c>
      <c r="W343">
        <v>56</v>
      </c>
      <c r="X343">
        <v>0</v>
      </c>
      <c r="Y343">
        <v>0</v>
      </c>
      <c r="Z343">
        <v>0</v>
      </c>
      <c r="AA343">
        <v>1800</v>
      </c>
      <c r="AB343">
        <v>30</v>
      </c>
      <c r="AC343">
        <v>2</v>
      </c>
      <c r="AD343">
        <v>450</v>
      </c>
      <c r="AE343">
        <v>64</v>
      </c>
      <c r="AF343">
        <v>120</v>
      </c>
      <c r="AG343">
        <v>350</v>
      </c>
      <c r="AH343">
        <v>130</v>
      </c>
      <c r="AI343">
        <v>20</v>
      </c>
      <c r="AJ343">
        <v>3700</v>
      </c>
      <c r="AK343">
        <v>2480</v>
      </c>
      <c r="AL343">
        <v>295</v>
      </c>
      <c r="AM343">
        <v>2670</v>
      </c>
      <c r="AN343">
        <v>150</v>
      </c>
      <c r="AO343">
        <v>7</v>
      </c>
      <c r="AP343">
        <v>0</v>
      </c>
      <c r="AQ343">
        <v>0</v>
      </c>
      <c r="AR343">
        <v>0</v>
      </c>
      <c r="AS343">
        <v>0</v>
      </c>
      <c r="AT343">
        <v>60</v>
      </c>
      <c r="AU343">
        <v>60</v>
      </c>
      <c r="AV343">
        <v>0</v>
      </c>
      <c r="AW343">
        <v>120</v>
      </c>
      <c r="AX343">
        <v>901</v>
      </c>
      <c r="AY343">
        <v>0</v>
      </c>
      <c r="AZ343">
        <v>0</v>
      </c>
      <c r="BA343">
        <v>901</v>
      </c>
      <c r="BB343">
        <v>601</v>
      </c>
      <c r="BC343">
        <v>0</v>
      </c>
      <c r="BD343">
        <v>0</v>
      </c>
      <c r="BE343">
        <v>58464</v>
      </c>
      <c r="BF343">
        <v>58464</v>
      </c>
      <c r="BG343">
        <f t="shared" si="53"/>
        <v>81.25</v>
      </c>
      <c r="BH343">
        <v>333</v>
      </c>
      <c r="BI343">
        <v>594</v>
      </c>
      <c r="BJ343">
        <v>351</v>
      </c>
      <c r="BK343">
        <v>126</v>
      </c>
      <c r="BL343">
        <v>162</v>
      </c>
      <c r="BM343">
        <v>414</v>
      </c>
      <c r="BN343">
        <v>180</v>
      </c>
      <c r="BO343">
        <v>315</v>
      </c>
      <c r="BP343">
        <v>90</v>
      </c>
      <c r="BQ343">
        <v>459</v>
      </c>
      <c r="BR343">
        <v>441</v>
      </c>
      <c r="BS343">
        <v>162</v>
      </c>
      <c r="BT343">
        <v>3627</v>
      </c>
      <c r="BU343">
        <v>414</v>
      </c>
      <c r="BV343">
        <v>612</v>
      </c>
      <c r="BW343">
        <v>2331</v>
      </c>
      <c r="BX343">
        <v>405</v>
      </c>
      <c r="BY343">
        <v>1035</v>
      </c>
      <c r="BZ343">
        <v>396</v>
      </c>
      <c r="CA343">
        <v>5193</v>
      </c>
      <c r="CB343">
        <v>70</v>
      </c>
      <c r="CC343">
        <v>29</v>
      </c>
      <c r="CD343">
        <v>105</v>
      </c>
      <c r="CE343">
        <v>697</v>
      </c>
      <c r="CF343">
        <v>6.64</v>
      </c>
      <c r="CG343">
        <v>0</v>
      </c>
      <c r="CH343">
        <v>0</v>
      </c>
      <c r="CI343">
        <v>0</v>
      </c>
      <c r="CJ343">
        <v>0</v>
      </c>
      <c r="CK343">
        <v>1</v>
      </c>
      <c r="CL343">
        <v>1</v>
      </c>
      <c r="CM343">
        <v>0</v>
      </c>
      <c r="CN343">
        <v>228</v>
      </c>
      <c r="CO343">
        <v>0</v>
      </c>
      <c r="CP343">
        <v>7</v>
      </c>
      <c r="CQ343">
        <v>1</v>
      </c>
      <c r="CR343">
        <v>0</v>
      </c>
      <c r="CS343">
        <v>0</v>
      </c>
      <c r="CT343">
        <v>238</v>
      </c>
      <c r="CU343">
        <v>0</v>
      </c>
      <c r="CV343">
        <v>0</v>
      </c>
      <c r="CW343">
        <v>6</v>
      </c>
      <c r="CX343">
        <v>0</v>
      </c>
      <c r="CY343">
        <v>168</v>
      </c>
      <c r="CZ343">
        <v>10</v>
      </c>
      <c r="DA343">
        <v>0</v>
      </c>
      <c r="DB343">
        <v>0</v>
      </c>
      <c r="DC343">
        <v>184</v>
      </c>
      <c r="DD343">
        <v>0</v>
      </c>
      <c r="DE343">
        <v>0</v>
      </c>
      <c r="DF343">
        <v>695</v>
      </c>
      <c r="DG343">
        <v>105</v>
      </c>
      <c r="DH343">
        <v>0</v>
      </c>
      <c r="DI343">
        <v>0</v>
      </c>
      <c r="DJ343">
        <v>0</v>
      </c>
      <c r="DK343">
        <v>0</v>
      </c>
      <c r="DL343">
        <v>2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802</v>
      </c>
      <c r="DT343">
        <v>1224</v>
      </c>
      <c r="DU343">
        <v>476</v>
      </c>
      <c r="DV343">
        <v>0</v>
      </c>
      <c r="DW343">
        <v>0</v>
      </c>
      <c r="DX343">
        <v>0</v>
      </c>
      <c r="DY343">
        <v>7000</v>
      </c>
      <c r="DZ343">
        <v>4200</v>
      </c>
      <c r="EA343">
        <v>700</v>
      </c>
      <c r="EB343">
        <v>1400</v>
      </c>
      <c r="EC343">
        <v>700</v>
      </c>
      <c r="ED343">
        <v>4970</v>
      </c>
      <c r="EE343">
        <v>9030</v>
      </c>
      <c r="EF343">
        <v>0</v>
      </c>
      <c r="EG343">
        <v>0</v>
      </c>
      <c r="EH343">
        <v>1.2</v>
      </c>
      <c r="EI343">
        <v>9</v>
      </c>
      <c r="EJ343">
        <v>1.7</v>
      </c>
      <c r="EK343">
        <v>9.1</v>
      </c>
    </row>
    <row r="344" spans="1:141" x14ac:dyDescent="0.25">
      <c r="A344" t="str">
        <f>[1]ingredient!B344</f>
        <v>Roggenmehl</v>
      </c>
      <c r="B344" t="s">
        <v>414</v>
      </c>
      <c r="C344" s="7">
        <f>_xlfn.XLOOKUP(A344,[1]ingredient!$B$2:$B$521,[1]ingredient!$A$2:$A$521)</f>
        <v>343</v>
      </c>
      <c r="D344">
        <v>294</v>
      </c>
      <c r="E344">
        <v>2</v>
      </c>
      <c r="F344">
        <v>9</v>
      </c>
      <c r="G344">
        <v>60</v>
      </c>
      <c r="H344">
        <v>14</v>
      </c>
      <c r="I344">
        <v>1</v>
      </c>
      <c r="J344">
        <v>0.02</v>
      </c>
      <c r="K344">
        <v>14</v>
      </c>
      <c r="L344">
        <v>2</v>
      </c>
      <c r="M344">
        <v>1</v>
      </c>
      <c r="N344">
        <v>0</v>
      </c>
      <c r="O344">
        <v>12</v>
      </c>
      <c r="P344">
        <v>350</v>
      </c>
      <c r="Q344">
        <v>170</v>
      </c>
      <c r="R344">
        <v>1810</v>
      </c>
      <c r="S344">
        <v>3310</v>
      </c>
      <c r="T344">
        <v>1500</v>
      </c>
      <c r="U344">
        <v>290</v>
      </c>
      <c r="V344">
        <v>5</v>
      </c>
      <c r="W344">
        <v>56</v>
      </c>
      <c r="X344">
        <v>0</v>
      </c>
      <c r="Y344">
        <v>0</v>
      </c>
      <c r="Z344">
        <v>0</v>
      </c>
      <c r="AA344">
        <v>1959</v>
      </c>
      <c r="AB344">
        <v>30</v>
      </c>
      <c r="AC344">
        <v>4</v>
      </c>
      <c r="AD344">
        <v>510</v>
      </c>
      <c r="AE344">
        <v>64</v>
      </c>
      <c r="AF344">
        <v>120</v>
      </c>
      <c r="AG344">
        <v>360</v>
      </c>
      <c r="AH344">
        <v>130</v>
      </c>
      <c r="AI344">
        <v>20</v>
      </c>
      <c r="AJ344">
        <v>4855</v>
      </c>
      <c r="AK344">
        <v>3886</v>
      </c>
      <c r="AL344">
        <v>463</v>
      </c>
      <c r="AM344">
        <v>4176</v>
      </c>
      <c r="AN344">
        <v>150</v>
      </c>
      <c r="AO344">
        <v>7</v>
      </c>
      <c r="AP344">
        <v>0</v>
      </c>
      <c r="AQ344">
        <v>0</v>
      </c>
      <c r="AR344">
        <v>0</v>
      </c>
      <c r="AS344">
        <v>0</v>
      </c>
      <c r="AT344">
        <v>60</v>
      </c>
      <c r="AU344">
        <v>60</v>
      </c>
      <c r="AV344">
        <v>0</v>
      </c>
      <c r="AW344">
        <v>120</v>
      </c>
      <c r="AX344">
        <v>896</v>
      </c>
      <c r="AY344">
        <v>0</v>
      </c>
      <c r="AZ344">
        <v>0</v>
      </c>
      <c r="BA344">
        <v>896</v>
      </c>
      <c r="BB344">
        <v>597</v>
      </c>
      <c r="BC344">
        <v>0</v>
      </c>
      <c r="BD344">
        <v>0</v>
      </c>
      <c r="BE344">
        <v>58087</v>
      </c>
      <c r="BF344">
        <v>58087</v>
      </c>
      <c r="BG344">
        <f t="shared" si="53"/>
        <v>81.25</v>
      </c>
      <c r="BH344">
        <v>333</v>
      </c>
      <c r="BI344">
        <v>594</v>
      </c>
      <c r="BJ344">
        <v>351</v>
      </c>
      <c r="BK344">
        <v>126</v>
      </c>
      <c r="BL344">
        <v>162</v>
      </c>
      <c r="BM344">
        <v>414</v>
      </c>
      <c r="BN344">
        <v>180</v>
      </c>
      <c r="BO344">
        <v>315</v>
      </c>
      <c r="BP344">
        <v>90</v>
      </c>
      <c r="BQ344">
        <v>459</v>
      </c>
      <c r="BR344">
        <v>441</v>
      </c>
      <c r="BS344">
        <v>162</v>
      </c>
      <c r="BT344">
        <v>3627</v>
      </c>
      <c r="BU344">
        <v>414</v>
      </c>
      <c r="BV344">
        <v>612</v>
      </c>
      <c r="BW344">
        <v>2331</v>
      </c>
      <c r="BX344">
        <v>405</v>
      </c>
      <c r="BY344">
        <v>1035</v>
      </c>
      <c r="BZ344">
        <v>396</v>
      </c>
      <c r="CA344">
        <v>5193</v>
      </c>
      <c r="CB344">
        <v>70</v>
      </c>
      <c r="CC344">
        <v>29</v>
      </c>
      <c r="CD344">
        <v>105</v>
      </c>
      <c r="CE344">
        <v>697</v>
      </c>
      <c r="CF344">
        <v>6.64</v>
      </c>
      <c r="CG344">
        <v>0</v>
      </c>
      <c r="CH344">
        <v>0</v>
      </c>
      <c r="CI344">
        <v>0</v>
      </c>
      <c r="CJ344">
        <v>0</v>
      </c>
      <c r="CK344">
        <v>1</v>
      </c>
      <c r="CL344">
        <v>1</v>
      </c>
      <c r="CM344">
        <v>0</v>
      </c>
      <c r="CN344">
        <v>228</v>
      </c>
      <c r="CO344">
        <v>0</v>
      </c>
      <c r="CP344">
        <v>7</v>
      </c>
      <c r="CQ344">
        <v>1</v>
      </c>
      <c r="CR344">
        <v>0</v>
      </c>
      <c r="CS344">
        <v>0</v>
      </c>
      <c r="CT344">
        <v>238</v>
      </c>
      <c r="CU344">
        <v>0</v>
      </c>
      <c r="CV344">
        <v>0</v>
      </c>
      <c r="CW344">
        <v>6</v>
      </c>
      <c r="CX344">
        <v>0</v>
      </c>
      <c r="CY344">
        <v>168</v>
      </c>
      <c r="CZ344">
        <v>10</v>
      </c>
      <c r="DA344">
        <v>0</v>
      </c>
      <c r="DB344">
        <v>0</v>
      </c>
      <c r="DC344">
        <v>184</v>
      </c>
      <c r="DD344">
        <v>0</v>
      </c>
      <c r="DE344">
        <v>0</v>
      </c>
      <c r="DF344">
        <v>695</v>
      </c>
      <c r="DG344">
        <v>105</v>
      </c>
      <c r="DH344">
        <v>0</v>
      </c>
      <c r="DI344">
        <v>0</v>
      </c>
      <c r="DJ344">
        <v>0</v>
      </c>
      <c r="DK344">
        <v>0</v>
      </c>
      <c r="DL344">
        <v>2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802</v>
      </c>
      <c r="DT344">
        <v>1224</v>
      </c>
      <c r="DU344">
        <v>476</v>
      </c>
      <c r="DV344">
        <v>0</v>
      </c>
      <c r="DW344">
        <v>0</v>
      </c>
      <c r="DX344">
        <v>0</v>
      </c>
      <c r="DY344">
        <v>7000</v>
      </c>
      <c r="DZ344">
        <v>4200</v>
      </c>
      <c r="EA344">
        <v>700</v>
      </c>
      <c r="EB344">
        <v>1400</v>
      </c>
      <c r="EC344">
        <v>700</v>
      </c>
      <c r="ED344">
        <v>4970</v>
      </c>
      <c r="EE344">
        <v>9030</v>
      </c>
      <c r="EF344">
        <v>0</v>
      </c>
      <c r="EG344">
        <v>0</v>
      </c>
      <c r="EH344">
        <v>1.9</v>
      </c>
      <c r="EI344">
        <v>9</v>
      </c>
      <c r="EJ344">
        <v>1.7</v>
      </c>
      <c r="EK344">
        <v>9.1</v>
      </c>
    </row>
    <row r="345" spans="1:141" x14ac:dyDescent="0.25">
      <c r="A345" t="str">
        <f>[1]ingredient!B345</f>
        <v>Roggenmilch</v>
      </c>
      <c r="B345" t="s">
        <v>214</v>
      </c>
      <c r="C345" s="7">
        <f>_xlfn.XLOOKUP(A345,[1]ingredient!$B$2:$B$521,[1]ingredient!$A$2:$A$521)</f>
        <v>344</v>
      </c>
      <c r="D345">
        <v>46</v>
      </c>
      <c r="E345">
        <v>2</v>
      </c>
      <c r="F345">
        <v>1</v>
      </c>
      <c r="G345">
        <v>7</v>
      </c>
      <c r="H345">
        <v>1</v>
      </c>
      <c r="I345">
        <v>4</v>
      </c>
      <c r="J345">
        <v>0.11</v>
      </c>
      <c r="K345">
        <v>90</v>
      </c>
      <c r="L345">
        <v>0</v>
      </c>
      <c r="M345">
        <v>0</v>
      </c>
      <c r="N345">
        <v>0</v>
      </c>
      <c r="O345">
        <v>0</v>
      </c>
      <c r="P345">
        <v>100</v>
      </c>
      <c r="Q345">
        <v>200</v>
      </c>
      <c r="R345">
        <v>100</v>
      </c>
      <c r="S345">
        <v>400</v>
      </c>
      <c r="T345">
        <v>100</v>
      </c>
      <c r="U345">
        <v>0</v>
      </c>
      <c r="V345">
        <v>2</v>
      </c>
      <c r="W345">
        <v>6</v>
      </c>
      <c r="X345">
        <v>0.4</v>
      </c>
      <c r="Y345">
        <v>0</v>
      </c>
      <c r="Z345">
        <v>1</v>
      </c>
      <c r="AA345">
        <v>0</v>
      </c>
      <c r="AB345">
        <v>2</v>
      </c>
      <c r="AC345">
        <v>40</v>
      </c>
      <c r="AD345">
        <v>27</v>
      </c>
      <c r="AE345">
        <v>120</v>
      </c>
      <c r="AF345">
        <v>14</v>
      </c>
      <c r="AG345">
        <v>41</v>
      </c>
      <c r="AH345">
        <v>17</v>
      </c>
      <c r="AI345">
        <v>70</v>
      </c>
      <c r="AJ345">
        <v>400</v>
      </c>
      <c r="AK345">
        <v>300</v>
      </c>
      <c r="AL345">
        <v>0</v>
      </c>
      <c r="AM345">
        <v>400</v>
      </c>
      <c r="AN345">
        <v>0</v>
      </c>
      <c r="AO345">
        <v>23</v>
      </c>
      <c r="AP345">
        <v>0</v>
      </c>
      <c r="AQ345">
        <v>0</v>
      </c>
      <c r="AR345">
        <v>0</v>
      </c>
      <c r="AS345">
        <v>0</v>
      </c>
      <c r="AT345">
        <v>1900</v>
      </c>
      <c r="AU345">
        <v>100</v>
      </c>
      <c r="AV345">
        <v>0</v>
      </c>
      <c r="AW345">
        <v>2000</v>
      </c>
      <c r="AX345">
        <v>200</v>
      </c>
      <c r="AY345">
        <v>1900</v>
      </c>
      <c r="AZ345">
        <v>0</v>
      </c>
      <c r="BA345">
        <v>2100</v>
      </c>
      <c r="BB345">
        <v>600</v>
      </c>
      <c r="BC345">
        <v>28</v>
      </c>
      <c r="BD345">
        <v>0</v>
      </c>
      <c r="BE345">
        <v>2000</v>
      </c>
      <c r="BF345">
        <v>0</v>
      </c>
      <c r="BG345">
        <f t="shared" si="53"/>
        <v>83.333333333333343</v>
      </c>
      <c r="BH345">
        <v>41</v>
      </c>
      <c r="BI345">
        <v>77</v>
      </c>
      <c r="BJ345">
        <v>40</v>
      </c>
      <c r="BK345">
        <v>18</v>
      </c>
      <c r="BL345">
        <v>34</v>
      </c>
      <c r="BM345">
        <v>52</v>
      </c>
      <c r="BN345">
        <v>31</v>
      </c>
      <c r="BO345">
        <v>36</v>
      </c>
      <c r="BP345">
        <v>15</v>
      </c>
      <c r="BQ345">
        <v>54</v>
      </c>
      <c r="BR345">
        <v>62</v>
      </c>
      <c r="BS345">
        <v>20</v>
      </c>
      <c r="BT345">
        <v>480</v>
      </c>
      <c r="BU345">
        <v>53</v>
      </c>
      <c r="BV345">
        <v>83</v>
      </c>
      <c r="BW345">
        <v>217</v>
      </c>
      <c r="BX345">
        <v>53</v>
      </c>
      <c r="BY345">
        <v>59</v>
      </c>
      <c r="BZ345">
        <v>54</v>
      </c>
      <c r="CA345">
        <v>520</v>
      </c>
      <c r="CB345">
        <v>15</v>
      </c>
      <c r="CC345">
        <v>6</v>
      </c>
      <c r="CD345">
        <v>100</v>
      </c>
      <c r="CE345">
        <v>401</v>
      </c>
      <c r="CF345">
        <v>4.01</v>
      </c>
      <c r="CG345">
        <v>0</v>
      </c>
      <c r="CH345">
        <v>0</v>
      </c>
      <c r="CI345">
        <v>0</v>
      </c>
      <c r="CJ345">
        <v>0</v>
      </c>
      <c r="CK345">
        <v>1</v>
      </c>
      <c r="CL345">
        <v>2</v>
      </c>
      <c r="CM345">
        <v>0.3</v>
      </c>
      <c r="CN345">
        <v>160</v>
      </c>
      <c r="CO345">
        <v>1</v>
      </c>
      <c r="CP345">
        <v>27</v>
      </c>
      <c r="CQ345">
        <v>6</v>
      </c>
      <c r="CR345">
        <v>3</v>
      </c>
      <c r="CS345">
        <v>1</v>
      </c>
      <c r="CT345">
        <v>200</v>
      </c>
      <c r="CU345">
        <v>0</v>
      </c>
      <c r="CV345">
        <v>0</v>
      </c>
      <c r="CW345">
        <v>5</v>
      </c>
      <c r="CX345">
        <v>0</v>
      </c>
      <c r="CY345">
        <v>673</v>
      </c>
      <c r="CZ345">
        <v>28</v>
      </c>
      <c r="DA345">
        <v>3</v>
      </c>
      <c r="DB345">
        <v>1</v>
      </c>
      <c r="DC345">
        <v>700</v>
      </c>
      <c r="DD345">
        <v>0</v>
      </c>
      <c r="DE345">
        <v>0</v>
      </c>
      <c r="DF345">
        <v>400</v>
      </c>
      <c r="DG345">
        <v>100</v>
      </c>
      <c r="DH345">
        <v>0</v>
      </c>
      <c r="DI345">
        <v>0</v>
      </c>
      <c r="DJ345">
        <v>0.1</v>
      </c>
      <c r="DK345">
        <v>0</v>
      </c>
      <c r="DL345">
        <v>1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500</v>
      </c>
      <c r="DT345">
        <v>1418</v>
      </c>
      <c r="DU345">
        <v>82</v>
      </c>
      <c r="DV345">
        <v>0</v>
      </c>
      <c r="DW345">
        <v>0</v>
      </c>
      <c r="DX345">
        <v>0</v>
      </c>
      <c r="DY345">
        <v>256</v>
      </c>
      <c r="DZ345">
        <v>360</v>
      </c>
      <c r="EA345">
        <v>40</v>
      </c>
      <c r="EB345">
        <v>96</v>
      </c>
      <c r="EC345">
        <v>48</v>
      </c>
      <c r="ED345">
        <v>240</v>
      </c>
      <c r="EE345">
        <v>560</v>
      </c>
      <c r="EF345">
        <v>0</v>
      </c>
      <c r="EG345">
        <v>20</v>
      </c>
      <c r="EH345">
        <v>0.3</v>
      </c>
      <c r="EI345">
        <v>0.6</v>
      </c>
      <c r="EJ345">
        <v>1.5</v>
      </c>
      <c r="EK345">
        <v>1</v>
      </c>
    </row>
    <row r="346" spans="1:141" x14ac:dyDescent="0.25">
      <c r="A346" t="str">
        <f>[1]ingredient!B346</f>
        <v>Romanasalat</v>
      </c>
      <c r="B346" t="s">
        <v>415</v>
      </c>
      <c r="C346" s="7"/>
      <c r="D346"/>
    </row>
    <row r="347" spans="1:141" x14ac:dyDescent="0.25">
      <c r="A347" t="str">
        <f>[1]ingredient!B347</f>
        <v>Roma-Tomaten</v>
      </c>
      <c r="B347" t="s">
        <v>367</v>
      </c>
      <c r="C347" s="7">
        <f>_xlfn.XLOOKUP(A347,[1]ingredient!$B$2:$B$521,[1]ingredient!$A$2:$A$521)</f>
        <v>346</v>
      </c>
      <c r="D347">
        <v>17</v>
      </c>
      <c r="E347">
        <v>0.21</v>
      </c>
      <c r="F347">
        <v>1</v>
      </c>
      <c r="G347">
        <v>3</v>
      </c>
      <c r="H347">
        <v>1</v>
      </c>
      <c r="I347">
        <v>3</v>
      </c>
      <c r="J347">
        <v>0.03</v>
      </c>
      <c r="K347">
        <v>94</v>
      </c>
      <c r="L347">
        <v>99</v>
      </c>
      <c r="M347">
        <v>49</v>
      </c>
      <c r="N347">
        <v>0</v>
      </c>
      <c r="O347">
        <v>593</v>
      </c>
      <c r="P347">
        <v>57</v>
      </c>
      <c r="Q347">
        <v>35</v>
      </c>
      <c r="R347">
        <v>530</v>
      </c>
      <c r="S347">
        <v>630</v>
      </c>
      <c r="T347">
        <v>310</v>
      </c>
      <c r="U347">
        <v>100</v>
      </c>
      <c r="V347">
        <v>4</v>
      </c>
      <c r="W347">
        <v>33</v>
      </c>
      <c r="X347">
        <v>0</v>
      </c>
      <c r="Y347">
        <v>19255</v>
      </c>
      <c r="Z347">
        <v>0</v>
      </c>
      <c r="AA347">
        <v>800</v>
      </c>
      <c r="AB347">
        <v>6</v>
      </c>
      <c r="AC347">
        <v>3</v>
      </c>
      <c r="AD347">
        <v>235</v>
      </c>
      <c r="AE347">
        <v>9</v>
      </c>
      <c r="AF347">
        <v>11</v>
      </c>
      <c r="AG347">
        <v>22</v>
      </c>
      <c r="AH347">
        <v>11</v>
      </c>
      <c r="AI347">
        <v>30</v>
      </c>
      <c r="AJ347">
        <v>316</v>
      </c>
      <c r="AK347">
        <v>85</v>
      </c>
      <c r="AL347">
        <v>57</v>
      </c>
      <c r="AM347">
        <v>108</v>
      </c>
      <c r="AN347">
        <v>24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1081</v>
      </c>
      <c r="AU347">
        <v>1358</v>
      </c>
      <c r="AV347">
        <v>0</v>
      </c>
      <c r="AW347">
        <v>2439</v>
      </c>
      <c r="AX347">
        <v>84</v>
      </c>
      <c r="AY347">
        <v>0</v>
      </c>
      <c r="AZ347">
        <v>0</v>
      </c>
      <c r="BA347">
        <v>84</v>
      </c>
      <c r="BB347">
        <v>0</v>
      </c>
      <c r="BC347">
        <v>0</v>
      </c>
      <c r="BD347">
        <v>0</v>
      </c>
      <c r="BE347">
        <v>80</v>
      </c>
      <c r="BF347">
        <v>80</v>
      </c>
      <c r="BG347">
        <f t="shared" ref="BG347" si="54">IF($F347=0,"0",MIN(
BH347/(30*$F347),
BI347/(61*$F347),
BJ347/(48*$F347),
(BK347+BL347)/(23*$F347),
(BM347+BN347)/(41*$F347),
BO347/(25*$F347),
BP347/(6.6*$F347),
BQ347/(40*$F347),
BS347/(16*$F347)
)*100)</f>
        <v>34.782608695652172</v>
      </c>
      <c r="BH347">
        <v>23</v>
      </c>
      <c r="BI347">
        <v>30</v>
      </c>
      <c r="BJ347">
        <v>29</v>
      </c>
      <c r="BK347">
        <v>7</v>
      </c>
      <c r="BL347">
        <v>1</v>
      </c>
      <c r="BM347">
        <v>24</v>
      </c>
      <c r="BN347">
        <v>12</v>
      </c>
      <c r="BO347">
        <v>23</v>
      </c>
      <c r="BP347">
        <v>6</v>
      </c>
      <c r="BQ347">
        <v>23</v>
      </c>
      <c r="BR347">
        <v>18</v>
      </c>
      <c r="BS347">
        <v>13</v>
      </c>
      <c r="BT347">
        <v>209</v>
      </c>
      <c r="BU347">
        <v>26</v>
      </c>
      <c r="BV347">
        <v>121</v>
      </c>
      <c r="BW347">
        <v>337</v>
      </c>
      <c r="BX347">
        <v>18</v>
      </c>
      <c r="BY347">
        <v>16</v>
      </c>
      <c r="BZ347">
        <v>28</v>
      </c>
      <c r="CA347">
        <v>546</v>
      </c>
      <c r="CB347">
        <v>11</v>
      </c>
      <c r="CC347">
        <v>5</v>
      </c>
      <c r="CD347">
        <v>9</v>
      </c>
      <c r="CE347">
        <v>91</v>
      </c>
      <c r="CF347">
        <v>10.11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32</v>
      </c>
      <c r="CO347">
        <v>0</v>
      </c>
      <c r="CP347">
        <v>5</v>
      </c>
      <c r="CQ347">
        <v>0</v>
      </c>
      <c r="CR347">
        <v>0</v>
      </c>
      <c r="CS347">
        <v>0</v>
      </c>
      <c r="CT347">
        <v>37</v>
      </c>
      <c r="CU347">
        <v>0</v>
      </c>
      <c r="CV347">
        <v>0</v>
      </c>
      <c r="CW347">
        <v>2</v>
      </c>
      <c r="CX347">
        <v>0</v>
      </c>
      <c r="CY347">
        <v>23</v>
      </c>
      <c r="CZ347">
        <v>0</v>
      </c>
      <c r="DA347">
        <v>0</v>
      </c>
      <c r="DB347">
        <v>0</v>
      </c>
      <c r="DC347">
        <v>25</v>
      </c>
      <c r="DD347">
        <v>0</v>
      </c>
      <c r="DE347">
        <v>0</v>
      </c>
      <c r="DF347">
        <v>91</v>
      </c>
      <c r="DG347">
        <v>9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100</v>
      </c>
      <c r="DT347">
        <v>162</v>
      </c>
      <c r="DU347">
        <v>42</v>
      </c>
      <c r="DV347">
        <v>0</v>
      </c>
      <c r="DW347">
        <v>0</v>
      </c>
      <c r="DX347">
        <v>0</v>
      </c>
      <c r="DY347">
        <v>130</v>
      </c>
      <c r="DZ347">
        <v>156</v>
      </c>
      <c r="EA347">
        <v>325</v>
      </c>
      <c r="EB347">
        <v>360</v>
      </c>
      <c r="EC347">
        <v>234</v>
      </c>
      <c r="ED347">
        <v>220</v>
      </c>
      <c r="EE347">
        <v>730</v>
      </c>
      <c r="EF347">
        <v>0</v>
      </c>
      <c r="EG347">
        <v>0.39</v>
      </c>
      <c r="EH347">
        <v>0.6</v>
      </c>
      <c r="EI347">
        <v>0.7</v>
      </c>
      <c r="EJ347">
        <v>0.2</v>
      </c>
      <c r="EK347">
        <v>0.8</v>
      </c>
    </row>
    <row r="348" spans="1:141" x14ac:dyDescent="0.25">
      <c r="A348" t="str">
        <f>[1]ingredient!B348</f>
        <v>Romanesco</v>
      </c>
      <c r="B348" t="s">
        <v>416</v>
      </c>
      <c r="C348" s="7">
        <f>_xlfn.XLOOKUP(A348,[1]ingredient!$B$2:$B$521,[1]ingredient!$A$2:$A$521)</f>
        <v>347</v>
      </c>
      <c r="D348">
        <v>23</v>
      </c>
      <c r="E348">
        <v>0.28000000000000003</v>
      </c>
      <c r="F348">
        <v>2</v>
      </c>
      <c r="G348">
        <v>2</v>
      </c>
      <c r="H348">
        <v>3</v>
      </c>
      <c r="I348">
        <v>2</v>
      </c>
      <c r="J348">
        <v>0.03</v>
      </c>
      <c r="K348">
        <v>91</v>
      </c>
      <c r="L348">
        <v>2</v>
      </c>
      <c r="M348">
        <v>1</v>
      </c>
      <c r="N348">
        <v>0</v>
      </c>
      <c r="O348">
        <v>10</v>
      </c>
      <c r="P348">
        <v>88</v>
      </c>
      <c r="Q348">
        <v>92</v>
      </c>
      <c r="R348">
        <v>600</v>
      </c>
      <c r="S348">
        <v>1217</v>
      </c>
      <c r="T348">
        <v>1010</v>
      </c>
      <c r="U348">
        <v>200</v>
      </c>
      <c r="V348">
        <v>2</v>
      </c>
      <c r="W348">
        <v>52</v>
      </c>
      <c r="X348">
        <v>0</v>
      </c>
      <c r="Y348">
        <v>64000</v>
      </c>
      <c r="Z348">
        <v>0</v>
      </c>
      <c r="AA348">
        <v>70</v>
      </c>
      <c r="AB348">
        <v>31</v>
      </c>
      <c r="AC348">
        <v>13</v>
      </c>
      <c r="AD348">
        <v>282</v>
      </c>
      <c r="AE348">
        <v>22</v>
      </c>
      <c r="AF348">
        <v>15</v>
      </c>
      <c r="AG348">
        <v>49</v>
      </c>
      <c r="AH348">
        <v>55</v>
      </c>
      <c r="AI348">
        <v>19</v>
      </c>
      <c r="AJ348">
        <v>510</v>
      </c>
      <c r="AK348">
        <v>286</v>
      </c>
      <c r="AL348">
        <v>45</v>
      </c>
      <c r="AM348">
        <v>180</v>
      </c>
      <c r="AN348">
        <v>9</v>
      </c>
      <c r="AO348">
        <v>1</v>
      </c>
      <c r="AP348">
        <v>0</v>
      </c>
      <c r="AQ348">
        <v>0</v>
      </c>
      <c r="AR348">
        <v>26</v>
      </c>
      <c r="AS348">
        <v>26</v>
      </c>
      <c r="AT348">
        <v>942</v>
      </c>
      <c r="AU348">
        <v>884</v>
      </c>
      <c r="AV348">
        <v>0</v>
      </c>
      <c r="AW348">
        <v>1826</v>
      </c>
      <c r="AX348">
        <v>202</v>
      </c>
      <c r="AY348">
        <v>0</v>
      </c>
      <c r="AZ348">
        <v>0</v>
      </c>
      <c r="BA348">
        <v>202</v>
      </c>
      <c r="BB348">
        <v>0</v>
      </c>
      <c r="BC348">
        <v>0</v>
      </c>
      <c r="BD348">
        <v>0</v>
      </c>
      <c r="BE348">
        <v>286</v>
      </c>
      <c r="BF348">
        <v>286</v>
      </c>
      <c r="BG348">
        <f t="shared" si="53"/>
        <v>148.78048780487805</v>
      </c>
      <c r="BH348">
        <v>120</v>
      </c>
      <c r="BI348">
        <v>185</v>
      </c>
      <c r="BJ348">
        <v>153</v>
      </c>
      <c r="BK348">
        <v>52</v>
      </c>
      <c r="BL348">
        <v>34</v>
      </c>
      <c r="BM348">
        <v>84</v>
      </c>
      <c r="BN348">
        <v>38</v>
      </c>
      <c r="BO348">
        <v>120</v>
      </c>
      <c r="BP348">
        <v>37</v>
      </c>
      <c r="BQ348">
        <v>163</v>
      </c>
      <c r="BR348">
        <v>120</v>
      </c>
      <c r="BS348">
        <v>53</v>
      </c>
      <c r="BT348">
        <v>1159</v>
      </c>
      <c r="BU348">
        <v>160</v>
      </c>
      <c r="BV348">
        <v>339</v>
      </c>
      <c r="BW348">
        <v>401</v>
      </c>
      <c r="BX348">
        <v>108</v>
      </c>
      <c r="BY348">
        <v>133</v>
      </c>
      <c r="BZ348">
        <v>160</v>
      </c>
      <c r="CA348">
        <v>1301</v>
      </c>
      <c r="CB348">
        <v>51</v>
      </c>
      <c r="CC348">
        <v>21</v>
      </c>
      <c r="CD348">
        <v>126</v>
      </c>
      <c r="CE348">
        <v>33</v>
      </c>
      <c r="CF348">
        <v>0.26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1</v>
      </c>
      <c r="CM348">
        <v>0</v>
      </c>
      <c r="CN348">
        <v>45</v>
      </c>
      <c r="CO348">
        <v>0</v>
      </c>
      <c r="CP348">
        <v>2</v>
      </c>
      <c r="CQ348">
        <v>1</v>
      </c>
      <c r="CR348">
        <v>0</v>
      </c>
      <c r="CS348">
        <v>0</v>
      </c>
      <c r="CT348">
        <v>49</v>
      </c>
      <c r="CU348">
        <v>0</v>
      </c>
      <c r="CV348">
        <v>0</v>
      </c>
      <c r="CW348">
        <v>4</v>
      </c>
      <c r="CX348">
        <v>0</v>
      </c>
      <c r="CY348">
        <v>2</v>
      </c>
      <c r="CZ348">
        <v>1</v>
      </c>
      <c r="DA348">
        <v>0</v>
      </c>
      <c r="DB348">
        <v>0</v>
      </c>
      <c r="DC348">
        <v>7</v>
      </c>
      <c r="DD348">
        <v>0</v>
      </c>
      <c r="DE348">
        <v>0</v>
      </c>
      <c r="DF348">
        <v>33</v>
      </c>
      <c r="DG348">
        <v>126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159</v>
      </c>
      <c r="DT348">
        <v>215</v>
      </c>
      <c r="DU348">
        <v>65</v>
      </c>
      <c r="DV348">
        <v>0</v>
      </c>
      <c r="DW348">
        <v>0</v>
      </c>
      <c r="DX348">
        <v>0</v>
      </c>
      <c r="DY348">
        <v>709</v>
      </c>
      <c r="DZ348">
        <v>531</v>
      </c>
      <c r="EA348">
        <v>709</v>
      </c>
      <c r="EB348">
        <v>941</v>
      </c>
      <c r="EC348">
        <v>11</v>
      </c>
      <c r="ED348">
        <v>490</v>
      </c>
      <c r="EE348">
        <v>2430</v>
      </c>
      <c r="EF348">
        <v>0</v>
      </c>
      <c r="EG348">
        <v>0.22</v>
      </c>
      <c r="EH348">
        <v>0.8</v>
      </c>
      <c r="EI348">
        <v>2.4</v>
      </c>
      <c r="EJ348">
        <v>0.3</v>
      </c>
      <c r="EK348">
        <v>2.6</v>
      </c>
    </row>
    <row r="349" spans="1:141" x14ac:dyDescent="0.25">
      <c r="A349" t="str">
        <f>[1]ingredient!B349</f>
        <v>Rosenkohl</v>
      </c>
      <c r="B349" t="s">
        <v>417</v>
      </c>
      <c r="C349" s="7">
        <f>_xlfn.XLOOKUP(A349,[1]ingredient!$B$2:$B$521,[1]ingredient!$A$2:$A$521)</f>
        <v>348</v>
      </c>
      <c r="D349">
        <v>36</v>
      </c>
      <c r="E349">
        <v>0.34</v>
      </c>
      <c r="F349">
        <v>4</v>
      </c>
      <c r="G349">
        <v>3</v>
      </c>
      <c r="H349">
        <v>4</v>
      </c>
      <c r="I349">
        <v>3</v>
      </c>
      <c r="J349">
        <v>0.05</v>
      </c>
      <c r="K349">
        <v>86</v>
      </c>
      <c r="L349">
        <v>75</v>
      </c>
      <c r="M349">
        <v>37</v>
      </c>
      <c r="N349">
        <v>0</v>
      </c>
      <c r="O349">
        <v>447</v>
      </c>
      <c r="P349">
        <v>126</v>
      </c>
      <c r="Q349">
        <v>134</v>
      </c>
      <c r="R349">
        <v>670</v>
      </c>
      <c r="S349">
        <v>1420</v>
      </c>
      <c r="T349">
        <v>500</v>
      </c>
      <c r="U349">
        <v>280</v>
      </c>
      <c r="V349">
        <v>0.4</v>
      </c>
      <c r="W349">
        <v>78</v>
      </c>
      <c r="X349">
        <v>0</v>
      </c>
      <c r="Y349">
        <v>112000</v>
      </c>
      <c r="Z349">
        <v>0</v>
      </c>
      <c r="AA349">
        <v>560</v>
      </c>
      <c r="AB349">
        <v>250</v>
      </c>
      <c r="AC349">
        <v>10</v>
      </c>
      <c r="AD349">
        <v>387</v>
      </c>
      <c r="AE349">
        <v>31</v>
      </c>
      <c r="AF349">
        <v>22</v>
      </c>
      <c r="AG349">
        <v>84</v>
      </c>
      <c r="AH349">
        <v>93</v>
      </c>
      <c r="AI349">
        <v>40</v>
      </c>
      <c r="AJ349">
        <v>1100</v>
      </c>
      <c r="AK349">
        <v>590</v>
      </c>
      <c r="AL349">
        <v>65</v>
      </c>
      <c r="AM349">
        <v>260</v>
      </c>
      <c r="AN349">
        <v>10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987</v>
      </c>
      <c r="AU349">
        <v>888</v>
      </c>
      <c r="AV349">
        <v>0</v>
      </c>
      <c r="AW349">
        <v>1875</v>
      </c>
      <c r="AX349">
        <v>1086</v>
      </c>
      <c r="AY349">
        <v>0</v>
      </c>
      <c r="AZ349">
        <v>0</v>
      </c>
      <c r="BA349">
        <v>1086</v>
      </c>
      <c r="BB349">
        <v>0</v>
      </c>
      <c r="BC349">
        <v>0</v>
      </c>
      <c r="BD349">
        <v>0</v>
      </c>
      <c r="BE349">
        <v>329</v>
      </c>
      <c r="BF349">
        <v>329</v>
      </c>
      <c r="BG349">
        <f t="shared" si="53"/>
        <v>72.826086956521735</v>
      </c>
      <c r="BH349">
        <v>182</v>
      </c>
      <c r="BI349">
        <v>200</v>
      </c>
      <c r="BJ349">
        <v>187</v>
      </c>
      <c r="BK349">
        <v>45</v>
      </c>
      <c r="BL349">
        <v>22</v>
      </c>
      <c r="BM349">
        <v>125</v>
      </c>
      <c r="BN349">
        <v>89</v>
      </c>
      <c r="BO349">
        <v>142</v>
      </c>
      <c r="BP349">
        <v>45</v>
      </c>
      <c r="BQ349">
        <v>169</v>
      </c>
      <c r="BR349">
        <v>276</v>
      </c>
      <c r="BS349">
        <v>93</v>
      </c>
      <c r="BT349">
        <v>1575</v>
      </c>
      <c r="BU349">
        <v>214</v>
      </c>
      <c r="BV349">
        <v>454</v>
      </c>
      <c r="BW349">
        <v>712</v>
      </c>
      <c r="BX349">
        <v>169</v>
      </c>
      <c r="BY349">
        <v>787</v>
      </c>
      <c r="BZ349">
        <v>227</v>
      </c>
      <c r="CA349">
        <v>2563</v>
      </c>
      <c r="CB349">
        <v>60</v>
      </c>
      <c r="CC349">
        <v>25</v>
      </c>
      <c r="CD349">
        <v>142</v>
      </c>
      <c r="CE349">
        <v>49</v>
      </c>
      <c r="CF349">
        <v>0.35</v>
      </c>
      <c r="CG349">
        <v>0</v>
      </c>
      <c r="CH349">
        <v>0</v>
      </c>
      <c r="CI349">
        <v>2</v>
      </c>
      <c r="CJ349">
        <v>0</v>
      </c>
      <c r="CK349">
        <v>0</v>
      </c>
      <c r="CL349">
        <v>1</v>
      </c>
      <c r="CM349">
        <v>0</v>
      </c>
      <c r="CN349">
        <v>56</v>
      </c>
      <c r="CO349">
        <v>0</v>
      </c>
      <c r="CP349">
        <v>3</v>
      </c>
      <c r="CQ349">
        <v>0</v>
      </c>
      <c r="CR349">
        <v>0</v>
      </c>
      <c r="CS349">
        <v>0</v>
      </c>
      <c r="CT349">
        <v>62</v>
      </c>
      <c r="CU349">
        <v>0</v>
      </c>
      <c r="CV349">
        <v>0</v>
      </c>
      <c r="CW349">
        <v>2</v>
      </c>
      <c r="CX349">
        <v>0</v>
      </c>
      <c r="CY349">
        <v>17</v>
      </c>
      <c r="CZ349">
        <v>0</v>
      </c>
      <c r="DA349">
        <v>0</v>
      </c>
      <c r="DB349">
        <v>0</v>
      </c>
      <c r="DC349">
        <v>19</v>
      </c>
      <c r="DD349">
        <v>0</v>
      </c>
      <c r="DE349">
        <v>0</v>
      </c>
      <c r="DF349">
        <v>49</v>
      </c>
      <c r="DG349">
        <v>142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191</v>
      </c>
      <c r="DT349">
        <v>270</v>
      </c>
      <c r="DU349">
        <v>68</v>
      </c>
      <c r="DV349">
        <v>0</v>
      </c>
      <c r="DW349">
        <v>0</v>
      </c>
      <c r="DX349">
        <v>2</v>
      </c>
      <c r="DY349">
        <v>1320</v>
      </c>
      <c r="DZ349">
        <v>880</v>
      </c>
      <c r="EA349">
        <v>792</v>
      </c>
      <c r="EB349">
        <v>1320</v>
      </c>
      <c r="EC349">
        <v>88</v>
      </c>
      <c r="ED349">
        <v>1452</v>
      </c>
      <c r="EE349">
        <v>2948</v>
      </c>
      <c r="EF349">
        <v>0</v>
      </c>
      <c r="EG349">
        <v>1</v>
      </c>
      <c r="EH349">
        <v>1.4</v>
      </c>
      <c r="EI349">
        <v>2.9</v>
      </c>
      <c r="EJ349">
        <v>0.3</v>
      </c>
      <c r="EK349">
        <v>4.3</v>
      </c>
    </row>
    <row r="350" spans="1:141" x14ac:dyDescent="0.25">
      <c r="A350" t="str">
        <f>[1]ingredient!B350</f>
        <v>Rosenkohl rot</v>
      </c>
      <c r="B350" t="s">
        <v>417</v>
      </c>
      <c r="C350" s="7">
        <f>_xlfn.XLOOKUP(A350,[1]ingredient!$B$2:$B$521,[1]ingredient!$A$2:$A$521)</f>
        <v>349</v>
      </c>
      <c r="D350">
        <v>36</v>
      </c>
      <c r="E350">
        <v>0.34</v>
      </c>
      <c r="F350">
        <v>4</v>
      </c>
      <c r="G350">
        <v>3</v>
      </c>
      <c r="H350">
        <v>4</v>
      </c>
      <c r="I350">
        <v>3</v>
      </c>
      <c r="J350">
        <v>0.05</v>
      </c>
      <c r="K350">
        <v>86</v>
      </c>
      <c r="L350">
        <v>75</v>
      </c>
      <c r="M350">
        <v>37</v>
      </c>
      <c r="N350">
        <v>0</v>
      </c>
      <c r="O350">
        <v>447</v>
      </c>
      <c r="P350">
        <v>126</v>
      </c>
      <c r="Q350">
        <v>134</v>
      </c>
      <c r="R350">
        <v>670</v>
      </c>
      <c r="S350">
        <v>1420</v>
      </c>
      <c r="T350">
        <v>500</v>
      </c>
      <c r="U350">
        <v>280</v>
      </c>
      <c r="V350">
        <v>0.4</v>
      </c>
      <c r="W350">
        <v>78</v>
      </c>
      <c r="X350">
        <v>0</v>
      </c>
      <c r="Y350">
        <v>112000</v>
      </c>
      <c r="Z350">
        <v>0</v>
      </c>
      <c r="AA350">
        <v>560</v>
      </c>
      <c r="AB350">
        <v>250</v>
      </c>
      <c r="AC350">
        <v>10</v>
      </c>
      <c r="AD350">
        <v>387</v>
      </c>
      <c r="AE350">
        <v>31</v>
      </c>
      <c r="AF350">
        <v>22</v>
      </c>
      <c r="AG350">
        <v>84</v>
      </c>
      <c r="AH350">
        <v>93</v>
      </c>
      <c r="AI350">
        <v>40</v>
      </c>
      <c r="AJ350">
        <v>1100</v>
      </c>
      <c r="AK350">
        <v>590</v>
      </c>
      <c r="AL350">
        <v>65</v>
      </c>
      <c r="AM350">
        <v>260</v>
      </c>
      <c r="AN350">
        <v>10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987</v>
      </c>
      <c r="AU350">
        <v>888</v>
      </c>
      <c r="AV350">
        <v>0</v>
      </c>
      <c r="AW350">
        <v>1875</v>
      </c>
      <c r="AX350">
        <v>1086</v>
      </c>
      <c r="AY350">
        <v>0</v>
      </c>
      <c r="AZ350">
        <v>0</v>
      </c>
      <c r="BA350">
        <v>1086</v>
      </c>
      <c r="BB350">
        <v>0</v>
      </c>
      <c r="BC350">
        <v>0</v>
      </c>
      <c r="BD350">
        <v>0</v>
      </c>
      <c r="BE350">
        <v>329</v>
      </c>
      <c r="BF350">
        <v>329</v>
      </c>
      <c r="BG350">
        <f t="shared" si="53"/>
        <v>72.826086956521735</v>
      </c>
      <c r="BH350">
        <v>182</v>
      </c>
      <c r="BI350">
        <v>200</v>
      </c>
      <c r="BJ350">
        <v>187</v>
      </c>
      <c r="BK350">
        <v>45</v>
      </c>
      <c r="BL350">
        <v>22</v>
      </c>
      <c r="BM350">
        <v>125</v>
      </c>
      <c r="BN350">
        <v>89</v>
      </c>
      <c r="BO350">
        <v>142</v>
      </c>
      <c r="BP350">
        <v>45</v>
      </c>
      <c r="BQ350">
        <v>169</v>
      </c>
      <c r="BR350">
        <v>276</v>
      </c>
      <c r="BS350">
        <v>93</v>
      </c>
      <c r="BT350">
        <v>1575</v>
      </c>
      <c r="BU350">
        <v>214</v>
      </c>
      <c r="BV350">
        <v>454</v>
      </c>
      <c r="BW350">
        <v>712</v>
      </c>
      <c r="BX350">
        <v>169</v>
      </c>
      <c r="BY350">
        <v>787</v>
      </c>
      <c r="BZ350">
        <v>227</v>
      </c>
      <c r="CA350">
        <v>2563</v>
      </c>
      <c r="CB350">
        <v>60</v>
      </c>
      <c r="CC350">
        <v>25</v>
      </c>
      <c r="CD350">
        <v>142</v>
      </c>
      <c r="CE350">
        <v>49</v>
      </c>
      <c r="CF350">
        <v>0.35</v>
      </c>
      <c r="CG350">
        <v>0</v>
      </c>
      <c r="CH350">
        <v>0</v>
      </c>
      <c r="CI350">
        <v>2</v>
      </c>
      <c r="CJ350">
        <v>0</v>
      </c>
      <c r="CK350">
        <v>0</v>
      </c>
      <c r="CL350">
        <v>1</v>
      </c>
      <c r="CM350">
        <v>0</v>
      </c>
      <c r="CN350">
        <v>56</v>
      </c>
      <c r="CO350">
        <v>0</v>
      </c>
      <c r="CP350">
        <v>3</v>
      </c>
      <c r="CQ350">
        <v>0</v>
      </c>
      <c r="CR350">
        <v>0</v>
      </c>
      <c r="CS350">
        <v>0</v>
      </c>
      <c r="CT350">
        <v>62</v>
      </c>
      <c r="CU350">
        <v>0</v>
      </c>
      <c r="CV350">
        <v>0</v>
      </c>
      <c r="CW350">
        <v>2</v>
      </c>
      <c r="CX350">
        <v>0</v>
      </c>
      <c r="CY350">
        <v>17</v>
      </c>
      <c r="CZ350">
        <v>0</v>
      </c>
      <c r="DA350">
        <v>0</v>
      </c>
      <c r="DB350">
        <v>0</v>
      </c>
      <c r="DC350">
        <v>19</v>
      </c>
      <c r="DD350">
        <v>0</v>
      </c>
      <c r="DE350">
        <v>0</v>
      </c>
      <c r="DF350">
        <v>49</v>
      </c>
      <c r="DG350">
        <v>142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191</v>
      </c>
      <c r="DT350">
        <v>270</v>
      </c>
      <c r="DU350">
        <v>68</v>
      </c>
      <c r="DV350">
        <v>0</v>
      </c>
      <c r="DW350">
        <v>0</v>
      </c>
      <c r="DX350">
        <v>2</v>
      </c>
      <c r="DY350">
        <v>1320</v>
      </c>
      <c r="DZ350">
        <v>880</v>
      </c>
      <c r="EA350">
        <v>792</v>
      </c>
      <c r="EB350">
        <v>1320</v>
      </c>
      <c r="EC350">
        <v>88</v>
      </c>
      <c r="ED350">
        <v>1452</v>
      </c>
      <c r="EE350">
        <v>2948</v>
      </c>
      <c r="EF350">
        <v>0</v>
      </c>
      <c r="EG350">
        <v>1</v>
      </c>
      <c r="EH350">
        <v>1.4</v>
      </c>
      <c r="EI350">
        <v>2.9</v>
      </c>
      <c r="EJ350">
        <v>0.3</v>
      </c>
      <c r="EK350">
        <v>4.3</v>
      </c>
    </row>
    <row r="351" spans="1:141" x14ac:dyDescent="0.25">
      <c r="A351" t="str">
        <f>[1]ingredient!B351</f>
        <v>Rosenkohl, gefroren</v>
      </c>
      <c r="B351" s="11" t="s">
        <v>418</v>
      </c>
      <c r="C351" s="7"/>
      <c r="D351"/>
    </row>
    <row r="352" spans="1:141" x14ac:dyDescent="0.25">
      <c r="A352" t="str">
        <f>[1]ingredient!B352</f>
        <v>Rosmarin</v>
      </c>
      <c r="B352" s="14" t="s">
        <v>419</v>
      </c>
      <c r="C352" s="7">
        <f>_xlfn.XLOOKUP(A352,[1]ingredient!$B$2:$B$521,[1]ingredient!$A$2:$A$521)</f>
        <v>351</v>
      </c>
      <c r="D352">
        <v>57</v>
      </c>
      <c r="E352">
        <v>3</v>
      </c>
      <c r="F352">
        <v>1</v>
      </c>
      <c r="G352">
        <v>8</v>
      </c>
      <c r="H352">
        <v>3</v>
      </c>
      <c r="I352">
        <v>8</v>
      </c>
      <c r="J352">
        <v>0.04</v>
      </c>
      <c r="K352">
        <v>85</v>
      </c>
      <c r="L352">
        <v>52</v>
      </c>
      <c r="M352">
        <v>26</v>
      </c>
      <c r="N352">
        <v>0</v>
      </c>
      <c r="O352">
        <v>310</v>
      </c>
      <c r="P352">
        <v>85</v>
      </c>
      <c r="Q352">
        <v>0</v>
      </c>
      <c r="R352">
        <v>165</v>
      </c>
      <c r="S352">
        <v>298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8</v>
      </c>
      <c r="AD352">
        <v>157</v>
      </c>
      <c r="AE352">
        <v>211</v>
      </c>
      <c r="AF352">
        <v>36</v>
      </c>
      <c r="AG352">
        <v>12</v>
      </c>
      <c r="AH352">
        <v>17</v>
      </c>
      <c r="AI352">
        <v>33</v>
      </c>
      <c r="AJ352">
        <v>4837</v>
      </c>
      <c r="AK352">
        <v>528</v>
      </c>
      <c r="AL352">
        <v>91</v>
      </c>
      <c r="AM352">
        <v>83</v>
      </c>
      <c r="AN352">
        <v>17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3064</v>
      </c>
      <c r="AU352">
        <v>3064</v>
      </c>
      <c r="AV352">
        <v>0</v>
      </c>
      <c r="AW352">
        <v>6128</v>
      </c>
      <c r="AX352">
        <v>1456</v>
      </c>
      <c r="AY352">
        <v>0</v>
      </c>
      <c r="AZ352">
        <v>0</v>
      </c>
      <c r="BA352">
        <v>1456</v>
      </c>
      <c r="BB352">
        <v>0</v>
      </c>
      <c r="BC352">
        <v>0</v>
      </c>
      <c r="BD352">
        <v>0</v>
      </c>
      <c r="BE352">
        <v>77</v>
      </c>
      <c r="BF352">
        <v>77</v>
      </c>
      <c r="BG352">
        <f t="shared" si="53"/>
        <v>75</v>
      </c>
      <c r="BH352">
        <v>32</v>
      </c>
      <c r="BI352">
        <v>49</v>
      </c>
      <c r="BJ352">
        <v>40</v>
      </c>
      <c r="BK352">
        <v>10</v>
      </c>
      <c r="BL352">
        <v>8</v>
      </c>
      <c r="BM352">
        <v>24</v>
      </c>
      <c r="BN352">
        <v>16</v>
      </c>
      <c r="BO352">
        <v>28</v>
      </c>
      <c r="BP352">
        <v>8</v>
      </c>
      <c r="BQ352">
        <v>32</v>
      </c>
      <c r="BR352">
        <v>32</v>
      </c>
      <c r="BS352">
        <v>12</v>
      </c>
      <c r="BT352">
        <v>291</v>
      </c>
      <c r="BU352">
        <v>40</v>
      </c>
      <c r="BV352">
        <v>81</v>
      </c>
      <c r="BW352">
        <v>124</v>
      </c>
      <c r="BX352">
        <v>23</v>
      </c>
      <c r="BY352">
        <v>32</v>
      </c>
      <c r="BZ352">
        <v>24</v>
      </c>
      <c r="CA352">
        <v>324</v>
      </c>
      <c r="CB352">
        <v>124</v>
      </c>
      <c r="CC352">
        <v>52</v>
      </c>
      <c r="CD352">
        <v>602</v>
      </c>
      <c r="CE352">
        <v>803</v>
      </c>
      <c r="CF352">
        <v>1.33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10</v>
      </c>
      <c r="CM352">
        <v>0</v>
      </c>
      <c r="CN352">
        <v>391</v>
      </c>
      <c r="CO352">
        <v>0</v>
      </c>
      <c r="CP352">
        <v>60</v>
      </c>
      <c r="CQ352">
        <v>0</v>
      </c>
      <c r="CR352">
        <v>0</v>
      </c>
      <c r="CS352">
        <v>0</v>
      </c>
      <c r="CT352">
        <v>461</v>
      </c>
      <c r="CU352">
        <v>0</v>
      </c>
      <c r="CV352">
        <v>0</v>
      </c>
      <c r="CW352">
        <v>20</v>
      </c>
      <c r="CX352">
        <v>0</v>
      </c>
      <c r="CY352">
        <v>121</v>
      </c>
      <c r="CZ352">
        <v>0</v>
      </c>
      <c r="DA352">
        <v>0</v>
      </c>
      <c r="DB352">
        <v>0</v>
      </c>
      <c r="DC352">
        <v>141</v>
      </c>
      <c r="DD352">
        <v>0</v>
      </c>
      <c r="DE352">
        <v>0</v>
      </c>
      <c r="DF352">
        <v>803</v>
      </c>
      <c r="DG352">
        <v>602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1405</v>
      </c>
      <c r="DT352">
        <v>2007</v>
      </c>
      <c r="DU352">
        <v>502</v>
      </c>
      <c r="DV352">
        <v>0</v>
      </c>
      <c r="DW352">
        <v>0</v>
      </c>
      <c r="DX352">
        <v>0</v>
      </c>
      <c r="DY352">
        <v>437</v>
      </c>
      <c r="DZ352">
        <v>583</v>
      </c>
      <c r="EA352">
        <v>787</v>
      </c>
      <c r="EB352">
        <v>1019</v>
      </c>
      <c r="EC352">
        <v>88</v>
      </c>
      <c r="ED352">
        <v>874</v>
      </c>
      <c r="EE352">
        <v>2040</v>
      </c>
      <c r="EF352">
        <v>0</v>
      </c>
      <c r="EG352">
        <v>0.03</v>
      </c>
      <c r="EH352">
        <v>1.1000000000000001</v>
      </c>
      <c r="EI352">
        <v>2</v>
      </c>
      <c r="EJ352">
        <v>2.5</v>
      </c>
      <c r="EK352">
        <v>1</v>
      </c>
    </row>
    <row r="353" spans="1:141" x14ac:dyDescent="0.25">
      <c r="A353" t="str">
        <f>[1]ingredient!B353</f>
        <v>Rosmarin, getrocknet</v>
      </c>
      <c r="B353" t="s">
        <v>420</v>
      </c>
      <c r="C353" s="7">
        <f>_xlfn.XLOOKUP(A353,[1]ingredient!$B$2:$B$521,[1]ingredient!$A$2:$A$521)</f>
        <v>352</v>
      </c>
      <c r="D353">
        <v>343</v>
      </c>
      <c r="E353">
        <v>15</v>
      </c>
      <c r="F353">
        <v>5</v>
      </c>
      <c r="G353">
        <v>46</v>
      </c>
      <c r="H353">
        <v>18</v>
      </c>
      <c r="I353">
        <v>46</v>
      </c>
      <c r="J353">
        <v>0.25</v>
      </c>
      <c r="K353">
        <v>9</v>
      </c>
      <c r="L353">
        <v>313</v>
      </c>
      <c r="M353">
        <v>157</v>
      </c>
      <c r="N353">
        <v>0</v>
      </c>
      <c r="O353">
        <v>1880</v>
      </c>
      <c r="P353">
        <v>514</v>
      </c>
      <c r="Q353">
        <v>0</v>
      </c>
      <c r="R353">
        <v>1000</v>
      </c>
      <c r="S353">
        <v>1817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50</v>
      </c>
      <c r="AD353">
        <v>950</v>
      </c>
      <c r="AE353">
        <v>1280</v>
      </c>
      <c r="AF353">
        <v>220</v>
      </c>
      <c r="AG353">
        <v>70</v>
      </c>
      <c r="AH353">
        <v>100</v>
      </c>
      <c r="AI353">
        <v>200</v>
      </c>
      <c r="AJ353">
        <v>29300</v>
      </c>
      <c r="AK353">
        <v>3200</v>
      </c>
      <c r="AL353">
        <v>550</v>
      </c>
      <c r="AM353">
        <v>500</v>
      </c>
      <c r="AN353">
        <v>100</v>
      </c>
      <c r="AO353">
        <v>5</v>
      </c>
      <c r="AP353">
        <v>0</v>
      </c>
      <c r="AQ353">
        <v>0</v>
      </c>
      <c r="AR353">
        <v>0</v>
      </c>
      <c r="AS353">
        <v>0</v>
      </c>
      <c r="AT353">
        <v>18560</v>
      </c>
      <c r="AU353">
        <v>18560</v>
      </c>
      <c r="AV353">
        <v>0</v>
      </c>
      <c r="AW353">
        <v>37120</v>
      </c>
      <c r="AX353">
        <v>8816</v>
      </c>
      <c r="AY353">
        <v>0</v>
      </c>
      <c r="AZ353">
        <v>0</v>
      </c>
      <c r="BA353">
        <v>8816</v>
      </c>
      <c r="BB353">
        <v>0</v>
      </c>
      <c r="BC353">
        <v>0</v>
      </c>
      <c r="BD353">
        <v>0</v>
      </c>
      <c r="BE353">
        <v>464</v>
      </c>
      <c r="BF353">
        <v>464</v>
      </c>
      <c r="BG353">
        <f t="shared" si="53"/>
        <v>92.5</v>
      </c>
      <c r="BH353">
        <v>196</v>
      </c>
      <c r="BI353">
        <v>294</v>
      </c>
      <c r="BJ353">
        <v>245</v>
      </c>
      <c r="BK353">
        <v>59</v>
      </c>
      <c r="BL353">
        <v>49</v>
      </c>
      <c r="BM353">
        <v>147</v>
      </c>
      <c r="BN353">
        <v>98</v>
      </c>
      <c r="BO353">
        <v>172</v>
      </c>
      <c r="BP353">
        <v>49</v>
      </c>
      <c r="BQ353">
        <v>196</v>
      </c>
      <c r="BR353">
        <v>196</v>
      </c>
      <c r="BS353">
        <v>74</v>
      </c>
      <c r="BT353">
        <v>1775</v>
      </c>
      <c r="BU353">
        <v>245</v>
      </c>
      <c r="BV353">
        <v>490</v>
      </c>
      <c r="BW353">
        <v>734</v>
      </c>
      <c r="BX353">
        <v>137</v>
      </c>
      <c r="BY353">
        <v>196</v>
      </c>
      <c r="BZ353">
        <v>147</v>
      </c>
      <c r="CA353">
        <v>1949</v>
      </c>
      <c r="CB353">
        <v>749</v>
      </c>
      <c r="CC353">
        <v>312</v>
      </c>
      <c r="CD353">
        <v>3648</v>
      </c>
      <c r="CE353">
        <v>4863</v>
      </c>
      <c r="CF353">
        <v>1.33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61</v>
      </c>
      <c r="CM353">
        <v>0</v>
      </c>
      <c r="CN353">
        <v>2371</v>
      </c>
      <c r="CO353">
        <v>0</v>
      </c>
      <c r="CP353">
        <v>365</v>
      </c>
      <c r="CQ353">
        <v>0</v>
      </c>
      <c r="CR353">
        <v>0</v>
      </c>
      <c r="CS353">
        <v>0</v>
      </c>
      <c r="CT353">
        <v>2797</v>
      </c>
      <c r="CU353">
        <v>0</v>
      </c>
      <c r="CV353">
        <v>0</v>
      </c>
      <c r="CW353">
        <v>122</v>
      </c>
      <c r="CX353">
        <v>0</v>
      </c>
      <c r="CY353">
        <v>730</v>
      </c>
      <c r="CZ353">
        <v>0</v>
      </c>
      <c r="DA353">
        <v>0</v>
      </c>
      <c r="DB353">
        <v>0</v>
      </c>
      <c r="DC353">
        <v>852</v>
      </c>
      <c r="DD353">
        <v>0</v>
      </c>
      <c r="DE353">
        <v>0</v>
      </c>
      <c r="DF353">
        <v>4863</v>
      </c>
      <c r="DG353">
        <v>3648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8511</v>
      </c>
      <c r="DT353">
        <v>12160</v>
      </c>
      <c r="DU353">
        <v>3040</v>
      </c>
      <c r="DV353">
        <v>0</v>
      </c>
      <c r="DW353">
        <v>0</v>
      </c>
      <c r="DX353">
        <v>0</v>
      </c>
      <c r="DY353">
        <v>2648</v>
      </c>
      <c r="DZ353">
        <v>3530</v>
      </c>
      <c r="EA353">
        <v>4766</v>
      </c>
      <c r="EB353">
        <v>6176</v>
      </c>
      <c r="EC353">
        <v>530</v>
      </c>
      <c r="ED353">
        <v>5295</v>
      </c>
      <c r="EE353">
        <v>12355</v>
      </c>
      <c r="EF353">
        <v>0</v>
      </c>
      <c r="EG353">
        <v>0.18</v>
      </c>
      <c r="EH353">
        <v>6.5</v>
      </c>
      <c r="EI353">
        <v>12.4</v>
      </c>
      <c r="EJ353">
        <v>15.2</v>
      </c>
      <c r="EK353">
        <v>6.2</v>
      </c>
    </row>
    <row r="354" spans="1:141" x14ac:dyDescent="0.25">
      <c r="A354" t="str">
        <f>[1]ingredient!B354</f>
        <v>Rote Beete</v>
      </c>
      <c r="B354" t="s">
        <v>411</v>
      </c>
      <c r="C354" s="7">
        <f>_xlfn.XLOOKUP(A354,[1]ingredient!$B$2:$B$521,[1]ingredient!$A$2:$A$521)</f>
        <v>353</v>
      </c>
      <c r="D354">
        <v>42</v>
      </c>
      <c r="E354">
        <v>0.1</v>
      </c>
      <c r="F354">
        <v>2</v>
      </c>
      <c r="G354">
        <v>8</v>
      </c>
      <c r="H354">
        <v>3</v>
      </c>
      <c r="I354">
        <v>8</v>
      </c>
      <c r="J354">
        <v>0.14000000000000001</v>
      </c>
      <c r="K354">
        <v>86</v>
      </c>
      <c r="L354">
        <v>2</v>
      </c>
      <c r="M354">
        <v>1</v>
      </c>
      <c r="N354">
        <v>0</v>
      </c>
      <c r="O354">
        <v>11</v>
      </c>
      <c r="P354">
        <v>22</v>
      </c>
      <c r="Q354">
        <v>42</v>
      </c>
      <c r="R354">
        <v>230</v>
      </c>
      <c r="S354">
        <v>430</v>
      </c>
      <c r="T354">
        <v>130</v>
      </c>
      <c r="U354">
        <v>50</v>
      </c>
      <c r="V354">
        <v>0.1</v>
      </c>
      <c r="W354">
        <v>93</v>
      </c>
      <c r="X354">
        <v>0</v>
      </c>
      <c r="Y354">
        <v>10000</v>
      </c>
      <c r="Z354">
        <v>0</v>
      </c>
      <c r="AA354">
        <v>47</v>
      </c>
      <c r="AB354">
        <v>5</v>
      </c>
      <c r="AC354">
        <v>58</v>
      </c>
      <c r="AD354">
        <v>336</v>
      </c>
      <c r="AE354">
        <v>29</v>
      </c>
      <c r="AF354">
        <v>25</v>
      </c>
      <c r="AG354">
        <v>45</v>
      </c>
      <c r="AH354">
        <v>16</v>
      </c>
      <c r="AI354">
        <v>82</v>
      </c>
      <c r="AJ354">
        <v>930</v>
      </c>
      <c r="AK354">
        <v>344</v>
      </c>
      <c r="AL354">
        <v>80</v>
      </c>
      <c r="AM354">
        <v>155</v>
      </c>
      <c r="AN354">
        <v>20</v>
      </c>
      <c r="AO354">
        <v>0.4</v>
      </c>
      <c r="AP354">
        <v>0</v>
      </c>
      <c r="AQ354">
        <v>0</v>
      </c>
      <c r="AR354">
        <v>0</v>
      </c>
      <c r="AS354">
        <v>0</v>
      </c>
      <c r="AT354">
        <v>335</v>
      </c>
      <c r="AU354">
        <v>335</v>
      </c>
      <c r="AV354">
        <v>0</v>
      </c>
      <c r="AW354">
        <v>670</v>
      </c>
      <c r="AX354">
        <v>7710</v>
      </c>
      <c r="AY354">
        <v>0</v>
      </c>
      <c r="AZ354">
        <v>0</v>
      </c>
      <c r="BA354">
        <v>7710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f t="shared" si="53"/>
        <v>47.5</v>
      </c>
      <c r="BH354">
        <v>38</v>
      </c>
      <c r="BI354">
        <v>61</v>
      </c>
      <c r="BJ354">
        <v>80</v>
      </c>
      <c r="BK354">
        <v>28</v>
      </c>
      <c r="BL354">
        <v>17</v>
      </c>
      <c r="BM354">
        <v>46</v>
      </c>
      <c r="BN354">
        <v>54</v>
      </c>
      <c r="BO354">
        <v>44</v>
      </c>
      <c r="BP354">
        <v>12</v>
      </c>
      <c r="BQ354">
        <v>38</v>
      </c>
      <c r="BR354">
        <v>31</v>
      </c>
      <c r="BS354">
        <v>18</v>
      </c>
      <c r="BT354">
        <v>467</v>
      </c>
      <c r="BU354">
        <v>35</v>
      </c>
      <c r="BV354">
        <v>110</v>
      </c>
      <c r="BW354">
        <v>398</v>
      </c>
      <c r="BX354">
        <v>31</v>
      </c>
      <c r="BY354">
        <v>38</v>
      </c>
      <c r="BZ354">
        <v>38</v>
      </c>
      <c r="CA354">
        <v>650</v>
      </c>
      <c r="CB354">
        <v>20</v>
      </c>
      <c r="CC354">
        <v>8</v>
      </c>
      <c r="CD354">
        <v>8</v>
      </c>
      <c r="CE354">
        <v>42</v>
      </c>
      <c r="CF354">
        <v>5.25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19</v>
      </c>
      <c r="CO354">
        <v>0</v>
      </c>
      <c r="CP354">
        <v>1</v>
      </c>
      <c r="CQ354">
        <v>0</v>
      </c>
      <c r="CR354">
        <v>0</v>
      </c>
      <c r="CS354">
        <v>0</v>
      </c>
      <c r="CT354">
        <v>20</v>
      </c>
      <c r="CU354">
        <v>0</v>
      </c>
      <c r="CV354">
        <v>0</v>
      </c>
      <c r="CW354">
        <v>0</v>
      </c>
      <c r="CX354">
        <v>0</v>
      </c>
      <c r="CY354">
        <v>10</v>
      </c>
      <c r="CZ354">
        <v>0</v>
      </c>
      <c r="DA354">
        <v>0</v>
      </c>
      <c r="DB354">
        <v>0</v>
      </c>
      <c r="DC354">
        <v>10</v>
      </c>
      <c r="DD354">
        <v>0</v>
      </c>
      <c r="DE354">
        <v>0</v>
      </c>
      <c r="DF354">
        <v>42</v>
      </c>
      <c r="DG354">
        <v>8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50</v>
      </c>
      <c r="DT354">
        <v>80</v>
      </c>
      <c r="DU354">
        <v>20</v>
      </c>
      <c r="DV354">
        <v>0</v>
      </c>
      <c r="DW354">
        <v>0</v>
      </c>
      <c r="DX354">
        <v>0</v>
      </c>
      <c r="DY354">
        <v>1000</v>
      </c>
      <c r="DZ354">
        <v>500</v>
      </c>
      <c r="EA354">
        <v>225</v>
      </c>
      <c r="EB354">
        <v>750</v>
      </c>
      <c r="EC354">
        <v>25</v>
      </c>
      <c r="ED354">
        <v>625</v>
      </c>
      <c r="EE354">
        <v>1875</v>
      </c>
      <c r="EF354">
        <v>0</v>
      </c>
      <c r="EG354">
        <v>0.23</v>
      </c>
      <c r="EH354">
        <v>1</v>
      </c>
      <c r="EI354">
        <v>1.9</v>
      </c>
      <c r="EJ354">
        <v>0.1</v>
      </c>
      <c r="EK354">
        <v>1.2</v>
      </c>
    </row>
    <row r="355" spans="1:141" x14ac:dyDescent="0.25">
      <c r="A355" t="str">
        <f>[1]ingredient!B355</f>
        <v>Rote Linsennudeln</v>
      </c>
      <c r="B355" t="s">
        <v>241</v>
      </c>
      <c r="C355" s="7">
        <f>_xlfn.XLOOKUP(A355,[1]ingredient!$B$2:$B$521,[1]ingredient!$A$2:$A$521)</f>
        <v>354</v>
      </c>
      <c r="D355">
        <v>348</v>
      </c>
      <c r="E355">
        <v>2</v>
      </c>
      <c r="F355">
        <v>23</v>
      </c>
      <c r="G355">
        <v>56</v>
      </c>
      <c r="H355">
        <v>6</v>
      </c>
      <c r="I355">
        <v>2</v>
      </c>
      <c r="J355">
        <v>0.09</v>
      </c>
      <c r="K355">
        <v>9</v>
      </c>
      <c r="L355">
        <v>0</v>
      </c>
      <c r="M355">
        <v>8</v>
      </c>
      <c r="N355">
        <v>0</v>
      </c>
      <c r="O355">
        <v>100</v>
      </c>
      <c r="P355">
        <v>400</v>
      </c>
      <c r="Q355">
        <v>300</v>
      </c>
      <c r="R355">
        <v>2200</v>
      </c>
      <c r="S355">
        <v>5900</v>
      </c>
      <c r="T355">
        <v>1600</v>
      </c>
      <c r="U355">
        <v>600</v>
      </c>
      <c r="V355">
        <v>9</v>
      </c>
      <c r="W355">
        <v>132</v>
      </c>
      <c r="X355">
        <v>0</v>
      </c>
      <c r="Y355">
        <v>1000</v>
      </c>
      <c r="Z355">
        <v>0</v>
      </c>
      <c r="AA355">
        <v>0</v>
      </c>
      <c r="AB355">
        <v>22</v>
      </c>
      <c r="AC355">
        <v>4</v>
      </c>
      <c r="AD355">
        <v>840</v>
      </c>
      <c r="AE355">
        <v>71</v>
      </c>
      <c r="AF355">
        <v>129</v>
      </c>
      <c r="AG355">
        <v>411</v>
      </c>
      <c r="AH355">
        <v>120</v>
      </c>
      <c r="AI355">
        <v>84</v>
      </c>
      <c r="AJ355">
        <v>7500</v>
      </c>
      <c r="AK355">
        <v>3600</v>
      </c>
      <c r="AL355">
        <v>700</v>
      </c>
      <c r="AM355">
        <v>1400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2200</v>
      </c>
      <c r="AY355">
        <v>0</v>
      </c>
      <c r="AZ355">
        <v>0</v>
      </c>
      <c r="BA355">
        <v>2200</v>
      </c>
      <c r="BB355">
        <v>2800</v>
      </c>
      <c r="BC355">
        <v>2380</v>
      </c>
      <c r="BD355">
        <v>0</v>
      </c>
      <c r="BE355">
        <v>51000</v>
      </c>
      <c r="BF355">
        <v>0</v>
      </c>
      <c r="BG355">
        <f t="shared" si="53"/>
        <v>77.882797731568999</v>
      </c>
      <c r="BH355">
        <v>1089</v>
      </c>
      <c r="BI355">
        <v>1743</v>
      </c>
      <c r="BJ355">
        <v>1694</v>
      </c>
      <c r="BK355">
        <v>194</v>
      </c>
      <c r="BL355">
        <v>218</v>
      </c>
      <c r="BM355">
        <v>1211</v>
      </c>
      <c r="BN355">
        <v>774</v>
      </c>
      <c r="BO355">
        <v>968</v>
      </c>
      <c r="BP355">
        <v>218</v>
      </c>
      <c r="BQ355">
        <v>1308</v>
      </c>
      <c r="BR355">
        <v>1912</v>
      </c>
      <c r="BS355">
        <v>581</v>
      </c>
      <c r="BT355">
        <v>11911</v>
      </c>
      <c r="BU355">
        <v>1041</v>
      </c>
      <c r="BV355">
        <v>2784</v>
      </c>
      <c r="BW355">
        <v>3995</v>
      </c>
      <c r="BX355">
        <v>993</v>
      </c>
      <c r="BY355">
        <v>1017</v>
      </c>
      <c r="BZ355">
        <v>1259</v>
      </c>
      <c r="CA355">
        <v>11089</v>
      </c>
      <c r="CB355">
        <v>200</v>
      </c>
      <c r="CC355">
        <v>67</v>
      </c>
      <c r="CD355">
        <v>100</v>
      </c>
      <c r="CE355">
        <v>600</v>
      </c>
      <c r="CF355">
        <v>6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265</v>
      </c>
      <c r="CO355">
        <v>0</v>
      </c>
      <c r="CP355">
        <v>18</v>
      </c>
      <c r="CQ355">
        <v>18</v>
      </c>
      <c r="CR355">
        <v>0</v>
      </c>
      <c r="CS355">
        <v>0</v>
      </c>
      <c r="CT355">
        <v>300</v>
      </c>
      <c r="CU355">
        <v>0</v>
      </c>
      <c r="CV355">
        <v>0</v>
      </c>
      <c r="CW355">
        <v>0</v>
      </c>
      <c r="CX355">
        <v>0</v>
      </c>
      <c r="CY355">
        <v>267</v>
      </c>
      <c r="CZ355">
        <v>13</v>
      </c>
      <c r="DA355">
        <v>0</v>
      </c>
      <c r="DB355">
        <v>0</v>
      </c>
      <c r="DC355">
        <v>300</v>
      </c>
      <c r="DD355">
        <v>0</v>
      </c>
      <c r="DE355">
        <v>0</v>
      </c>
      <c r="DF355">
        <v>600</v>
      </c>
      <c r="DG355">
        <v>100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800</v>
      </c>
      <c r="DT355">
        <v>1331</v>
      </c>
      <c r="DU355">
        <v>369</v>
      </c>
      <c r="DV355">
        <v>0</v>
      </c>
      <c r="DW355">
        <v>0</v>
      </c>
      <c r="DX355">
        <v>0</v>
      </c>
      <c r="DY355">
        <v>767</v>
      </c>
      <c r="DZ355">
        <v>2065</v>
      </c>
      <c r="EA355">
        <v>767</v>
      </c>
      <c r="EB355">
        <v>2183</v>
      </c>
      <c r="EC355">
        <v>118</v>
      </c>
      <c r="ED355">
        <v>2360</v>
      </c>
      <c r="EE355">
        <v>3540</v>
      </c>
      <c r="EF355">
        <v>0</v>
      </c>
      <c r="EG355">
        <v>0</v>
      </c>
      <c r="EH355">
        <v>1.7</v>
      </c>
      <c r="EI355">
        <v>3.5</v>
      </c>
      <c r="EJ355">
        <v>1.7</v>
      </c>
      <c r="EK355">
        <v>23.6</v>
      </c>
    </row>
    <row r="356" spans="1:141" x14ac:dyDescent="0.25">
      <c r="A356" t="str">
        <f>[1]ingredient!B356</f>
        <v>Rotkohl</v>
      </c>
      <c r="B356" t="s">
        <v>421</v>
      </c>
      <c r="C356" s="7">
        <f>_xlfn.XLOOKUP(A356,[1]ingredient!$B$2:$B$521,[1]ingredient!$A$2:$A$521)</f>
        <v>355</v>
      </c>
      <c r="D356">
        <v>23</v>
      </c>
      <c r="E356">
        <v>0.18</v>
      </c>
      <c r="F356">
        <v>2</v>
      </c>
      <c r="G356">
        <v>4</v>
      </c>
      <c r="H356">
        <v>3</v>
      </c>
      <c r="I356">
        <v>3</v>
      </c>
      <c r="J356">
        <v>0.1</v>
      </c>
      <c r="K356">
        <v>91</v>
      </c>
      <c r="L356">
        <v>3</v>
      </c>
      <c r="M356">
        <v>1</v>
      </c>
      <c r="N356">
        <v>0</v>
      </c>
      <c r="O356">
        <v>15</v>
      </c>
      <c r="P356">
        <v>68</v>
      </c>
      <c r="Q356">
        <v>50</v>
      </c>
      <c r="R356">
        <v>400</v>
      </c>
      <c r="S356">
        <v>650</v>
      </c>
      <c r="T356">
        <v>320</v>
      </c>
      <c r="U356">
        <v>150</v>
      </c>
      <c r="V356">
        <v>2</v>
      </c>
      <c r="W356">
        <v>39</v>
      </c>
      <c r="X356">
        <v>0</v>
      </c>
      <c r="Y356">
        <v>50000</v>
      </c>
      <c r="Z356">
        <v>0</v>
      </c>
      <c r="AA356">
        <v>1700</v>
      </c>
      <c r="AB356">
        <v>100</v>
      </c>
      <c r="AC356">
        <v>4</v>
      </c>
      <c r="AD356">
        <v>266</v>
      </c>
      <c r="AE356">
        <v>35</v>
      </c>
      <c r="AF356">
        <v>18</v>
      </c>
      <c r="AG356">
        <v>30</v>
      </c>
      <c r="AH356">
        <v>68</v>
      </c>
      <c r="AI356">
        <v>100</v>
      </c>
      <c r="AJ356">
        <v>500</v>
      </c>
      <c r="AK356">
        <v>239</v>
      </c>
      <c r="AL356">
        <v>42</v>
      </c>
      <c r="AM356">
        <v>100</v>
      </c>
      <c r="AN356">
        <v>12</v>
      </c>
      <c r="AO356">
        <v>5</v>
      </c>
      <c r="AP356">
        <v>0</v>
      </c>
      <c r="AQ356">
        <v>0</v>
      </c>
      <c r="AR356">
        <v>0</v>
      </c>
      <c r="AS356">
        <v>0</v>
      </c>
      <c r="AT356">
        <v>1310</v>
      </c>
      <c r="AU356">
        <v>1805</v>
      </c>
      <c r="AV356">
        <v>0</v>
      </c>
      <c r="AW356">
        <v>3115</v>
      </c>
      <c r="AX356">
        <v>354</v>
      </c>
      <c r="AY356">
        <v>0</v>
      </c>
      <c r="AZ356">
        <v>0</v>
      </c>
      <c r="BA356">
        <v>354</v>
      </c>
      <c r="BB356">
        <v>0</v>
      </c>
      <c r="BC356">
        <v>0</v>
      </c>
      <c r="BD356">
        <v>0</v>
      </c>
      <c r="BE356">
        <v>71</v>
      </c>
      <c r="BF356">
        <v>71</v>
      </c>
      <c r="BG356">
        <f t="shared" si="53"/>
        <v>63.114754098360656</v>
      </c>
      <c r="BH356">
        <v>45</v>
      </c>
      <c r="BI356">
        <v>77</v>
      </c>
      <c r="BJ356">
        <v>69</v>
      </c>
      <c r="BK356">
        <v>15</v>
      </c>
      <c r="BL356">
        <v>18</v>
      </c>
      <c r="BM356">
        <v>45</v>
      </c>
      <c r="BN356">
        <v>27</v>
      </c>
      <c r="BO356">
        <v>51</v>
      </c>
      <c r="BP356">
        <v>15</v>
      </c>
      <c r="BQ356">
        <v>60</v>
      </c>
      <c r="BR356">
        <v>113</v>
      </c>
      <c r="BS356">
        <v>30</v>
      </c>
      <c r="BT356">
        <v>565</v>
      </c>
      <c r="BU356">
        <v>60</v>
      </c>
      <c r="BV356">
        <v>128</v>
      </c>
      <c r="BW356">
        <v>312</v>
      </c>
      <c r="BX356">
        <v>38</v>
      </c>
      <c r="BY356">
        <v>284</v>
      </c>
      <c r="BZ356">
        <v>83</v>
      </c>
      <c r="CA356">
        <v>905</v>
      </c>
      <c r="CB356">
        <v>40</v>
      </c>
      <c r="CC356">
        <v>17</v>
      </c>
      <c r="CD356">
        <v>40</v>
      </c>
      <c r="CE356">
        <v>61</v>
      </c>
      <c r="CF356">
        <v>1.53</v>
      </c>
      <c r="CG356">
        <v>0</v>
      </c>
      <c r="CH356">
        <v>0</v>
      </c>
      <c r="CI356">
        <v>0</v>
      </c>
      <c r="CJ356">
        <v>0</v>
      </c>
      <c r="CK356">
        <v>1</v>
      </c>
      <c r="CL356">
        <v>1</v>
      </c>
      <c r="CM356">
        <v>0</v>
      </c>
      <c r="CN356">
        <v>28</v>
      </c>
      <c r="CO356">
        <v>0</v>
      </c>
      <c r="CP356">
        <v>1</v>
      </c>
      <c r="CQ356">
        <v>0</v>
      </c>
      <c r="CR356">
        <v>0</v>
      </c>
      <c r="CS356">
        <v>0</v>
      </c>
      <c r="CT356">
        <v>31</v>
      </c>
      <c r="CU356">
        <v>0</v>
      </c>
      <c r="CV356">
        <v>0</v>
      </c>
      <c r="CW356">
        <v>1</v>
      </c>
      <c r="CX356">
        <v>0</v>
      </c>
      <c r="CY356">
        <v>11</v>
      </c>
      <c r="CZ356">
        <v>0</v>
      </c>
      <c r="DA356">
        <v>0</v>
      </c>
      <c r="DB356">
        <v>0</v>
      </c>
      <c r="DC356">
        <v>12</v>
      </c>
      <c r="DD356">
        <v>0</v>
      </c>
      <c r="DE356">
        <v>0</v>
      </c>
      <c r="DF356">
        <v>61</v>
      </c>
      <c r="DG356">
        <v>40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101</v>
      </c>
      <c r="DT356">
        <v>144</v>
      </c>
      <c r="DU356">
        <v>36</v>
      </c>
      <c r="DV356">
        <v>0</v>
      </c>
      <c r="DW356">
        <v>0</v>
      </c>
      <c r="DX356">
        <v>0</v>
      </c>
      <c r="DY356">
        <v>675</v>
      </c>
      <c r="DZ356">
        <v>375</v>
      </c>
      <c r="EA356">
        <v>475</v>
      </c>
      <c r="EB356">
        <v>950</v>
      </c>
      <c r="EC356">
        <v>25</v>
      </c>
      <c r="ED356">
        <v>900</v>
      </c>
      <c r="EE356">
        <v>1600</v>
      </c>
      <c r="EF356">
        <v>0</v>
      </c>
      <c r="EG356">
        <v>0.2</v>
      </c>
      <c r="EH356">
        <v>0.7</v>
      </c>
      <c r="EI356">
        <v>1.6</v>
      </c>
      <c r="EJ356">
        <v>0.2</v>
      </c>
      <c r="EK356">
        <v>1.6</v>
      </c>
    </row>
    <row r="357" spans="1:141" x14ac:dyDescent="0.25">
      <c r="A357" t="str">
        <f>[1]ingredient!B357</f>
        <v>Rucola</v>
      </c>
      <c r="B357" t="s">
        <v>422</v>
      </c>
      <c r="C357" s="7">
        <f>_xlfn.XLOOKUP(A357,[1]ingredient!$B$2:$B$521,[1]ingredient!$A$2:$A$521)</f>
        <v>356</v>
      </c>
      <c r="D357">
        <v>26</v>
      </c>
      <c r="E357">
        <v>1</v>
      </c>
      <c r="F357">
        <v>2</v>
      </c>
      <c r="G357">
        <v>2</v>
      </c>
      <c r="H357">
        <v>2</v>
      </c>
      <c r="I357">
        <v>2</v>
      </c>
      <c r="J357">
        <v>0.13</v>
      </c>
      <c r="K357">
        <v>87</v>
      </c>
      <c r="L357">
        <v>221</v>
      </c>
      <c r="M357">
        <v>111</v>
      </c>
      <c r="N357">
        <v>0</v>
      </c>
      <c r="O357">
        <v>1330</v>
      </c>
      <c r="P357">
        <v>38</v>
      </c>
      <c r="Q357">
        <v>86</v>
      </c>
      <c r="R357">
        <v>285</v>
      </c>
      <c r="S357">
        <v>1140</v>
      </c>
      <c r="T357">
        <v>95</v>
      </c>
      <c r="U357">
        <v>67</v>
      </c>
      <c r="V357">
        <v>0.4</v>
      </c>
      <c r="W357">
        <v>38</v>
      </c>
      <c r="X357">
        <v>0</v>
      </c>
      <c r="Y357">
        <v>58900</v>
      </c>
      <c r="Z357">
        <v>0</v>
      </c>
      <c r="AA357">
        <v>950</v>
      </c>
      <c r="AB357">
        <v>238</v>
      </c>
      <c r="AC357">
        <v>26</v>
      </c>
      <c r="AD357">
        <v>351</v>
      </c>
      <c r="AE357">
        <v>152</v>
      </c>
      <c r="AF357">
        <v>32</v>
      </c>
      <c r="AG357">
        <v>61</v>
      </c>
      <c r="AH357">
        <v>95</v>
      </c>
      <c r="AI357">
        <v>104</v>
      </c>
      <c r="AJ357">
        <v>1425</v>
      </c>
      <c r="AK357">
        <v>380</v>
      </c>
      <c r="AL357">
        <v>133</v>
      </c>
      <c r="AM357">
        <v>475</v>
      </c>
      <c r="AN357">
        <v>23</v>
      </c>
      <c r="AO357">
        <v>2</v>
      </c>
      <c r="AP357">
        <v>0</v>
      </c>
      <c r="AQ357">
        <v>0</v>
      </c>
      <c r="AR357">
        <v>0</v>
      </c>
      <c r="AS357">
        <v>0</v>
      </c>
      <c r="AT357">
        <v>997</v>
      </c>
      <c r="AU357">
        <v>499</v>
      </c>
      <c r="AV357">
        <v>0</v>
      </c>
      <c r="AW357">
        <v>1495</v>
      </c>
      <c r="AX357">
        <v>200</v>
      </c>
      <c r="AY357">
        <v>0</v>
      </c>
      <c r="AZ357">
        <v>0</v>
      </c>
      <c r="BA357">
        <v>200</v>
      </c>
      <c r="BB357">
        <v>0</v>
      </c>
      <c r="BC357">
        <v>0</v>
      </c>
      <c r="BD357">
        <v>0</v>
      </c>
      <c r="BE357">
        <v>300</v>
      </c>
      <c r="BF357">
        <v>300</v>
      </c>
      <c r="BG357">
        <f t="shared" si="53"/>
        <v>17.708333333333336</v>
      </c>
      <c r="BH357">
        <v>139</v>
      </c>
      <c r="BI357">
        <v>231</v>
      </c>
      <c r="BJ357">
        <v>17</v>
      </c>
      <c r="BK357">
        <v>32</v>
      </c>
      <c r="BL357">
        <v>12</v>
      </c>
      <c r="BM357">
        <v>113</v>
      </c>
      <c r="BN357">
        <v>67</v>
      </c>
      <c r="BO357">
        <v>153</v>
      </c>
      <c r="BP357">
        <v>51</v>
      </c>
      <c r="BQ357">
        <v>153</v>
      </c>
      <c r="BR357">
        <v>97</v>
      </c>
      <c r="BS357">
        <v>62</v>
      </c>
      <c r="BT357">
        <v>1127</v>
      </c>
      <c r="BU357">
        <v>233</v>
      </c>
      <c r="BV357">
        <v>322</v>
      </c>
      <c r="BW357">
        <v>330</v>
      </c>
      <c r="BX357">
        <v>191</v>
      </c>
      <c r="BY357">
        <v>163</v>
      </c>
      <c r="BZ357">
        <v>105</v>
      </c>
      <c r="CA357">
        <v>1343</v>
      </c>
      <c r="CB357">
        <v>29</v>
      </c>
      <c r="CC357">
        <v>12</v>
      </c>
      <c r="CD357">
        <v>175</v>
      </c>
      <c r="CE357">
        <v>91</v>
      </c>
      <c r="CF357">
        <v>0.52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184</v>
      </c>
      <c r="CO357">
        <v>0</v>
      </c>
      <c r="CP357">
        <v>22</v>
      </c>
      <c r="CQ357">
        <v>0</v>
      </c>
      <c r="CR357">
        <v>0</v>
      </c>
      <c r="CS357">
        <v>0</v>
      </c>
      <c r="CT357">
        <v>206</v>
      </c>
      <c r="CU357">
        <v>0</v>
      </c>
      <c r="CV357">
        <v>0</v>
      </c>
      <c r="CW357">
        <v>15</v>
      </c>
      <c r="CX357">
        <v>0</v>
      </c>
      <c r="CY357">
        <v>45</v>
      </c>
      <c r="CZ357">
        <v>0</v>
      </c>
      <c r="DA357">
        <v>0</v>
      </c>
      <c r="DB357">
        <v>0</v>
      </c>
      <c r="DC357">
        <v>60</v>
      </c>
      <c r="DD357">
        <v>0</v>
      </c>
      <c r="DE357">
        <v>0</v>
      </c>
      <c r="DF357">
        <v>91</v>
      </c>
      <c r="DG357">
        <v>175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266</v>
      </c>
      <c r="DT357">
        <v>532</v>
      </c>
      <c r="DU357">
        <v>133</v>
      </c>
      <c r="DV357">
        <v>0</v>
      </c>
      <c r="DW357">
        <v>0</v>
      </c>
      <c r="DX357">
        <v>0</v>
      </c>
      <c r="DY357">
        <v>198</v>
      </c>
      <c r="DZ357">
        <v>213</v>
      </c>
      <c r="EA357">
        <v>365</v>
      </c>
      <c r="EB357">
        <v>684</v>
      </c>
      <c r="EC357">
        <v>61</v>
      </c>
      <c r="ED357">
        <v>682</v>
      </c>
      <c r="EE357">
        <v>838</v>
      </c>
      <c r="EF357">
        <v>0</v>
      </c>
      <c r="EG357">
        <v>0.38</v>
      </c>
      <c r="EH357">
        <v>1</v>
      </c>
      <c r="EI357">
        <v>0.8</v>
      </c>
      <c r="EJ357">
        <v>0.7</v>
      </c>
      <c r="EK357">
        <v>2.6</v>
      </c>
    </row>
    <row r="358" spans="1:141" x14ac:dyDescent="0.25">
      <c r="A358" t="str">
        <f>[1]ingredient!B358</f>
        <v>Rucola-Sprossen</v>
      </c>
      <c r="C358" s="7">
        <f>_xlfn.XLOOKUP(A358,[1]ingredient!$B$2:$B$521,[1]ingredient!$A$2:$A$521)</f>
        <v>357</v>
      </c>
      <c r="D358">
        <v>27</v>
      </c>
      <c r="E358">
        <v>0.7</v>
      </c>
      <c r="F358">
        <v>2.6</v>
      </c>
      <c r="G358">
        <v>2.1</v>
      </c>
      <c r="BG358">
        <f t="shared" si="53"/>
        <v>0</v>
      </c>
    </row>
    <row r="359" spans="1:141" x14ac:dyDescent="0.25">
      <c r="A359" t="str">
        <f>[1]ingredient!B359</f>
        <v>Safran</v>
      </c>
      <c r="B359" t="s">
        <v>423</v>
      </c>
      <c r="C359" s="7">
        <f>_xlfn.XLOOKUP(A359,[1]ingredient!$B$2:$B$521,[1]ingredient!$A$2:$A$521)</f>
        <v>358</v>
      </c>
      <c r="D359">
        <v>349</v>
      </c>
      <c r="E359">
        <v>6</v>
      </c>
      <c r="F359">
        <v>11</v>
      </c>
      <c r="G359">
        <v>62</v>
      </c>
      <c r="H359">
        <v>4</v>
      </c>
      <c r="I359">
        <v>61</v>
      </c>
      <c r="J359">
        <v>0.35</v>
      </c>
      <c r="K359">
        <v>12</v>
      </c>
      <c r="L359">
        <v>67</v>
      </c>
      <c r="M359">
        <v>33</v>
      </c>
      <c r="N359">
        <v>0</v>
      </c>
      <c r="O359">
        <v>400</v>
      </c>
      <c r="P359">
        <v>0</v>
      </c>
      <c r="Q359">
        <v>0</v>
      </c>
      <c r="R359">
        <v>1500</v>
      </c>
      <c r="S359">
        <v>3400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150</v>
      </c>
      <c r="AD359">
        <v>1720</v>
      </c>
      <c r="AE359">
        <v>110</v>
      </c>
      <c r="AF359">
        <v>200</v>
      </c>
      <c r="AG359">
        <v>250</v>
      </c>
      <c r="AH359">
        <v>100</v>
      </c>
      <c r="AI359">
        <v>200</v>
      </c>
      <c r="AJ359">
        <v>11100</v>
      </c>
      <c r="AK359">
        <v>2000</v>
      </c>
      <c r="AL359">
        <v>330</v>
      </c>
      <c r="AM359">
        <v>28400</v>
      </c>
      <c r="AN359">
        <v>400</v>
      </c>
      <c r="AO359">
        <v>5</v>
      </c>
      <c r="AP359">
        <v>0</v>
      </c>
      <c r="AQ359">
        <v>0</v>
      </c>
      <c r="AR359">
        <v>0</v>
      </c>
      <c r="AS359">
        <v>0</v>
      </c>
      <c r="AT359">
        <v>24600</v>
      </c>
      <c r="AU359">
        <v>24600</v>
      </c>
      <c r="AV359">
        <v>0</v>
      </c>
      <c r="AW359">
        <v>49200</v>
      </c>
      <c r="AX359">
        <v>11685</v>
      </c>
      <c r="AY359">
        <v>0</v>
      </c>
      <c r="AZ359">
        <v>0</v>
      </c>
      <c r="BA359">
        <v>11685</v>
      </c>
      <c r="BB359">
        <v>0</v>
      </c>
      <c r="BC359">
        <v>0</v>
      </c>
      <c r="BD359">
        <v>0</v>
      </c>
      <c r="BE359">
        <v>615</v>
      </c>
      <c r="BF359">
        <v>615</v>
      </c>
      <c r="BG359">
        <f t="shared" si="53"/>
        <v>97.159090909090907</v>
      </c>
      <c r="BH359">
        <v>456</v>
      </c>
      <c r="BI359">
        <v>684</v>
      </c>
      <c r="BJ359">
        <v>570</v>
      </c>
      <c r="BK359">
        <v>137</v>
      </c>
      <c r="BL359">
        <v>114</v>
      </c>
      <c r="BM359">
        <v>342</v>
      </c>
      <c r="BN359">
        <v>228</v>
      </c>
      <c r="BO359">
        <v>399</v>
      </c>
      <c r="BP359">
        <v>114</v>
      </c>
      <c r="BQ359">
        <v>456</v>
      </c>
      <c r="BR359">
        <v>456</v>
      </c>
      <c r="BS359">
        <v>171</v>
      </c>
      <c r="BT359">
        <v>4127</v>
      </c>
      <c r="BU359">
        <v>570</v>
      </c>
      <c r="BV359">
        <v>1140</v>
      </c>
      <c r="BW359">
        <v>1710</v>
      </c>
      <c r="BX359">
        <v>319</v>
      </c>
      <c r="BY359">
        <v>456</v>
      </c>
      <c r="BZ359">
        <v>342</v>
      </c>
      <c r="CA359">
        <v>4537</v>
      </c>
      <c r="CB359">
        <v>50</v>
      </c>
      <c r="CC359">
        <v>21</v>
      </c>
      <c r="CD359">
        <v>14</v>
      </c>
      <c r="CE359">
        <v>812</v>
      </c>
      <c r="CF359">
        <v>58</v>
      </c>
      <c r="CG359">
        <v>0</v>
      </c>
      <c r="CH359">
        <v>0</v>
      </c>
      <c r="CI359">
        <v>0</v>
      </c>
      <c r="CJ359">
        <v>0</v>
      </c>
      <c r="CK359">
        <v>90</v>
      </c>
      <c r="CL359">
        <v>175</v>
      </c>
      <c r="CM359">
        <v>0</v>
      </c>
      <c r="CN359">
        <v>1444</v>
      </c>
      <c r="CO359">
        <v>0</v>
      </c>
      <c r="CP359">
        <v>80</v>
      </c>
      <c r="CQ359">
        <v>0</v>
      </c>
      <c r="CR359">
        <v>0</v>
      </c>
      <c r="CS359">
        <v>0</v>
      </c>
      <c r="CT359">
        <v>1789</v>
      </c>
      <c r="CU359">
        <v>0</v>
      </c>
      <c r="CV359">
        <v>0</v>
      </c>
      <c r="CW359">
        <v>109</v>
      </c>
      <c r="CX359">
        <v>0</v>
      </c>
      <c r="CY359">
        <v>1996</v>
      </c>
      <c r="CZ359">
        <v>0</v>
      </c>
      <c r="DA359">
        <v>0</v>
      </c>
      <c r="DB359">
        <v>0</v>
      </c>
      <c r="DC359">
        <v>2105</v>
      </c>
      <c r="DD359">
        <v>0</v>
      </c>
      <c r="DE359">
        <v>0</v>
      </c>
      <c r="DF359">
        <v>812</v>
      </c>
      <c r="DG359">
        <v>14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826</v>
      </c>
      <c r="DT359">
        <v>4720</v>
      </c>
      <c r="DU359">
        <v>1180</v>
      </c>
      <c r="DV359">
        <v>0</v>
      </c>
      <c r="DW359">
        <v>0</v>
      </c>
      <c r="DX359">
        <v>0</v>
      </c>
      <c r="DY359">
        <v>585</v>
      </c>
      <c r="DZ359">
        <v>780</v>
      </c>
      <c r="EA359">
        <v>1053</v>
      </c>
      <c r="EB359">
        <v>1365</v>
      </c>
      <c r="EC359">
        <v>117</v>
      </c>
      <c r="ED359">
        <v>1170</v>
      </c>
      <c r="EE359">
        <v>2730</v>
      </c>
      <c r="EF359">
        <v>0</v>
      </c>
      <c r="EG359">
        <v>0.15</v>
      </c>
      <c r="EH359">
        <v>5.4</v>
      </c>
      <c r="EI359">
        <v>2.7</v>
      </c>
      <c r="EJ359">
        <v>5.9</v>
      </c>
      <c r="EK359">
        <v>8.8000000000000007</v>
      </c>
    </row>
    <row r="360" spans="1:141" x14ac:dyDescent="0.25">
      <c r="A360" t="str">
        <f>[1]ingredient!B360</f>
        <v>Salbei</v>
      </c>
      <c r="B360" s="8" t="s">
        <v>424</v>
      </c>
      <c r="C360" s="7">
        <f>_xlfn.XLOOKUP(A360,[1]ingredient!$B$2:$B$521,[1]ingredient!$A$2:$A$521)</f>
        <v>359</v>
      </c>
      <c r="D360">
        <v>54</v>
      </c>
      <c r="E360">
        <v>2</v>
      </c>
      <c r="F360">
        <v>2</v>
      </c>
      <c r="G360">
        <v>7</v>
      </c>
      <c r="H360">
        <v>3</v>
      </c>
      <c r="I360">
        <v>7</v>
      </c>
      <c r="J360">
        <v>0.03</v>
      </c>
      <c r="K360">
        <v>85</v>
      </c>
      <c r="L360">
        <v>95</v>
      </c>
      <c r="M360">
        <v>48</v>
      </c>
      <c r="N360">
        <v>0</v>
      </c>
      <c r="O360">
        <v>572</v>
      </c>
      <c r="P360">
        <v>122</v>
      </c>
      <c r="Q360">
        <v>55</v>
      </c>
      <c r="R360">
        <v>921</v>
      </c>
      <c r="S360">
        <v>1204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2</v>
      </c>
      <c r="AD360">
        <v>173</v>
      </c>
      <c r="AE360">
        <v>266</v>
      </c>
      <c r="AF360">
        <v>69</v>
      </c>
      <c r="AG360">
        <v>15</v>
      </c>
      <c r="AH360">
        <v>16</v>
      </c>
      <c r="AI360">
        <v>32</v>
      </c>
      <c r="AJ360">
        <v>4538</v>
      </c>
      <c r="AK360">
        <v>759</v>
      </c>
      <c r="AL360">
        <v>123</v>
      </c>
      <c r="AM360">
        <v>4037</v>
      </c>
      <c r="AN360">
        <v>65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2759</v>
      </c>
      <c r="AU360">
        <v>2758</v>
      </c>
      <c r="AV360">
        <v>0</v>
      </c>
      <c r="AW360">
        <v>5517</v>
      </c>
      <c r="AX360">
        <v>1310</v>
      </c>
      <c r="AY360">
        <v>0</v>
      </c>
      <c r="AZ360">
        <v>0</v>
      </c>
      <c r="BA360">
        <v>1310</v>
      </c>
      <c r="BB360">
        <v>0</v>
      </c>
      <c r="BC360">
        <v>0</v>
      </c>
      <c r="BD360">
        <v>0</v>
      </c>
      <c r="BE360">
        <v>69</v>
      </c>
      <c r="BF360">
        <v>69</v>
      </c>
      <c r="BG360">
        <f t="shared" si="53"/>
        <v>81.25</v>
      </c>
      <c r="BH360">
        <v>68</v>
      </c>
      <c r="BI360">
        <v>103</v>
      </c>
      <c r="BJ360">
        <v>86</v>
      </c>
      <c r="BK360">
        <v>21</v>
      </c>
      <c r="BL360">
        <v>17</v>
      </c>
      <c r="BM360">
        <v>51</v>
      </c>
      <c r="BN360">
        <v>34</v>
      </c>
      <c r="BO360">
        <v>60</v>
      </c>
      <c r="BP360">
        <v>17</v>
      </c>
      <c r="BQ360">
        <v>68</v>
      </c>
      <c r="BR360">
        <v>68</v>
      </c>
      <c r="BS360">
        <v>26</v>
      </c>
      <c r="BT360">
        <v>619</v>
      </c>
      <c r="BU360">
        <v>86</v>
      </c>
      <c r="BV360">
        <v>171</v>
      </c>
      <c r="BW360">
        <v>258</v>
      </c>
      <c r="BX360">
        <v>48</v>
      </c>
      <c r="BY360">
        <v>68</v>
      </c>
      <c r="BZ360">
        <v>51</v>
      </c>
      <c r="CA360">
        <v>682</v>
      </c>
      <c r="CB360">
        <v>27</v>
      </c>
      <c r="CC360">
        <v>11</v>
      </c>
      <c r="CD360">
        <v>198</v>
      </c>
      <c r="CE360">
        <v>84</v>
      </c>
      <c r="CF360">
        <v>0.42</v>
      </c>
      <c r="CG360">
        <v>0</v>
      </c>
      <c r="CH360">
        <v>0</v>
      </c>
      <c r="CI360">
        <v>117</v>
      </c>
      <c r="CJ360">
        <v>126</v>
      </c>
      <c r="CK360">
        <v>52</v>
      </c>
      <c r="CL360">
        <v>119</v>
      </c>
      <c r="CM360">
        <v>0</v>
      </c>
      <c r="CN360">
        <v>517</v>
      </c>
      <c r="CO360">
        <v>0</v>
      </c>
      <c r="CP360">
        <v>207</v>
      </c>
      <c r="CQ360">
        <v>0</v>
      </c>
      <c r="CR360">
        <v>0</v>
      </c>
      <c r="CS360">
        <v>0</v>
      </c>
      <c r="CT360">
        <v>1138</v>
      </c>
      <c r="CU360">
        <v>0</v>
      </c>
      <c r="CV360">
        <v>0</v>
      </c>
      <c r="CW360">
        <v>19</v>
      </c>
      <c r="CX360">
        <v>0</v>
      </c>
      <c r="CY360">
        <v>284</v>
      </c>
      <c r="CZ360">
        <v>0</v>
      </c>
      <c r="DA360">
        <v>0</v>
      </c>
      <c r="DB360">
        <v>0</v>
      </c>
      <c r="DC360">
        <v>303</v>
      </c>
      <c r="DD360">
        <v>0</v>
      </c>
      <c r="DE360">
        <v>0</v>
      </c>
      <c r="DF360">
        <v>84</v>
      </c>
      <c r="DG360">
        <v>198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282</v>
      </c>
      <c r="DT360">
        <v>1480</v>
      </c>
      <c r="DU360">
        <v>328</v>
      </c>
      <c r="DV360">
        <v>0</v>
      </c>
      <c r="DW360">
        <v>0</v>
      </c>
      <c r="DX360">
        <v>243</v>
      </c>
      <c r="DY360">
        <v>437</v>
      </c>
      <c r="DZ360">
        <v>583</v>
      </c>
      <c r="EA360">
        <v>787</v>
      </c>
      <c r="EB360">
        <v>1020</v>
      </c>
      <c r="EC360">
        <v>88</v>
      </c>
      <c r="ED360">
        <v>874</v>
      </c>
      <c r="EE360">
        <v>2040</v>
      </c>
      <c r="EF360">
        <v>0</v>
      </c>
      <c r="EG360">
        <v>0.14000000000000001</v>
      </c>
      <c r="EH360">
        <v>1.3</v>
      </c>
      <c r="EI360">
        <v>2</v>
      </c>
      <c r="EJ360">
        <v>2.1</v>
      </c>
      <c r="EK360">
        <v>1.4</v>
      </c>
    </row>
    <row r="361" spans="1:141" x14ac:dyDescent="0.25">
      <c r="A361" t="str">
        <f>[1]ingredient!B361</f>
        <v>Salbei, getrocknet</v>
      </c>
      <c r="B361" t="s">
        <v>425</v>
      </c>
      <c r="C361" s="7">
        <f>_xlfn.XLOOKUP(A361,[1]ingredient!$B$2:$B$521,[1]ingredient!$A$2:$A$521)</f>
        <v>360</v>
      </c>
      <c r="D361">
        <v>331</v>
      </c>
      <c r="E361">
        <v>13</v>
      </c>
      <c r="F361">
        <v>11</v>
      </c>
      <c r="G361">
        <v>43</v>
      </c>
      <c r="H361">
        <v>18</v>
      </c>
      <c r="I361">
        <v>42</v>
      </c>
      <c r="J361">
        <v>0.21</v>
      </c>
      <c r="K361">
        <v>7</v>
      </c>
      <c r="L361">
        <v>590</v>
      </c>
      <c r="M361">
        <v>295</v>
      </c>
      <c r="N361">
        <v>0</v>
      </c>
      <c r="O361">
        <v>3540</v>
      </c>
      <c r="P361">
        <v>754</v>
      </c>
      <c r="Q361">
        <v>340</v>
      </c>
      <c r="R361">
        <v>5700</v>
      </c>
      <c r="S361">
        <v>7467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11</v>
      </c>
      <c r="AD361">
        <v>1070</v>
      </c>
      <c r="AE361">
        <v>1650</v>
      </c>
      <c r="AF361">
        <v>430</v>
      </c>
      <c r="AG361">
        <v>91</v>
      </c>
      <c r="AH361">
        <v>100</v>
      </c>
      <c r="AI361">
        <v>200</v>
      </c>
      <c r="AJ361">
        <v>28100</v>
      </c>
      <c r="AK361">
        <v>4700</v>
      </c>
      <c r="AL361">
        <v>760</v>
      </c>
      <c r="AM361">
        <v>25000</v>
      </c>
      <c r="AN361">
        <v>400</v>
      </c>
      <c r="AO361">
        <v>5</v>
      </c>
      <c r="AP361">
        <v>0</v>
      </c>
      <c r="AQ361">
        <v>0</v>
      </c>
      <c r="AR361">
        <v>0</v>
      </c>
      <c r="AS361">
        <v>0</v>
      </c>
      <c r="AT361">
        <v>17080</v>
      </c>
      <c r="AU361">
        <v>17080</v>
      </c>
      <c r="AV361">
        <v>0</v>
      </c>
      <c r="AW361">
        <v>34160</v>
      </c>
      <c r="AX361">
        <v>8113</v>
      </c>
      <c r="AY361">
        <v>0</v>
      </c>
      <c r="AZ361">
        <v>0</v>
      </c>
      <c r="BA361">
        <v>8113</v>
      </c>
      <c r="BB361">
        <v>0</v>
      </c>
      <c r="BC361">
        <v>0</v>
      </c>
      <c r="BD361">
        <v>0</v>
      </c>
      <c r="BE361">
        <v>427</v>
      </c>
      <c r="BF361">
        <v>427</v>
      </c>
      <c r="BG361">
        <f t="shared" si="53"/>
        <v>90.340909090909093</v>
      </c>
      <c r="BH361">
        <v>424</v>
      </c>
      <c r="BI361">
        <v>636</v>
      </c>
      <c r="BJ361">
        <v>530</v>
      </c>
      <c r="BK361">
        <v>127</v>
      </c>
      <c r="BL361">
        <v>106</v>
      </c>
      <c r="BM361">
        <v>318</v>
      </c>
      <c r="BN361">
        <v>212</v>
      </c>
      <c r="BO361">
        <v>371</v>
      </c>
      <c r="BP361">
        <v>106</v>
      </c>
      <c r="BQ361">
        <v>424</v>
      </c>
      <c r="BR361">
        <v>424</v>
      </c>
      <c r="BS361">
        <v>159</v>
      </c>
      <c r="BT361">
        <v>3837</v>
      </c>
      <c r="BU361">
        <v>530</v>
      </c>
      <c r="BV361">
        <v>1060</v>
      </c>
      <c r="BW361">
        <v>1590</v>
      </c>
      <c r="BX361">
        <v>297</v>
      </c>
      <c r="BY361">
        <v>424</v>
      </c>
      <c r="BZ361">
        <v>318</v>
      </c>
      <c r="CA361">
        <v>4219</v>
      </c>
      <c r="CB361">
        <v>166</v>
      </c>
      <c r="CC361">
        <v>69</v>
      </c>
      <c r="CD361">
        <v>1227</v>
      </c>
      <c r="CE361">
        <v>523</v>
      </c>
      <c r="CF361">
        <v>0.43</v>
      </c>
      <c r="CG361">
        <v>0</v>
      </c>
      <c r="CH361">
        <v>0</v>
      </c>
      <c r="CI361">
        <v>725</v>
      </c>
      <c r="CJ361">
        <v>779</v>
      </c>
      <c r="CK361">
        <v>320</v>
      </c>
      <c r="CL361">
        <v>736</v>
      </c>
      <c r="CM361">
        <v>0</v>
      </c>
      <c r="CN361">
        <v>3201</v>
      </c>
      <c r="CO361">
        <v>0</v>
      </c>
      <c r="CP361">
        <v>1280</v>
      </c>
      <c r="CQ361">
        <v>0</v>
      </c>
      <c r="CR361">
        <v>0</v>
      </c>
      <c r="CS361">
        <v>0</v>
      </c>
      <c r="CT361">
        <v>7041</v>
      </c>
      <c r="CU361">
        <v>0</v>
      </c>
      <c r="CV361">
        <v>0</v>
      </c>
      <c r="CW361">
        <v>117</v>
      </c>
      <c r="CX361">
        <v>0</v>
      </c>
      <c r="CY361">
        <v>1760</v>
      </c>
      <c r="CZ361">
        <v>0</v>
      </c>
      <c r="DA361">
        <v>0</v>
      </c>
      <c r="DB361">
        <v>0</v>
      </c>
      <c r="DC361">
        <v>1877</v>
      </c>
      <c r="DD361">
        <v>0</v>
      </c>
      <c r="DE361">
        <v>0</v>
      </c>
      <c r="DF361">
        <v>523</v>
      </c>
      <c r="DG361">
        <v>1227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1750</v>
      </c>
      <c r="DT361">
        <v>9164</v>
      </c>
      <c r="DU361">
        <v>2032</v>
      </c>
      <c r="DV361">
        <v>0</v>
      </c>
      <c r="DW361">
        <v>0</v>
      </c>
      <c r="DX361">
        <v>1504</v>
      </c>
      <c r="DY361">
        <v>2708</v>
      </c>
      <c r="DZ361">
        <v>3610</v>
      </c>
      <c r="EA361">
        <v>4874</v>
      </c>
      <c r="EB361">
        <v>6316</v>
      </c>
      <c r="EC361">
        <v>542</v>
      </c>
      <c r="ED361">
        <v>5415</v>
      </c>
      <c r="EE361">
        <v>12635</v>
      </c>
      <c r="EF361">
        <v>0</v>
      </c>
      <c r="EG361">
        <v>1</v>
      </c>
      <c r="EH361">
        <v>8</v>
      </c>
      <c r="EI361">
        <v>12.6</v>
      </c>
      <c r="EJ361">
        <v>12.7</v>
      </c>
      <c r="EK361">
        <v>8.6</v>
      </c>
    </row>
    <row r="362" spans="1:141" x14ac:dyDescent="0.25">
      <c r="A362" t="str">
        <f>[1]ingredient!B362</f>
        <v>Salz, jodiert</v>
      </c>
      <c r="C362" s="7">
        <f>_xlfn.XLOOKUP(A362,[1]ingredient!$B$2:$B$521,[1]ingredient!$A$2:$A$521)</f>
        <v>361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99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38850</v>
      </c>
      <c r="AD362">
        <v>4</v>
      </c>
      <c r="AE362">
        <v>250</v>
      </c>
      <c r="AF362">
        <v>120</v>
      </c>
      <c r="AG362">
        <v>150</v>
      </c>
      <c r="AH362">
        <v>23</v>
      </c>
      <c r="AI362">
        <v>59900</v>
      </c>
      <c r="AJ362">
        <v>100</v>
      </c>
      <c r="AK362">
        <v>50</v>
      </c>
      <c r="AL362">
        <v>100</v>
      </c>
      <c r="AM362">
        <v>200</v>
      </c>
      <c r="AN362">
        <v>50</v>
      </c>
      <c r="AO362">
        <v>2500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 t="str">
        <f t="shared" si="53"/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99.4</v>
      </c>
      <c r="EI362">
        <v>0</v>
      </c>
      <c r="EJ362">
        <v>0</v>
      </c>
      <c r="EK362">
        <v>0</v>
      </c>
    </row>
    <row r="363" spans="1:141" x14ac:dyDescent="0.25">
      <c r="A363" t="str">
        <f>[1]ingredient!B363</f>
        <v>Sambal Oelek</v>
      </c>
      <c r="B363" t="s">
        <v>426</v>
      </c>
      <c r="C363" s="7">
        <f>_xlfn.XLOOKUP(A363,[1]ingredient!$B$2:$B$521,[1]ingredient!$A$2:$A$521)</f>
        <v>362</v>
      </c>
      <c r="D363">
        <v>141</v>
      </c>
      <c r="E363">
        <v>3</v>
      </c>
      <c r="F363">
        <v>6</v>
      </c>
      <c r="G363">
        <v>22</v>
      </c>
      <c r="H363">
        <v>4</v>
      </c>
      <c r="I363">
        <v>21</v>
      </c>
      <c r="J363">
        <v>1</v>
      </c>
      <c r="K363">
        <v>61</v>
      </c>
      <c r="L363">
        <v>544</v>
      </c>
      <c r="M363">
        <v>272</v>
      </c>
      <c r="N363">
        <v>0</v>
      </c>
      <c r="O363">
        <v>3264</v>
      </c>
      <c r="P363">
        <v>165</v>
      </c>
      <c r="Q363">
        <v>164</v>
      </c>
      <c r="R363">
        <v>2960</v>
      </c>
      <c r="S363">
        <v>3677</v>
      </c>
      <c r="T363">
        <v>597</v>
      </c>
      <c r="U363">
        <v>263</v>
      </c>
      <c r="V363">
        <v>4</v>
      </c>
      <c r="W363">
        <v>32</v>
      </c>
      <c r="X363">
        <v>0</v>
      </c>
      <c r="Y363">
        <v>30249</v>
      </c>
      <c r="Z363">
        <v>0</v>
      </c>
      <c r="AA363">
        <v>3206</v>
      </c>
      <c r="AB363">
        <v>12</v>
      </c>
      <c r="AC363">
        <v>344</v>
      </c>
      <c r="AD363">
        <v>946</v>
      </c>
      <c r="AE363">
        <v>69</v>
      </c>
      <c r="AF363">
        <v>48</v>
      </c>
      <c r="AG363">
        <v>159</v>
      </c>
      <c r="AH363">
        <v>48</v>
      </c>
      <c r="AI363">
        <v>618</v>
      </c>
      <c r="AJ363">
        <v>3800</v>
      </c>
      <c r="AK363">
        <v>697</v>
      </c>
      <c r="AL363">
        <v>404</v>
      </c>
      <c r="AM363">
        <v>261</v>
      </c>
      <c r="AN363">
        <v>66</v>
      </c>
      <c r="AO363">
        <v>3</v>
      </c>
      <c r="AP363">
        <v>0</v>
      </c>
      <c r="AQ363">
        <v>0</v>
      </c>
      <c r="AR363">
        <v>0</v>
      </c>
      <c r="AS363">
        <v>0</v>
      </c>
      <c r="AT363">
        <v>4970</v>
      </c>
      <c r="AU363">
        <v>5260</v>
      </c>
      <c r="AV363">
        <v>0</v>
      </c>
      <c r="AW363">
        <v>10230</v>
      </c>
      <c r="AX363">
        <v>10365</v>
      </c>
      <c r="AY363">
        <v>0</v>
      </c>
      <c r="AZ363">
        <v>0</v>
      </c>
      <c r="BA363">
        <v>10365</v>
      </c>
      <c r="BB363">
        <v>0</v>
      </c>
      <c r="BC363">
        <v>4</v>
      </c>
      <c r="BD363">
        <v>0</v>
      </c>
      <c r="BE363">
        <v>1734</v>
      </c>
      <c r="BF363">
        <v>1734</v>
      </c>
      <c r="BG363">
        <f t="shared" si="53"/>
        <v>74.863387978142086</v>
      </c>
      <c r="BH363">
        <v>166</v>
      </c>
      <c r="BI363">
        <v>274</v>
      </c>
      <c r="BJ363">
        <v>292</v>
      </c>
      <c r="BK363">
        <v>64</v>
      </c>
      <c r="BL363">
        <v>44</v>
      </c>
      <c r="BM363">
        <v>184</v>
      </c>
      <c r="BN363">
        <v>104</v>
      </c>
      <c r="BO363">
        <v>195</v>
      </c>
      <c r="BP363">
        <v>43</v>
      </c>
      <c r="BQ363">
        <v>216</v>
      </c>
      <c r="BR363">
        <v>259</v>
      </c>
      <c r="BS363">
        <v>111</v>
      </c>
      <c r="BT363">
        <v>1952</v>
      </c>
      <c r="BU363">
        <v>347</v>
      </c>
      <c r="BV363">
        <v>703</v>
      </c>
      <c r="BW363">
        <v>1437</v>
      </c>
      <c r="BX363">
        <v>397</v>
      </c>
      <c r="BY363">
        <v>307</v>
      </c>
      <c r="BZ363">
        <v>224</v>
      </c>
      <c r="CA363">
        <v>3415</v>
      </c>
      <c r="CB363">
        <v>83</v>
      </c>
      <c r="CC363">
        <v>35</v>
      </c>
      <c r="CD363">
        <v>78</v>
      </c>
      <c r="CE363">
        <v>819</v>
      </c>
      <c r="CF363">
        <v>10.5</v>
      </c>
      <c r="CG363">
        <v>0</v>
      </c>
      <c r="CH363">
        <v>0</v>
      </c>
      <c r="CI363">
        <v>0</v>
      </c>
      <c r="CJ363">
        <v>3</v>
      </c>
      <c r="CK363">
        <v>3</v>
      </c>
      <c r="CL363">
        <v>32</v>
      </c>
      <c r="CM363">
        <v>4</v>
      </c>
      <c r="CN363">
        <v>447</v>
      </c>
      <c r="CO363">
        <v>7</v>
      </c>
      <c r="CP363">
        <v>140</v>
      </c>
      <c r="CQ363">
        <v>0</v>
      </c>
      <c r="CR363">
        <v>0</v>
      </c>
      <c r="CS363">
        <v>0</v>
      </c>
      <c r="CT363">
        <v>636</v>
      </c>
      <c r="CU363">
        <v>13</v>
      </c>
      <c r="CV363">
        <v>0</v>
      </c>
      <c r="CW363">
        <v>67</v>
      </c>
      <c r="CX363">
        <v>0</v>
      </c>
      <c r="CY363">
        <v>552</v>
      </c>
      <c r="CZ363">
        <v>1</v>
      </c>
      <c r="DA363">
        <v>0</v>
      </c>
      <c r="DB363">
        <v>0</v>
      </c>
      <c r="DC363">
        <v>633</v>
      </c>
      <c r="DD363">
        <v>0</v>
      </c>
      <c r="DE363">
        <v>0</v>
      </c>
      <c r="DF363">
        <v>819</v>
      </c>
      <c r="DG363">
        <v>77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1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897</v>
      </c>
      <c r="DT363">
        <v>2163</v>
      </c>
      <c r="DU363">
        <v>341</v>
      </c>
      <c r="DV363">
        <v>0</v>
      </c>
      <c r="DW363">
        <v>0</v>
      </c>
      <c r="DX363">
        <v>3</v>
      </c>
      <c r="DY363">
        <v>712</v>
      </c>
      <c r="DZ363">
        <v>647</v>
      </c>
      <c r="EA363">
        <v>913</v>
      </c>
      <c r="EB363">
        <v>1081</v>
      </c>
      <c r="EC363">
        <v>796</v>
      </c>
      <c r="ED363">
        <v>910</v>
      </c>
      <c r="EE363">
        <v>3239</v>
      </c>
      <c r="EF363">
        <v>0</v>
      </c>
      <c r="EG363">
        <v>1</v>
      </c>
      <c r="EH363">
        <v>2.7</v>
      </c>
      <c r="EI363">
        <v>3.2</v>
      </c>
      <c r="EJ363">
        <v>2.5</v>
      </c>
      <c r="EK363">
        <v>5.6</v>
      </c>
    </row>
    <row r="364" spans="1:141" x14ac:dyDescent="0.25">
      <c r="A364" t="str">
        <f>[1]ingredient!B364</f>
        <v>Sauerkraut</v>
      </c>
      <c r="B364" t="s">
        <v>427</v>
      </c>
      <c r="C364" s="7">
        <f>_xlfn.XLOOKUP(A364,[1]ingredient!$B$2:$B$521,[1]ingredient!$A$2:$A$521)</f>
        <v>363</v>
      </c>
      <c r="D364">
        <v>17</v>
      </c>
      <c r="E364">
        <v>0.3</v>
      </c>
      <c r="F364">
        <v>2</v>
      </c>
      <c r="G364">
        <v>1</v>
      </c>
      <c r="H364">
        <v>4</v>
      </c>
      <c r="I364">
        <v>1</v>
      </c>
      <c r="J364">
        <v>1</v>
      </c>
      <c r="K364">
        <v>90</v>
      </c>
      <c r="L364">
        <v>3</v>
      </c>
      <c r="M364">
        <v>2</v>
      </c>
      <c r="N364">
        <v>0</v>
      </c>
      <c r="O364">
        <v>18</v>
      </c>
      <c r="P364">
        <v>27</v>
      </c>
      <c r="Q364">
        <v>50</v>
      </c>
      <c r="R364">
        <v>170</v>
      </c>
      <c r="S364">
        <v>420</v>
      </c>
      <c r="T364">
        <v>230</v>
      </c>
      <c r="U364">
        <v>210</v>
      </c>
      <c r="V364">
        <v>0.2</v>
      </c>
      <c r="W364">
        <v>16</v>
      </c>
      <c r="X364">
        <v>0</v>
      </c>
      <c r="Y364">
        <v>20000</v>
      </c>
      <c r="Z364">
        <v>0</v>
      </c>
      <c r="AA364">
        <v>150</v>
      </c>
      <c r="AB364">
        <v>80</v>
      </c>
      <c r="AC364">
        <v>355</v>
      </c>
      <c r="AD364">
        <v>288</v>
      </c>
      <c r="AE364">
        <v>48</v>
      </c>
      <c r="AF364">
        <v>14</v>
      </c>
      <c r="AG364">
        <v>43</v>
      </c>
      <c r="AH364">
        <v>41</v>
      </c>
      <c r="AI364">
        <v>860</v>
      </c>
      <c r="AJ364">
        <v>600</v>
      </c>
      <c r="AK364">
        <v>320</v>
      </c>
      <c r="AL364">
        <v>130</v>
      </c>
      <c r="AM364">
        <v>140</v>
      </c>
      <c r="AN364">
        <v>45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273</v>
      </c>
      <c r="AU364">
        <v>273</v>
      </c>
      <c r="AV364">
        <v>0</v>
      </c>
      <c r="AW364">
        <v>546</v>
      </c>
      <c r="AX364">
        <v>193</v>
      </c>
      <c r="AY364">
        <v>0</v>
      </c>
      <c r="AZ364">
        <v>0</v>
      </c>
      <c r="BA364">
        <v>193</v>
      </c>
      <c r="BB364">
        <v>0</v>
      </c>
      <c r="BC364">
        <v>0</v>
      </c>
      <c r="BD364">
        <v>0</v>
      </c>
      <c r="BE364">
        <v>31</v>
      </c>
      <c r="BF364">
        <v>31</v>
      </c>
      <c r="BG364">
        <f t="shared" si="53"/>
        <v>63.114754098360656</v>
      </c>
      <c r="BH364">
        <v>45</v>
      </c>
      <c r="BI364">
        <v>77</v>
      </c>
      <c r="BJ364">
        <v>69</v>
      </c>
      <c r="BK364">
        <v>15</v>
      </c>
      <c r="BL364">
        <v>18</v>
      </c>
      <c r="BM364">
        <v>45</v>
      </c>
      <c r="BN364">
        <v>27</v>
      </c>
      <c r="BO364">
        <v>51</v>
      </c>
      <c r="BP364">
        <v>15</v>
      </c>
      <c r="BQ364">
        <v>60</v>
      </c>
      <c r="BR364">
        <v>113</v>
      </c>
      <c r="BS364">
        <v>30</v>
      </c>
      <c r="BT364">
        <v>565</v>
      </c>
      <c r="BU364">
        <v>60</v>
      </c>
      <c r="BV364">
        <v>128</v>
      </c>
      <c r="BW364">
        <v>312</v>
      </c>
      <c r="BX364">
        <v>38</v>
      </c>
      <c r="BY364">
        <v>284</v>
      </c>
      <c r="BZ364">
        <v>83</v>
      </c>
      <c r="CA364">
        <v>905</v>
      </c>
      <c r="CB364">
        <v>20</v>
      </c>
      <c r="CC364">
        <v>8</v>
      </c>
      <c r="CD364">
        <v>90</v>
      </c>
      <c r="CE364">
        <v>72</v>
      </c>
      <c r="CF364">
        <v>0.8</v>
      </c>
      <c r="CG364">
        <v>0</v>
      </c>
      <c r="CH364">
        <v>0</v>
      </c>
      <c r="CI364">
        <v>0</v>
      </c>
      <c r="CJ364">
        <v>0</v>
      </c>
      <c r="CK364">
        <v>1</v>
      </c>
      <c r="CL364">
        <v>1</v>
      </c>
      <c r="CM364">
        <v>0</v>
      </c>
      <c r="CN364">
        <v>48</v>
      </c>
      <c r="CO364">
        <v>0</v>
      </c>
      <c r="CP364">
        <v>4</v>
      </c>
      <c r="CQ364">
        <v>0</v>
      </c>
      <c r="CR364">
        <v>0</v>
      </c>
      <c r="CS364">
        <v>0</v>
      </c>
      <c r="CT364">
        <v>54</v>
      </c>
      <c r="CU364">
        <v>0</v>
      </c>
      <c r="CV364">
        <v>0</v>
      </c>
      <c r="CW364">
        <v>2</v>
      </c>
      <c r="CX364">
        <v>0</v>
      </c>
      <c r="CY364">
        <v>22</v>
      </c>
      <c r="CZ364">
        <v>0</v>
      </c>
      <c r="DA364">
        <v>0</v>
      </c>
      <c r="DB364">
        <v>0</v>
      </c>
      <c r="DC364">
        <v>24</v>
      </c>
      <c r="DD364">
        <v>0</v>
      </c>
      <c r="DE364">
        <v>0</v>
      </c>
      <c r="DF364">
        <v>72</v>
      </c>
      <c r="DG364">
        <v>90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162</v>
      </c>
      <c r="DT364">
        <v>240</v>
      </c>
      <c r="DU364">
        <v>60</v>
      </c>
      <c r="DV364">
        <v>0</v>
      </c>
      <c r="DW364">
        <v>0</v>
      </c>
      <c r="DX364">
        <v>0</v>
      </c>
      <c r="DY364">
        <v>560</v>
      </c>
      <c r="DZ364">
        <v>455</v>
      </c>
      <c r="EA364">
        <v>490</v>
      </c>
      <c r="EB364">
        <v>1750</v>
      </c>
      <c r="EC364">
        <v>245</v>
      </c>
      <c r="ED364">
        <v>1400</v>
      </c>
      <c r="EE364">
        <v>2100</v>
      </c>
      <c r="EF364">
        <v>0</v>
      </c>
      <c r="EG364">
        <v>2</v>
      </c>
      <c r="EH364">
        <v>2.2999999999999998</v>
      </c>
      <c r="EI364">
        <v>2.1</v>
      </c>
      <c r="EJ364">
        <v>0.3</v>
      </c>
      <c r="EK364">
        <v>1.5</v>
      </c>
    </row>
    <row r="365" spans="1:141" x14ac:dyDescent="0.25">
      <c r="A365" t="str">
        <f>[1]ingredient!B365</f>
        <v>Schnittlauch</v>
      </c>
      <c r="B365" t="s">
        <v>428</v>
      </c>
      <c r="C365" s="7">
        <f>_xlfn.XLOOKUP(A365,[1]ingredient!$B$2:$B$521,[1]ingredient!$A$2:$A$521)</f>
        <v>364</v>
      </c>
      <c r="D365">
        <v>27</v>
      </c>
      <c r="E365">
        <v>1</v>
      </c>
      <c r="F365">
        <v>4</v>
      </c>
      <c r="G365">
        <v>2</v>
      </c>
      <c r="H365">
        <v>6</v>
      </c>
      <c r="I365">
        <v>2</v>
      </c>
      <c r="J365">
        <v>0.08</v>
      </c>
      <c r="K365">
        <v>86</v>
      </c>
      <c r="L365">
        <v>50</v>
      </c>
      <c r="M365">
        <v>25</v>
      </c>
      <c r="N365">
        <v>0</v>
      </c>
      <c r="O365">
        <v>300</v>
      </c>
      <c r="P365">
        <v>140</v>
      </c>
      <c r="Q365">
        <v>150</v>
      </c>
      <c r="R365">
        <v>600</v>
      </c>
      <c r="S365">
        <v>1250</v>
      </c>
      <c r="T365">
        <v>180</v>
      </c>
      <c r="U365">
        <v>420</v>
      </c>
      <c r="V365">
        <v>1</v>
      </c>
      <c r="W365">
        <v>80</v>
      </c>
      <c r="X365">
        <v>0</v>
      </c>
      <c r="Y365">
        <v>47000</v>
      </c>
      <c r="Z365">
        <v>0</v>
      </c>
      <c r="AA365">
        <v>1600</v>
      </c>
      <c r="AB365">
        <v>570</v>
      </c>
      <c r="AC365">
        <v>3</v>
      </c>
      <c r="AD365">
        <v>434</v>
      </c>
      <c r="AE365">
        <v>129</v>
      </c>
      <c r="AF365">
        <v>44</v>
      </c>
      <c r="AG365">
        <v>75</v>
      </c>
      <c r="AH365">
        <v>80</v>
      </c>
      <c r="AI365">
        <v>74</v>
      </c>
      <c r="AJ365">
        <v>1900</v>
      </c>
      <c r="AK365">
        <v>460</v>
      </c>
      <c r="AL365">
        <v>90</v>
      </c>
      <c r="AM365">
        <v>300</v>
      </c>
      <c r="AN365">
        <v>50</v>
      </c>
      <c r="AO365">
        <v>4</v>
      </c>
      <c r="AP365">
        <v>0</v>
      </c>
      <c r="AQ365">
        <v>0</v>
      </c>
      <c r="AR365">
        <v>0</v>
      </c>
      <c r="AS365">
        <v>0</v>
      </c>
      <c r="AT365">
        <v>640</v>
      </c>
      <c r="AU365">
        <v>640</v>
      </c>
      <c r="AV365">
        <v>0</v>
      </c>
      <c r="AW365">
        <v>1280</v>
      </c>
      <c r="AX365">
        <v>304</v>
      </c>
      <c r="AY365">
        <v>0</v>
      </c>
      <c r="AZ365">
        <v>0</v>
      </c>
      <c r="BA365">
        <v>304</v>
      </c>
      <c r="BB365">
        <v>0</v>
      </c>
      <c r="BC365">
        <v>0</v>
      </c>
      <c r="BD365">
        <v>0</v>
      </c>
      <c r="BE365">
        <v>16</v>
      </c>
      <c r="BF365">
        <v>16</v>
      </c>
      <c r="BG365">
        <f t="shared" si="53"/>
        <v>70.652173913043484</v>
      </c>
      <c r="BH365">
        <v>150</v>
      </c>
      <c r="BI365">
        <v>211</v>
      </c>
      <c r="BJ365">
        <v>175</v>
      </c>
      <c r="BK365">
        <v>36</v>
      </c>
      <c r="BL365">
        <v>29</v>
      </c>
      <c r="BM365">
        <v>115</v>
      </c>
      <c r="BN365">
        <v>100</v>
      </c>
      <c r="BO365">
        <v>140</v>
      </c>
      <c r="BP365">
        <v>39</v>
      </c>
      <c r="BQ365">
        <v>158</v>
      </c>
      <c r="BR365">
        <v>258</v>
      </c>
      <c r="BS365">
        <v>61</v>
      </c>
      <c r="BT365">
        <v>1472</v>
      </c>
      <c r="BU365">
        <v>158</v>
      </c>
      <c r="BV365">
        <v>329</v>
      </c>
      <c r="BW365">
        <v>733</v>
      </c>
      <c r="BX365">
        <v>175</v>
      </c>
      <c r="BY365">
        <v>233</v>
      </c>
      <c r="BZ365">
        <v>158</v>
      </c>
      <c r="CA365">
        <v>1786</v>
      </c>
      <c r="CB365">
        <v>30</v>
      </c>
      <c r="CC365">
        <v>13</v>
      </c>
      <c r="CD365">
        <v>254</v>
      </c>
      <c r="CE365">
        <v>120</v>
      </c>
      <c r="CF365">
        <v>0.47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3</v>
      </c>
      <c r="CM365">
        <v>0</v>
      </c>
      <c r="CN365">
        <v>77</v>
      </c>
      <c r="CO365">
        <v>0</v>
      </c>
      <c r="CP365">
        <v>7</v>
      </c>
      <c r="CQ365">
        <v>0</v>
      </c>
      <c r="CR365">
        <v>0</v>
      </c>
      <c r="CS365">
        <v>0</v>
      </c>
      <c r="CT365">
        <v>87</v>
      </c>
      <c r="CU365">
        <v>0</v>
      </c>
      <c r="CV365">
        <v>0</v>
      </c>
      <c r="CW365">
        <v>12</v>
      </c>
      <c r="CX365">
        <v>0</v>
      </c>
      <c r="CY365">
        <v>7</v>
      </c>
      <c r="CZ365">
        <v>0</v>
      </c>
      <c r="DA365">
        <v>0</v>
      </c>
      <c r="DB365">
        <v>0</v>
      </c>
      <c r="DC365">
        <v>19</v>
      </c>
      <c r="DD365">
        <v>0</v>
      </c>
      <c r="DE365">
        <v>0</v>
      </c>
      <c r="DF365">
        <v>120</v>
      </c>
      <c r="DG365">
        <v>254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374</v>
      </c>
      <c r="DT365">
        <v>480</v>
      </c>
      <c r="DU365">
        <v>120</v>
      </c>
      <c r="DV365">
        <v>0</v>
      </c>
      <c r="DW365">
        <v>0</v>
      </c>
      <c r="DX365">
        <v>0</v>
      </c>
      <c r="DY365">
        <v>900</v>
      </c>
      <c r="DZ365">
        <v>1200</v>
      </c>
      <c r="EA365">
        <v>1620</v>
      </c>
      <c r="EB365">
        <v>2100</v>
      </c>
      <c r="EC365">
        <v>180</v>
      </c>
      <c r="ED365">
        <v>1800</v>
      </c>
      <c r="EE365">
        <v>4200</v>
      </c>
      <c r="EF365">
        <v>0</v>
      </c>
      <c r="EG365">
        <v>0.25</v>
      </c>
      <c r="EH365">
        <v>1.7</v>
      </c>
      <c r="EI365">
        <v>4.2</v>
      </c>
      <c r="EJ365">
        <v>0.6</v>
      </c>
      <c r="EK365">
        <v>3.4</v>
      </c>
    </row>
    <row r="366" spans="1:141" x14ac:dyDescent="0.25">
      <c r="A366" t="str">
        <f>[1]ingredient!B366</f>
        <v>Schwarze Bohnen</v>
      </c>
      <c r="B366" t="s">
        <v>429</v>
      </c>
      <c r="C366" s="7">
        <f>_xlfn.XLOOKUP(A366,[1]ingredient!$B$2:$B$521,[1]ingredient!$A$2:$A$521)</f>
        <v>365</v>
      </c>
      <c r="D366">
        <v>373</v>
      </c>
      <c r="E366">
        <v>1</v>
      </c>
      <c r="F366">
        <v>22</v>
      </c>
      <c r="G366">
        <v>62</v>
      </c>
      <c r="H366">
        <v>6</v>
      </c>
      <c r="I366">
        <v>2</v>
      </c>
      <c r="J366">
        <v>0.03</v>
      </c>
      <c r="K366">
        <v>0.1</v>
      </c>
      <c r="L366">
        <v>0</v>
      </c>
      <c r="M366">
        <v>0</v>
      </c>
      <c r="N366">
        <v>0</v>
      </c>
      <c r="O366">
        <v>0</v>
      </c>
      <c r="P366">
        <v>900</v>
      </c>
      <c r="Q366">
        <v>200</v>
      </c>
      <c r="R366">
        <v>2000</v>
      </c>
      <c r="S366">
        <v>4700</v>
      </c>
      <c r="T366">
        <v>900</v>
      </c>
      <c r="U366">
        <v>300</v>
      </c>
      <c r="V366">
        <v>10</v>
      </c>
      <c r="W366">
        <v>444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5</v>
      </c>
      <c r="AD366">
        <v>1483</v>
      </c>
      <c r="AE366">
        <v>123</v>
      </c>
      <c r="AF366">
        <v>171</v>
      </c>
      <c r="AG366">
        <v>352</v>
      </c>
      <c r="AH366">
        <v>120</v>
      </c>
      <c r="AI366">
        <v>25</v>
      </c>
      <c r="AJ366">
        <v>5000</v>
      </c>
      <c r="AK366">
        <v>3600</v>
      </c>
      <c r="AL366">
        <v>700</v>
      </c>
      <c r="AM366">
        <v>1700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2100</v>
      </c>
      <c r="AY366">
        <v>0</v>
      </c>
      <c r="AZ366">
        <v>0</v>
      </c>
      <c r="BA366">
        <v>2120</v>
      </c>
      <c r="BB366">
        <v>10000</v>
      </c>
      <c r="BC366">
        <v>6000</v>
      </c>
      <c r="BD366">
        <v>0</v>
      </c>
      <c r="BE366">
        <v>50240</v>
      </c>
      <c r="BF366">
        <v>0</v>
      </c>
      <c r="BG366">
        <f t="shared" si="53"/>
        <v>65.810276679841891</v>
      </c>
      <c r="BH366">
        <v>950</v>
      </c>
      <c r="BI366">
        <v>1875</v>
      </c>
      <c r="BJ366">
        <v>1661</v>
      </c>
      <c r="BK366">
        <v>119</v>
      </c>
      <c r="BL366">
        <v>214</v>
      </c>
      <c r="BM366">
        <v>1115</v>
      </c>
      <c r="BN366">
        <v>735</v>
      </c>
      <c r="BO366">
        <v>784</v>
      </c>
      <c r="BP366">
        <v>166</v>
      </c>
      <c r="BQ366">
        <v>1115</v>
      </c>
      <c r="BR366">
        <v>1472</v>
      </c>
      <c r="BS366">
        <v>688</v>
      </c>
      <c r="BT366">
        <v>10895</v>
      </c>
      <c r="BU366">
        <v>997</v>
      </c>
      <c r="BV366">
        <v>2777</v>
      </c>
      <c r="BW366">
        <v>3727</v>
      </c>
      <c r="BX366">
        <v>902</v>
      </c>
      <c r="BY366">
        <v>1092</v>
      </c>
      <c r="BZ366">
        <v>1211</v>
      </c>
      <c r="CA366">
        <v>10705</v>
      </c>
      <c r="CB366">
        <v>130</v>
      </c>
      <c r="CC366">
        <v>54</v>
      </c>
      <c r="CD366">
        <v>100</v>
      </c>
      <c r="CE366">
        <v>500</v>
      </c>
      <c r="CF366">
        <v>5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10</v>
      </c>
      <c r="CM366">
        <v>0</v>
      </c>
      <c r="CN366">
        <v>296</v>
      </c>
      <c r="CO366">
        <v>0</v>
      </c>
      <c r="CP366">
        <v>49</v>
      </c>
      <c r="CQ366">
        <v>10</v>
      </c>
      <c r="CR366">
        <v>0</v>
      </c>
      <c r="CS366">
        <v>0</v>
      </c>
      <c r="CT366">
        <v>400</v>
      </c>
      <c r="CU366">
        <v>0</v>
      </c>
      <c r="CV366">
        <v>0</v>
      </c>
      <c r="CW366">
        <v>0</v>
      </c>
      <c r="CX366">
        <v>0</v>
      </c>
      <c r="CY366">
        <v>123</v>
      </c>
      <c r="CZ366">
        <v>0</v>
      </c>
      <c r="DA366">
        <v>0</v>
      </c>
      <c r="DB366">
        <v>0</v>
      </c>
      <c r="DC366">
        <v>100</v>
      </c>
      <c r="DD366">
        <v>0</v>
      </c>
      <c r="DE366">
        <v>0</v>
      </c>
      <c r="DF366">
        <v>500</v>
      </c>
      <c r="DG366">
        <v>100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600</v>
      </c>
      <c r="DT366">
        <v>1099</v>
      </c>
      <c r="DU366">
        <v>321</v>
      </c>
      <c r="DV366">
        <v>0</v>
      </c>
      <c r="DW366">
        <v>0</v>
      </c>
      <c r="DX366">
        <v>0</v>
      </c>
      <c r="DY366">
        <v>780</v>
      </c>
      <c r="DZ366">
        <v>2100</v>
      </c>
      <c r="EA366">
        <v>780</v>
      </c>
      <c r="EB366">
        <v>2220</v>
      </c>
      <c r="EC366">
        <v>120</v>
      </c>
      <c r="ED366">
        <v>3000</v>
      </c>
      <c r="EE366">
        <v>3000</v>
      </c>
      <c r="EF366">
        <v>0</v>
      </c>
      <c r="EG366">
        <v>250</v>
      </c>
      <c r="EH366">
        <v>2.2999999999999998</v>
      </c>
      <c r="EI366">
        <v>3</v>
      </c>
      <c r="EJ366">
        <v>1.4</v>
      </c>
      <c r="EK366">
        <v>22</v>
      </c>
    </row>
    <row r="367" spans="1:141" x14ac:dyDescent="0.25">
      <c r="A367" t="str">
        <f>[1]ingredient!B367</f>
        <v>Schwarze Bohnen, gekocht</v>
      </c>
      <c r="C367" s="7">
        <f>_xlfn.XLOOKUP(A367,[1]ingredient!$B$2:$B$521,[1]ingredient!$A$2:$A$521)</f>
        <v>366</v>
      </c>
      <c r="D367" s="10">
        <f t="shared" ref="D367:BF367" si="55">IFERROR((D446/D445)*D366,0)</f>
        <v>158.84410646387832</v>
      </c>
      <c r="E367" s="10">
        <f t="shared" si="55"/>
        <v>0.5</v>
      </c>
      <c r="F367" s="10">
        <f t="shared" si="55"/>
        <v>9.4285714285714288</v>
      </c>
      <c r="G367" s="10">
        <f t="shared" si="55"/>
        <v>26.349999999999998</v>
      </c>
      <c r="H367" s="10">
        <f t="shared" si="55"/>
        <v>2.4705882352941178</v>
      </c>
      <c r="I367" s="10">
        <f t="shared" si="55"/>
        <v>2</v>
      </c>
      <c r="J367" s="10">
        <f t="shared" si="55"/>
        <v>1.1999999999999999E-2</v>
      </c>
      <c r="K367" s="10">
        <f t="shared" si="55"/>
        <v>0.51666666666666672</v>
      </c>
      <c r="L367" s="10">
        <f t="shared" si="55"/>
        <v>0</v>
      </c>
      <c r="M367" s="10">
        <f t="shared" si="55"/>
        <v>0</v>
      </c>
      <c r="N367" s="10">
        <f t="shared" si="55"/>
        <v>0</v>
      </c>
      <c r="O367" s="10">
        <f t="shared" si="55"/>
        <v>0</v>
      </c>
      <c r="P367" s="10">
        <f t="shared" si="55"/>
        <v>275.54671968190854</v>
      </c>
      <c r="Q367" s="10">
        <f t="shared" si="55"/>
        <v>71.186440677966104</v>
      </c>
      <c r="R367" s="10">
        <f t="shared" si="55"/>
        <v>661.92893401015226</v>
      </c>
      <c r="S367" s="10">
        <f t="shared" si="55"/>
        <v>1835.4545454545455</v>
      </c>
      <c r="T367" s="10">
        <f t="shared" si="55"/>
        <v>318.62068965517244</v>
      </c>
      <c r="U367" s="10">
        <f t="shared" si="55"/>
        <v>99.512195121951223</v>
      </c>
      <c r="V367" s="10">
        <f t="shared" si="55"/>
        <v>3</v>
      </c>
      <c r="W367" s="10">
        <f t="shared" si="55"/>
        <v>105.11020408163266</v>
      </c>
      <c r="X367" s="10">
        <f t="shared" si="55"/>
        <v>0</v>
      </c>
      <c r="Y367" s="10">
        <f t="shared" si="55"/>
        <v>0</v>
      </c>
      <c r="Z367" s="10">
        <f t="shared" si="55"/>
        <v>0</v>
      </c>
      <c r="AA367" s="10">
        <f t="shared" si="55"/>
        <v>0</v>
      </c>
      <c r="AB367" s="10">
        <f t="shared" si="55"/>
        <v>0</v>
      </c>
      <c r="AC367" s="10">
        <f t="shared" si="55"/>
        <v>1.25</v>
      </c>
      <c r="AD367" s="10">
        <f t="shared" si="55"/>
        <v>525.0441616766467</v>
      </c>
      <c r="AE367" s="10">
        <f t="shared" si="55"/>
        <v>52.247787610619469</v>
      </c>
      <c r="AF367" s="10">
        <f t="shared" si="55"/>
        <v>68.400000000000006</v>
      </c>
      <c r="AG367" s="10">
        <f t="shared" si="55"/>
        <v>149.55868544600941</v>
      </c>
      <c r="AH367" s="10">
        <f t="shared" si="55"/>
        <v>50.823529411764703</v>
      </c>
      <c r="AI367" s="10">
        <f t="shared" si="55"/>
        <v>8.5106382978723403</v>
      </c>
      <c r="AJ367" s="10">
        <f t="shared" si="55"/>
        <v>2008.1037277147486</v>
      </c>
      <c r="AK367" s="10">
        <f t="shared" si="55"/>
        <v>1531.5370018975332</v>
      </c>
      <c r="AL367" s="10">
        <f t="shared" si="55"/>
        <v>231.49606299212601</v>
      </c>
      <c r="AM367" s="10">
        <f t="shared" si="55"/>
        <v>723.15789473684208</v>
      </c>
      <c r="AN367" s="10">
        <f t="shared" si="55"/>
        <v>0</v>
      </c>
      <c r="AO367" s="10">
        <f t="shared" si="55"/>
        <v>1</v>
      </c>
      <c r="AP367" s="10">
        <f t="shared" si="55"/>
        <v>0</v>
      </c>
      <c r="AQ367" s="10">
        <f t="shared" si="55"/>
        <v>0</v>
      </c>
      <c r="AR367" s="10">
        <f t="shared" si="55"/>
        <v>0</v>
      </c>
      <c r="AS367" s="10">
        <f t="shared" si="55"/>
        <v>0</v>
      </c>
      <c r="AT367" s="10">
        <f t="shared" si="55"/>
        <v>0</v>
      </c>
      <c r="AU367" s="10">
        <f t="shared" si="55"/>
        <v>0</v>
      </c>
      <c r="AV367" s="10">
        <f t="shared" si="55"/>
        <v>0</v>
      </c>
      <c r="AW367" s="10">
        <f t="shared" si="55"/>
        <v>0</v>
      </c>
      <c r="AX367" s="10">
        <f t="shared" si="55"/>
        <v>892.71966527196651</v>
      </c>
      <c r="AY367" s="10">
        <f t="shared" si="55"/>
        <v>0</v>
      </c>
      <c r="AZ367" s="10">
        <f t="shared" si="55"/>
        <v>0</v>
      </c>
      <c r="BA367" s="10">
        <f t="shared" si="55"/>
        <v>901.22175732217568</v>
      </c>
      <c r="BB367" s="10">
        <f t="shared" si="55"/>
        <v>4252.9817953546763</v>
      </c>
      <c r="BC367" s="10">
        <f t="shared" si="55"/>
        <v>2834.7629796839728</v>
      </c>
      <c r="BD367" s="10">
        <f t="shared" si="55"/>
        <v>0</v>
      </c>
      <c r="BE367" s="10">
        <f t="shared" si="55"/>
        <v>21362.526030644203</v>
      </c>
      <c r="BF367" s="10">
        <f t="shared" si="55"/>
        <v>0</v>
      </c>
      <c r="BG367">
        <f t="shared" si="53"/>
        <v>65.589819660165631</v>
      </c>
      <c r="BH367" s="10">
        <f t="shared" ref="BH367:DS367" si="56">IFERROR((BH446/BH445)*BH366,0)</f>
        <v>403.73009220452639</v>
      </c>
      <c r="BI367" s="10">
        <f t="shared" si="56"/>
        <v>796.01990049751248</v>
      </c>
      <c r="BJ367" s="10">
        <f t="shared" si="56"/>
        <v>706.13578680203045</v>
      </c>
      <c r="BK367" s="10">
        <f t="shared" si="56"/>
        <v>50.840375586854464</v>
      </c>
      <c r="BL367" s="10">
        <f t="shared" si="56"/>
        <v>91.395833333333329</v>
      </c>
      <c r="BM367" s="10">
        <f t="shared" si="56"/>
        <v>473.77986348122869</v>
      </c>
      <c r="BN367" s="10">
        <f t="shared" si="56"/>
        <v>312.53399258343632</v>
      </c>
      <c r="BO367" s="10">
        <f t="shared" si="56"/>
        <v>333.79912663755459</v>
      </c>
      <c r="BP367" s="10">
        <f t="shared" si="56"/>
        <v>70.895833333333329</v>
      </c>
      <c r="BQ367" s="10">
        <f t="shared" si="56"/>
        <v>473.7441314553991</v>
      </c>
      <c r="BR367" s="10">
        <f t="shared" si="56"/>
        <v>625.42723004694835</v>
      </c>
      <c r="BS367" s="10">
        <f t="shared" si="56"/>
        <v>292.05369127516781</v>
      </c>
      <c r="BT367" s="10">
        <f t="shared" si="56"/>
        <v>4631.1515502494658</v>
      </c>
      <c r="BU367" s="10">
        <f t="shared" si="56"/>
        <v>424.61350844277678</v>
      </c>
      <c r="BV367" s="10">
        <f t="shared" si="56"/>
        <v>1181.322628458498</v>
      </c>
      <c r="BW367" s="10">
        <f t="shared" si="56"/>
        <v>1585.2398190045249</v>
      </c>
      <c r="BX367" s="10">
        <f t="shared" si="56"/>
        <v>384.03333333333336</v>
      </c>
      <c r="BY367" s="10">
        <f t="shared" si="56"/>
        <v>464.13559322033899</v>
      </c>
      <c r="BZ367" s="10">
        <f t="shared" si="56"/>
        <v>515.10140845070418</v>
      </c>
      <c r="CA367" s="10">
        <f t="shared" si="56"/>
        <v>4553.8334304018636</v>
      </c>
      <c r="CB367" s="10">
        <f t="shared" si="56"/>
        <v>55.611111111111107</v>
      </c>
      <c r="CC367" s="10">
        <f t="shared" si="56"/>
        <v>23.040000000000003</v>
      </c>
      <c r="CD367" s="10">
        <f t="shared" si="56"/>
        <v>42.592592592592595</v>
      </c>
      <c r="CE367" s="10">
        <f t="shared" si="56"/>
        <v>211.94029850746267</v>
      </c>
      <c r="CF367" s="10">
        <f t="shared" si="56"/>
        <v>5</v>
      </c>
      <c r="CG367" s="10">
        <f t="shared" si="56"/>
        <v>0</v>
      </c>
      <c r="CH367" s="10">
        <f t="shared" si="56"/>
        <v>0</v>
      </c>
      <c r="CI367" s="10">
        <f t="shared" si="56"/>
        <v>0</v>
      </c>
      <c r="CJ367" s="10">
        <f t="shared" si="56"/>
        <v>0</v>
      </c>
      <c r="CK367" s="10">
        <f t="shared" si="56"/>
        <v>0</v>
      </c>
      <c r="CL367" s="10">
        <f t="shared" si="56"/>
        <v>0</v>
      </c>
      <c r="CM367" s="10">
        <f t="shared" si="56"/>
        <v>0</v>
      </c>
      <c r="CN367" s="10">
        <f t="shared" si="56"/>
        <v>125.62790697674419</v>
      </c>
      <c r="CO367" s="10">
        <f t="shared" si="56"/>
        <v>0</v>
      </c>
      <c r="CP367" s="10">
        <f t="shared" si="56"/>
        <v>21</v>
      </c>
      <c r="CQ367" s="10">
        <f t="shared" si="56"/>
        <v>0</v>
      </c>
      <c r="CR367" s="10">
        <f t="shared" si="56"/>
        <v>0</v>
      </c>
      <c r="CS367" s="10">
        <f t="shared" si="56"/>
        <v>0</v>
      </c>
      <c r="CT367" s="10">
        <f t="shared" si="56"/>
        <v>169.94818652849742</v>
      </c>
      <c r="CU367" s="10">
        <f t="shared" si="56"/>
        <v>0</v>
      </c>
      <c r="CV367" s="10">
        <f t="shared" si="56"/>
        <v>0</v>
      </c>
      <c r="CW367" s="10">
        <f t="shared" si="56"/>
        <v>0</v>
      </c>
      <c r="CX367" s="10">
        <f t="shared" si="56"/>
        <v>0</v>
      </c>
      <c r="CY367" s="10">
        <f t="shared" si="56"/>
        <v>52.118644067796609</v>
      </c>
      <c r="CZ367" s="10">
        <f t="shared" si="56"/>
        <v>0</v>
      </c>
      <c r="DA367" s="10">
        <f t="shared" si="56"/>
        <v>0</v>
      </c>
      <c r="DB367" s="10">
        <f t="shared" si="56"/>
        <v>0</v>
      </c>
      <c r="DC367" s="10">
        <f t="shared" si="56"/>
        <v>42.372881355932201</v>
      </c>
      <c r="DD367" s="10">
        <f t="shared" si="56"/>
        <v>0</v>
      </c>
      <c r="DE367" s="10">
        <f t="shared" si="56"/>
        <v>0</v>
      </c>
      <c r="DF367" s="10">
        <f t="shared" si="56"/>
        <v>211.94029850746267</v>
      </c>
      <c r="DG367" s="10">
        <f t="shared" si="56"/>
        <v>42.592592592592595</v>
      </c>
      <c r="DH367" s="10">
        <f t="shared" si="56"/>
        <v>0</v>
      </c>
      <c r="DI367" s="10">
        <f t="shared" si="56"/>
        <v>0</v>
      </c>
      <c r="DJ367" s="10">
        <f t="shared" si="56"/>
        <v>0</v>
      </c>
      <c r="DK367" s="10">
        <f t="shared" si="56"/>
        <v>0</v>
      </c>
      <c r="DL367" s="10">
        <f t="shared" si="56"/>
        <v>0</v>
      </c>
      <c r="DM367" s="10">
        <f t="shared" si="56"/>
        <v>0</v>
      </c>
      <c r="DN367" s="10">
        <f t="shared" si="56"/>
        <v>0</v>
      </c>
      <c r="DO367" s="10">
        <f t="shared" si="56"/>
        <v>0</v>
      </c>
      <c r="DP367" s="10">
        <f t="shared" si="56"/>
        <v>0</v>
      </c>
      <c r="DQ367" s="10">
        <f t="shared" si="56"/>
        <v>0</v>
      </c>
      <c r="DR367" s="10">
        <f t="shared" si="56"/>
        <v>0</v>
      </c>
      <c r="DS367" s="10">
        <f t="shared" si="56"/>
        <v>255.11302475780408</v>
      </c>
      <c r="DT367" s="10">
        <f t="shared" ref="DT367:EK367" si="57">IFERROR((DT446/DT445)*DT366,0)</f>
        <v>467.07499999999999</v>
      </c>
      <c r="DU367" s="10">
        <f t="shared" si="57"/>
        <v>136.42499999999998</v>
      </c>
      <c r="DV367" s="10">
        <f t="shared" si="57"/>
        <v>0</v>
      </c>
      <c r="DW367" s="10">
        <f t="shared" si="57"/>
        <v>0</v>
      </c>
      <c r="DX367" s="10">
        <f t="shared" si="57"/>
        <v>0</v>
      </c>
      <c r="DY367" s="10">
        <f t="shared" si="57"/>
        <v>342.70588235294116</v>
      </c>
      <c r="DZ367" s="10">
        <f t="shared" si="57"/>
        <v>922.58823529411768</v>
      </c>
      <c r="EA367" s="10">
        <f t="shared" si="57"/>
        <v>342.70588235294116</v>
      </c>
      <c r="EB367" s="10">
        <f t="shared" si="57"/>
        <v>975.88235294117646</v>
      </c>
      <c r="EC367" s="10">
        <f t="shared" si="57"/>
        <v>52.588235294117645</v>
      </c>
      <c r="ED367" s="10">
        <f t="shared" si="57"/>
        <v>1318.2352941176471</v>
      </c>
      <c r="EE367" s="10">
        <f t="shared" si="57"/>
        <v>1318.2352941176471</v>
      </c>
      <c r="EF367" s="10">
        <f t="shared" si="57"/>
        <v>0</v>
      </c>
      <c r="EG367" s="10">
        <f t="shared" si="57"/>
        <v>60</v>
      </c>
      <c r="EH367" s="10">
        <f t="shared" si="57"/>
        <v>0.86249999999999993</v>
      </c>
      <c r="EI367" s="10">
        <f t="shared" si="57"/>
        <v>1.3058823529411765</v>
      </c>
      <c r="EJ367" s="10">
        <f t="shared" si="57"/>
        <v>0.61249999999999993</v>
      </c>
      <c r="EK367" s="10">
        <f t="shared" si="57"/>
        <v>9.382352941176471</v>
      </c>
    </row>
    <row r="368" spans="1:141" x14ac:dyDescent="0.25">
      <c r="A368" t="str">
        <f>[1]ingredient!B368</f>
        <v>Schwarzkohl</v>
      </c>
      <c r="B368" t="s">
        <v>250</v>
      </c>
      <c r="C368" s="7">
        <f>_xlfn.XLOOKUP(A368,[1]ingredient!$B$2:$B$521,[1]ingredient!$A$2:$A$521)</f>
        <v>367</v>
      </c>
      <c r="D368">
        <v>37</v>
      </c>
      <c r="E368">
        <v>1</v>
      </c>
      <c r="F368">
        <v>4</v>
      </c>
      <c r="G368">
        <v>3</v>
      </c>
      <c r="H368">
        <v>4</v>
      </c>
      <c r="I368">
        <v>3</v>
      </c>
      <c r="J368">
        <v>0.1</v>
      </c>
      <c r="K368">
        <v>86</v>
      </c>
      <c r="L368">
        <v>862</v>
      </c>
      <c r="M368">
        <v>431</v>
      </c>
      <c r="N368">
        <v>0</v>
      </c>
      <c r="O368">
        <v>5169</v>
      </c>
      <c r="P368">
        <v>100</v>
      </c>
      <c r="Q368">
        <v>250</v>
      </c>
      <c r="R368">
        <v>2100</v>
      </c>
      <c r="S368">
        <v>3167</v>
      </c>
      <c r="T368">
        <v>0</v>
      </c>
      <c r="U368">
        <v>250</v>
      </c>
      <c r="V368">
        <v>1</v>
      </c>
      <c r="W368">
        <v>187</v>
      </c>
      <c r="X368">
        <v>0</v>
      </c>
      <c r="Y368">
        <v>105000</v>
      </c>
      <c r="Z368">
        <v>0</v>
      </c>
      <c r="AA368">
        <v>1700</v>
      </c>
      <c r="AB368">
        <v>817</v>
      </c>
      <c r="AC368">
        <v>35</v>
      </c>
      <c r="AD368">
        <v>451</v>
      </c>
      <c r="AE368">
        <v>212</v>
      </c>
      <c r="AF368">
        <v>31</v>
      </c>
      <c r="AG368">
        <v>87</v>
      </c>
      <c r="AH368">
        <v>110</v>
      </c>
      <c r="AI368">
        <v>60</v>
      </c>
      <c r="AJ368">
        <v>1900</v>
      </c>
      <c r="AK368">
        <v>330</v>
      </c>
      <c r="AL368">
        <v>56</v>
      </c>
      <c r="AM368">
        <v>550</v>
      </c>
      <c r="AN368">
        <v>20</v>
      </c>
      <c r="AO368">
        <v>5</v>
      </c>
      <c r="AP368">
        <v>0</v>
      </c>
      <c r="AQ368">
        <v>0</v>
      </c>
      <c r="AR368">
        <v>0</v>
      </c>
      <c r="AS368">
        <v>0</v>
      </c>
      <c r="AT368">
        <v>615</v>
      </c>
      <c r="AU368">
        <v>920</v>
      </c>
      <c r="AV368">
        <v>0</v>
      </c>
      <c r="AW368">
        <v>1535</v>
      </c>
      <c r="AX368">
        <v>1000</v>
      </c>
      <c r="AY368">
        <v>0</v>
      </c>
      <c r="AZ368">
        <v>0</v>
      </c>
      <c r="BA368">
        <v>1000</v>
      </c>
      <c r="BB368">
        <v>0</v>
      </c>
      <c r="BC368">
        <v>0</v>
      </c>
      <c r="BD368">
        <v>0</v>
      </c>
      <c r="BE368">
        <v>102</v>
      </c>
      <c r="BF368">
        <v>102</v>
      </c>
      <c r="BG368">
        <f t="shared" si="53"/>
        <v>102.45901639344261</v>
      </c>
      <c r="BH368">
        <v>140</v>
      </c>
      <c r="BI368">
        <v>250</v>
      </c>
      <c r="BJ368">
        <v>240</v>
      </c>
      <c r="BK368">
        <v>52</v>
      </c>
      <c r="BL368">
        <v>69</v>
      </c>
      <c r="BM368">
        <v>140</v>
      </c>
      <c r="BN368">
        <v>180</v>
      </c>
      <c r="BO368">
        <v>130</v>
      </c>
      <c r="BP368">
        <v>64</v>
      </c>
      <c r="BQ368">
        <v>230</v>
      </c>
      <c r="BR368">
        <v>300</v>
      </c>
      <c r="BS368">
        <v>100</v>
      </c>
      <c r="BT368">
        <v>1895</v>
      </c>
      <c r="BU368">
        <v>269</v>
      </c>
      <c r="BV368">
        <v>448</v>
      </c>
      <c r="BW368">
        <v>537</v>
      </c>
      <c r="BX368">
        <v>215</v>
      </c>
      <c r="BY368">
        <v>251</v>
      </c>
      <c r="BZ368">
        <v>197</v>
      </c>
      <c r="CA368">
        <v>1917</v>
      </c>
      <c r="CB368">
        <v>48</v>
      </c>
      <c r="CC368">
        <v>16</v>
      </c>
      <c r="CD368">
        <v>355</v>
      </c>
      <c r="CE368">
        <v>130</v>
      </c>
      <c r="CF368">
        <v>0.37</v>
      </c>
      <c r="CG368">
        <v>0</v>
      </c>
      <c r="CH368">
        <v>0</v>
      </c>
      <c r="CI368">
        <v>0</v>
      </c>
      <c r="CJ368">
        <v>0</v>
      </c>
      <c r="CK368">
        <v>4</v>
      </c>
      <c r="CL368">
        <v>1</v>
      </c>
      <c r="CM368">
        <v>0</v>
      </c>
      <c r="CN368">
        <v>95</v>
      </c>
      <c r="CO368">
        <v>0</v>
      </c>
      <c r="CP368">
        <v>9</v>
      </c>
      <c r="CQ368">
        <v>2</v>
      </c>
      <c r="CR368">
        <v>0</v>
      </c>
      <c r="CS368">
        <v>0</v>
      </c>
      <c r="CT368">
        <v>111</v>
      </c>
      <c r="CU368">
        <v>0</v>
      </c>
      <c r="CV368">
        <v>0</v>
      </c>
      <c r="CW368">
        <v>12</v>
      </c>
      <c r="CX368">
        <v>0</v>
      </c>
      <c r="CY368">
        <v>5</v>
      </c>
      <c r="CZ368">
        <v>2</v>
      </c>
      <c r="DA368">
        <v>0</v>
      </c>
      <c r="DB368">
        <v>0</v>
      </c>
      <c r="DC368">
        <v>19</v>
      </c>
      <c r="DD368">
        <v>0</v>
      </c>
      <c r="DE368">
        <v>0</v>
      </c>
      <c r="DF368">
        <v>130</v>
      </c>
      <c r="DG368">
        <v>355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485</v>
      </c>
      <c r="DT368">
        <v>614</v>
      </c>
      <c r="DU368">
        <v>180</v>
      </c>
      <c r="DV368">
        <v>0</v>
      </c>
      <c r="DW368">
        <v>0</v>
      </c>
      <c r="DX368">
        <v>0</v>
      </c>
      <c r="DY368">
        <v>882</v>
      </c>
      <c r="DZ368">
        <v>714</v>
      </c>
      <c r="EA368">
        <v>1050</v>
      </c>
      <c r="EB368">
        <v>1470</v>
      </c>
      <c r="EC368">
        <v>126</v>
      </c>
      <c r="ED368">
        <v>420</v>
      </c>
      <c r="EE368">
        <v>3780</v>
      </c>
      <c r="EF368">
        <v>0</v>
      </c>
      <c r="EG368">
        <v>0.44</v>
      </c>
      <c r="EH368">
        <v>1.7</v>
      </c>
      <c r="EI368">
        <v>3.8</v>
      </c>
      <c r="EJ368">
        <v>0.9</v>
      </c>
      <c r="EK368">
        <v>4</v>
      </c>
    </row>
    <row r="369" spans="1:141" x14ac:dyDescent="0.25">
      <c r="A369" t="str">
        <f>[1]ingredient!B369</f>
        <v>Schwarzwurzel</v>
      </c>
      <c r="B369" t="s">
        <v>430</v>
      </c>
      <c r="C369" s="7">
        <f>_xlfn.XLOOKUP(A369,[1]ingredient!$B$2:$B$521,[1]ingredient!$A$2:$A$521)</f>
        <v>368</v>
      </c>
      <c r="D369">
        <v>17</v>
      </c>
      <c r="E369">
        <v>0.4</v>
      </c>
      <c r="F369">
        <v>1</v>
      </c>
      <c r="G369">
        <v>2</v>
      </c>
      <c r="H369">
        <v>4</v>
      </c>
      <c r="I369">
        <v>1</v>
      </c>
      <c r="J369">
        <v>0.04</v>
      </c>
      <c r="K369">
        <v>88</v>
      </c>
      <c r="L369">
        <v>3</v>
      </c>
      <c r="M369">
        <v>2</v>
      </c>
      <c r="N369">
        <v>0</v>
      </c>
      <c r="O369">
        <v>20</v>
      </c>
      <c r="P369">
        <v>110</v>
      </c>
      <c r="Q369">
        <v>35</v>
      </c>
      <c r="R369">
        <v>350</v>
      </c>
      <c r="S369">
        <v>583</v>
      </c>
      <c r="T369">
        <v>200</v>
      </c>
      <c r="U369">
        <v>70</v>
      </c>
      <c r="V369">
        <v>1</v>
      </c>
      <c r="W369">
        <v>57</v>
      </c>
      <c r="X369">
        <v>0</v>
      </c>
      <c r="Y369">
        <v>4000</v>
      </c>
      <c r="Z369">
        <v>0</v>
      </c>
      <c r="AA369">
        <v>6000</v>
      </c>
      <c r="AB369">
        <v>40</v>
      </c>
      <c r="AC369">
        <v>5</v>
      </c>
      <c r="AD369">
        <v>320</v>
      </c>
      <c r="AE369">
        <v>53</v>
      </c>
      <c r="AF369">
        <v>23</v>
      </c>
      <c r="AG369">
        <v>76</v>
      </c>
      <c r="AH369">
        <v>22</v>
      </c>
      <c r="AI369">
        <v>31</v>
      </c>
      <c r="AJ369">
        <v>3300</v>
      </c>
      <c r="AK369">
        <v>220</v>
      </c>
      <c r="AL369">
        <v>300</v>
      </c>
      <c r="AM369">
        <v>410</v>
      </c>
      <c r="AN369">
        <v>15</v>
      </c>
      <c r="AO369">
        <v>3</v>
      </c>
      <c r="AP369">
        <v>24</v>
      </c>
      <c r="AQ369">
        <v>0</v>
      </c>
      <c r="AR369">
        <v>0</v>
      </c>
      <c r="AS369">
        <v>24</v>
      </c>
      <c r="AT369">
        <v>106</v>
      </c>
      <c r="AU369">
        <v>33</v>
      </c>
      <c r="AV369">
        <v>0</v>
      </c>
      <c r="AW369">
        <v>139</v>
      </c>
      <c r="AX369">
        <v>407</v>
      </c>
      <c r="AY369">
        <v>0</v>
      </c>
      <c r="AZ369">
        <v>0</v>
      </c>
      <c r="BA369">
        <v>407</v>
      </c>
      <c r="BB369">
        <v>1060</v>
      </c>
      <c r="BC369">
        <v>2680</v>
      </c>
      <c r="BD369">
        <v>0</v>
      </c>
      <c r="BE369">
        <v>0</v>
      </c>
      <c r="BF369">
        <v>0</v>
      </c>
      <c r="BG369">
        <f t="shared" si="53"/>
        <v>131.25</v>
      </c>
      <c r="BH369">
        <v>56</v>
      </c>
      <c r="BI369">
        <v>84</v>
      </c>
      <c r="BJ369">
        <v>70</v>
      </c>
      <c r="BK369">
        <v>17</v>
      </c>
      <c r="BL369">
        <v>14</v>
      </c>
      <c r="BM369">
        <v>42</v>
      </c>
      <c r="BN369">
        <v>28</v>
      </c>
      <c r="BO369">
        <v>49</v>
      </c>
      <c r="BP369">
        <v>14</v>
      </c>
      <c r="BQ369">
        <v>56</v>
      </c>
      <c r="BR369">
        <v>56</v>
      </c>
      <c r="BS369">
        <v>21</v>
      </c>
      <c r="BT369">
        <v>507</v>
      </c>
      <c r="BU369">
        <v>70</v>
      </c>
      <c r="BV369">
        <v>140</v>
      </c>
      <c r="BW369">
        <v>210</v>
      </c>
      <c r="BX369">
        <v>39</v>
      </c>
      <c r="BY369">
        <v>56</v>
      </c>
      <c r="BZ369">
        <v>42</v>
      </c>
      <c r="CA369">
        <v>557</v>
      </c>
      <c r="CB369">
        <v>70</v>
      </c>
      <c r="CC369">
        <v>29</v>
      </c>
      <c r="CD369">
        <v>96</v>
      </c>
      <c r="CE369">
        <v>128</v>
      </c>
      <c r="CF369">
        <v>1.33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2</v>
      </c>
      <c r="CM369">
        <v>0</v>
      </c>
      <c r="CN369">
        <v>62</v>
      </c>
      <c r="CO369">
        <v>0</v>
      </c>
      <c r="CP369">
        <v>10</v>
      </c>
      <c r="CQ369">
        <v>0</v>
      </c>
      <c r="CR369">
        <v>0</v>
      </c>
      <c r="CS369">
        <v>0</v>
      </c>
      <c r="CT369">
        <v>74</v>
      </c>
      <c r="CU369">
        <v>0</v>
      </c>
      <c r="CV369">
        <v>0</v>
      </c>
      <c r="CW369">
        <v>3</v>
      </c>
      <c r="CX369">
        <v>0</v>
      </c>
      <c r="CY369">
        <v>19</v>
      </c>
      <c r="CZ369">
        <v>0</v>
      </c>
      <c r="DA369">
        <v>0</v>
      </c>
      <c r="DB369">
        <v>0</v>
      </c>
      <c r="DC369">
        <v>22</v>
      </c>
      <c r="DD369">
        <v>0</v>
      </c>
      <c r="DE369">
        <v>0</v>
      </c>
      <c r="DF369">
        <v>128</v>
      </c>
      <c r="DG369">
        <v>96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224</v>
      </c>
      <c r="DT369">
        <v>320</v>
      </c>
      <c r="DU369">
        <v>80</v>
      </c>
      <c r="DV369">
        <v>0</v>
      </c>
      <c r="DW369">
        <v>0</v>
      </c>
      <c r="DX369">
        <v>0</v>
      </c>
      <c r="DY369">
        <v>645</v>
      </c>
      <c r="DZ369">
        <v>645</v>
      </c>
      <c r="EA369">
        <v>1161</v>
      </c>
      <c r="EB369">
        <v>1720</v>
      </c>
      <c r="EC369">
        <v>129</v>
      </c>
      <c r="ED369">
        <v>1075</v>
      </c>
      <c r="EE369">
        <v>3225</v>
      </c>
      <c r="EF369">
        <v>0</v>
      </c>
      <c r="EG369">
        <v>0.32</v>
      </c>
      <c r="EH369">
        <v>1</v>
      </c>
      <c r="EI369">
        <v>3.2</v>
      </c>
      <c r="EJ369">
        <v>0.4</v>
      </c>
      <c r="EK369">
        <v>1.3</v>
      </c>
    </row>
    <row r="370" spans="1:141" x14ac:dyDescent="0.25">
      <c r="A370" t="str">
        <f>[1]ingredient!B370</f>
        <v>Seiden-Tofu</v>
      </c>
      <c r="B370" t="s">
        <v>431</v>
      </c>
      <c r="C370" s="7">
        <f>_xlfn.XLOOKUP(A370,[1]ingredient!$B$2:$B$521,[1]ingredient!$A$2:$A$521)</f>
        <v>369</v>
      </c>
      <c r="D370">
        <v>52</v>
      </c>
      <c r="E370">
        <v>3</v>
      </c>
      <c r="F370">
        <v>6</v>
      </c>
      <c r="G370">
        <v>0.36</v>
      </c>
      <c r="H370">
        <v>0.4</v>
      </c>
      <c r="I370">
        <v>0.36</v>
      </c>
      <c r="J370">
        <v>0.05</v>
      </c>
      <c r="K370">
        <v>90</v>
      </c>
      <c r="L370">
        <v>4</v>
      </c>
      <c r="M370">
        <v>2</v>
      </c>
      <c r="N370">
        <v>0</v>
      </c>
      <c r="O370">
        <v>25</v>
      </c>
      <c r="P370">
        <v>20</v>
      </c>
      <c r="Q370">
        <v>20</v>
      </c>
      <c r="R370">
        <v>300</v>
      </c>
      <c r="S370">
        <v>1500</v>
      </c>
      <c r="T370">
        <v>165</v>
      </c>
      <c r="U370">
        <v>90</v>
      </c>
      <c r="V370">
        <v>5</v>
      </c>
      <c r="W370">
        <v>44</v>
      </c>
      <c r="X370">
        <v>0</v>
      </c>
      <c r="Y370">
        <v>0</v>
      </c>
      <c r="Z370">
        <v>0</v>
      </c>
      <c r="AA370">
        <v>400</v>
      </c>
      <c r="AB370">
        <v>30</v>
      </c>
      <c r="AC370">
        <v>23</v>
      </c>
      <c r="AD370">
        <v>220</v>
      </c>
      <c r="AE370">
        <v>94</v>
      </c>
      <c r="AF370">
        <v>30</v>
      </c>
      <c r="AG370">
        <v>71</v>
      </c>
      <c r="AH370">
        <v>19</v>
      </c>
      <c r="AI370">
        <v>30</v>
      </c>
      <c r="AJ370">
        <v>1200</v>
      </c>
      <c r="AK370">
        <v>129</v>
      </c>
      <c r="AL370">
        <v>13</v>
      </c>
      <c r="AM370">
        <v>360</v>
      </c>
      <c r="AN370">
        <v>7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356</v>
      </c>
      <c r="AY370">
        <v>0</v>
      </c>
      <c r="AZ370">
        <v>0</v>
      </c>
      <c r="BA370">
        <v>356</v>
      </c>
      <c r="BB370">
        <v>0</v>
      </c>
      <c r="BC370">
        <v>0</v>
      </c>
      <c r="BD370">
        <v>0</v>
      </c>
      <c r="BE370">
        <v>4</v>
      </c>
      <c r="BF370">
        <v>4</v>
      </c>
      <c r="BG370">
        <f t="shared" si="53"/>
        <v>84.05797101449275</v>
      </c>
      <c r="BH370">
        <v>275</v>
      </c>
      <c r="BI370">
        <v>413</v>
      </c>
      <c r="BJ370">
        <v>275</v>
      </c>
      <c r="BK370">
        <v>72</v>
      </c>
      <c r="BL370">
        <v>44</v>
      </c>
      <c r="BM370">
        <v>275</v>
      </c>
      <c r="BN370">
        <v>182</v>
      </c>
      <c r="BO370">
        <v>264</v>
      </c>
      <c r="BP370">
        <v>72</v>
      </c>
      <c r="BQ370">
        <v>303</v>
      </c>
      <c r="BR370">
        <v>341</v>
      </c>
      <c r="BS370">
        <v>121</v>
      </c>
      <c r="BT370">
        <v>2637</v>
      </c>
      <c r="BU370">
        <v>237</v>
      </c>
      <c r="BV370">
        <v>594</v>
      </c>
      <c r="BW370">
        <v>935</v>
      </c>
      <c r="BX370">
        <v>264</v>
      </c>
      <c r="BY370">
        <v>402</v>
      </c>
      <c r="BZ370">
        <v>297</v>
      </c>
      <c r="CA370">
        <v>2729</v>
      </c>
      <c r="CB370">
        <v>35</v>
      </c>
      <c r="CC370">
        <v>15</v>
      </c>
      <c r="CD370">
        <v>232</v>
      </c>
      <c r="CE370">
        <v>1706</v>
      </c>
      <c r="CF370">
        <v>7.35</v>
      </c>
      <c r="CG370">
        <v>0</v>
      </c>
      <c r="CH370">
        <v>0</v>
      </c>
      <c r="CI370">
        <v>0</v>
      </c>
      <c r="CJ370">
        <v>0</v>
      </c>
      <c r="CK370">
        <v>3</v>
      </c>
      <c r="CL370">
        <v>6</v>
      </c>
      <c r="CM370">
        <v>0</v>
      </c>
      <c r="CN370">
        <v>327</v>
      </c>
      <c r="CO370">
        <v>0</v>
      </c>
      <c r="CP370">
        <v>113</v>
      </c>
      <c r="CQ370">
        <v>9</v>
      </c>
      <c r="CR370">
        <v>3</v>
      </c>
      <c r="CS370">
        <v>0</v>
      </c>
      <c r="CT370">
        <v>461</v>
      </c>
      <c r="CU370">
        <v>0</v>
      </c>
      <c r="CV370">
        <v>0</v>
      </c>
      <c r="CW370">
        <v>6</v>
      </c>
      <c r="CX370">
        <v>0</v>
      </c>
      <c r="CY370">
        <v>565</v>
      </c>
      <c r="CZ370">
        <v>6</v>
      </c>
      <c r="DA370">
        <v>0</v>
      </c>
      <c r="DB370">
        <v>0</v>
      </c>
      <c r="DC370">
        <v>577</v>
      </c>
      <c r="DD370">
        <v>0</v>
      </c>
      <c r="DE370">
        <v>0</v>
      </c>
      <c r="DF370">
        <v>1706</v>
      </c>
      <c r="DG370">
        <v>232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1938</v>
      </c>
      <c r="DT370">
        <v>2976</v>
      </c>
      <c r="DU370">
        <v>224</v>
      </c>
      <c r="DV370">
        <v>0</v>
      </c>
      <c r="DW370">
        <v>0</v>
      </c>
      <c r="DX370">
        <v>0</v>
      </c>
      <c r="DY370">
        <v>100</v>
      </c>
      <c r="DZ370">
        <v>146</v>
      </c>
      <c r="EA370">
        <v>56</v>
      </c>
      <c r="EB370">
        <v>96</v>
      </c>
      <c r="EC370">
        <v>2</v>
      </c>
      <c r="ED370">
        <v>200</v>
      </c>
      <c r="EE370">
        <v>200</v>
      </c>
      <c r="EF370">
        <v>0</v>
      </c>
      <c r="EG370">
        <v>0</v>
      </c>
      <c r="EH370">
        <v>0.6</v>
      </c>
      <c r="EI370">
        <v>0.2</v>
      </c>
      <c r="EJ370">
        <v>3.2</v>
      </c>
      <c r="EK370">
        <v>5.5</v>
      </c>
    </row>
    <row r="371" spans="1:141" x14ac:dyDescent="0.25">
      <c r="A371" t="str">
        <f>[1]ingredient!B371</f>
        <v>Seitan</v>
      </c>
      <c r="B371" t="s">
        <v>432</v>
      </c>
      <c r="C371" s="7">
        <f>_xlfn.XLOOKUP(A371,[1]ingredient!$B$2:$B$521,[1]ingredient!$A$2:$A$521)</f>
        <v>370</v>
      </c>
      <c r="D371">
        <v>393</v>
      </c>
      <c r="E371">
        <v>4</v>
      </c>
      <c r="F371">
        <v>81</v>
      </c>
      <c r="G371">
        <v>7</v>
      </c>
      <c r="H371">
        <v>1</v>
      </c>
      <c r="I371">
        <v>0.04</v>
      </c>
      <c r="J371">
        <v>0</v>
      </c>
      <c r="K371">
        <v>6</v>
      </c>
      <c r="L371">
        <v>0</v>
      </c>
      <c r="M371">
        <v>0</v>
      </c>
      <c r="N371">
        <v>0</v>
      </c>
      <c r="O371">
        <v>0</v>
      </c>
      <c r="P371">
        <v>10</v>
      </c>
      <c r="Q371">
        <v>3</v>
      </c>
      <c r="R371">
        <v>70</v>
      </c>
      <c r="S371">
        <v>13570</v>
      </c>
      <c r="T371">
        <v>16</v>
      </c>
      <c r="U371">
        <v>10</v>
      </c>
      <c r="V371">
        <v>1</v>
      </c>
      <c r="W371">
        <v>10</v>
      </c>
      <c r="X371">
        <v>0</v>
      </c>
      <c r="Y371">
        <v>0</v>
      </c>
      <c r="Z371">
        <v>0</v>
      </c>
      <c r="AA371">
        <v>100</v>
      </c>
      <c r="AB371">
        <v>10</v>
      </c>
      <c r="AC371">
        <v>0</v>
      </c>
      <c r="AD371">
        <v>8</v>
      </c>
      <c r="AE371">
        <v>1</v>
      </c>
      <c r="AF371">
        <v>1</v>
      </c>
      <c r="AG371">
        <v>7</v>
      </c>
      <c r="AH371">
        <v>6</v>
      </c>
      <c r="AI371">
        <v>3</v>
      </c>
      <c r="AJ371">
        <v>54</v>
      </c>
      <c r="AK371">
        <v>43</v>
      </c>
      <c r="AL371">
        <v>8</v>
      </c>
      <c r="AM371">
        <v>54</v>
      </c>
      <c r="AN371">
        <v>3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7</v>
      </c>
      <c r="AU371">
        <v>7</v>
      </c>
      <c r="AV371">
        <v>0</v>
      </c>
      <c r="AW371">
        <v>14</v>
      </c>
      <c r="AX371">
        <v>28</v>
      </c>
      <c r="AY371">
        <v>0</v>
      </c>
      <c r="AZ371">
        <v>0</v>
      </c>
      <c r="BA371">
        <v>28</v>
      </c>
      <c r="BB371">
        <v>28</v>
      </c>
      <c r="BC371">
        <v>0</v>
      </c>
      <c r="BD371">
        <v>0</v>
      </c>
      <c r="BE371">
        <v>6930</v>
      </c>
      <c r="BF371">
        <v>6930</v>
      </c>
      <c r="BG371">
        <f t="shared" si="53"/>
        <v>29.166666666666668</v>
      </c>
      <c r="BH371">
        <v>3240</v>
      </c>
      <c r="BI371">
        <v>5508</v>
      </c>
      <c r="BJ371">
        <v>1134</v>
      </c>
      <c r="BK371">
        <v>1296</v>
      </c>
      <c r="BL371">
        <v>1539</v>
      </c>
      <c r="BM371">
        <v>4050</v>
      </c>
      <c r="BN371">
        <v>2835</v>
      </c>
      <c r="BO371">
        <v>1944</v>
      </c>
      <c r="BP371">
        <v>810</v>
      </c>
      <c r="BQ371">
        <v>3321</v>
      </c>
      <c r="BR371">
        <v>2349</v>
      </c>
      <c r="BS371">
        <v>1620</v>
      </c>
      <c r="BT371">
        <v>29646</v>
      </c>
      <c r="BU371">
        <v>1944</v>
      </c>
      <c r="BV371">
        <v>2349</v>
      </c>
      <c r="BW371">
        <v>30213</v>
      </c>
      <c r="BX371">
        <v>2430</v>
      </c>
      <c r="BY371">
        <v>10530</v>
      </c>
      <c r="BZ371">
        <v>3888</v>
      </c>
      <c r="CA371">
        <v>51354</v>
      </c>
      <c r="CB371">
        <v>330</v>
      </c>
      <c r="CC371">
        <v>138</v>
      </c>
      <c r="CD371">
        <v>118</v>
      </c>
      <c r="CE371">
        <v>1754</v>
      </c>
      <c r="CF371">
        <v>14.86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562</v>
      </c>
      <c r="CO371">
        <v>0</v>
      </c>
      <c r="CP371">
        <v>14</v>
      </c>
      <c r="CQ371">
        <v>230</v>
      </c>
      <c r="CR371">
        <v>0</v>
      </c>
      <c r="CS371">
        <v>0</v>
      </c>
      <c r="CT371">
        <v>806</v>
      </c>
      <c r="CU371">
        <v>0</v>
      </c>
      <c r="CV371">
        <v>0</v>
      </c>
      <c r="CW371">
        <v>0</v>
      </c>
      <c r="CX371">
        <v>0</v>
      </c>
      <c r="CY371">
        <v>202</v>
      </c>
      <c r="CZ371">
        <v>0</v>
      </c>
      <c r="DA371">
        <v>0</v>
      </c>
      <c r="DB371">
        <v>0</v>
      </c>
      <c r="DC371">
        <v>202</v>
      </c>
      <c r="DD371">
        <v>0</v>
      </c>
      <c r="DE371">
        <v>0</v>
      </c>
      <c r="DF371">
        <v>1754</v>
      </c>
      <c r="DG371">
        <v>118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1872</v>
      </c>
      <c r="DT371">
        <v>2880</v>
      </c>
      <c r="DU371">
        <v>1120</v>
      </c>
      <c r="DV371">
        <v>0</v>
      </c>
      <c r="DW371">
        <v>0</v>
      </c>
      <c r="DX371">
        <v>0</v>
      </c>
      <c r="DY371">
        <v>200</v>
      </c>
      <c r="DZ371">
        <v>300</v>
      </c>
      <c r="EA371">
        <v>80</v>
      </c>
      <c r="EB371">
        <v>390</v>
      </c>
      <c r="EC371">
        <v>30</v>
      </c>
      <c r="ED371">
        <v>250</v>
      </c>
      <c r="EE371">
        <v>750</v>
      </c>
      <c r="EF371">
        <v>0</v>
      </c>
      <c r="EG371">
        <v>0</v>
      </c>
      <c r="EH371">
        <v>1</v>
      </c>
      <c r="EI371">
        <v>0.8</v>
      </c>
      <c r="EJ371">
        <v>4</v>
      </c>
      <c r="EK371">
        <v>82.1</v>
      </c>
    </row>
    <row r="372" spans="1:141" x14ac:dyDescent="0.25">
      <c r="A372" t="str">
        <f>[1]ingredient!B372</f>
        <v>Selleriesamen</v>
      </c>
      <c r="B372" t="s">
        <v>433</v>
      </c>
      <c r="C372" s="7">
        <f>_xlfn.XLOOKUP(A372,[1]ingredient!$B$2:$B$521,[1]ingredient!$A$2:$A$521)</f>
        <v>371</v>
      </c>
      <c r="D372">
        <v>392</v>
      </c>
      <c r="E372">
        <v>25.3</v>
      </c>
      <c r="F372">
        <v>18</v>
      </c>
      <c r="G372">
        <v>41</v>
      </c>
      <c r="H372">
        <v>11.8</v>
      </c>
      <c r="I372">
        <v>0.67</v>
      </c>
      <c r="J372">
        <v>0</v>
      </c>
      <c r="K372">
        <v>6</v>
      </c>
      <c r="L372">
        <v>3</v>
      </c>
      <c r="M372">
        <v>0</v>
      </c>
      <c r="N372">
        <v>0</v>
      </c>
      <c r="O372">
        <v>0</v>
      </c>
      <c r="P372">
        <v>340</v>
      </c>
      <c r="Q372">
        <v>290</v>
      </c>
      <c r="R372">
        <v>0</v>
      </c>
      <c r="S372">
        <v>24700</v>
      </c>
      <c r="T372">
        <v>0</v>
      </c>
      <c r="U372">
        <v>890</v>
      </c>
      <c r="V372">
        <v>0</v>
      </c>
      <c r="W372">
        <v>0</v>
      </c>
      <c r="X372">
        <v>0</v>
      </c>
      <c r="Y372">
        <v>17100</v>
      </c>
      <c r="Z372">
        <v>0</v>
      </c>
      <c r="AA372">
        <v>1070</v>
      </c>
      <c r="AB372">
        <v>0</v>
      </c>
      <c r="AC372">
        <v>160</v>
      </c>
      <c r="AD372">
        <v>1400</v>
      </c>
      <c r="AE372">
        <v>1767</v>
      </c>
      <c r="AF372">
        <v>440</v>
      </c>
      <c r="AG372">
        <v>547</v>
      </c>
      <c r="AH372">
        <v>0</v>
      </c>
      <c r="AI372">
        <v>0</v>
      </c>
      <c r="AJ372">
        <v>44900</v>
      </c>
      <c r="AK372">
        <v>6930</v>
      </c>
      <c r="AL372">
        <v>1370</v>
      </c>
      <c r="AM372">
        <v>7567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f t="shared" si="53"/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2190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15930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3720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</row>
    <row r="373" spans="1:141" x14ac:dyDescent="0.25">
      <c r="A373" t="str">
        <f>[1]ingredient!B373</f>
        <v>Senf</v>
      </c>
      <c r="B373" t="s">
        <v>434</v>
      </c>
      <c r="C373" s="7">
        <f>_xlfn.XLOOKUP(A373,[1]ingredient!$B$2:$B$521,[1]ingredient!$A$2:$A$521)</f>
        <v>372</v>
      </c>
      <c r="D373">
        <v>79</v>
      </c>
      <c r="E373">
        <v>4</v>
      </c>
      <c r="F373">
        <v>6</v>
      </c>
      <c r="G373">
        <v>4</v>
      </c>
      <c r="H373">
        <v>1</v>
      </c>
      <c r="I373">
        <v>3</v>
      </c>
      <c r="J373">
        <v>4</v>
      </c>
      <c r="K373">
        <v>79</v>
      </c>
      <c r="L373">
        <v>5</v>
      </c>
      <c r="M373">
        <v>3</v>
      </c>
      <c r="N373">
        <v>0</v>
      </c>
      <c r="O373">
        <v>30</v>
      </c>
      <c r="P373">
        <v>0</v>
      </c>
      <c r="Q373">
        <v>200</v>
      </c>
      <c r="R373">
        <v>5000</v>
      </c>
      <c r="S373">
        <v>6967</v>
      </c>
      <c r="T373">
        <v>550</v>
      </c>
      <c r="U373">
        <v>70</v>
      </c>
      <c r="V373">
        <v>5</v>
      </c>
      <c r="W373">
        <v>0</v>
      </c>
      <c r="X373">
        <v>0</v>
      </c>
      <c r="Y373">
        <v>3000</v>
      </c>
      <c r="Z373">
        <v>0</v>
      </c>
      <c r="AA373">
        <v>0</v>
      </c>
      <c r="AB373">
        <v>0</v>
      </c>
      <c r="AC373">
        <v>1300</v>
      </c>
      <c r="AD373">
        <v>130</v>
      </c>
      <c r="AE373">
        <v>124</v>
      </c>
      <c r="AF373">
        <v>100</v>
      </c>
      <c r="AG373">
        <v>180</v>
      </c>
      <c r="AH373">
        <v>220</v>
      </c>
      <c r="AI373">
        <v>2500</v>
      </c>
      <c r="AJ373">
        <v>1800</v>
      </c>
      <c r="AK373">
        <v>400</v>
      </c>
      <c r="AL373">
        <v>420</v>
      </c>
      <c r="AM373">
        <v>200</v>
      </c>
      <c r="AN373">
        <v>32</v>
      </c>
      <c r="AO373">
        <v>2</v>
      </c>
      <c r="AP373">
        <v>0</v>
      </c>
      <c r="AQ373">
        <v>0</v>
      </c>
      <c r="AR373">
        <v>0</v>
      </c>
      <c r="AS373">
        <v>0</v>
      </c>
      <c r="AT373">
        <v>440</v>
      </c>
      <c r="AU373">
        <v>280</v>
      </c>
      <c r="AV373">
        <v>0</v>
      </c>
      <c r="AW373">
        <v>720</v>
      </c>
      <c r="AX373">
        <v>1920</v>
      </c>
      <c r="AY373">
        <v>0</v>
      </c>
      <c r="AZ373">
        <v>0</v>
      </c>
      <c r="BA373">
        <v>1920</v>
      </c>
      <c r="BB373">
        <v>0</v>
      </c>
      <c r="BC373">
        <v>0</v>
      </c>
      <c r="BD373">
        <v>0</v>
      </c>
      <c r="BE373">
        <v>1360</v>
      </c>
      <c r="BF373">
        <v>1360</v>
      </c>
      <c r="BG373">
        <f t="shared" si="53"/>
        <v>112.84153005464481</v>
      </c>
      <c r="BH373">
        <v>254</v>
      </c>
      <c r="BI373">
        <v>413</v>
      </c>
      <c r="BJ373">
        <v>354</v>
      </c>
      <c r="BK373">
        <v>112</v>
      </c>
      <c r="BL373">
        <v>136</v>
      </c>
      <c r="BM373">
        <v>242</v>
      </c>
      <c r="BN373">
        <v>171</v>
      </c>
      <c r="BO373">
        <v>254</v>
      </c>
      <c r="BP373">
        <v>118</v>
      </c>
      <c r="BQ373">
        <v>307</v>
      </c>
      <c r="BR373">
        <v>407</v>
      </c>
      <c r="BS373">
        <v>177</v>
      </c>
      <c r="BT373">
        <v>2945</v>
      </c>
      <c r="BU373">
        <v>277</v>
      </c>
      <c r="BV373">
        <v>460</v>
      </c>
      <c r="BW373">
        <v>1174</v>
      </c>
      <c r="BX373">
        <v>307</v>
      </c>
      <c r="BY373">
        <v>454</v>
      </c>
      <c r="BZ373">
        <v>254</v>
      </c>
      <c r="CA373">
        <v>2926</v>
      </c>
      <c r="CB373">
        <v>29</v>
      </c>
      <c r="CC373">
        <v>12</v>
      </c>
      <c r="CD373">
        <v>535</v>
      </c>
      <c r="CE373">
        <v>382</v>
      </c>
      <c r="CF373">
        <v>0.71</v>
      </c>
      <c r="CG373">
        <v>0</v>
      </c>
      <c r="CH373">
        <v>0</v>
      </c>
      <c r="CI373">
        <v>0</v>
      </c>
      <c r="CJ373">
        <v>0</v>
      </c>
      <c r="CK373">
        <v>4</v>
      </c>
      <c r="CL373">
        <v>4</v>
      </c>
      <c r="CM373">
        <v>0</v>
      </c>
      <c r="CN373">
        <v>111</v>
      </c>
      <c r="CO373">
        <v>0</v>
      </c>
      <c r="CP373">
        <v>38</v>
      </c>
      <c r="CQ373">
        <v>27</v>
      </c>
      <c r="CR373">
        <v>15</v>
      </c>
      <c r="CS373">
        <v>11</v>
      </c>
      <c r="CT373">
        <v>210</v>
      </c>
      <c r="CU373">
        <v>0</v>
      </c>
      <c r="CV373">
        <v>0</v>
      </c>
      <c r="CW373">
        <v>8</v>
      </c>
      <c r="CX373">
        <v>0</v>
      </c>
      <c r="CY373">
        <v>738</v>
      </c>
      <c r="CZ373">
        <v>268</v>
      </c>
      <c r="DA373">
        <v>1606</v>
      </c>
      <c r="DB373">
        <v>76</v>
      </c>
      <c r="DC373">
        <v>2696</v>
      </c>
      <c r="DD373">
        <v>0</v>
      </c>
      <c r="DE373">
        <v>0</v>
      </c>
      <c r="DF373">
        <v>367</v>
      </c>
      <c r="DG373">
        <v>535</v>
      </c>
      <c r="DH373">
        <v>0</v>
      </c>
      <c r="DI373">
        <v>0</v>
      </c>
      <c r="DJ373">
        <v>15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917</v>
      </c>
      <c r="DT373">
        <v>3823</v>
      </c>
      <c r="DU373">
        <v>176</v>
      </c>
      <c r="DV373">
        <v>0</v>
      </c>
      <c r="DW373">
        <v>0</v>
      </c>
      <c r="DX373">
        <v>0</v>
      </c>
      <c r="DY373">
        <v>455</v>
      </c>
      <c r="DZ373">
        <v>390</v>
      </c>
      <c r="EA373">
        <v>65</v>
      </c>
      <c r="EB373">
        <v>234</v>
      </c>
      <c r="EC373">
        <v>156</v>
      </c>
      <c r="ED373">
        <v>455</v>
      </c>
      <c r="EE373">
        <v>845</v>
      </c>
      <c r="EF373">
        <v>0</v>
      </c>
      <c r="EG373">
        <v>1</v>
      </c>
      <c r="EH373">
        <v>5.0999999999999996</v>
      </c>
      <c r="EI373">
        <v>0.8</v>
      </c>
      <c r="EJ373">
        <v>4</v>
      </c>
      <c r="EK373">
        <v>6</v>
      </c>
    </row>
    <row r="374" spans="1:141" x14ac:dyDescent="0.25">
      <c r="A374" t="str">
        <f>[1]ingredient!B374</f>
        <v>Senfkörner</v>
      </c>
      <c r="B374" t="s">
        <v>435</v>
      </c>
      <c r="C374" s="7">
        <f>_xlfn.XLOOKUP(A374,[1]ingredient!$B$2:$B$521,[1]ingredient!$A$2:$A$521)</f>
        <v>373</v>
      </c>
      <c r="D374">
        <v>475</v>
      </c>
      <c r="E374">
        <v>29</v>
      </c>
      <c r="F374">
        <v>25</v>
      </c>
      <c r="G374">
        <v>28</v>
      </c>
      <c r="H374">
        <v>7</v>
      </c>
      <c r="I374">
        <v>14</v>
      </c>
      <c r="J374">
        <v>7.0000000000000007E-2</v>
      </c>
      <c r="K374">
        <v>6</v>
      </c>
      <c r="L374">
        <v>6</v>
      </c>
      <c r="M374">
        <v>3</v>
      </c>
      <c r="N374">
        <v>0</v>
      </c>
      <c r="O374">
        <v>37</v>
      </c>
      <c r="P374">
        <v>540</v>
      </c>
      <c r="Q374">
        <v>380</v>
      </c>
      <c r="R374">
        <v>7900</v>
      </c>
      <c r="S374">
        <v>16217</v>
      </c>
      <c r="T374">
        <v>500</v>
      </c>
      <c r="U374">
        <v>200</v>
      </c>
      <c r="V374">
        <v>10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5</v>
      </c>
      <c r="AD374">
        <v>680</v>
      </c>
      <c r="AE374">
        <v>520</v>
      </c>
      <c r="AF374">
        <v>300</v>
      </c>
      <c r="AG374">
        <v>840</v>
      </c>
      <c r="AH374">
        <v>100</v>
      </c>
      <c r="AI374">
        <v>60</v>
      </c>
      <c r="AJ374">
        <v>18500</v>
      </c>
      <c r="AK374">
        <v>4700</v>
      </c>
      <c r="AL374">
        <v>410</v>
      </c>
      <c r="AM374">
        <v>1800</v>
      </c>
      <c r="AN374">
        <v>50</v>
      </c>
      <c r="AO374">
        <v>5</v>
      </c>
      <c r="AP374">
        <v>0</v>
      </c>
      <c r="AQ374">
        <v>0</v>
      </c>
      <c r="AR374">
        <v>0</v>
      </c>
      <c r="AS374">
        <v>0</v>
      </c>
      <c r="AT374">
        <v>1420</v>
      </c>
      <c r="AU374">
        <v>0</v>
      </c>
      <c r="AV374">
        <v>0</v>
      </c>
      <c r="AW374">
        <v>1420</v>
      </c>
      <c r="AX374">
        <v>12780</v>
      </c>
      <c r="AY374">
        <v>0</v>
      </c>
      <c r="AZ374">
        <v>0</v>
      </c>
      <c r="BA374">
        <v>12780</v>
      </c>
      <c r="BB374">
        <v>0</v>
      </c>
      <c r="BC374">
        <v>0</v>
      </c>
      <c r="BD374">
        <v>0</v>
      </c>
      <c r="BE374">
        <v>14200</v>
      </c>
      <c r="BF374">
        <v>14200</v>
      </c>
      <c r="BG374">
        <f t="shared" si="53"/>
        <v>114.55737704918032</v>
      </c>
      <c r="BH374">
        <v>1072</v>
      </c>
      <c r="BI374">
        <v>1747</v>
      </c>
      <c r="BJ374">
        <v>1496</v>
      </c>
      <c r="BK374">
        <v>474</v>
      </c>
      <c r="BL374">
        <v>574</v>
      </c>
      <c r="BM374">
        <v>1023</v>
      </c>
      <c r="BN374">
        <v>723</v>
      </c>
      <c r="BO374">
        <v>1072</v>
      </c>
      <c r="BP374">
        <v>499</v>
      </c>
      <c r="BQ374">
        <v>1297</v>
      </c>
      <c r="BR374">
        <v>1721</v>
      </c>
      <c r="BS374">
        <v>748</v>
      </c>
      <c r="BT374">
        <v>12446</v>
      </c>
      <c r="BU374">
        <v>1172</v>
      </c>
      <c r="BV374">
        <v>1945</v>
      </c>
      <c r="BW374">
        <v>4963</v>
      </c>
      <c r="BX374">
        <v>1297</v>
      </c>
      <c r="BY374">
        <v>1920</v>
      </c>
      <c r="BZ374">
        <v>1072</v>
      </c>
      <c r="CA374">
        <v>12369</v>
      </c>
      <c r="CB374">
        <v>120</v>
      </c>
      <c r="CC374">
        <v>50</v>
      </c>
      <c r="CD374">
        <v>3855</v>
      </c>
      <c r="CE374">
        <v>2753</v>
      </c>
      <c r="CF374">
        <v>0.71</v>
      </c>
      <c r="CG374">
        <v>0</v>
      </c>
      <c r="CH374">
        <v>0</v>
      </c>
      <c r="CI374">
        <v>0</v>
      </c>
      <c r="CJ374">
        <v>0</v>
      </c>
      <c r="CK374">
        <v>28</v>
      </c>
      <c r="CL374">
        <v>28</v>
      </c>
      <c r="CM374">
        <v>0</v>
      </c>
      <c r="CN374">
        <v>798</v>
      </c>
      <c r="CO374">
        <v>0</v>
      </c>
      <c r="CP374">
        <v>275</v>
      </c>
      <c r="CQ374">
        <v>193</v>
      </c>
      <c r="CR374">
        <v>110</v>
      </c>
      <c r="CS374">
        <v>83</v>
      </c>
      <c r="CT374">
        <v>1515</v>
      </c>
      <c r="CU374">
        <v>0</v>
      </c>
      <c r="CV374">
        <v>0</v>
      </c>
      <c r="CW374">
        <v>55</v>
      </c>
      <c r="CX374">
        <v>0</v>
      </c>
      <c r="CY374">
        <v>5314</v>
      </c>
      <c r="CZ374">
        <v>1927</v>
      </c>
      <c r="DA374">
        <v>11563</v>
      </c>
      <c r="DB374">
        <v>551</v>
      </c>
      <c r="DC374">
        <v>19410</v>
      </c>
      <c r="DD374">
        <v>0</v>
      </c>
      <c r="DE374">
        <v>0</v>
      </c>
      <c r="DF374">
        <v>2643</v>
      </c>
      <c r="DG374">
        <v>3855</v>
      </c>
      <c r="DH374">
        <v>0</v>
      </c>
      <c r="DI374">
        <v>0</v>
      </c>
      <c r="DJ374">
        <v>110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6608</v>
      </c>
      <c r="DT374">
        <v>27533</v>
      </c>
      <c r="DU374">
        <v>1267</v>
      </c>
      <c r="DV374">
        <v>0</v>
      </c>
      <c r="DW374">
        <v>0</v>
      </c>
      <c r="DX374">
        <v>0</v>
      </c>
      <c r="DY374">
        <v>1310</v>
      </c>
      <c r="DZ374">
        <v>983</v>
      </c>
      <c r="EA374">
        <v>1638</v>
      </c>
      <c r="EB374">
        <v>1964</v>
      </c>
      <c r="EC374">
        <v>655</v>
      </c>
      <c r="ED374">
        <v>3275</v>
      </c>
      <c r="EE374">
        <v>3275</v>
      </c>
      <c r="EF374">
        <v>0</v>
      </c>
      <c r="EG374">
        <v>1</v>
      </c>
      <c r="EH374">
        <v>4.5</v>
      </c>
      <c r="EI374">
        <v>3.3</v>
      </c>
      <c r="EJ374">
        <v>28.8</v>
      </c>
      <c r="EK374">
        <v>25.2</v>
      </c>
    </row>
    <row r="375" spans="1:141" x14ac:dyDescent="0.25">
      <c r="A375" t="str">
        <f>[1]ingredient!B375</f>
        <v>Senf-Sprossen</v>
      </c>
      <c r="B375" t="s">
        <v>436</v>
      </c>
      <c r="C375" s="7">
        <f>_xlfn.XLOOKUP(A375,[1]ingredient!$B$2:$B$521,[1]ingredient!$A$2:$A$521)</f>
        <v>374</v>
      </c>
      <c r="D375">
        <v>32</v>
      </c>
      <c r="E375">
        <v>0.34</v>
      </c>
      <c r="F375">
        <v>5</v>
      </c>
      <c r="G375">
        <v>2</v>
      </c>
      <c r="H375">
        <v>2</v>
      </c>
      <c r="I375">
        <v>1</v>
      </c>
      <c r="J375">
        <v>0.04</v>
      </c>
      <c r="K375">
        <v>90</v>
      </c>
      <c r="L375">
        <v>17</v>
      </c>
      <c r="M375">
        <v>9</v>
      </c>
      <c r="N375">
        <v>0</v>
      </c>
      <c r="O375">
        <v>102</v>
      </c>
      <c r="P375">
        <v>170</v>
      </c>
      <c r="Q375">
        <v>150</v>
      </c>
      <c r="R375">
        <v>940</v>
      </c>
      <c r="S375">
        <v>1623</v>
      </c>
      <c r="T375">
        <v>1140</v>
      </c>
      <c r="U375">
        <v>220</v>
      </c>
      <c r="V375">
        <v>6</v>
      </c>
      <c r="W375">
        <v>92</v>
      </c>
      <c r="X375">
        <v>0</v>
      </c>
      <c r="Y375">
        <v>22000</v>
      </c>
      <c r="Z375">
        <v>0</v>
      </c>
      <c r="AA375">
        <v>90</v>
      </c>
      <c r="AB375">
        <v>7</v>
      </c>
      <c r="AC375">
        <v>20</v>
      </c>
      <c r="AD375">
        <v>173</v>
      </c>
      <c r="AE375">
        <v>56</v>
      </c>
      <c r="AF375">
        <v>18</v>
      </c>
      <c r="AG375">
        <v>94</v>
      </c>
      <c r="AH375">
        <v>50</v>
      </c>
      <c r="AI375">
        <v>20</v>
      </c>
      <c r="AJ375">
        <v>980</v>
      </c>
      <c r="AK375">
        <v>630</v>
      </c>
      <c r="AL375">
        <v>190</v>
      </c>
      <c r="AM375">
        <v>110</v>
      </c>
      <c r="AN375">
        <v>10</v>
      </c>
      <c r="AO375">
        <v>5</v>
      </c>
      <c r="AP375">
        <v>0</v>
      </c>
      <c r="AQ375">
        <v>0</v>
      </c>
      <c r="AR375">
        <v>0</v>
      </c>
      <c r="AS375">
        <v>0</v>
      </c>
      <c r="AT375">
        <v>443</v>
      </c>
      <c r="AU375">
        <v>444</v>
      </c>
      <c r="AV375">
        <v>0</v>
      </c>
      <c r="AW375">
        <v>887</v>
      </c>
      <c r="AX375">
        <v>37</v>
      </c>
      <c r="AY375">
        <v>0</v>
      </c>
      <c r="AZ375">
        <v>0</v>
      </c>
      <c r="BA375">
        <v>37</v>
      </c>
      <c r="BB375">
        <v>93</v>
      </c>
      <c r="BC375">
        <v>0</v>
      </c>
      <c r="BD375">
        <v>0</v>
      </c>
      <c r="BE375">
        <v>833</v>
      </c>
      <c r="BF375">
        <v>833</v>
      </c>
      <c r="BG375">
        <f t="shared" si="53"/>
        <v>61.5</v>
      </c>
      <c r="BH375">
        <v>103</v>
      </c>
      <c r="BI375">
        <v>216</v>
      </c>
      <c r="BJ375">
        <v>221</v>
      </c>
      <c r="BK375">
        <v>395</v>
      </c>
      <c r="BL375">
        <v>87</v>
      </c>
      <c r="BM375">
        <v>144</v>
      </c>
      <c r="BN375">
        <v>72</v>
      </c>
      <c r="BO375">
        <v>108</v>
      </c>
      <c r="BP375">
        <v>41</v>
      </c>
      <c r="BQ375">
        <v>123</v>
      </c>
      <c r="BR375">
        <v>278</v>
      </c>
      <c r="BS375">
        <v>93</v>
      </c>
      <c r="BT375">
        <v>1881</v>
      </c>
      <c r="BU375">
        <v>139</v>
      </c>
      <c r="BV375">
        <v>386</v>
      </c>
      <c r="BW375">
        <v>591</v>
      </c>
      <c r="BX375">
        <v>118</v>
      </c>
      <c r="BY375">
        <v>159</v>
      </c>
      <c r="BZ375">
        <v>170</v>
      </c>
      <c r="CA375">
        <v>1563</v>
      </c>
      <c r="CB375">
        <v>12</v>
      </c>
      <c r="CC375">
        <v>5</v>
      </c>
      <c r="CD375">
        <v>32</v>
      </c>
      <c r="CE375">
        <v>141</v>
      </c>
      <c r="CF375">
        <v>4.41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60</v>
      </c>
      <c r="CO375">
        <v>0</v>
      </c>
      <c r="CP375">
        <v>6</v>
      </c>
      <c r="CQ375">
        <v>0</v>
      </c>
      <c r="CR375">
        <v>0</v>
      </c>
      <c r="CS375">
        <v>0</v>
      </c>
      <c r="CT375">
        <v>66</v>
      </c>
      <c r="CU375">
        <v>0</v>
      </c>
      <c r="CV375">
        <v>0</v>
      </c>
      <c r="CW375">
        <v>0</v>
      </c>
      <c r="CX375">
        <v>0</v>
      </c>
      <c r="CY375">
        <v>33</v>
      </c>
      <c r="CZ375">
        <v>0</v>
      </c>
      <c r="DA375">
        <v>0</v>
      </c>
      <c r="DB375">
        <v>0</v>
      </c>
      <c r="DC375">
        <v>33</v>
      </c>
      <c r="DD375">
        <v>0</v>
      </c>
      <c r="DE375">
        <v>0</v>
      </c>
      <c r="DF375">
        <v>141</v>
      </c>
      <c r="DG375">
        <v>32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173</v>
      </c>
      <c r="DT375">
        <v>272</v>
      </c>
      <c r="DU375">
        <v>68</v>
      </c>
      <c r="DV375">
        <v>0</v>
      </c>
      <c r="DW375">
        <v>0</v>
      </c>
      <c r="DX375">
        <v>0</v>
      </c>
      <c r="DY375">
        <v>278</v>
      </c>
      <c r="DZ375">
        <v>749</v>
      </c>
      <c r="EA375">
        <v>278</v>
      </c>
      <c r="EB375">
        <v>792</v>
      </c>
      <c r="EC375">
        <v>43</v>
      </c>
      <c r="ED375">
        <v>1070</v>
      </c>
      <c r="EE375">
        <v>1070</v>
      </c>
      <c r="EF375">
        <v>0</v>
      </c>
      <c r="EG375">
        <v>0.3</v>
      </c>
      <c r="EH375">
        <v>0.5</v>
      </c>
      <c r="EI375">
        <v>1.1000000000000001</v>
      </c>
      <c r="EJ375">
        <v>0.3</v>
      </c>
      <c r="EK375">
        <v>3.5</v>
      </c>
    </row>
    <row r="376" spans="1:141" x14ac:dyDescent="0.25">
      <c r="A376" t="str">
        <f>[1]ingredient!B376</f>
        <v>Sesamkerne</v>
      </c>
      <c r="B376" t="s">
        <v>437</v>
      </c>
      <c r="C376" s="7">
        <f>_xlfn.XLOOKUP(A376,[1]ingredient!$B$2:$B$521,[1]ingredient!$A$2:$A$521)</f>
        <v>375</v>
      </c>
      <c r="D376">
        <v>572</v>
      </c>
      <c r="E376">
        <v>50</v>
      </c>
      <c r="F376">
        <v>21</v>
      </c>
      <c r="G376">
        <v>10</v>
      </c>
      <c r="H376">
        <v>11</v>
      </c>
      <c r="I376">
        <v>0.2</v>
      </c>
      <c r="J376">
        <v>0.06</v>
      </c>
      <c r="K376">
        <v>2</v>
      </c>
      <c r="L376">
        <v>7</v>
      </c>
      <c r="M376">
        <v>4</v>
      </c>
      <c r="N376">
        <v>0</v>
      </c>
      <c r="O376">
        <v>42</v>
      </c>
      <c r="P376">
        <v>790</v>
      </c>
      <c r="Q376">
        <v>250</v>
      </c>
      <c r="R376">
        <v>4520</v>
      </c>
      <c r="S376">
        <v>9370</v>
      </c>
      <c r="T376">
        <v>1410</v>
      </c>
      <c r="U376">
        <v>790</v>
      </c>
      <c r="V376">
        <v>11</v>
      </c>
      <c r="W376">
        <v>97</v>
      </c>
      <c r="X376">
        <v>0</v>
      </c>
      <c r="Y376">
        <v>0</v>
      </c>
      <c r="Z376">
        <v>0</v>
      </c>
      <c r="AA376">
        <v>250</v>
      </c>
      <c r="AB376">
        <v>2</v>
      </c>
      <c r="AC376">
        <v>45</v>
      </c>
      <c r="AD376">
        <v>458</v>
      </c>
      <c r="AE376">
        <v>783</v>
      </c>
      <c r="AF376">
        <v>347</v>
      </c>
      <c r="AG376">
        <v>607</v>
      </c>
      <c r="AH376">
        <v>230</v>
      </c>
      <c r="AI376">
        <v>10</v>
      </c>
      <c r="AJ376">
        <v>10000</v>
      </c>
      <c r="AK376">
        <v>7775</v>
      </c>
      <c r="AL376">
        <v>1460</v>
      </c>
      <c r="AM376">
        <v>1465</v>
      </c>
      <c r="AN376">
        <v>60</v>
      </c>
      <c r="AO376">
        <v>10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204</v>
      </c>
      <c r="AY376">
        <v>0</v>
      </c>
      <c r="AZ376">
        <v>0</v>
      </c>
      <c r="BA376">
        <v>204</v>
      </c>
      <c r="BB376">
        <v>0</v>
      </c>
      <c r="BC376">
        <v>0</v>
      </c>
      <c r="BD376">
        <v>0</v>
      </c>
      <c r="BE376">
        <v>9996</v>
      </c>
      <c r="BF376">
        <v>9996</v>
      </c>
      <c r="BG376">
        <f t="shared" si="53"/>
        <v>63.789682539682538</v>
      </c>
      <c r="BH376">
        <v>934</v>
      </c>
      <c r="BI376">
        <v>1546</v>
      </c>
      <c r="BJ376">
        <v>643</v>
      </c>
      <c r="BK376">
        <v>643</v>
      </c>
      <c r="BL376">
        <v>261</v>
      </c>
      <c r="BM376">
        <v>1255</v>
      </c>
      <c r="BN376">
        <v>723</v>
      </c>
      <c r="BO376">
        <v>914</v>
      </c>
      <c r="BP376">
        <v>291</v>
      </c>
      <c r="BQ376">
        <v>1115</v>
      </c>
      <c r="BR376">
        <v>2209</v>
      </c>
      <c r="BS376">
        <v>492</v>
      </c>
      <c r="BT376">
        <v>11026</v>
      </c>
      <c r="BU376">
        <v>1135</v>
      </c>
      <c r="BV376">
        <v>1376</v>
      </c>
      <c r="BW376">
        <v>3746</v>
      </c>
      <c r="BX376">
        <v>1486</v>
      </c>
      <c r="BY376">
        <v>1135</v>
      </c>
      <c r="BZ376">
        <v>994</v>
      </c>
      <c r="CA376">
        <v>9872</v>
      </c>
      <c r="CB376">
        <v>62</v>
      </c>
      <c r="CC376">
        <v>26</v>
      </c>
      <c r="CD376">
        <v>684</v>
      </c>
      <c r="CE376">
        <v>19103</v>
      </c>
      <c r="CF376">
        <v>27.93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98</v>
      </c>
      <c r="CM376">
        <v>0</v>
      </c>
      <c r="CN376">
        <v>5823</v>
      </c>
      <c r="CO376">
        <v>0</v>
      </c>
      <c r="CP376">
        <v>1635</v>
      </c>
      <c r="CQ376">
        <v>255</v>
      </c>
      <c r="CR376">
        <v>0</v>
      </c>
      <c r="CS376">
        <v>0</v>
      </c>
      <c r="CT376">
        <v>7811</v>
      </c>
      <c r="CU376">
        <v>0</v>
      </c>
      <c r="CV376">
        <v>0</v>
      </c>
      <c r="CW376">
        <v>149</v>
      </c>
      <c r="CX376">
        <v>0</v>
      </c>
      <c r="CY376">
        <v>20329</v>
      </c>
      <c r="CZ376">
        <v>49</v>
      </c>
      <c r="DA376">
        <v>0</v>
      </c>
      <c r="DB376">
        <v>0</v>
      </c>
      <c r="DC376">
        <v>20527</v>
      </c>
      <c r="DD376">
        <v>0</v>
      </c>
      <c r="DE376">
        <v>0</v>
      </c>
      <c r="DF376">
        <v>19103</v>
      </c>
      <c r="DG376">
        <v>684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19787</v>
      </c>
      <c r="DT376">
        <v>48125</v>
      </c>
      <c r="DU376">
        <v>2275</v>
      </c>
      <c r="DV376">
        <v>0</v>
      </c>
      <c r="DW376">
        <v>0</v>
      </c>
      <c r="DX376">
        <v>0</v>
      </c>
      <c r="DY376">
        <v>5031</v>
      </c>
      <c r="DZ376">
        <v>3354</v>
      </c>
      <c r="EA376">
        <v>559</v>
      </c>
      <c r="EB376">
        <v>1677</v>
      </c>
      <c r="EC376">
        <v>559</v>
      </c>
      <c r="ED376">
        <v>3220</v>
      </c>
      <c r="EE376">
        <v>7960</v>
      </c>
      <c r="EF376">
        <v>0</v>
      </c>
      <c r="EG376">
        <v>0</v>
      </c>
      <c r="EH376">
        <v>5.3</v>
      </c>
      <c r="EI376">
        <v>8</v>
      </c>
      <c r="EJ376">
        <v>50.4</v>
      </c>
      <c r="EK376">
        <v>21.1</v>
      </c>
    </row>
    <row r="377" spans="1:141" x14ac:dyDescent="0.25">
      <c r="A377" t="str">
        <f>[1]ingredient!B377</f>
        <v>Shiitake</v>
      </c>
      <c r="B377" t="s">
        <v>438</v>
      </c>
      <c r="C377" s="7">
        <f>_xlfn.XLOOKUP(A377,[1]ingredient!$B$2:$B$521,[1]ingredient!$A$2:$A$521)</f>
        <v>376</v>
      </c>
      <c r="D377">
        <v>42</v>
      </c>
      <c r="E377">
        <v>0.22</v>
      </c>
      <c r="F377">
        <v>2</v>
      </c>
      <c r="G377">
        <v>12</v>
      </c>
      <c r="H377">
        <v>2</v>
      </c>
      <c r="I377">
        <v>2</v>
      </c>
      <c r="J377">
        <v>0.03</v>
      </c>
      <c r="K377">
        <v>84</v>
      </c>
      <c r="L377">
        <v>0</v>
      </c>
      <c r="M377">
        <v>0</v>
      </c>
      <c r="N377">
        <v>0</v>
      </c>
      <c r="O377">
        <v>0</v>
      </c>
      <c r="P377">
        <v>37</v>
      </c>
      <c r="Q377">
        <v>170</v>
      </c>
      <c r="R377">
        <v>2000</v>
      </c>
      <c r="S377">
        <v>2050</v>
      </c>
      <c r="T377">
        <v>2500</v>
      </c>
      <c r="U377">
        <v>50</v>
      </c>
      <c r="V377">
        <v>15</v>
      </c>
      <c r="W377">
        <v>25</v>
      </c>
      <c r="X377">
        <v>0</v>
      </c>
      <c r="Y377">
        <v>2000</v>
      </c>
      <c r="Z377">
        <v>2</v>
      </c>
      <c r="AA377">
        <v>100</v>
      </c>
      <c r="AB377">
        <v>15</v>
      </c>
      <c r="AC377">
        <v>4</v>
      </c>
      <c r="AD377">
        <v>120</v>
      </c>
      <c r="AE377">
        <v>3</v>
      </c>
      <c r="AF377">
        <v>14</v>
      </c>
      <c r="AG377">
        <v>29</v>
      </c>
      <c r="AH377">
        <v>35</v>
      </c>
      <c r="AI377">
        <v>30</v>
      </c>
      <c r="AJ377">
        <v>440</v>
      </c>
      <c r="AK377">
        <v>500</v>
      </c>
      <c r="AL377">
        <v>300</v>
      </c>
      <c r="AM377">
        <v>150</v>
      </c>
      <c r="AN377">
        <v>50</v>
      </c>
      <c r="AO377">
        <v>10</v>
      </c>
      <c r="AP377">
        <v>9856</v>
      </c>
      <c r="AQ377">
        <v>0</v>
      </c>
      <c r="AR377">
        <v>0</v>
      </c>
      <c r="AS377">
        <v>9856</v>
      </c>
      <c r="AT377">
        <v>1478</v>
      </c>
      <c r="AU377">
        <v>616</v>
      </c>
      <c r="AV377">
        <v>0</v>
      </c>
      <c r="AW377">
        <v>2094</v>
      </c>
      <c r="AX377">
        <v>370</v>
      </c>
      <c r="AY377">
        <v>0</v>
      </c>
      <c r="AZ377">
        <v>0</v>
      </c>
      <c r="BA377">
        <v>370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f t="shared" si="53"/>
        <v>22.72727272727273</v>
      </c>
      <c r="BH377">
        <v>55</v>
      </c>
      <c r="BI377">
        <v>92</v>
      </c>
      <c r="BJ377">
        <v>47</v>
      </c>
      <c r="BK377">
        <v>25</v>
      </c>
      <c r="BL377">
        <v>27</v>
      </c>
      <c r="BM377">
        <v>67</v>
      </c>
      <c r="BN377">
        <v>44</v>
      </c>
      <c r="BO377">
        <v>67</v>
      </c>
      <c r="BP377">
        <v>3</v>
      </c>
      <c r="BQ377">
        <v>67</v>
      </c>
      <c r="BR377">
        <v>89</v>
      </c>
      <c r="BS377">
        <v>22</v>
      </c>
      <c r="BT377">
        <v>605</v>
      </c>
      <c r="BU377">
        <v>78</v>
      </c>
      <c r="BV377">
        <v>103</v>
      </c>
      <c r="BW377">
        <v>353</v>
      </c>
      <c r="BX377">
        <v>56</v>
      </c>
      <c r="BY377">
        <v>56</v>
      </c>
      <c r="BZ377">
        <v>69</v>
      </c>
      <c r="CA377">
        <v>715</v>
      </c>
      <c r="CB377">
        <v>50</v>
      </c>
      <c r="CC377">
        <v>21</v>
      </c>
      <c r="CD377">
        <v>98</v>
      </c>
      <c r="CE377">
        <v>23</v>
      </c>
      <c r="CF377">
        <v>0.23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1</v>
      </c>
      <c r="CM377">
        <v>0</v>
      </c>
      <c r="CN377">
        <v>48</v>
      </c>
      <c r="CO377">
        <v>0</v>
      </c>
      <c r="CP377">
        <v>3</v>
      </c>
      <c r="CQ377">
        <v>0</v>
      </c>
      <c r="CR377">
        <v>0</v>
      </c>
      <c r="CS377">
        <v>0</v>
      </c>
      <c r="CT377">
        <v>52</v>
      </c>
      <c r="CU377">
        <v>0</v>
      </c>
      <c r="CV377">
        <v>0</v>
      </c>
      <c r="CW377">
        <v>1</v>
      </c>
      <c r="CX377">
        <v>0</v>
      </c>
      <c r="CY377">
        <v>2</v>
      </c>
      <c r="CZ377">
        <v>0</v>
      </c>
      <c r="DA377">
        <v>0</v>
      </c>
      <c r="DB377">
        <v>0</v>
      </c>
      <c r="DC377">
        <v>3</v>
      </c>
      <c r="DD377">
        <v>0</v>
      </c>
      <c r="DE377">
        <v>0</v>
      </c>
      <c r="DF377">
        <v>23</v>
      </c>
      <c r="DG377">
        <v>98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121</v>
      </c>
      <c r="DT377">
        <v>176</v>
      </c>
      <c r="DU377">
        <v>44</v>
      </c>
      <c r="DV377">
        <v>0</v>
      </c>
      <c r="DW377">
        <v>0</v>
      </c>
      <c r="DX377">
        <v>0</v>
      </c>
      <c r="DY377">
        <v>0</v>
      </c>
      <c r="DZ377">
        <v>804</v>
      </c>
      <c r="EA377">
        <v>20</v>
      </c>
      <c r="EB377">
        <v>1117</v>
      </c>
      <c r="EC377">
        <v>20</v>
      </c>
      <c r="ED377">
        <v>373</v>
      </c>
      <c r="EE377">
        <v>1588</v>
      </c>
      <c r="EF377">
        <v>0</v>
      </c>
      <c r="EG377">
        <v>0.06</v>
      </c>
      <c r="EH377">
        <v>0.2</v>
      </c>
      <c r="EI377">
        <v>1.6</v>
      </c>
      <c r="EJ377">
        <v>0.2</v>
      </c>
      <c r="EK377">
        <v>1.5</v>
      </c>
    </row>
    <row r="378" spans="1:141" x14ac:dyDescent="0.25">
      <c r="A378" t="str">
        <f>[1]ingredient!B378</f>
        <v>Shiro Miso</v>
      </c>
      <c r="B378" t="s">
        <v>357</v>
      </c>
      <c r="C378" s="7">
        <f>_xlfn.XLOOKUP(A378,[1]ingredient!$B$2:$B$521,[1]ingredient!$A$2:$A$521)</f>
        <v>377</v>
      </c>
      <c r="D378">
        <v>115</v>
      </c>
      <c r="E378">
        <v>6</v>
      </c>
      <c r="F378">
        <v>11</v>
      </c>
      <c r="G378">
        <v>5</v>
      </c>
      <c r="H378">
        <v>11</v>
      </c>
      <c r="I378">
        <v>5</v>
      </c>
      <c r="J378">
        <v>7</v>
      </c>
      <c r="K378">
        <v>56</v>
      </c>
      <c r="L378">
        <v>9</v>
      </c>
      <c r="M378">
        <v>5</v>
      </c>
      <c r="N378">
        <v>0</v>
      </c>
      <c r="O378">
        <v>54</v>
      </c>
      <c r="P378">
        <v>60</v>
      </c>
      <c r="Q378">
        <v>100</v>
      </c>
      <c r="R378">
        <v>1300</v>
      </c>
      <c r="S378">
        <v>2883</v>
      </c>
      <c r="T378">
        <v>500</v>
      </c>
      <c r="U378">
        <v>300</v>
      </c>
      <c r="V378">
        <v>15</v>
      </c>
      <c r="W378">
        <v>40</v>
      </c>
      <c r="X378">
        <v>0.2</v>
      </c>
      <c r="Y378">
        <v>0</v>
      </c>
      <c r="Z378">
        <v>0</v>
      </c>
      <c r="AA378">
        <v>800</v>
      </c>
      <c r="AB378">
        <v>11</v>
      </c>
      <c r="AC378">
        <v>2950</v>
      </c>
      <c r="AD378">
        <v>334</v>
      </c>
      <c r="AE378">
        <v>68</v>
      </c>
      <c r="AF378">
        <v>120</v>
      </c>
      <c r="AG378">
        <v>309</v>
      </c>
      <c r="AH378">
        <v>70</v>
      </c>
      <c r="AI378">
        <v>4300</v>
      </c>
      <c r="AJ378">
        <v>1700</v>
      </c>
      <c r="AK378">
        <v>500</v>
      </c>
      <c r="AL378">
        <v>50</v>
      </c>
      <c r="AM378">
        <v>1400</v>
      </c>
      <c r="AN378">
        <v>30</v>
      </c>
      <c r="AO378">
        <v>3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4653</v>
      </c>
      <c r="AY378">
        <v>0</v>
      </c>
      <c r="AZ378">
        <v>0</v>
      </c>
      <c r="BA378">
        <v>4653</v>
      </c>
      <c r="BB378">
        <v>0</v>
      </c>
      <c r="BC378">
        <v>0</v>
      </c>
      <c r="BD378">
        <v>0</v>
      </c>
      <c r="BE378">
        <v>47</v>
      </c>
      <c r="BF378">
        <v>47</v>
      </c>
      <c r="BG378">
        <f t="shared" si="53"/>
        <v>103.95256916996047</v>
      </c>
      <c r="BH378">
        <v>494</v>
      </c>
      <c r="BI378">
        <v>798</v>
      </c>
      <c r="BJ378">
        <v>578</v>
      </c>
      <c r="BK378">
        <v>126</v>
      </c>
      <c r="BL378">
        <v>137</v>
      </c>
      <c r="BM378">
        <v>483</v>
      </c>
      <c r="BN378">
        <v>399</v>
      </c>
      <c r="BO378">
        <v>368</v>
      </c>
      <c r="BP378">
        <v>95</v>
      </c>
      <c r="BQ378">
        <v>483</v>
      </c>
      <c r="BR378">
        <v>609</v>
      </c>
      <c r="BS378">
        <v>263</v>
      </c>
      <c r="BT378">
        <v>4833</v>
      </c>
      <c r="BU378">
        <v>536</v>
      </c>
      <c r="BV378">
        <v>1166</v>
      </c>
      <c r="BW378">
        <v>1864</v>
      </c>
      <c r="BX378">
        <v>462</v>
      </c>
      <c r="BY378">
        <v>756</v>
      </c>
      <c r="BZ378">
        <v>620</v>
      </c>
      <c r="CA378">
        <v>5404</v>
      </c>
      <c r="CB378">
        <v>60</v>
      </c>
      <c r="CC378">
        <v>25</v>
      </c>
      <c r="CD378">
        <v>440</v>
      </c>
      <c r="CE378">
        <v>3234</v>
      </c>
      <c r="CF378">
        <v>7.35</v>
      </c>
      <c r="CG378">
        <v>0</v>
      </c>
      <c r="CH378">
        <v>0</v>
      </c>
      <c r="CI378">
        <v>0</v>
      </c>
      <c r="CJ378">
        <v>0</v>
      </c>
      <c r="CK378">
        <v>6</v>
      </c>
      <c r="CL378">
        <v>11</v>
      </c>
      <c r="CM378">
        <v>0</v>
      </c>
      <c r="CN378">
        <v>621</v>
      </c>
      <c r="CO378">
        <v>0</v>
      </c>
      <c r="CP378">
        <v>215</v>
      </c>
      <c r="CQ378">
        <v>17</v>
      </c>
      <c r="CR378">
        <v>6</v>
      </c>
      <c r="CS378">
        <v>0</v>
      </c>
      <c r="CT378">
        <v>876</v>
      </c>
      <c r="CU378">
        <v>0</v>
      </c>
      <c r="CV378">
        <v>0</v>
      </c>
      <c r="CW378">
        <v>11</v>
      </c>
      <c r="CX378">
        <v>0</v>
      </c>
      <c r="CY378">
        <v>1073</v>
      </c>
      <c r="CZ378">
        <v>11</v>
      </c>
      <c r="DA378">
        <v>0</v>
      </c>
      <c r="DB378">
        <v>0</v>
      </c>
      <c r="DC378">
        <v>1095</v>
      </c>
      <c r="DD378">
        <v>0</v>
      </c>
      <c r="DE378">
        <v>0</v>
      </c>
      <c r="DF378">
        <v>3234</v>
      </c>
      <c r="DG378">
        <v>440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3674</v>
      </c>
      <c r="DT378">
        <v>5645</v>
      </c>
      <c r="DU378">
        <v>425</v>
      </c>
      <c r="DV378">
        <v>0</v>
      </c>
      <c r="DW378">
        <v>0</v>
      </c>
      <c r="DX378">
        <v>0</v>
      </c>
      <c r="DY378">
        <v>2625</v>
      </c>
      <c r="DZ378">
        <v>3832</v>
      </c>
      <c r="EA378">
        <v>1470</v>
      </c>
      <c r="EB378">
        <v>2520</v>
      </c>
      <c r="EC378">
        <v>53</v>
      </c>
      <c r="ED378">
        <v>5250</v>
      </c>
      <c r="EE378">
        <v>5250</v>
      </c>
      <c r="EF378">
        <v>0</v>
      </c>
      <c r="EG378">
        <v>0</v>
      </c>
      <c r="EH378">
        <v>12.7</v>
      </c>
      <c r="EI378">
        <v>5.3</v>
      </c>
      <c r="EJ378">
        <v>6.1</v>
      </c>
      <c r="EK378">
        <v>10.4</v>
      </c>
    </row>
    <row r="379" spans="1:141" x14ac:dyDescent="0.25">
      <c r="A379" t="str">
        <f>[1]ingredient!B379</f>
        <v>Shoyu</v>
      </c>
      <c r="B379" t="s">
        <v>439</v>
      </c>
      <c r="C379" s="7">
        <f>_xlfn.XLOOKUP(A379,[1]ingredient!$B$2:$B$521,[1]ingredient!$A$2:$A$521)</f>
        <v>378</v>
      </c>
      <c r="D379">
        <v>108</v>
      </c>
      <c r="E379">
        <v>5</v>
      </c>
      <c r="F379">
        <v>10</v>
      </c>
      <c r="G379">
        <v>6</v>
      </c>
      <c r="H379">
        <v>4</v>
      </c>
      <c r="I379">
        <v>6</v>
      </c>
      <c r="J379">
        <v>3</v>
      </c>
      <c r="K379">
        <v>69</v>
      </c>
      <c r="L379">
        <v>19</v>
      </c>
      <c r="M379">
        <v>10</v>
      </c>
      <c r="N379">
        <v>0</v>
      </c>
      <c r="O379">
        <v>114</v>
      </c>
      <c r="P379">
        <v>378</v>
      </c>
      <c r="Q379">
        <v>70</v>
      </c>
      <c r="R379">
        <v>612</v>
      </c>
      <c r="S379">
        <v>2462</v>
      </c>
      <c r="T379">
        <v>461</v>
      </c>
      <c r="U379">
        <v>210</v>
      </c>
      <c r="V379">
        <v>15</v>
      </c>
      <c r="W379">
        <v>63</v>
      </c>
      <c r="X379">
        <v>0</v>
      </c>
      <c r="Y379">
        <v>1050</v>
      </c>
      <c r="Z379">
        <v>0</v>
      </c>
      <c r="AA379">
        <v>407</v>
      </c>
      <c r="AB379">
        <v>55</v>
      </c>
      <c r="AC379">
        <v>1177</v>
      </c>
      <c r="AD379">
        <v>577</v>
      </c>
      <c r="AE379">
        <v>77</v>
      </c>
      <c r="AF379">
        <v>68</v>
      </c>
      <c r="AG379">
        <v>169</v>
      </c>
      <c r="AH379">
        <v>54</v>
      </c>
      <c r="AI379">
        <v>1826</v>
      </c>
      <c r="AJ379">
        <v>3916</v>
      </c>
      <c r="AK379">
        <v>1343</v>
      </c>
      <c r="AL379">
        <v>432</v>
      </c>
      <c r="AM379">
        <v>1098</v>
      </c>
      <c r="AN379">
        <v>42</v>
      </c>
      <c r="AO379">
        <v>3</v>
      </c>
      <c r="AP379">
        <v>0</v>
      </c>
      <c r="AQ379">
        <v>0</v>
      </c>
      <c r="AR379">
        <v>0</v>
      </c>
      <c r="AS379">
        <v>0</v>
      </c>
      <c r="AT379">
        <v>168</v>
      </c>
      <c r="AU379">
        <v>168</v>
      </c>
      <c r="AV379">
        <v>0</v>
      </c>
      <c r="AW379">
        <v>336</v>
      </c>
      <c r="AX379">
        <v>5169</v>
      </c>
      <c r="AY379">
        <v>0</v>
      </c>
      <c r="AZ379">
        <v>0</v>
      </c>
      <c r="BA379">
        <v>5169</v>
      </c>
      <c r="BB379">
        <v>0</v>
      </c>
      <c r="BC379">
        <v>2252</v>
      </c>
      <c r="BD379">
        <v>0</v>
      </c>
      <c r="BE379">
        <v>5</v>
      </c>
      <c r="BF379">
        <v>5</v>
      </c>
      <c r="BG379">
        <f t="shared" si="53"/>
        <v>118.5</v>
      </c>
      <c r="BH379">
        <v>453</v>
      </c>
      <c r="BI379">
        <v>725</v>
      </c>
      <c r="BJ379">
        <v>624</v>
      </c>
      <c r="BK379">
        <v>131</v>
      </c>
      <c r="BL379">
        <v>161</v>
      </c>
      <c r="BM379">
        <v>453</v>
      </c>
      <c r="BN379">
        <v>352</v>
      </c>
      <c r="BO379">
        <v>393</v>
      </c>
      <c r="BP379">
        <v>111</v>
      </c>
      <c r="BQ379">
        <v>474</v>
      </c>
      <c r="BR379">
        <v>763</v>
      </c>
      <c r="BS379">
        <v>231</v>
      </c>
      <c r="BT379">
        <v>4871</v>
      </c>
      <c r="BU379">
        <v>413</v>
      </c>
      <c r="BV379">
        <v>1110</v>
      </c>
      <c r="BW379">
        <v>1931</v>
      </c>
      <c r="BX379">
        <v>412</v>
      </c>
      <c r="BY379">
        <v>563</v>
      </c>
      <c r="BZ379">
        <v>513</v>
      </c>
      <c r="CA379">
        <v>4942</v>
      </c>
      <c r="CB379">
        <v>96</v>
      </c>
      <c r="CC379">
        <v>40</v>
      </c>
      <c r="CD379">
        <v>368</v>
      </c>
      <c r="CE379">
        <v>2685</v>
      </c>
      <c r="CF379">
        <v>7.3</v>
      </c>
      <c r="CG379">
        <v>0</v>
      </c>
      <c r="CH379">
        <v>0</v>
      </c>
      <c r="CI379">
        <v>0</v>
      </c>
      <c r="CJ379">
        <v>0</v>
      </c>
      <c r="CK379">
        <v>6</v>
      </c>
      <c r="CL379">
        <v>10</v>
      </c>
      <c r="CM379">
        <v>0</v>
      </c>
      <c r="CN379">
        <v>519</v>
      </c>
      <c r="CO379">
        <v>0</v>
      </c>
      <c r="CP379">
        <v>178</v>
      </c>
      <c r="CQ379">
        <v>14</v>
      </c>
      <c r="CR379">
        <v>5</v>
      </c>
      <c r="CS379">
        <v>0</v>
      </c>
      <c r="CT379">
        <v>732</v>
      </c>
      <c r="CU379">
        <v>0</v>
      </c>
      <c r="CV379">
        <v>0</v>
      </c>
      <c r="CW379">
        <v>10</v>
      </c>
      <c r="CX379">
        <v>0</v>
      </c>
      <c r="CY379">
        <v>891</v>
      </c>
      <c r="CZ379">
        <v>9</v>
      </c>
      <c r="DA379">
        <v>0</v>
      </c>
      <c r="DB379">
        <v>0</v>
      </c>
      <c r="DC379">
        <v>910</v>
      </c>
      <c r="DD379">
        <v>0</v>
      </c>
      <c r="DE379">
        <v>0</v>
      </c>
      <c r="DF379">
        <v>2685</v>
      </c>
      <c r="DG379">
        <v>368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3053</v>
      </c>
      <c r="DT379">
        <v>4695</v>
      </c>
      <c r="DU379">
        <v>359</v>
      </c>
      <c r="DV379">
        <v>0</v>
      </c>
      <c r="DW379">
        <v>0</v>
      </c>
      <c r="DX379">
        <v>0</v>
      </c>
      <c r="DY379">
        <v>1079</v>
      </c>
      <c r="DZ379">
        <v>1571</v>
      </c>
      <c r="EA379">
        <v>624</v>
      </c>
      <c r="EB379">
        <v>1060</v>
      </c>
      <c r="EC379">
        <v>25</v>
      </c>
      <c r="ED379">
        <v>2156</v>
      </c>
      <c r="EE379">
        <v>2203</v>
      </c>
      <c r="EF379">
        <v>0</v>
      </c>
      <c r="EG379">
        <v>0.01</v>
      </c>
      <c r="EH379">
        <v>4.2</v>
      </c>
      <c r="EI379">
        <v>2.2000000000000002</v>
      </c>
      <c r="EJ379">
        <v>5.0999999999999996</v>
      </c>
      <c r="EK379">
        <v>10.1</v>
      </c>
    </row>
    <row r="380" spans="1:141" x14ac:dyDescent="0.25">
      <c r="A380" t="str">
        <f>[1]ingredient!B380</f>
        <v>Sojabohnen</v>
      </c>
      <c r="B380" t="s">
        <v>440</v>
      </c>
      <c r="C380" s="7">
        <f>_xlfn.XLOOKUP(A380,[1]ingredient!$B$2:$B$521,[1]ingredient!$A$2:$A$521)</f>
        <v>379</v>
      </c>
      <c r="D380">
        <v>323</v>
      </c>
      <c r="E380">
        <v>18</v>
      </c>
      <c r="F380">
        <v>34</v>
      </c>
      <c r="G380">
        <v>6</v>
      </c>
      <c r="H380">
        <v>22</v>
      </c>
      <c r="I380">
        <v>6</v>
      </c>
      <c r="J380">
        <v>0.01</v>
      </c>
      <c r="K380">
        <v>10</v>
      </c>
      <c r="L380">
        <v>63</v>
      </c>
      <c r="M380">
        <v>32</v>
      </c>
      <c r="N380">
        <v>0</v>
      </c>
      <c r="O380">
        <v>380</v>
      </c>
      <c r="P380">
        <v>975</v>
      </c>
      <c r="Q380">
        <v>495</v>
      </c>
      <c r="R380">
        <v>2490</v>
      </c>
      <c r="S380">
        <v>9407</v>
      </c>
      <c r="T380">
        <v>1860</v>
      </c>
      <c r="U380">
        <v>1000</v>
      </c>
      <c r="V380">
        <v>60</v>
      </c>
      <c r="W380">
        <v>240</v>
      </c>
      <c r="X380">
        <v>0</v>
      </c>
      <c r="Y380">
        <v>10</v>
      </c>
      <c r="Z380">
        <v>0</v>
      </c>
      <c r="AA380">
        <v>640</v>
      </c>
      <c r="AB380">
        <v>0</v>
      </c>
      <c r="AC380">
        <v>4</v>
      </c>
      <c r="AD380">
        <v>1800</v>
      </c>
      <c r="AE380">
        <v>200</v>
      </c>
      <c r="AF380">
        <v>220</v>
      </c>
      <c r="AG380">
        <v>550</v>
      </c>
      <c r="AH380">
        <v>400</v>
      </c>
      <c r="AI380">
        <v>7</v>
      </c>
      <c r="AJ380">
        <v>6640</v>
      </c>
      <c r="AK380">
        <v>4182</v>
      </c>
      <c r="AL380">
        <v>1200</v>
      </c>
      <c r="AM380">
        <v>2710</v>
      </c>
      <c r="AN380">
        <v>360</v>
      </c>
      <c r="AO380">
        <v>6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6227</v>
      </c>
      <c r="AY380">
        <v>0</v>
      </c>
      <c r="AZ380">
        <v>0</v>
      </c>
      <c r="BA380">
        <v>6227</v>
      </c>
      <c r="BB380">
        <v>0</v>
      </c>
      <c r="BC380">
        <v>4975</v>
      </c>
      <c r="BD380">
        <v>0</v>
      </c>
      <c r="BE380">
        <v>63</v>
      </c>
      <c r="BF380">
        <v>63</v>
      </c>
      <c r="BG380">
        <f t="shared" si="53"/>
        <v>118.68872549019606</v>
      </c>
      <c r="BH380">
        <v>1626</v>
      </c>
      <c r="BI380">
        <v>2698</v>
      </c>
      <c r="BJ380">
        <v>1937</v>
      </c>
      <c r="BK380">
        <v>554</v>
      </c>
      <c r="BL380">
        <v>554</v>
      </c>
      <c r="BM380">
        <v>1868</v>
      </c>
      <c r="BN380">
        <v>1176</v>
      </c>
      <c r="BO380">
        <v>1418</v>
      </c>
      <c r="BP380">
        <v>415</v>
      </c>
      <c r="BQ380">
        <v>1660</v>
      </c>
      <c r="BR380">
        <v>2387</v>
      </c>
      <c r="BS380">
        <v>796</v>
      </c>
      <c r="BT380">
        <v>17089</v>
      </c>
      <c r="BU380">
        <v>1418</v>
      </c>
      <c r="BV380">
        <v>3909</v>
      </c>
      <c r="BW380">
        <v>6331</v>
      </c>
      <c r="BX380">
        <v>1384</v>
      </c>
      <c r="BY380">
        <v>1834</v>
      </c>
      <c r="BZ380">
        <v>1764</v>
      </c>
      <c r="CA380">
        <v>16640</v>
      </c>
      <c r="CB380">
        <v>220</v>
      </c>
      <c r="CC380">
        <v>92</v>
      </c>
      <c r="CD380">
        <v>1094</v>
      </c>
      <c r="CE380">
        <v>9274</v>
      </c>
      <c r="CF380">
        <v>8.48</v>
      </c>
      <c r="CG380">
        <v>0</v>
      </c>
      <c r="CH380">
        <v>0</v>
      </c>
      <c r="CI380">
        <v>0</v>
      </c>
      <c r="CJ380">
        <v>0</v>
      </c>
      <c r="CK380">
        <v>17</v>
      </c>
      <c r="CL380">
        <v>34</v>
      </c>
      <c r="CM380">
        <v>0</v>
      </c>
      <c r="CN380">
        <v>1801</v>
      </c>
      <c r="CO380">
        <v>0</v>
      </c>
      <c r="CP380">
        <v>606</v>
      </c>
      <c r="CQ380">
        <v>50</v>
      </c>
      <c r="CR380">
        <v>17</v>
      </c>
      <c r="CS380">
        <v>0</v>
      </c>
      <c r="CT380">
        <v>2525</v>
      </c>
      <c r="CU380">
        <v>0</v>
      </c>
      <c r="CV380">
        <v>0</v>
      </c>
      <c r="CW380">
        <v>34</v>
      </c>
      <c r="CX380">
        <v>0</v>
      </c>
      <c r="CY380">
        <v>3872</v>
      </c>
      <c r="CZ380">
        <v>34</v>
      </c>
      <c r="DA380">
        <v>0</v>
      </c>
      <c r="DB380">
        <v>0</v>
      </c>
      <c r="DC380">
        <v>3940</v>
      </c>
      <c r="DD380">
        <v>0</v>
      </c>
      <c r="DE380">
        <v>0</v>
      </c>
      <c r="DF380">
        <v>9274</v>
      </c>
      <c r="DG380">
        <v>1094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10368</v>
      </c>
      <c r="DT380">
        <v>16833</v>
      </c>
      <c r="DU380">
        <v>1267</v>
      </c>
      <c r="DV380">
        <v>0</v>
      </c>
      <c r="DW380">
        <v>0</v>
      </c>
      <c r="DX380">
        <v>0</v>
      </c>
      <c r="DY380">
        <v>2855</v>
      </c>
      <c r="DZ380">
        <v>7686</v>
      </c>
      <c r="EA380">
        <v>2855</v>
      </c>
      <c r="EB380">
        <v>8125</v>
      </c>
      <c r="EC380">
        <v>439</v>
      </c>
      <c r="ED380">
        <v>10980</v>
      </c>
      <c r="EE380">
        <v>10980</v>
      </c>
      <c r="EF380">
        <v>0</v>
      </c>
      <c r="EG380">
        <v>0.25</v>
      </c>
      <c r="EH380">
        <v>4.7</v>
      </c>
      <c r="EI380">
        <v>11</v>
      </c>
      <c r="EJ380">
        <v>18.100000000000001</v>
      </c>
      <c r="EK380">
        <v>34.5</v>
      </c>
    </row>
    <row r="381" spans="1:141" x14ac:dyDescent="0.25">
      <c r="A381" t="str">
        <f>[1]ingredient!B381</f>
        <v>Sojabohnen-Sprossen</v>
      </c>
      <c r="B381" t="s">
        <v>441</v>
      </c>
      <c r="C381" s="7">
        <f>_xlfn.XLOOKUP(A381,[1]ingredient!$B$2:$B$521,[1]ingredient!$A$2:$A$521)</f>
        <v>380</v>
      </c>
      <c r="D381">
        <v>52</v>
      </c>
      <c r="E381">
        <v>1</v>
      </c>
      <c r="F381">
        <v>5</v>
      </c>
      <c r="G381">
        <v>5</v>
      </c>
      <c r="H381">
        <v>2</v>
      </c>
      <c r="I381">
        <v>5</v>
      </c>
      <c r="J381">
        <v>0.08</v>
      </c>
      <c r="K381">
        <v>85</v>
      </c>
      <c r="L381">
        <v>4</v>
      </c>
      <c r="M381">
        <v>2</v>
      </c>
      <c r="N381">
        <v>0</v>
      </c>
      <c r="O381">
        <v>25</v>
      </c>
      <c r="P381">
        <v>157</v>
      </c>
      <c r="Q381">
        <v>163</v>
      </c>
      <c r="R381">
        <v>1533</v>
      </c>
      <c r="S381">
        <v>3483</v>
      </c>
      <c r="T381">
        <v>1440</v>
      </c>
      <c r="U381">
        <v>160</v>
      </c>
      <c r="V381">
        <v>1</v>
      </c>
      <c r="W381">
        <v>160</v>
      </c>
      <c r="X381">
        <v>0</v>
      </c>
      <c r="Y381">
        <v>19625</v>
      </c>
      <c r="Z381">
        <v>0</v>
      </c>
      <c r="AA381">
        <v>90</v>
      </c>
      <c r="AB381">
        <v>14</v>
      </c>
      <c r="AC381">
        <v>30</v>
      </c>
      <c r="AD381">
        <v>235</v>
      </c>
      <c r="AE381">
        <v>32</v>
      </c>
      <c r="AF381">
        <v>19</v>
      </c>
      <c r="AG381">
        <v>75</v>
      </c>
      <c r="AH381">
        <v>30</v>
      </c>
      <c r="AI381">
        <v>47</v>
      </c>
      <c r="AJ381">
        <v>900</v>
      </c>
      <c r="AK381">
        <v>960</v>
      </c>
      <c r="AL381">
        <v>230</v>
      </c>
      <c r="AM381">
        <v>170</v>
      </c>
      <c r="AN381">
        <v>40</v>
      </c>
      <c r="AO381">
        <v>2</v>
      </c>
      <c r="AP381">
        <v>0</v>
      </c>
      <c r="AQ381">
        <v>0</v>
      </c>
      <c r="AR381">
        <v>0</v>
      </c>
      <c r="AS381">
        <v>0</v>
      </c>
      <c r="AT381">
        <v>1123</v>
      </c>
      <c r="AU381">
        <v>1123</v>
      </c>
      <c r="AV381">
        <v>0</v>
      </c>
      <c r="AW381">
        <v>2246</v>
      </c>
      <c r="AX381">
        <v>2387</v>
      </c>
      <c r="AY381">
        <v>0</v>
      </c>
      <c r="AZ381">
        <v>0</v>
      </c>
      <c r="BA381">
        <v>2387</v>
      </c>
      <c r="BB381">
        <v>0</v>
      </c>
      <c r="BC381">
        <v>0</v>
      </c>
      <c r="BD381">
        <v>0</v>
      </c>
      <c r="BE381">
        <v>47</v>
      </c>
      <c r="BF381">
        <v>47</v>
      </c>
      <c r="BG381">
        <f t="shared" si="53"/>
        <v>64.347826086956516</v>
      </c>
      <c r="BH381">
        <v>260</v>
      </c>
      <c r="BI381">
        <v>445</v>
      </c>
      <c r="BJ381">
        <v>366</v>
      </c>
      <c r="BK381">
        <v>53</v>
      </c>
      <c r="BL381">
        <v>21</v>
      </c>
      <c r="BM381">
        <v>212</v>
      </c>
      <c r="BN381">
        <v>170</v>
      </c>
      <c r="BO381">
        <v>302</v>
      </c>
      <c r="BP381">
        <v>117</v>
      </c>
      <c r="BQ381">
        <v>297</v>
      </c>
      <c r="BR381">
        <v>254</v>
      </c>
      <c r="BS381">
        <v>138</v>
      </c>
      <c r="BT381">
        <v>2635</v>
      </c>
      <c r="BU381">
        <v>244</v>
      </c>
      <c r="BV381">
        <v>763</v>
      </c>
      <c r="BW381">
        <v>747</v>
      </c>
      <c r="BX381">
        <v>201</v>
      </c>
      <c r="BY381">
        <v>212</v>
      </c>
      <c r="BZ381">
        <v>392</v>
      </c>
      <c r="CA381">
        <v>2559</v>
      </c>
      <c r="CB381">
        <v>15</v>
      </c>
      <c r="CC381">
        <v>6</v>
      </c>
      <c r="CD381">
        <v>563</v>
      </c>
      <c r="CE381">
        <v>102</v>
      </c>
      <c r="CF381">
        <v>0.18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130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130</v>
      </c>
      <c r="CU381">
        <v>0</v>
      </c>
      <c r="CV381">
        <v>0</v>
      </c>
      <c r="CW381">
        <v>121</v>
      </c>
      <c r="CX381">
        <v>0</v>
      </c>
      <c r="CY381">
        <v>14</v>
      </c>
      <c r="CZ381">
        <v>0</v>
      </c>
      <c r="DA381">
        <v>0</v>
      </c>
      <c r="DB381">
        <v>0</v>
      </c>
      <c r="DC381">
        <v>135</v>
      </c>
      <c r="DD381">
        <v>0</v>
      </c>
      <c r="DE381">
        <v>0</v>
      </c>
      <c r="DF381">
        <v>102</v>
      </c>
      <c r="DG381">
        <v>563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665</v>
      </c>
      <c r="DT381">
        <v>930</v>
      </c>
      <c r="DU381">
        <v>270</v>
      </c>
      <c r="DV381">
        <v>0</v>
      </c>
      <c r="DW381">
        <v>0</v>
      </c>
      <c r="DX381">
        <v>0</v>
      </c>
      <c r="DY381">
        <v>299</v>
      </c>
      <c r="DZ381">
        <v>805</v>
      </c>
      <c r="EA381">
        <v>299</v>
      </c>
      <c r="EB381">
        <v>851</v>
      </c>
      <c r="EC381">
        <v>46</v>
      </c>
      <c r="ED381">
        <v>1150</v>
      </c>
      <c r="EE381">
        <v>1150</v>
      </c>
      <c r="EF381">
        <v>0</v>
      </c>
      <c r="EG381">
        <v>0.25</v>
      </c>
      <c r="EH381">
        <v>0.8</v>
      </c>
      <c r="EI381">
        <v>1.2</v>
      </c>
      <c r="EJ381">
        <v>1.2</v>
      </c>
      <c r="EK381">
        <v>5.2</v>
      </c>
    </row>
    <row r="382" spans="1:141" x14ac:dyDescent="0.25">
      <c r="A382" t="str">
        <f>[1]ingredient!B382</f>
        <v>Sojaflocken</v>
      </c>
      <c r="B382" t="s">
        <v>442</v>
      </c>
      <c r="C382" s="7">
        <f>_xlfn.XLOOKUP(A382,[1]ingredient!$B$2:$B$521,[1]ingredient!$A$2:$A$521)</f>
        <v>381</v>
      </c>
      <c r="D382">
        <v>403</v>
      </c>
      <c r="E382">
        <v>21</v>
      </c>
      <c r="F382">
        <v>41</v>
      </c>
      <c r="G382">
        <v>3</v>
      </c>
      <c r="H382">
        <v>19</v>
      </c>
      <c r="I382">
        <v>3</v>
      </c>
      <c r="J382">
        <v>0.11</v>
      </c>
      <c r="K382">
        <v>13</v>
      </c>
      <c r="L382">
        <v>0</v>
      </c>
      <c r="M382">
        <v>100</v>
      </c>
      <c r="N382">
        <v>100</v>
      </c>
      <c r="O382">
        <v>0</v>
      </c>
      <c r="P382">
        <v>800</v>
      </c>
      <c r="Q382">
        <v>300</v>
      </c>
      <c r="R382">
        <v>2200</v>
      </c>
      <c r="S382">
        <v>10400</v>
      </c>
      <c r="T382">
        <v>1800</v>
      </c>
      <c r="U382">
        <v>500</v>
      </c>
      <c r="V382">
        <v>60</v>
      </c>
      <c r="W382">
        <v>190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4</v>
      </c>
      <c r="AD382">
        <v>1870</v>
      </c>
      <c r="AE382">
        <v>195</v>
      </c>
      <c r="AF382">
        <v>247</v>
      </c>
      <c r="AG382">
        <v>553</v>
      </c>
      <c r="AH382">
        <v>206</v>
      </c>
      <c r="AI382">
        <v>106</v>
      </c>
      <c r="AJ382">
        <v>12100</v>
      </c>
      <c r="AK382">
        <v>4900</v>
      </c>
      <c r="AL382">
        <v>1600</v>
      </c>
      <c r="AM382">
        <v>4000</v>
      </c>
      <c r="AN382">
        <v>100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3000</v>
      </c>
      <c r="AY382">
        <v>0</v>
      </c>
      <c r="AZ382">
        <v>0</v>
      </c>
      <c r="BA382">
        <v>3000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f t="shared" si="53"/>
        <v>117.83286685325869</v>
      </c>
      <c r="BH382">
        <v>1944</v>
      </c>
      <c r="BI382">
        <v>2947</v>
      </c>
      <c r="BJ382">
        <v>2620</v>
      </c>
      <c r="BK382">
        <v>594</v>
      </c>
      <c r="BL382">
        <v>604</v>
      </c>
      <c r="BM382">
        <v>1904</v>
      </c>
      <c r="BN382">
        <v>1484</v>
      </c>
      <c r="BO382">
        <v>1648</v>
      </c>
      <c r="BP382">
        <v>491</v>
      </c>
      <c r="BQ382">
        <v>2017</v>
      </c>
      <c r="BR382">
        <v>3214</v>
      </c>
      <c r="BS382">
        <v>972</v>
      </c>
      <c r="BT382">
        <v>20438</v>
      </c>
      <c r="BU382">
        <v>1719</v>
      </c>
      <c r="BV382">
        <v>4585</v>
      </c>
      <c r="BW382">
        <v>8014</v>
      </c>
      <c r="BX382">
        <v>1719</v>
      </c>
      <c r="BY382">
        <v>2395</v>
      </c>
      <c r="BZ382">
        <v>2129</v>
      </c>
      <c r="CA382">
        <v>20562</v>
      </c>
      <c r="CB382">
        <v>380</v>
      </c>
      <c r="CC382">
        <v>158</v>
      </c>
      <c r="CD382">
        <v>1500</v>
      </c>
      <c r="CE382">
        <v>11300</v>
      </c>
      <c r="CF382">
        <v>7.53</v>
      </c>
      <c r="CG382">
        <v>0</v>
      </c>
      <c r="CH382">
        <v>0</v>
      </c>
      <c r="CI382">
        <v>0</v>
      </c>
      <c r="CJ382">
        <v>0</v>
      </c>
      <c r="CK382">
        <v>21</v>
      </c>
      <c r="CL382">
        <v>42</v>
      </c>
      <c r="CM382">
        <v>0</v>
      </c>
      <c r="CN382">
        <v>2164</v>
      </c>
      <c r="CO382">
        <v>0</v>
      </c>
      <c r="CP382">
        <v>751</v>
      </c>
      <c r="CQ382">
        <v>0</v>
      </c>
      <c r="CR382">
        <v>21</v>
      </c>
      <c r="CS382">
        <v>0</v>
      </c>
      <c r="CT382">
        <v>3000</v>
      </c>
      <c r="CU382">
        <v>0</v>
      </c>
      <c r="CV382">
        <v>0</v>
      </c>
      <c r="CW382">
        <v>99</v>
      </c>
      <c r="CX382">
        <v>0</v>
      </c>
      <c r="CY382">
        <v>3542</v>
      </c>
      <c r="CZ382">
        <v>41</v>
      </c>
      <c r="DA382">
        <v>0</v>
      </c>
      <c r="DB382">
        <v>0</v>
      </c>
      <c r="DC382">
        <v>3700</v>
      </c>
      <c r="DD382">
        <v>0</v>
      </c>
      <c r="DE382">
        <v>0</v>
      </c>
      <c r="DF382">
        <v>11300</v>
      </c>
      <c r="DG382">
        <v>1500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12800</v>
      </c>
      <c r="DT382">
        <v>19475</v>
      </c>
      <c r="DU382">
        <v>1525</v>
      </c>
      <c r="DV382">
        <v>0</v>
      </c>
      <c r="DW382">
        <v>0</v>
      </c>
      <c r="DX382">
        <v>0</v>
      </c>
      <c r="DY382">
        <v>4755</v>
      </c>
      <c r="DZ382">
        <v>6942</v>
      </c>
      <c r="EA382">
        <v>2663</v>
      </c>
      <c r="EB382">
        <v>4565</v>
      </c>
      <c r="EC382">
        <v>95</v>
      </c>
      <c r="ED382">
        <v>9510</v>
      </c>
      <c r="EE382">
        <v>9510</v>
      </c>
      <c r="EF382">
        <v>0</v>
      </c>
      <c r="EG382">
        <v>0</v>
      </c>
      <c r="EH382">
        <v>3.2</v>
      </c>
      <c r="EI382">
        <v>9.5</v>
      </c>
      <c r="EJ382">
        <v>21</v>
      </c>
      <c r="EK382">
        <v>42.3</v>
      </c>
    </row>
    <row r="383" spans="1:141" x14ac:dyDescent="0.25">
      <c r="A383" t="str">
        <f>[1]ingredient!B383</f>
        <v>Sojajoghurt</v>
      </c>
      <c r="B383" t="s">
        <v>443</v>
      </c>
      <c r="C383" s="7">
        <f>_xlfn.XLOOKUP(A383,[1]ingredient!$B$2:$B$521,[1]ingredient!$A$2:$A$521)</f>
        <v>382</v>
      </c>
      <c r="D383">
        <v>27</v>
      </c>
      <c r="E383">
        <v>1</v>
      </c>
      <c r="F383">
        <v>3</v>
      </c>
      <c r="G383">
        <v>2</v>
      </c>
      <c r="H383">
        <v>1</v>
      </c>
      <c r="I383">
        <v>2</v>
      </c>
      <c r="J383">
        <v>0.02</v>
      </c>
      <c r="K383">
        <v>93</v>
      </c>
      <c r="L383">
        <v>0</v>
      </c>
      <c r="M383">
        <v>0</v>
      </c>
      <c r="N383">
        <v>0</v>
      </c>
      <c r="O383">
        <v>0</v>
      </c>
      <c r="P383">
        <v>60</v>
      </c>
      <c r="Q383">
        <v>30</v>
      </c>
      <c r="R383">
        <v>49</v>
      </c>
      <c r="S383">
        <v>849</v>
      </c>
      <c r="T383">
        <v>0</v>
      </c>
      <c r="U383">
        <v>50</v>
      </c>
      <c r="V383">
        <v>2</v>
      </c>
      <c r="W383">
        <v>36</v>
      </c>
      <c r="X383">
        <v>0</v>
      </c>
      <c r="Y383">
        <v>0</v>
      </c>
      <c r="Z383">
        <v>0</v>
      </c>
      <c r="AA383">
        <v>2410</v>
      </c>
      <c r="AB383">
        <v>3</v>
      </c>
      <c r="AC383">
        <v>19</v>
      </c>
      <c r="AD383">
        <v>170</v>
      </c>
      <c r="AE383">
        <v>13</v>
      </c>
      <c r="AF383">
        <v>21</v>
      </c>
      <c r="AG383">
        <v>52</v>
      </c>
      <c r="AH383">
        <v>0</v>
      </c>
      <c r="AI383">
        <v>0</v>
      </c>
      <c r="AJ383">
        <v>570</v>
      </c>
      <c r="AK383">
        <v>0</v>
      </c>
      <c r="AL383">
        <v>114</v>
      </c>
      <c r="AM383">
        <v>206</v>
      </c>
      <c r="AN383">
        <v>63</v>
      </c>
      <c r="AO383">
        <v>2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1620</v>
      </c>
      <c r="AY383">
        <v>0</v>
      </c>
      <c r="AZ383">
        <v>0</v>
      </c>
      <c r="BA383">
        <v>1620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f t="shared" si="53"/>
        <v>72.463768115942031</v>
      </c>
      <c r="BH383">
        <v>161</v>
      </c>
      <c r="BI383">
        <v>262</v>
      </c>
      <c r="BJ383">
        <v>221</v>
      </c>
      <c r="BK383">
        <v>0</v>
      </c>
      <c r="BL383">
        <v>50</v>
      </c>
      <c r="BM383">
        <v>181</v>
      </c>
      <c r="BN383">
        <v>121</v>
      </c>
      <c r="BO383">
        <v>131</v>
      </c>
      <c r="BP383">
        <v>48</v>
      </c>
      <c r="BQ383">
        <v>171</v>
      </c>
      <c r="BR383">
        <v>252</v>
      </c>
      <c r="BS383">
        <v>91</v>
      </c>
      <c r="BT383">
        <v>1689</v>
      </c>
      <c r="BU383">
        <v>151</v>
      </c>
      <c r="BV383">
        <v>423</v>
      </c>
      <c r="BW383">
        <v>684</v>
      </c>
      <c r="BX383">
        <v>151</v>
      </c>
      <c r="BY383">
        <v>181</v>
      </c>
      <c r="BZ383">
        <v>181</v>
      </c>
      <c r="CA383">
        <v>1771</v>
      </c>
      <c r="CB383">
        <v>0</v>
      </c>
      <c r="CC383">
        <v>0</v>
      </c>
      <c r="CD383">
        <v>60</v>
      </c>
      <c r="CE383">
        <v>376</v>
      </c>
      <c r="CF383">
        <v>6.27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1</v>
      </c>
      <c r="CM383">
        <v>0</v>
      </c>
      <c r="CN383">
        <v>79</v>
      </c>
      <c r="CO383">
        <v>1</v>
      </c>
      <c r="CP383">
        <v>29</v>
      </c>
      <c r="CQ383">
        <v>2</v>
      </c>
      <c r="CR383">
        <v>3</v>
      </c>
      <c r="CS383">
        <v>1</v>
      </c>
      <c r="CT383">
        <v>116</v>
      </c>
      <c r="CU383">
        <v>0</v>
      </c>
      <c r="CV383">
        <v>0</v>
      </c>
      <c r="CW383">
        <v>1</v>
      </c>
      <c r="CX383">
        <v>0</v>
      </c>
      <c r="CY383">
        <v>145</v>
      </c>
      <c r="CZ383">
        <v>1</v>
      </c>
      <c r="DA383">
        <v>0</v>
      </c>
      <c r="DB383">
        <v>0</v>
      </c>
      <c r="DC383">
        <v>147</v>
      </c>
      <c r="DD383">
        <v>0</v>
      </c>
      <c r="DE383">
        <v>0</v>
      </c>
      <c r="DF383">
        <v>376</v>
      </c>
      <c r="DG383">
        <v>60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436</v>
      </c>
      <c r="DT383">
        <v>699</v>
      </c>
      <c r="DU383">
        <v>1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1100</v>
      </c>
      <c r="EF383">
        <v>0</v>
      </c>
      <c r="EG383">
        <v>0</v>
      </c>
      <c r="EH383">
        <v>0.6</v>
      </c>
      <c r="EI383">
        <v>1.1000000000000001</v>
      </c>
      <c r="EJ383">
        <v>0.7</v>
      </c>
      <c r="EK383">
        <v>3.5</v>
      </c>
    </row>
    <row r="384" spans="1:141" x14ac:dyDescent="0.25">
      <c r="A384" t="str">
        <f>[1]ingredient!B384</f>
        <v>Sojamehl</v>
      </c>
      <c r="B384" t="s">
        <v>444</v>
      </c>
      <c r="C384" s="7">
        <f>_xlfn.XLOOKUP(A384,[1]ingredient!$B$2:$B$521,[1]ingredient!$A$2:$A$521)</f>
        <v>383</v>
      </c>
      <c r="D384">
        <v>342</v>
      </c>
      <c r="E384">
        <v>20</v>
      </c>
      <c r="F384">
        <v>40</v>
      </c>
      <c r="G384">
        <v>0.4</v>
      </c>
      <c r="H384">
        <v>17</v>
      </c>
      <c r="I384">
        <v>0.4</v>
      </c>
      <c r="J384">
        <v>0.15</v>
      </c>
      <c r="K384">
        <v>9</v>
      </c>
      <c r="L384">
        <v>14</v>
      </c>
      <c r="M384">
        <v>7</v>
      </c>
      <c r="N384">
        <v>0</v>
      </c>
      <c r="O384">
        <v>84</v>
      </c>
      <c r="P384">
        <v>1500</v>
      </c>
      <c r="Q384">
        <v>250</v>
      </c>
      <c r="R384">
        <v>2200</v>
      </c>
      <c r="S384">
        <v>9533</v>
      </c>
      <c r="T384">
        <v>1800</v>
      </c>
      <c r="U384">
        <v>800</v>
      </c>
      <c r="V384">
        <v>60</v>
      </c>
      <c r="W384">
        <v>250</v>
      </c>
      <c r="X384">
        <v>0</v>
      </c>
      <c r="Y384">
        <v>0</v>
      </c>
      <c r="Z384">
        <v>0</v>
      </c>
      <c r="AA384">
        <v>1525</v>
      </c>
      <c r="AB384">
        <v>200</v>
      </c>
      <c r="AC384">
        <v>40</v>
      </c>
      <c r="AD384">
        <v>2250</v>
      </c>
      <c r="AE384">
        <v>250</v>
      </c>
      <c r="AF384">
        <v>250</v>
      </c>
      <c r="AG384">
        <v>650</v>
      </c>
      <c r="AH384">
        <v>206</v>
      </c>
      <c r="AI384">
        <v>106</v>
      </c>
      <c r="AJ384">
        <v>15000</v>
      </c>
      <c r="AK384">
        <v>4900</v>
      </c>
      <c r="AL384">
        <v>1600</v>
      </c>
      <c r="AM384">
        <v>4000</v>
      </c>
      <c r="AN384">
        <v>120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396</v>
      </c>
      <c r="AY384">
        <v>0</v>
      </c>
      <c r="AZ384">
        <v>0</v>
      </c>
      <c r="BA384">
        <v>396</v>
      </c>
      <c r="BB384">
        <v>0</v>
      </c>
      <c r="BC384">
        <v>9000</v>
      </c>
      <c r="BD384">
        <v>0</v>
      </c>
      <c r="BE384">
        <v>4</v>
      </c>
      <c r="BF384">
        <v>4</v>
      </c>
      <c r="BG384">
        <f t="shared" si="53"/>
        <v>117.5</v>
      </c>
      <c r="BH384">
        <v>1800</v>
      </c>
      <c r="BI384">
        <v>2880</v>
      </c>
      <c r="BJ384">
        <v>2480</v>
      </c>
      <c r="BK384">
        <v>520</v>
      </c>
      <c r="BL384">
        <v>640</v>
      </c>
      <c r="BM384">
        <v>1800</v>
      </c>
      <c r="BN384">
        <v>1400</v>
      </c>
      <c r="BO384">
        <v>1560</v>
      </c>
      <c r="BP384">
        <v>440</v>
      </c>
      <c r="BQ384">
        <v>1880</v>
      </c>
      <c r="BR384">
        <v>3040</v>
      </c>
      <c r="BS384">
        <v>920</v>
      </c>
      <c r="BT384">
        <v>19360</v>
      </c>
      <c r="BU384">
        <v>1640</v>
      </c>
      <c r="BV384">
        <v>4400</v>
      </c>
      <c r="BW384">
        <v>7680</v>
      </c>
      <c r="BX384">
        <v>1640</v>
      </c>
      <c r="BY384">
        <v>2240</v>
      </c>
      <c r="BZ384">
        <v>2040</v>
      </c>
      <c r="CA384">
        <v>19640</v>
      </c>
      <c r="CB384">
        <v>380</v>
      </c>
      <c r="CC384">
        <v>158</v>
      </c>
      <c r="CD384">
        <v>1458</v>
      </c>
      <c r="CE384">
        <v>10712</v>
      </c>
      <c r="CF384">
        <v>7.35</v>
      </c>
      <c r="CG384">
        <v>0</v>
      </c>
      <c r="CH384">
        <v>0</v>
      </c>
      <c r="CI384">
        <v>0</v>
      </c>
      <c r="CJ384">
        <v>0</v>
      </c>
      <c r="CK384">
        <v>19</v>
      </c>
      <c r="CL384">
        <v>37</v>
      </c>
      <c r="CM384">
        <v>0</v>
      </c>
      <c r="CN384">
        <v>2056</v>
      </c>
      <c r="CO384">
        <v>0</v>
      </c>
      <c r="CP384">
        <v>710</v>
      </c>
      <c r="CQ384">
        <v>56</v>
      </c>
      <c r="CR384">
        <v>19</v>
      </c>
      <c r="CS384">
        <v>0</v>
      </c>
      <c r="CT384">
        <v>2897</v>
      </c>
      <c r="CU384">
        <v>0</v>
      </c>
      <c r="CV384">
        <v>0</v>
      </c>
      <c r="CW384">
        <v>37</v>
      </c>
      <c r="CX384">
        <v>0</v>
      </c>
      <c r="CY384">
        <v>3552</v>
      </c>
      <c r="CZ384">
        <v>37</v>
      </c>
      <c r="DA384">
        <v>0</v>
      </c>
      <c r="DB384">
        <v>0</v>
      </c>
      <c r="DC384">
        <v>3626</v>
      </c>
      <c r="DD384">
        <v>0</v>
      </c>
      <c r="DE384">
        <v>0</v>
      </c>
      <c r="DF384">
        <v>10712</v>
      </c>
      <c r="DG384">
        <v>1458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12170</v>
      </c>
      <c r="DT384">
        <v>18693</v>
      </c>
      <c r="DU384">
        <v>1407</v>
      </c>
      <c r="DV384">
        <v>0</v>
      </c>
      <c r="DW384">
        <v>0</v>
      </c>
      <c r="DX384">
        <v>0</v>
      </c>
      <c r="DY384">
        <v>4250</v>
      </c>
      <c r="DZ384">
        <v>6205</v>
      </c>
      <c r="EA384">
        <v>2380</v>
      </c>
      <c r="EB384">
        <v>4080</v>
      </c>
      <c r="EC384">
        <v>85</v>
      </c>
      <c r="ED384">
        <v>8500</v>
      </c>
      <c r="EE384">
        <v>8500</v>
      </c>
      <c r="EF384">
        <v>0</v>
      </c>
      <c r="EG384">
        <v>0</v>
      </c>
      <c r="EH384">
        <v>4.4000000000000004</v>
      </c>
      <c r="EI384">
        <v>8.5</v>
      </c>
      <c r="EJ384">
        <v>20.100000000000001</v>
      </c>
      <c r="EK384">
        <v>40.299999999999997</v>
      </c>
    </row>
    <row r="385" spans="1:141" x14ac:dyDescent="0.25">
      <c r="A385" t="str">
        <f>[1]ingredient!B385</f>
        <v>Sojamilch</v>
      </c>
      <c r="B385" t="s">
        <v>445</v>
      </c>
      <c r="C385" s="7">
        <f>_xlfn.XLOOKUP(A385,[1]ingredient!$B$2:$B$521,[1]ingredient!$A$2:$A$521)</f>
        <v>384</v>
      </c>
      <c r="D385">
        <v>27</v>
      </c>
      <c r="E385">
        <v>1</v>
      </c>
      <c r="F385">
        <v>3</v>
      </c>
      <c r="G385">
        <v>2</v>
      </c>
      <c r="H385">
        <v>1</v>
      </c>
      <c r="I385">
        <v>2</v>
      </c>
      <c r="J385">
        <v>0.02</v>
      </c>
      <c r="K385">
        <v>93</v>
      </c>
      <c r="L385">
        <v>0</v>
      </c>
      <c r="M385">
        <v>0</v>
      </c>
      <c r="N385">
        <v>0</v>
      </c>
      <c r="O385">
        <v>0</v>
      </c>
      <c r="P385">
        <v>60</v>
      </c>
      <c r="Q385">
        <v>30</v>
      </c>
      <c r="R385">
        <v>49</v>
      </c>
      <c r="S385">
        <v>849</v>
      </c>
      <c r="T385">
        <v>0</v>
      </c>
      <c r="U385">
        <v>50</v>
      </c>
      <c r="V385">
        <v>2</v>
      </c>
      <c r="W385">
        <v>36</v>
      </c>
      <c r="X385">
        <v>0</v>
      </c>
      <c r="Y385">
        <v>0</v>
      </c>
      <c r="Z385">
        <v>0</v>
      </c>
      <c r="AA385">
        <v>2410</v>
      </c>
      <c r="AB385">
        <v>3</v>
      </c>
      <c r="AC385">
        <v>19</v>
      </c>
      <c r="AD385">
        <v>170</v>
      </c>
      <c r="AE385">
        <v>13</v>
      </c>
      <c r="AF385">
        <v>21</v>
      </c>
      <c r="AG385">
        <v>52</v>
      </c>
      <c r="AH385">
        <v>0</v>
      </c>
      <c r="AI385">
        <v>0</v>
      </c>
      <c r="AJ385">
        <v>570</v>
      </c>
      <c r="AK385">
        <v>0</v>
      </c>
      <c r="AL385">
        <v>114</v>
      </c>
      <c r="AM385">
        <v>206</v>
      </c>
      <c r="AN385">
        <v>63</v>
      </c>
      <c r="AO385">
        <v>2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1620</v>
      </c>
      <c r="AY385">
        <v>0</v>
      </c>
      <c r="AZ385">
        <v>0</v>
      </c>
      <c r="BA385">
        <v>1620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f t="shared" si="53"/>
        <v>72.463768115942031</v>
      </c>
      <c r="BH385">
        <v>161</v>
      </c>
      <c r="BI385">
        <v>262</v>
      </c>
      <c r="BJ385">
        <v>221</v>
      </c>
      <c r="BK385">
        <v>0</v>
      </c>
      <c r="BL385">
        <v>50</v>
      </c>
      <c r="BM385">
        <v>181</v>
      </c>
      <c r="BN385">
        <v>121</v>
      </c>
      <c r="BO385">
        <v>131</v>
      </c>
      <c r="BP385">
        <v>48</v>
      </c>
      <c r="BQ385">
        <v>171</v>
      </c>
      <c r="BR385">
        <v>252</v>
      </c>
      <c r="BS385">
        <v>91</v>
      </c>
      <c r="BT385">
        <v>1689</v>
      </c>
      <c r="BU385">
        <v>151</v>
      </c>
      <c r="BV385">
        <v>423</v>
      </c>
      <c r="BW385">
        <v>684</v>
      </c>
      <c r="BX385">
        <v>151</v>
      </c>
      <c r="BY385">
        <v>181</v>
      </c>
      <c r="BZ385">
        <v>181</v>
      </c>
      <c r="CA385">
        <v>1771</v>
      </c>
      <c r="CB385">
        <v>0</v>
      </c>
      <c r="CC385">
        <v>0</v>
      </c>
      <c r="CD385">
        <v>60</v>
      </c>
      <c r="CE385">
        <v>376</v>
      </c>
      <c r="CF385">
        <v>6.27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1</v>
      </c>
      <c r="CM385">
        <v>0</v>
      </c>
      <c r="CN385">
        <v>79</v>
      </c>
      <c r="CO385">
        <v>1</v>
      </c>
      <c r="CP385">
        <v>29</v>
      </c>
      <c r="CQ385">
        <v>2</v>
      </c>
      <c r="CR385">
        <v>3</v>
      </c>
      <c r="CS385">
        <v>1</v>
      </c>
      <c r="CT385">
        <v>116</v>
      </c>
      <c r="CU385">
        <v>0</v>
      </c>
      <c r="CV385">
        <v>0</v>
      </c>
      <c r="CW385">
        <v>1</v>
      </c>
      <c r="CX385">
        <v>0</v>
      </c>
      <c r="CY385">
        <v>145</v>
      </c>
      <c r="CZ385">
        <v>1</v>
      </c>
      <c r="DA385">
        <v>0</v>
      </c>
      <c r="DB385">
        <v>0</v>
      </c>
      <c r="DC385">
        <v>147</v>
      </c>
      <c r="DD385">
        <v>0</v>
      </c>
      <c r="DE385">
        <v>0</v>
      </c>
      <c r="DF385">
        <v>376</v>
      </c>
      <c r="DG385">
        <v>60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436</v>
      </c>
      <c r="DT385">
        <v>699</v>
      </c>
      <c r="DU385">
        <v>1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1100</v>
      </c>
      <c r="EF385">
        <v>0</v>
      </c>
      <c r="EG385">
        <v>0</v>
      </c>
      <c r="EH385">
        <v>0.6</v>
      </c>
      <c r="EI385">
        <v>1.1000000000000001</v>
      </c>
      <c r="EJ385">
        <v>0.7</v>
      </c>
      <c r="EK385">
        <v>3.5</v>
      </c>
    </row>
    <row r="386" spans="1:141" x14ac:dyDescent="0.25">
      <c r="A386" t="str">
        <f>[1]ingredient!B386</f>
        <v>Sojasoße</v>
      </c>
      <c r="B386" t="s">
        <v>439</v>
      </c>
      <c r="C386" s="7">
        <f>_xlfn.XLOOKUP(A386,[1]ingredient!$B$2:$B$521,[1]ingredient!$A$2:$A$521)</f>
        <v>385</v>
      </c>
      <c r="D386">
        <v>108</v>
      </c>
      <c r="E386">
        <v>5</v>
      </c>
      <c r="F386">
        <v>10</v>
      </c>
      <c r="G386">
        <v>6</v>
      </c>
      <c r="H386">
        <v>4</v>
      </c>
      <c r="I386">
        <v>6</v>
      </c>
      <c r="J386">
        <v>3</v>
      </c>
      <c r="K386">
        <v>69</v>
      </c>
      <c r="L386">
        <v>19</v>
      </c>
      <c r="M386">
        <v>10</v>
      </c>
      <c r="N386">
        <v>0</v>
      </c>
      <c r="O386">
        <v>114</v>
      </c>
      <c r="P386">
        <v>378</v>
      </c>
      <c r="Q386">
        <v>70</v>
      </c>
      <c r="R386">
        <v>612</v>
      </c>
      <c r="S386">
        <v>2462</v>
      </c>
      <c r="T386">
        <v>461</v>
      </c>
      <c r="U386">
        <v>210</v>
      </c>
      <c r="V386">
        <v>15</v>
      </c>
      <c r="W386">
        <v>63</v>
      </c>
      <c r="X386">
        <v>0</v>
      </c>
      <c r="Y386">
        <v>1050</v>
      </c>
      <c r="Z386">
        <v>0</v>
      </c>
      <c r="AA386">
        <v>407</v>
      </c>
      <c r="AB386">
        <v>55</v>
      </c>
      <c r="AC386">
        <v>1177</v>
      </c>
      <c r="AD386">
        <v>577</v>
      </c>
      <c r="AE386">
        <v>77</v>
      </c>
      <c r="AF386">
        <v>68</v>
      </c>
      <c r="AG386">
        <v>169</v>
      </c>
      <c r="AH386">
        <v>54</v>
      </c>
      <c r="AI386">
        <v>1826</v>
      </c>
      <c r="AJ386">
        <v>3916</v>
      </c>
      <c r="AK386">
        <v>1343</v>
      </c>
      <c r="AL386">
        <v>432</v>
      </c>
      <c r="AM386">
        <v>1098</v>
      </c>
      <c r="AN386">
        <v>42</v>
      </c>
      <c r="AO386">
        <v>3</v>
      </c>
      <c r="AP386">
        <v>0</v>
      </c>
      <c r="AQ386">
        <v>0</v>
      </c>
      <c r="AR386">
        <v>0</v>
      </c>
      <c r="AS386">
        <v>0</v>
      </c>
      <c r="AT386">
        <v>168</v>
      </c>
      <c r="AU386">
        <v>168</v>
      </c>
      <c r="AV386">
        <v>0</v>
      </c>
      <c r="AW386">
        <v>336</v>
      </c>
      <c r="AX386">
        <v>5169</v>
      </c>
      <c r="AY386">
        <v>0</v>
      </c>
      <c r="AZ386">
        <v>0</v>
      </c>
      <c r="BA386">
        <v>5169</v>
      </c>
      <c r="BB386">
        <v>0</v>
      </c>
      <c r="BC386">
        <v>2252</v>
      </c>
      <c r="BD386">
        <v>0</v>
      </c>
      <c r="BE386">
        <v>5</v>
      </c>
      <c r="BF386">
        <v>5</v>
      </c>
      <c r="BG386">
        <f t="shared" si="53"/>
        <v>118.5</v>
      </c>
      <c r="BH386">
        <v>453</v>
      </c>
      <c r="BI386">
        <v>725</v>
      </c>
      <c r="BJ386">
        <v>624</v>
      </c>
      <c r="BK386">
        <v>131</v>
      </c>
      <c r="BL386">
        <v>161</v>
      </c>
      <c r="BM386">
        <v>453</v>
      </c>
      <c r="BN386">
        <v>352</v>
      </c>
      <c r="BO386">
        <v>393</v>
      </c>
      <c r="BP386">
        <v>111</v>
      </c>
      <c r="BQ386">
        <v>474</v>
      </c>
      <c r="BR386">
        <v>763</v>
      </c>
      <c r="BS386">
        <v>231</v>
      </c>
      <c r="BT386">
        <v>4871</v>
      </c>
      <c r="BU386">
        <v>413</v>
      </c>
      <c r="BV386">
        <v>1110</v>
      </c>
      <c r="BW386">
        <v>1931</v>
      </c>
      <c r="BX386">
        <v>412</v>
      </c>
      <c r="BY386">
        <v>563</v>
      </c>
      <c r="BZ386">
        <v>513</v>
      </c>
      <c r="CA386">
        <v>4942</v>
      </c>
      <c r="CB386">
        <v>96</v>
      </c>
      <c r="CC386">
        <v>40</v>
      </c>
      <c r="CD386">
        <v>368</v>
      </c>
      <c r="CE386">
        <v>2685</v>
      </c>
      <c r="CF386">
        <v>7.3</v>
      </c>
      <c r="CG386">
        <v>0</v>
      </c>
      <c r="CH386">
        <v>0</v>
      </c>
      <c r="CI386">
        <v>0</v>
      </c>
      <c r="CJ386">
        <v>0</v>
      </c>
      <c r="CK386">
        <v>6</v>
      </c>
      <c r="CL386">
        <v>10</v>
      </c>
      <c r="CM386">
        <v>0</v>
      </c>
      <c r="CN386">
        <v>519</v>
      </c>
      <c r="CO386">
        <v>0</v>
      </c>
      <c r="CP386">
        <v>178</v>
      </c>
      <c r="CQ386">
        <v>14</v>
      </c>
      <c r="CR386">
        <v>5</v>
      </c>
      <c r="CS386">
        <v>0</v>
      </c>
      <c r="CT386">
        <v>732</v>
      </c>
      <c r="CU386">
        <v>0</v>
      </c>
      <c r="CV386">
        <v>0</v>
      </c>
      <c r="CW386">
        <v>10</v>
      </c>
      <c r="CX386">
        <v>0</v>
      </c>
      <c r="CY386">
        <v>891</v>
      </c>
      <c r="CZ386">
        <v>9</v>
      </c>
      <c r="DA386">
        <v>0</v>
      </c>
      <c r="DB386">
        <v>0</v>
      </c>
      <c r="DC386">
        <v>910</v>
      </c>
      <c r="DD386">
        <v>0</v>
      </c>
      <c r="DE386">
        <v>0</v>
      </c>
      <c r="DF386">
        <v>2685</v>
      </c>
      <c r="DG386">
        <v>368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3053</v>
      </c>
      <c r="DT386">
        <v>4695</v>
      </c>
      <c r="DU386">
        <v>359</v>
      </c>
      <c r="DV386">
        <v>0</v>
      </c>
      <c r="DW386">
        <v>0</v>
      </c>
      <c r="DX386">
        <v>0</v>
      </c>
      <c r="DY386">
        <v>1079</v>
      </c>
      <c r="DZ386">
        <v>1571</v>
      </c>
      <c r="EA386">
        <v>624</v>
      </c>
      <c r="EB386">
        <v>1060</v>
      </c>
      <c r="EC386">
        <v>25</v>
      </c>
      <c r="ED386">
        <v>2156</v>
      </c>
      <c r="EE386">
        <v>2203</v>
      </c>
      <c r="EF386">
        <v>0</v>
      </c>
      <c r="EG386">
        <v>0.01</v>
      </c>
      <c r="EH386">
        <v>4.2</v>
      </c>
      <c r="EI386">
        <v>2.2000000000000002</v>
      </c>
      <c r="EJ386">
        <v>5.0999999999999996</v>
      </c>
      <c r="EK386">
        <v>10.1</v>
      </c>
    </row>
    <row r="387" spans="1:141" x14ac:dyDescent="0.25">
      <c r="A387" t="str">
        <f>[1]ingredient!B387</f>
        <v>Sonnenblumenkerne</v>
      </c>
      <c r="B387" t="s">
        <v>446</v>
      </c>
      <c r="C387" s="7">
        <f>_xlfn.XLOOKUP(A387,[1]ingredient!$B$2:$B$521,[1]ingredient!$A$2:$A$521)</f>
        <v>386</v>
      </c>
      <c r="D387">
        <v>480</v>
      </c>
      <c r="E387">
        <v>26</v>
      </c>
      <c r="F387">
        <v>26</v>
      </c>
      <c r="G387">
        <v>35</v>
      </c>
      <c r="H387">
        <v>6</v>
      </c>
      <c r="I387">
        <v>35</v>
      </c>
      <c r="J387">
        <v>0.05</v>
      </c>
      <c r="K387">
        <v>4</v>
      </c>
      <c r="L387">
        <v>3</v>
      </c>
      <c r="M387">
        <v>1</v>
      </c>
      <c r="N387">
        <v>0</v>
      </c>
      <c r="O387">
        <v>15</v>
      </c>
      <c r="P387">
        <v>1900</v>
      </c>
      <c r="Q387">
        <v>260</v>
      </c>
      <c r="R387">
        <v>5000</v>
      </c>
      <c r="S387">
        <v>11183</v>
      </c>
      <c r="T387">
        <v>0</v>
      </c>
      <c r="U387">
        <v>1270</v>
      </c>
      <c r="V387">
        <v>56</v>
      </c>
      <c r="W387">
        <v>121</v>
      </c>
      <c r="X387">
        <v>0</v>
      </c>
      <c r="Y387">
        <v>0</v>
      </c>
      <c r="Z387">
        <v>0</v>
      </c>
      <c r="AA387">
        <v>38840</v>
      </c>
      <c r="AB387">
        <v>0</v>
      </c>
      <c r="AC387">
        <v>0</v>
      </c>
      <c r="AD387">
        <v>784</v>
      </c>
      <c r="AE387">
        <v>86</v>
      </c>
      <c r="AF387">
        <v>336</v>
      </c>
      <c r="AG387">
        <v>688</v>
      </c>
      <c r="AH387">
        <v>280</v>
      </c>
      <c r="AI387">
        <v>48</v>
      </c>
      <c r="AJ387">
        <v>5720</v>
      </c>
      <c r="AK387">
        <v>5760</v>
      </c>
      <c r="AL387">
        <v>1890</v>
      </c>
      <c r="AM387">
        <v>2380</v>
      </c>
      <c r="AN387">
        <v>63</v>
      </c>
      <c r="AO387">
        <v>4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34740</v>
      </c>
      <c r="AY387">
        <v>0</v>
      </c>
      <c r="AZ387">
        <v>0</v>
      </c>
      <c r="BA387">
        <v>34740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f t="shared" si="53"/>
        <v>79.326923076923066</v>
      </c>
      <c r="BH387">
        <v>1135</v>
      </c>
      <c r="BI387">
        <v>1702</v>
      </c>
      <c r="BJ387">
        <v>990</v>
      </c>
      <c r="BK387">
        <v>567</v>
      </c>
      <c r="BL387">
        <v>464</v>
      </c>
      <c r="BM387">
        <v>1289</v>
      </c>
      <c r="BN387">
        <v>701</v>
      </c>
      <c r="BO387">
        <v>959</v>
      </c>
      <c r="BP387">
        <v>371</v>
      </c>
      <c r="BQ387">
        <v>1331</v>
      </c>
      <c r="BR387">
        <v>2466</v>
      </c>
      <c r="BS387">
        <v>691</v>
      </c>
      <c r="BT387">
        <v>12666</v>
      </c>
      <c r="BU387">
        <v>1155</v>
      </c>
      <c r="BV387">
        <v>2497</v>
      </c>
      <c r="BW387">
        <v>5952</v>
      </c>
      <c r="BX387">
        <v>1475</v>
      </c>
      <c r="BY387">
        <v>1207</v>
      </c>
      <c r="BZ387">
        <v>1155</v>
      </c>
      <c r="CA387">
        <v>13441</v>
      </c>
      <c r="CB387">
        <v>0</v>
      </c>
      <c r="CC387">
        <v>0</v>
      </c>
      <c r="CD387">
        <v>26</v>
      </c>
      <c r="CE387">
        <v>16709</v>
      </c>
      <c r="CF387">
        <v>642.65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21</v>
      </c>
      <c r="CM387">
        <v>5</v>
      </c>
      <c r="CN387">
        <v>1639</v>
      </c>
      <c r="CO387">
        <v>13</v>
      </c>
      <c r="CP387">
        <v>1023</v>
      </c>
      <c r="CQ387">
        <v>72</v>
      </c>
      <c r="CR387">
        <v>212</v>
      </c>
      <c r="CS387">
        <v>67</v>
      </c>
      <c r="CT387">
        <v>3052</v>
      </c>
      <c r="CU387">
        <v>0</v>
      </c>
      <c r="CV387">
        <v>0</v>
      </c>
      <c r="CW387">
        <v>24</v>
      </c>
      <c r="CX387">
        <v>8</v>
      </c>
      <c r="CY387">
        <v>6440</v>
      </c>
      <c r="CZ387">
        <v>37</v>
      </c>
      <c r="DA387">
        <v>0</v>
      </c>
      <c r="DB387">
        <v>3</v>
      </c>
      <c r="DC387">
        <v>6512</v>
      </c>
      <c r="DD387">
        <v>0</v>
      </c>
      <c r="DE387">
        <v>0</v>
      </c>
      <c r="DF387">
        <v>16706</v>
      </c>
      <c r="DG387">
        <v>26</v>
      </c>
      <c r="DH387">
        <v>0</v>
      </c>
      <c r="DI387">
        <v>0</v>
      </c>
      <c r="DJ387">
        <v>3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16735</v>
      </c>
      <c r="DT387">
        <v>26299</v>
      </c>
      <c r="DU387">
        <v>1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5800</v>
      </c>
      <c r="EF387">
        <v>0</v>
      </c>
      <c r="EG387">
        <v>0</v>
      </c>
      <c r="EH387">
        <v>3.3</v>
      </c>
      <c r="EI387">
        <v>5.8</v>
      </c>
      <c r="EJ387">
        <v>26.3</v>
      </c>
      <c r="EK387">
        <v>26.1</v>
      </c>
    </row>
    <row r="388" spans="1:141" x14ac:dyDescent="0.25">
      <c r="A388" t="str">
        <f>[1]ingredient!B388</f>
        <v>Sonnenblumenkerne-Sprossen</v>
      </c>
      <c r="B388" t="s">
        <v>326</v>
      </c>
      <c r="C388" s="7">
        <f>_xlfn.XLOOKUP(A388,[1]ingredient!$B$2:$B$521,[1]ingredient!$A$2:$A$521)</f>
        <v>387</v>
      </c>
      <c r="D388">
        <v>24</v>
      </c>
      <c r="E388">
        <v>0.3</v>
      </c>
      <c r="F388">
        <v>3</v>
      </c>
      <c r="G388">
        <v>2</v>
      </c>
      <c r="H388">
        <v>6</v>
      </c>
      <c r="I388">
        <v>1</v>
      </c>
      <c r="J388">
        <v>0.02</v>
      </c>
      <c r="K388">
        <v>88</v>
      </c>
      <c r="L388">
        <v>7</v>
      </c>
      <c r="M388">
        <v>3</v>
      </c>
      <c r="N388">
        <v>0</v>
      </c>
      <c r="O388">
        <v>40</v>
      </c>
      <c r="P388">
        <v>84</v>
      </c>
      <c r="Q388">
        <v>92</v>
      </c>
      <c r="R388">
        <v>750</v>
      </c>
      <c r="S388">
        <v>1817</v>
      </c>
      <c r="T388">
        <v>380</v>
      </c>
      <c r="U388">
        <v>88</v>
      </c>
      <c r="V388">
        <v>2</v>
      </c>
      <c r="W388">
        <v>61</v>
      </c>
      <c r="X388">
        <v>0</v>
      </c>
      <c r="Y388">
        <v>11000</v>
      </c>
      <c r="Z388">
        <v>0</v>
      </c>
      <c r="AA388">
        <v>90</v>
      </c>
      <c r="AB388">
        <v>5</v>
      </c>
      <c r="AC388">
        <v>5</v>
      </c>
      <c r="AD388">
        <v>134</v>
      </c>
      <c r="AE388">
        <v>13</v>
      </c>
      <c r="AF388">
        <v>18</v>
      </c>
      <c r="AG388">
        <v>49</v>
      </c>
      <c r="AH388">
        <v>70</v>
      </c>
      <c r="AI388">
        <v>15</v>
      </c>
      <c r="AJ388">
        <v>910</v>
      </c>
      <c r="AK388">
        <v>390</v>
      </c>
      <c r="AL388">
        <v>120</v>
      </c>
      <c r="AM388">
        <v>188</v>
      </c>
      <c r="AN388">
        <v>4</v>
      </c>
      <c r="AO388">
        <v>2</v>
      </c>
      <c r="AP388">
        <v>0</v>
      </c>
      <c r="AQ388">
        <v>0</v>
      </c>
      <c r="AR388">
        <v>0</v>
      </c>
      <c r="AS388">
        <v>0</v>
      </c>
      <c r="AT388">
        <v>282</v>
      </c>
      <c r="AU388">
        <v>88</v>
      </c>
      <c r="AV388">
        <v>0</v>
      </c>
      <c r="AW388">
        <v>370</v>
      </c>
      <c r="AX388">
        <v>364</v>
      </c>
      <c r="AY388">
        <v>0</v>
      </c>
      <c r="AZ388">
        <v>0</v>
      </c>
      <c r="BA388">
        <v>364</v>
      </c>
      <c r="BB388">
        <v>88</v>
      </c>
      <c r="BC388">
        <v>0</v>
      </c>
      <c r="BD388">
        <v>0</v>
      </c>
      <c r="BE388">
        <v>1038</v>
      </c>
      <c r="BF388">
        <v>1038</v>
      </c>
      <c r="BG388">
        <f t="shared" si="53"/>
        <v>82.608695652173907</v>
      </c>
      <c r="BH388">
        <v>138</v>
      </c>
      <c r="BI388">
        <v>195</v>
      </c>
      <c r="BJ388">
        <v>192</v>
      </c>
      <c r="BK388">
        <v>38</v>
      </c>
      <c r="BL388">
        <v>19</v>
      </c>
      <c r="BM388">
        <v>134</v>
      </c>
      <c r="BN388">
        <v>64</v>
      </c>
      <c r="BO388">
        <v>96</v>
      </c>
      <c r="BP388">
        <v>64</v>
      </c>
      <c r="BQ388">
        <v>144</v>
      </c>
      <c r="BR388">
        <v>231</v>
      </c>
      <c r="BS388">
        <v>74</v>
      </c>
      <c r="BT388">
        <v>1389</v>
      </c>
      <c r="BU388">
        <v>115</v>
      </c>
      <c r="BV388">
        <v>560</v>
      </c>
      <c r="BW388">
        <v>192</v>
      </c>
      <c r="BX388">
        <v>74</v>
      </c>
      <c r="BY388">
        <v>128</v>
      </c>
      <c r="BZ388">
        <v>38</v>
      </c>
      <c r="CA388">
        <v>1107</v>
      </c>
      <c r="CB388">
        <v>12</v>
      </c>
      <c r="CC388">
        <v>5</v>
      </c>
      <c r="CD388">
        <v>31</v>
      </c>
      <c r="CE388">
        <v>77</v>
      </c>
      <c r="CF388">
        <v>2.48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10</v>
      </c>
      <c r="CN388">
        <v>64</v>
      </c>
      <c r="CO388">
        <v>0</v>
      </c>
      <c r="CP388">
        <v>19</v>
      </c>
      <c r="CQ388">
        <v>0</v>
      </c>
      <c r="CR388">
        <v>0</v>
      </c>
      <c r="CS388">
        <v>0</v>
      </c>
      <c r="CT388">
        <v>83</v>
      </c>
      <c r="CU388">
        <v>0</v>
      </c>
      <c r="CV388">
        <v>0</v>
      </c>
      <c r="CW388">
        <v>0</v>
      </c>
      <c r="CX388">
        <v>0</v>
      </c>
      <c r="CY388">
        <v>41</v>
      </c>
      <c r="CZ388">
        <v>0</v>
      </c>
      <c r="DA388">
        <v>0</v>
      </c>
      <c r="DB388">
        <v>0</v>
      </c>
      <c r="DC388">
        <v>41</v>
      </c>
      <c r="DD388">
        <v>0</v>
      </c>
      <c r="DE388">
        <v>0</v>
      </c>
      <c r="DF388">
        <v>77</v>
      </c>
      <c r="DG388">
        <v>31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108</v>
      </c>
      <c r="DT388">
        <v>232</v>
      </c>
      <c r="DU388">
        <v>68</v>
      </c>
      <c r="DV388">
        <v>0</v>
      </c>
      <c r="DW388">
        <v>0</v>
      </c>
      <c r="DX388">
        <v>0</v>
      </c>
      <c r="DY388">
        <v>728</v>
      </c>
      <c r="DZ388">
        <v>1960</v>
      </c>
      <c r="EA388">
        <v>728</v>
      </c>
      <c r="EB388">
        <v>2072</v>
      </c>
      <c r="EC388">
        <v>112</v>
      </c>
      <c r="ED388">
        <v>2800</v>
      </c>
      <c r="EE388">
        <v>2800</v>
      </c>
      <c r="EF388">
        <v>0</v>
      </c>
      <c r="EG388">
        <v>0.25</v>
      </c>
      <c r="EH388">
        <v>0.4</v>
      </c>
      <c r="EI388">
        <v>2.8</v>
      </c>
      <c r="EJ388">
        <v>0.3</v>
      </c>
      <c r="EK388">
        <v>2.5</v>
      </c>
    </row>
    <row r="389" spans="1:141" x14ac:dyDescent="0.25">
      <c r="A389" t="str">
        <f>[1]ingredient!B389</f>
        <v>Spargel grün</v>
      </c>
      <c r="B389" t="s">
        <v>447</v>
      </c>
      <c r="C389" s="7">
        <f>_xlfn.XLOOKUP(A389,[1]ingredient!$B$2:$B$521,[1]ingredient!$A$2:$A$521)</f>
        <v>388</v>
      </c>
      <c r="D389">
        <v>20</v>
      </c>
      <c r="E389">
        <v>0.2</v>
      </c>
      <c r="F389">
        <v>2</v>
      </c>
      <c r="G389">
        <v>2</v>
      </c>
      <c r="H389">
        <v>1</v>
      </c>
      <c r="I389">
        <v>2</v>
      </c>
      <c r="J389">
        <v>0.04</v>
      </c>
      <c r="K389">
        <v>94</v>
      </c>
      <c r="L389">
        <v>100</v>
      </c>
      <c r="M389">
        <v>42</v>
      </c>
      <c r="N389">
        <v>0</v>
      </c>
      <c r="O389">
        <v>500</v>
      </c>
      <c r="P389">
        <v>100</v>
      </c>
      <c r="Q389">
        <v>100</v>
      </c>
      <c r="R389">
        <v>1000</v>
      </c>
      <c r="S389">
        <v>1400</v>
      </c>
      <c r="T389">
        <v>600</v>
      </c>
      <c r="U389">
        <v>100</v>
      </c>
      <c r="V389">
        <v>2</v>
      </c>
      <c r="W389">
        <v>108</v>
      </c>
      <c r="X389">
        <v>0</v>
      </c>
      <c r="Y389">
        <v>19900</v>
      </c>
      <c r="Z389">
        <v>0</v>
      </c>
      <c r="AA389">
        <v>0</v>
      </c>
      <c r="AB389">
        <v>39</v>
      </c>
      <c r="AC389">
        <v>4</v>
      </c>
      <c r="AD389">
        <v>203</v>
      </c>
      <c r="AE389">
        <v>26</v>
      </c>
      <c r="AF389">
        <v>17</v>
      </c>
      <c r="AG389">
        <v>44</v>
      </c>
      <c r="AH389">
        <v>47</v>
      </c>
      <c r="AI389">
        <v>37</v>
      </c>
      <c r="AJ389">
        <v>700</v>
      </c>
      <c r="AK389">
        <v>400</v>
      </c>
      <c r="AL389">
        <v>200</v>
      </c>
      <c r="AM389">
        <v>100</v>
      </c>
      <c r="AN389">
        <v>0</v>
      </c>
      <c r="AO389">
        <v>7</v>
      </c>
      <c r="AP389">
        <v>0</v>
      </c>
      <c r="AQ389">
        <v>0</v>
      </c>
      <c r="AR389">
        <v>0</v>
      </c>
      <c r="AS389">
        <v>0</v>
      </c>
      <c r="AT389">
        <v>807</v>
      </c>
      <c r="AU389">
        <v>993</v>
      </c>
      <c r="AV389">
        <v>0</v>
      </c>
      <c r="AW389">
        <v>1800</v>
      </c>
      <c r="AX389">
        <v>200</v>
      </c>
      <c r="AY389">
        <v>0</v>
      </c>
      <c r="AZ389">
        <v>0</v>
      </c>
      <c r="BA389">
        <v>244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f t="shared" si="53"/>
        <v>68.032786885245898</v>
      </c>
      <c r="BH389">
        <v>69</v>
      </c>
      <c r="BI389">
        <v>83</v>
      </c>
      <c r="BJ389">
        <v>89</v>
      </c>
      <c r="BK389">
        <v>27</v>
      </c>
      <c r="BL389">
        <v>23</v>
      </c>
      <c r="BM389">
        <v>60</v>
      </c>
      <c r="BN389">
        <v>44</v>
      </c>
      <c r="BO389">
        <v>57</v>
      </c>
      <c r="BP389">
        <v>23</v>
      </c>
      <c r="BQ389">
        <v>91</v>
      </c>
      <c r="BR389">
        <v>110</v>
      </c>
      <c r="BS389">
        <v>31</v>
      </c>
      <c r="BT389">
        <v>707</v>
      </c>
      <c r="BU389">
        <v>124</v>
      </c>
      <c r="BV389">
        <v>273</v>
      </c>
      <c r="BW389">
        <v>476</v>
      </c>
      <c r="BX389">
        <v>82</v>
      </c>
      <c r="BY389">
        <v>137</v>
      </c>
      <c r="BZ389">
        <v>85</v>
      </c>
      <c r="CA389">
        <v>1177</v>
      </c>
      <c r="CB389">
        <v>23</v>
      </c>
      <c r="CC389">
        <v>10</v>
      </c>
      <c r="CD389">
        <v>0</v>
      </c>
      <c r="CE389">
        <v>100</v>
      </c>
      <c r="CG389">
        <v>0</v>
      </c>
      <c r="CH389">
        <v>0</v>
      </c>
      <c r="CI389">
        <v>0</v>
      </c>
      <c r="CJ389">
        <v>0</v>
      </c>
      <c r="CK389">
        <v>1</v>
      </c>
      <c r="CL389">
        <v>1</v>
      </c>
      <c r="CM389">
        <v>0</v>
      </c>
      <c r="CN389">
        <v>31</v>
      </c>
      <c r="CO389">
        <v>0</v>
      </c>
      <c r="CP389">
        <v>1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1</v>
      </c>
      <c r="CX389">
        <v>0</v>
      </c>
      <c r="CY389">
        <v>2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100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100</v>
      </c>
      <c r="DT389">
        <v>113</v>
      </c>
      <c r="DU389">
        <v>31</v>
      </c>
      <c r="DV389">
        <v>0</v>
      </c>
      <c r="DW389">
        <v>0</v>
      </c>
      <c r="DX389">
        <v>0</v>
      </c>
      <c r="DY389">
        <v>224</v>
      </c>
      <c r="DZ389">
        <v>182</v>
      </c>
      <c r="EA389">
        <v>196</v>
      </c>
      <c r="EB389">
        <v>750</v>
      </c>
      <c r="EC389">
        <v>100</v>
      </c>
      <c r="ED389">
        <v>396</v>
      </c>
      <c r="EE389">
        <v>914</v>
      </c>
      <c r="EF389">
        <v>0</v>
      </c>
      <c r="EG389">
        <v>160</v>
      </c>
      <c r="EH389">
        <v>0.6</v>
      </c>
      <c r="EI389">
        <v>0.9</v>
      </c>
      <c r="EJ389">
        <v>0.2</v>
      </c>
      <c r="EK389">
        <v>2</v>
      </c>
    </row>
    <row r="390" spans="1:141" x14ac:dyDescent="0.25">
      <c r="A390" t="str">
        <f>[1]ingredient!B390</f>
        <v>Spargel weiß</v>
      </c>
      <c r="B390" t="s">
        <v>448</v>
      </c>
      <c r="C390" s="7">
        <f>_xlfn.XLOOKUP(A390,[1]ingredient!$B$2:$B$521,[1]ingredient!$A$2:$A$521)</f>
        <v>389</v>
      </c>
      <c r="D390">
        <v>18</v>
      </c>
      <c r="E390">
        <v>0.14000000000000001</v>
      </c>
      <c r="F390">
        <v>2</v>
      </c>
      <c r="G390">
        <v>2</v>
      </c>
      <c r="H390">
        <v>1</v>
      </c>
      <c r="I390">
        <v>2</v>
      </c>
      <c r="J390">
        <v>0.06</v>
      </c>
      <c r="K390">
        <v>94</v>
      </c>
      <c r="L390">
        <v>87</v>
      </c>
      <c r="M390">
        <v>43</v>
      </c>
      <c r="N390">
        <v>0</v>
      </c>
      <c r="O390">
        <v>516</v>
      </c>
      <c r="P390">
        <v>110</v>
      </c>
      <c r="Q390">
        <v>105</v>
      </c>
      <c r="R390">
        <v>1000</v>
      </c>
      <c r="S390">
        <v>1317</v>
      </c>
      <c r="T390">
        <v>620</v>
      </c>
      <c r="U390">
        <v>60</v>
      </c>
      <c r="V390">
        <v>2</v>
      </c>
      <c r="W390">
        <v>86</v>
      </c>
      <c r="X390">
        <v>0</v>
      </c>
      <c r="Y390">
        <v>19889</v>
      </c>
      <c r="Z390">
        <v>0</v>
      </c>
      <c r="AA390">
        <v>2027</v>
      </c>
      <c r="AB390">
        <v>40</v>
      </c>
      <c r="AC390">
        <v>4</v>
      </c>
      <c r="AD390">
        <v>203</v>
      </c>
      <c r="AE390">
        <v>26</v>
      </c>
      <c r="AF390">
        <v>18</v>
      </c>
      <c r="AG390">
        <v>46</v>
      </c>
      <c r="AH390">
        <v>47</v>
      </c>
      <c r="AI390">
        <v>53</v>
      </c>
      <c r="AJ390">
        <v>651</v>
      </c>
      <c r="AK390">
        <v>401</v>
      </c>
      <c r="AL390">
        <v>156</v>
      </c>
      <c r="AM390">
        <v>102</v>
      </c>
      <c r="AN390">
        <v>48</v>
      </c>
      <c r="AO390">
        <v>7</v>
      </c>
      <c r="AP390">
        <v>0</v>
      </c>
      <c r="AQ390">
        <v>0</v>
      </c>
      <c r="AR390">
        <v>0</v>
      </c>
      <c r="AS390">
        <v>0</v>
      </c>
      <c r="AT390">
        <v>571</v>
      </c>
      <c r="AU390">
        <v>1163</v>
      </c>
      <c r="AV390">
        <v>0</v>
      </c>
      <c r="AW390">
        <v>1734</v>
      </c>
      <c r="AX390">
        <v>306</v>
      </c>
      <c r="AY390">
        <v>0</v>
      </c>
      <c r="AZ390">
        <v>0</v>
      </c>
      <c r="BA390">
        <v>306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f t="shared" si="53"/>
        <v>67.213114754098356</v>
      </c>
      <c r="BH390">
        <v>57</v>
      </c>
      <c r="BI390">
        <v>82</v>
      </c>
      <c r="BJ390">
        <v>82</v>
      </c>
      <c r="BK390">
        <v>19</v>
      </c>
      <c r="BL390">
        <v>17</v>
      </c>
      <c r="BM390">
        <v>49</v>
      </c>
      <c r="BN390">
        <v>34</v>
      </c>
      <c r="BO390">
        <v>51</v>
      </c>
      <c r="BP390">
        <v>19</v>
      </c>
      <c r="BQ390">
        <v>74</v>
      </c>
      <c r="BR390">
        <v>87</v>
      </c>
      <c r="BS390">
        <v>29</v>
      </c>
      <c r="BT390">
        <v>600</v>
      </c>
      <c r="BU390">
        <v>95</v>
      </c>
      <c r="BV390">
        <v>209</v>
      </c>
      <c r="BW390">
        <v>364</v>
      </c>
      <c r="BX390">
        <v>63</v>
      </c>
      <c r="BY390">
        <v>105</v>
      </c>
      <c r="BZ390">
        <v>65</v>
      </c>
      <c r="CA390">
        <v>901</v>
      </c>
      <c r="CB390">
        <v>25</v>
      </c>
      <c r="CC390">
        <v>10</v>
      </c>
      <c r="CD390">
        <v>5</v>
      </c>
      <c r="CE390">
        <v>67</v>
      </c>
      <c r="CF390">
        <v>13.4</v>
      </c>
      <c r="CG390">
        <v>0</v>
      </c>
      <c r="CH390">
        <v>0</v>
      </c>
      <c r="CI390">
        <v>0</v>
      </c>
      <c r="CJ390">
        <v>0</v>
      </c>
      <c r="CK390">
        <v>1</v>
      </c>
      <c r="CL390">
        <v>1</v>
      </c>
      <c r="CM390">
        <v>0</v>
      </c>
      <c r="CN390">
        <v>32</v>
      </c>
      <c r="CO390">
        <v>0</v>
      </c>
      <c r="CP390">
        <v>2</v>
      </c>
      <c r="CQ390">
        <v>0</v>
      </c>
      <c r="CR390">
        <v>0</v>
      </c>
      <c r="CS390">
        <v>0</v>
      </c>
      <c r="CT390">
        <v>36</v>
      </c>
      <c r="CU390">
        <v>0</v>
      </c>
      <c r="CV390">
        <v>0</v>
      </c>
      <c r="CW390">
        <v>1</v>
      </c>
      <c r="CX390">
        <v>0</v>
      </c>
      <c r="CY390">
        <v>3</v>
      </c>
      <c r="CZ390">
        <v>0</v>
      </c>
      <c r="DA390">
        <v>0</v>
      </c>
      <c r="DB390">
        <v>0</v>
      </c>
      <c r="DC390">
        <v>4</v>
      </c>
      <c r="DD390">
        <v>0</v>
      </c>
      <c r="DE390">
        <v>0</v>
      </c>
      <c r="DF390">
        <v>67</v>
      </c>
      <c r="DG390">
        <v>5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72</v>
      </c>
      <c r="DT390">
        <v>112</v>
      </c>
      <c r="DU390">
        <v>28</v>
      </c>
      <c r="DV390">
        <v>0</v>
      </c>
      <c r="DW390">
        <v>0</v>
      </c>
      <c r="DX390">
        <v>0</v>
      </c>
      <c r="DY390">
        <v>224</v>
      </c>
      <c r="DZ390">
        <v>182</v>
      </c>
      <c r="EA390">
        <v>196</v>
      </c>
      <c r="EB390">
        <v>700</v>
      </c>
      <c r="EC390">
        <v>98</v>
      </c>
      <c r="ED390">
        <v>434</v>
      </c>
      <c r="EE390">
        <v>966</v>
      </c>
      <c r="EF390">
        <v>0</v>
      </c>
      <c r="EG390">
        <v>0.16</v>
      </c>
      <c r="EH390">
        <v>0.6</v>
      </c>
      <c r="EI390">
        <v>1</v>
      </c>
      <c r="EJ390">
        <v>0.1</v>
      </c>
      <c r="EK390">
        <v>1.6</v>
      </c>
    </row>
    <row r="391" spans="1:141" x14ac:dyDescent="0.25">
      <c r="A391" s="9" t="str">
        <f>[1]ingredient!B391</f>
        <v>Spekulatius</v>
      </c>
      <c r="C391" s="7">
        <f>_xlfn.XLOOKUP(A391,[1]ingredient!$B$2:$B$521,[1]ingredient!$A$2:$A$521)</f>
        <v>390</v>
      </c>
      <c r="D391" s="10">
        <f t="shared" ref="D391:BF391" si="58">(7*D461+2*D276+2*D280+D166+D177+D307)/14</f>
        <v>317</v>
      </c>
      <c r="E391" s="10">
        <f t="shared" si="58"/>
        <v>9.4285714285714288</v>
      </c>
      <c r="F391" s="10">
        <f t="shared" si="58"/>
        <v>5.2857142857142856</v>
      </c>
      <c r="G391" s="10">
        <f t="shared" si="58"/>
        <v>39.428571428571431</v>
      </c>
      <c r="H391" s="10">
        <f t="shared" si="58"/>
        <v>30.642857142857142</v>
      </c>
      <c r="I391" s="10">
        <f t="shared" si="58"/>
        <v>22.642857142857142</v>
      </c>
      <c r="J391" s="10">
        <f t="shared" si="58"/>
        <v>0.24714285714285714</v>
      </c>
      <c r="K391" s="10">
        <f t="shared" si="58"/>
        <v>11.714285714285714</v>
      </c>
      <c r="L391" s="10">
        <f t="shared" si="58"/>
        <v>13</v>
      </c>
      <c r="M391" s="10">
        <f t="shared" si="58"/>
        <v>15.077142857142858</v>
      </c>
      <c r="N391" s="10">
        <f t="shared" si="58"/>
        <v>0</v>
      </c>
      <c r="O391" s="10">
        <f t="shared" si="58"/>
        <v>178.28571428571428</v>
      </c>
      <c r="P391" s="10">
        <f t="shared" si="58"/>
        <v>141.42857142857142</v>
      </c>
      <c r="Q391" s="10">
        <f t="shared" si="58"/>
        <v>140.71428571428572</v>
      </c>
      <c r="R391" s="10">
        <f t="shared" si="58"/>
        <v>1571.4285714285713</v>
      </c>
      <c r="S391" s="10">
        <f t="shared" si="58"/>
        <v>2454.7857142857142</v>
      </c>
      <c r="T391" s="10">
        <f t="shared" si="58"/>
        <v>233.57142857142858</v>
      </c>
      <c r="U391" s="10">
        <f t="shared" si="58"/>
        <v>129.28571428571428</v>
      </c>
      <c r="V391" s="10">
        <f t="shared" si="58"/>
        <v>2.8571428571428572</v>
      </c>
      <c r="W391" s="10">
        <f t="shared" si="58"/>
        <v>0</v>
      </c>
      <c r="X391" s="10">
        <f t="shared" si="58"/>
        <v>0</v>
      </c>
      <c r="Y391" s="10">
        <f t="shared" si="58"/>
        <v>0</v>
      </c>
      <c r="Z391" s="10">
        <f t="shared" si="58"/>
        <v>0</v>
      </c>
      <c r="AA391" s="10">
        <f t="shared" si="58"/>
        <v>0</v>
      </c>
      <c r="AB391" s="10">
        <f t="shared" si="58"/>
        <v>0</v>
      </c>
      <c r="AC391" s="10">
        <f t="shared" si="58"/>
        <v>87.428571428571431</v>
      </c>
      <c r="AD391" s="10">
        <f t="shared" si="58"/>
        <v>692.14285714285711</v>
      </c>
      <c r="AE391" s="10">
        <f t="shared" si="58"/>
        <v>790.92857142857144</v>
      </c>
      <c r="AF391" s="10">
        <f t="shared" si="58"/>
        <v>130.14285714285714</v>
      </c>
      <c r="AG391" s="10">
        <f t="shared" si="58"/>
        <v>110.5</v>
      </c>
      <c r="AH391" s="10">
        <f t="shared" si="58"/>
        <v>103.5</v>
      </c>
      <c r="AI391" s="10">
        <f t="shared" si="58"/>
        <v>158.57142857142858</v>
      </c>
      <c r="AJ391" s="10">
        <f t="shared" si="58"/>
        <v>29044.285714285714</v>
      </c>
      <c r="AK391" s="10">
        <f t="shared" si="58"/>
        <v>2251.4285714285716</v>
      </c>
      <c r="AL391" s="10">
        <f t="shared" si="58"/>
        <v>672.85714285714289</v>
      </c>
      <c r="AM391" s="10">
        <f t="shared" si="58"/>
        <v>6292.8571428571431</v>
      </c>
      <c r="AN391" s="10">
        <f t="shared" si="58"/>
        <v>100</v>
      </c>
      <c r="AO391" s="10">
        <f t="shared" si="58"/>
        <v>5</v>
      </c>
      <c r="AP391" s="10">
        <f t="shared" si="58"/>
        <v>0</v>
      </c>
      <c r="AQ391" s="10">
        <f t="shared" si="58"/>
        <v>0</v>
      </c>
      <c r="AR391" s="10">
        <f t="shared" si="58"/>
        <v>0</v>
      </c>
      <c r="AS391" s="10">
        <f t="shared" si="58"/>
        <v>0</v>
      </c>
      <c r="AT391" s="10">
        <f t="shared" si="58"/>
        <v>9149.6428571428569</v>
      </c>
      <c r="AU391" s="10">
        <f t="shared" si="58"/>
        <v>8126.2142857142853</v>
      </c>
      <c r="AV391" s="10">
        <f t="shared" si="58"/>
        <v>0</v>
      </c>
      <c r="AW391" s="10">
        <f t="shared" si="58"/>
        <v>17275.857142857141</v>
      </c>
      <c r="AX391" s="10">
        <f t="shared" si="58"/>
        <v>5530.5714285714284</v>
      </c>
      <c r="AY391" s="10">
        <f t="shared" si="58"/>
        <v>0</v>
      </c>
      <c r="AZ391" s="10">
        <f t="shared" si="58"/>
        <v>0</v>
      </c>
      <c r="BA391" s="10">
        <f t="shared" si="58"/>
        <v>5545.5714285714284</v>
      </c>
      <c r="BB391" s="10">
        <f t="shared" si="58"/>
        <v>10000</v>
      </c>
      <c r="BC391" s="10">
        <f t="shared" si="58"/>
        <v>0</v>
      </c>
      <c r="BD391" s="10">
        <f t="shared" si="58"/>
        <v>0</v>
      </c>
      <c r="BE391" s="10">
        <f t="shared" si="58"/>
        <v>6621.4285714285716</v>
      </c>
      <c r="BF391" s="10">
        <f t="shared" si="58"/>
        <v>3721.4285714285716</v>
      </c>
      <c r="BG391">
        <f t="shared" si="53"/>
        <v>98.310810810810807</v>
      </c>
      <c r="BH391" s="10">
        <f t="shared" ref="BH391:DS391" si="59">(7*BH461+2*BH276+2*BH280+BH166+BH177+BH307)/14</f>
        <v>205.57142857142858</v>
      </c>
      <c r="BI391" s="10">
        <f t="shared" si="59"/>
        <v>329.64285714285717</v>
      </c>
      <c r="BJ391" s="10">
        <f t="shared" si="59"/>
        <v>249.42857142857142</v>
      </c>
      <c r="BK391" s="10">
        <f t="shared" si="59"/>
        <v>62.571428571428569</v>
      </c>
      <c r="BL391" s="10">
        <f t="shared" si="59"/>
        <v>131.21428571428572</v>
      </c>
      <c r="BM391" s="10">
        <f t="shared" si="59"/>
        <v>184.21428571428572</v>
      </c>
      <c r="BN391" s="10">
        <f t="shared" si="59"/>
        <v>122.85714285714286</v>
      </c>
      <c r="BO391" s="10">
        <f t="shared" si="59"/>
        <v>168</v>
      </c>
      <c r="BP391" s="10">
        <f t="shared" si="59"/>
        <v>54</v>
      </c>
      <c r="BQ391" s="10">
        <f t="shared" si="59"/>
        <v>273.5</v>
      </c>
      <c r="BR391" s="10">
        <f t="shared" si="59"/>
        <v>320.07142857142856</v>
      </c>
      <c r="BS391" s="10">
        <f t="shared" si="59"/>
        <v>112.78571428571429</v>
      </c>
      <c r="BT391" s="10">
        <f t="shared" si="59"/>
        <v>2213.8571428571427</v>
      </c>
      <c r="BU391" s="10">
        <f t="shared" si="59"/>
        <v>217.35714285714286</v>
      </c>
      <c r="BV391" s="10">
        <f t="shared" si="59"/>
        <v>743.5</v>
      </c>
      <c r="BW391" s="10">
        <f t="shared" si="59"/>
        <v>876.57142857142856</v>
      </c>
      <c r="BX391" s="10">
        <f t="shared" si="59"/>
        <v>214.57142857142858</v>
      </c>
      <c r="BY391" s="10">
        <f t="shared" si="59"/>
        <v>213.42857142857142</v>
      </c>
      <c r="BZ391" s="10">
        <f t="shared" si="59"/>
        <v>195.57142857142858</v>
      </c>
      <c r="CA391" s="10">
        <f t="shared" si="59"/>
        <v>2461</v>
      </c>
      <c r="CB391" s="10">
        <f t="shared" si="59"/>
        <v>43.142857142857146</v>
      </c>
      <c r="CC391" s="10">
        <f t="shared" si="59"/>
        <v>17.928571428571427</v>
      </c>
      <c r="CD391" s="10">
        <f t="shared" si="59"/>
        <v>27.928571428571427</v>
      </c>
      <c r="CE391" s="10">
        <f t="shared" si="59"/>
        <v>638</v>
      </c>
      <c r="CF391" s="10">
        <f t="shared" si="59"/>
        <v>8.9135714285714283</v>
      </c>
      <c r="CG391" s="10">
        <f t="shared" si="59"/>
        <v>0</v>
      </c>
      <c r="CH391" s="10">
        <f t="shared" si="59"/>
        <v>0</v>
      </c>
      <c r="CI391" s="10">
        <f t="shared" si="59"/>
        <v>2.1428571428571428</v>
      </c>
      <c r="CJ391" s="10">
        <f t="shared" si="59"/>
        <v>4.4285714285714288</v>
      </c>
      <c r="CK391" s="10">
        <f t="shared" si="59"/>
        <v>119.64285714285714</v>
      </c>
      <c r="CL391" s="10">
        <f t="shared" si="59"/>
        <v>3426.5</v>
      </c>
      <c r="CM391" s="10">
        <f t="shared" si="59"/>
        <v>0</v>
      </c>
      <c r="CN391" s="10">
        <f t="shared" si="59"/>
        <v>1307.6428571428571</v>
      </c>
      <c r="CO391" s="10">
        <f t="shared" si="59"/>
        <v>0</v>
      </c>
      <c r="CP391" s="10">
        <f t="shared" si="59"/>
        <v>121.85714285714286</v>
      </c>
      <c r="CQ391" s="10">
        <f t="shared" si="59"/>
        <v>0</v>
      </c>
      <c r="CR391" s="10">
        <f t="shared" si="59"/>
        <v>0</v>
      </c>
      <c r="CS391" s="10">
        <f t="shared" si="59"/>
        <v>0</v>
      </c>
      <c r="CT391" s="10">
        <f t="shared" si="59"/>
        <v>4982.2142857142853</v>
      </c>
      <c r="CU391" s="10">
        <f t="shared" si="59"/>
        <v>0</v>
      </c>
      <c r="CV391" s="10">
        <f t="shared" si="59"/>
        <v>0</v>
      </c>
      <c r="CW391" s="10">
        <f t="shared" si="59"/>
        <v>275.35714285714283</v>
      </c>
      <c r="CX391" s="10">
        <f t="shared" si="59"/>
        <v>0</v>
      </c>
      <c r="CY391" s="10">
        <f t="shared" si="59"/>
        <v>1724.3571428571429</v>
      </c>
      <c r="CZ391" s="10">
        <f t="shared" si="59"/>
        <v>2.1428571428571428</v>
      </c>
      <c r="DA391" s="10">
        <f t="shared" si="59"/>
        <v>0</v>
      </c>
      <c r="DB391" s="10">
        <f t="shared" si="59"/>
        <v>0</v>
      </c>
      <c r="DC391" s="10">
        <f t="shared" si="59"/>
        <v>2010.3571428571429</v>
      </c>
      <c r="DD391" s="10">
        <f t="shared" si="59"/>
        <v>0</v>
      </c>
      <c r="DE391" s="10">
        <f t="shared" si="59"/>
        <v>0</v>
      </c>
      <c r="DF391" s="10">
        <f t="shared" si="59"/>
        <v>638</v>
      </c>
      <c r="DG391" s="10">
        <f t="shared" si="59"/>
        <v>27.928571428571427</v>
      </c>
      <c r="DH391" s="10">
        <f t="shared" si="59"/>
        <v>0</v>
      </c>
      <c r="DI391" s="10">
        <f t="shared" si="59"/>
        <v>0</v>
      </c>
      <c r="DJ391" s="10">
        <f t="shared" si="59"/>
        <v>0</v>
      </c>
      <c r="DK391" s="10">
        <f t="shared" si="59"/>
        <v>0</v>
      </c>
      <c r="DL391" s="10">
        <f t="shared" si="59"/>
        <v>0</v>
      </c>
      <c r="DM391" s="10">
        <f t="shared" si="59"/>
        <v>0</v>
      </c>
      <c r="DN391" s="10">
        <f t="shared" si="59"/>
        <v>0</v>
      </c>
      <c r="DO391" s="10">
        <f t="shared" si="59"/>
        <v>0</v>
      </c>
      <c r="DP391" s="10">
        <f t="shared" si="59"/>
        <v>0</v>
      </c>
      <c r="DQ391" s="10">
        <f t="shared" si="59"/>
        <v>0</v>
      </c>
      <c r="DR391" s="10">
        <f t="shared" si="59"/>
        <v>0</v>
      </c>
      <c r="DS391" s="10">
        <f t="shared" si="59"/>
        <v>665.92857142857144</v>
      </c>
      <c r="DT391" s="10">
        <f t="shared" ref="DT391:EK391" si="60">(7*DT461+2*DT276+2*DT280+DT166+DT177+DT307)/14</f>
        <v>7639.9285714285716</v>
      </c>
      <c r="DU391" s="10">
        <f t="shared" si="60"/>
        <v>1760.6428571428571</v>
      </c>
      <c r="DV391" s="10">
        <f t="shared" si="60"/>
        <v>0</v>
      </c>
      <c r="DW391" s="10">
        <f t="shared" si="60"/>
        <v>0</v>
      </c>
      <c r="DX391" s="10">
        <f t="shared" si="60"/>
        <v>6.5714285714285712</v>
      </c>
      <c r="DY391" s="10">
        <f t="shared" si="60"/>
        <v>4743.6428571428569</v>
      </c>
      <c r="DZ391" s="10">
        <f t="shared" si="60"/>
        <v>4713.7857142857147</v>
      </c>
      <c r="EA391" s="10">
        <f t="shared" si="60"/>
        <v>8131.9285714285716</v>
      </c>
      <c r="EB391" s="10">
        <f t="shared" si="60"/>
        <v>11769.928571428571</v>
      </c>
      <c r="EC391" s="10">
        <f t="shared" si="60"/>
        <v>1255.7142857142858</v>
      </c>
      <c r="ED391" s="10">
        <f t="shared" si="60"/>
        <v>7953.7857142857147</v>
      </c>
      <c r="EE391" s="10">
        <f t="shared" si="60"/>
        <v>22661.285714285714</v>
      </c>
      <c r="EF391" s="10">
        <f t="shared" si="60"/>
        <v>0</v>
      </c>
      <c r="EG391" s="10">
        <f t="shared" si="60"/>
        <v>6.5000000000000016E-2</v>
      </c>
      <c r="EH391" s="10">
        <f t="shared" si="60"/>
        <v>3.3857142857142852</v>
      </c>
      <c r="EI391" s="10">
        <f t="shared" si="60"/>
        <v>22.628571428571426</v>
      </c>
      <c r="EJ391" s="10">
        <f t="shared" si="60"/>
        <v>9.4071428571428566</v>
      </c>
      <c r="EK391" s="10">
        <f t="shared" si="60"/>
        <v>4.8071428571428569</v>
      </c>
    </row>
    <row r="392" spans="1:141" x14ac:dyDescent="0.25">
      <c r="A392" t="str">
        <f>[1]ingredient!B392</f>
        <v>Spinat</v>
      </c>
      <c r="B392" t="s">
        <v>163</v>
      </c>
      <c r="C392" s="7">
        <f>_xlfn.XLOOKUP(A392,[1]ingredient!$B$2:$B$521,[1]ingredient!$A$2:$A$521)</f>
        <v>391</v>
      </c>
      <c r="D392">
        <v>17</v>
      </c>
      <c r="E392">
        <v>0.3</v>
      </c>
      <c r="F392">
        <v>3</v>
      </c>
      <c r="G392">
        <v>1</v>
      </c>
      <c r="H392">
        <v>3</v>
      </c>
      <c r="I392">
        <v>0.47</v>
      </c>
      <c r="J392">
        <v>0.12</v>
      </c>
      <c r="K392">
        <v>92</v>
      </c>
      <c r="L392">
        <v>781</v>
      </c>
      <c r="M392">
        <v>391</v>
      </c>
      <c r="N392">
        <v>0</v>
      </c>
      <c r="O392">
        <v>4687</v>
      </c>
      <c r="P392">
        <v>110</v>
      </c>
      <c r="Q392">
        <v>230</v>
      </c>
      <c r="R392">
        <v>620</v>
      </c>
      <c r="S392">
        <v>1253</v>
      </c>
      <c r="T392">
        <v>250</v>
      </c>
      <c r="U392">
        <v>220</v>
      </c>
      <c r="V392">
        <v>7</v>
      </c>
      <c r="W392">
        <v>78</v>
      </c>
      <c r="X392">
        <v>0</v>
      </c>
      <c r="Y392">
        <v>52000</v>
      </c>
      <c r="Z392">
        <v>0</v>
      </c>
      <c r="AA392">
        <v>1367</v>
      </c>
      <c r="AB392">
        <v>280</v>
      </c>
      <c r="AC392">
        <v>65</v>
      </c>
      <c r="AD392">
        <v>633</v>
      </c>
      <c r="AE392">
        <v>126</v>
      </c>
      <c r="AF392">
        <v>58</v>
      </c>
      <c r="AG392">
        <v>55</v>
      </c>
      <c r="AH392">
        <v>20</v>
      </c>
      <c r="AI392">
        <v>54</v>
      </c>
      <c r="AJ392">
        <v>4100</v>
      </c>
      <c r="AK392">
        <v>584</v>
      </c>
      <c r="AL392">
        <v>120</v>
      </c>
      <c r="AM392">
        <v>474</v>
      </c>
      <c r="AN392">
        <v>110</v>
      </c>
      <c r="AO392">
        <v>12</v>
      </c>
      <c r="AP392">
        <v>0</v>
      </c>
      <c r="AQ392">
        <v>0</v>
      </c>
      <c r="AR392">
        <v>0</v>
      </c>
      <c r="AS392">
        <v>0</v>
      </c>
      <c r="AT392">
        <v>137</v>
      </c>
      <c r="AU392">
        <v>110</v>
      </c>
      <c r="AV392">
        <v>0</v>
      </c>
      <c r="AW392">
        <v>247</v>
      </c>
      <c r="AX392">
        <v>220</v>
      </c>
      <c r="AY392">
        <v>0</v>
      </c>
      <c r="AZ392">
        <v>0</v>
      </c>
      <c r="BA392">
        <v>220</v>
      </c>
      <c r="BB392">
        <v>0</v>
      </c>
      <c r="BC392">
        <v>0</v>
      </c>
      <c r="BD392">
        <v>0</v>
      </c>
      <c r="BE392">
        <v>83</v>
      </c>
      <c r="BF392">
        <v>83</v>
      </c>
      <c r="BG392">
        <f t="shared" si="53"/>
        <v>108.69565217391303</v>
      </c>
      <c r="BH392">
        <v>121</v>
      </c>
      <c r="BI392">
        <v>202</v>
      </c>
      <c r="BJ392">
        <v>164</v>
      </c>
      <c r="BK392">
        <v>45</v>
      </c>
      <c r="BL392">
        <v>30</v>
      </c>
      <c r="BM392">
        <v>126</v>
      </c>
      <c r="BN392">
        <v>101</v>
      </c>
      <c r="BO392">
        <v>113</v>
      </c>
      <c r="BP392">
        <v>38</v>
      </c>
      <c r="BQ392">
        <v>144</v>
      </c>
      <c r="BR392">
        <v>141</v>
      </c>
      <c r="BS392">
        <v>55</v>
      </c>
      <c r="BT392">
        <v>1280</v>
      </c>
      <c r="BU392">
        <v>134</v>
      </c>
      <c r="BV392">
        <v>227</v>
      </c>
      <c r="BW392">
        <v>297</v>
      </c>
      <c r="BX392">
        <v>121</v>
      </c>
      <c r="BY392">
        <v>108</v>
      </c>
      <c r="BZ392">
        <v>101</v>
      </c>
      <c r="CA392">
        <v>988</v>
      </c>
      <c r="CB392">
        <v>57</v>
      </c>
      <c r="CC392">
        <v>24</v>
      </c>
      <c r="CD392">
        <v>150</v>
      </c>
      <c r="CE392">
        <v>30</v>
      </c>
      <c r="CF392">
        <v>0.2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2</v>
      </c>
      <c r="CM392">
        <v>0</v>
      </c>
      <c r="CN392">
        <v>30</v>
      </c>
      <c r="CO392">
        <v>0</v>
      </c>
      <c r="CP392">
        <v>5</v>
      </c>
      <c r="CQ392">
        <v>0</v>
      </c>
      <c r="CR392">
        <v>0</v>
      </c>
      <c r="CS392">
        <v>0</v>
      </c>
      <c r="CT392">
        <v>37</v>
      </c>
      <c r="CU392">
        <v>0</v>
      </c>
      <c r="CV392">
        <v>0</v>
      </c>
      <c r="CW392">
        <v>5</v>
      </c>
      <c r="CX392">
        <v>0</v>
      </c>
      <c r="CY392">
        <v>18</v>
      </c>
      <c r="CZ392">
        <v>0</v>
      </c>
      <c r="DA392">
        <v>0</v>
      </c>
      <c r="DB392">
        <v>0</v>
      </c>
      <c r="DC392">
        <v>23</v>
      </c>
      <c r="DD392">
        <v>0</v>
      </c>
      <c r="DE392">
        <v>0</v>
      </c>
      <c r="DF392">
        <v>30</v>
      </c>
      <c r="DG392">
        <v>150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180</v>
      </c>
      <c r="DT392">
        <v>240</v>
      </c>
      <c r="DU392">
        <v>60</v>
      </c>
      <c r="DV392">
        <v>0</v>
      </c>
      <c r="DW392">
        <v>0</v>
      </c>
      <c r="DX392">
        <v>0</v>
      </c>
      <c r="DY392">
        <v>387</v>
      </c>
      <c r="DZ392">
        <v>387</v>
      </c>
      <c r="EA392">
        <v>645</v>
      </c>
      <c r="EB392">
        <v>1032</v>
      </c>
      <c r="EC392">
        <v>129</v>
      </c>
      <c r="ED392">
        <v>645</v>
      </c>
      <c r="EE392">
        <v>1935</v>
      </c>
      <c r="EF392">
        <v>0</v>
      </c>
      <c r="EG392">
        <v>1</v>
      </c>
      <c r="EH392">
        <v>1.5</v>
      </c>
      <c r="EI392">
        <v>1.9</v>
      </c>
      <c r="EJ392">
        <v>0.3</v>
      </c>
      <c r="EK392">
        <v>2.5</v>
      </c>
    </row>
    <row r="393" spans="1:141" x14ac:dyDescent="0.25">
      <c r="A393" t="str">
        <f>[1]ingredient!B393</f>
        <v>Spinat, gefroren</v>
      </c>
      <c r="B393" t="s">
        <v>449</v>
      </c>
      <c r="C393" s="7">
        <f>_xlfn.XLOOKUP(A393,[1]ingredient!$B$2:$B$521,[1]ingredient!$A$2:$A$521)</f>
        <v>392</v>
      </c>
      <c r="D393">
        <v>18</v>
      </c>
      <c r="E393">
        <v>0.32</v>
      </c>
      <c r="F393">
        <v>3</v>
      </c>
      <c r="G393">
        <v>1</v>
      </c>
      <c r="H393">
        <v>3</v>
      </c>
      <c r="I393">
        <v>0.47</v>
      </c>
      <c r="J393">
        <v>0.11</v>
      </c>
      <c r="K393">
        <v>91</v>
      </c>
      <c r="L393">
        <v>779</v>
      </c>
      <c r="M393">
        <v>389</v>
      </c>
      <c r="N393">
        <v>0</v>
      </c>
      <c r="O393">
        <v>4672</v>
      </c>
      <c r="P393">
        <v>92</v>
      </c>
      <c r="Q393">
        <v>217</v>
      </c>
      <c r="R393">
        <v>585</v>
      </c>
      <c r="S393">
        <v>1252</v>
      </c>
      <c r="T393">
        <v>249</v>
      </c>
      <c r="U393">
        <v>185</v>
      </c>
      <c r="V393">
        <v>7</v>
      </c>
      <c r="W393">
        <v>57</v>
      </c>
      <c r="X393">
        <v>0</v>
      </c>
      <c r="Y393">
        <v>38192</v>
      </c>
      <c r="Z393">
        <v>0</v>
      </c>
      <c r="AA393">
        <v>1434</v>
      </c>
      <c r="AB393">
        <v>294</v>
      </c>
      <c r="AC393">
        <v>62</v>
      </c>
      <c r="AD393">
        <v>598</v>
      </c>
      <c r="AE393">
        <v>119</v>
      </c>
      <c r="AF393">
        <v>55</v>
      </c>
      <c r="AG393">
        <v>52</v>
      </c>
      <c r="AH393">
        <v>19</v>
      </c>
      <c r="AI393">
        <v>51</v>
      </c>
      <c r="AJ393">
        <v>3872</v>
      </c>
      <c r="AK393">
        <v>552</v>
      </c>
      <c r="AL393">
        <v>113</v>
      </c>
      <c r="AM393">
        <v>448</v>
      </c>
      <c r="AN393">
        <v>104</v>
      </c>
      <c r="AO393">
        <v>12</v>
      </c>
      <c r="AP393">
        <v>0</v>
      </c>
      <c r="AQ393">
        <v>0</v>
      </c>
      <c r="AR393">
        <v>0</v>
      </c>
      <c r="AS393">
        <v>0</v>
      </c>
      <c r="AT393">
        <v>136</v>
      </c>
      <c r="AU393">
        <v>110</v>
      </c>
      <c r="AV393">
        <v>0</v>
      </c>
      <c r="AW393">
        <v>246</v>
      </c>
      <c r="AX393">
        <v>219</v>
      </c>
      <c r="AY393">
        <v>0</v>
      </c>
      <c r="AZ393">
        <v>0</v>
      </c>
      <c r="BA393">
        <v>219</v>
      </c>
      <c r="BB393">
        <v>0</v>
      </c>
      <c r="BC393">
        <v>0</v>
      </c>
      <c r="BD393">
        <v>0</v>
      </c>
      <c r="BE393">
        <v>83</v>
      </c>
      <c r="BF393">
        <v>83</v>
      </c>
      <c r="BG393">
        <f t="shared" si="53"/>
        <v>113.04347826086956</v>
      </c>
      <c r="BH393">
        <v>127</v>
      </c>
      <c r="BI393">
        <v>212</v>
      </c>
      <c r="BJ393">
        <v>172</v>
      </c>
      <c r="BK393">
        <v>47</v>
      </c>
      <c r="BL393">
        <v>31</v>
      </c>
      <c r="BM393">
        <v>132</v>
      </c>
      <c r="BN393">
        <v>106</v>
      </c>
      <c r="BO393">
        <v>119</v>
      </c>
      <c r="BP393">
        <v>40</v>
      </c>
      <c r="BQ393">
        <v>151</v>
      </c>
      <c r="BR393">
        <v>148</v>
      </c>
      <c r="BS393">
        <v>58</v>
      </c>
      <c r="BT393">
        <v>1343</v>
      </c>
      <c r="BU393">
        <v>141</v>
      </c>
      <c r="BV393">
        <v>238</v>
      </c>
      <c r="BW393">
        <v>312</v>
      </c>
      <c r="BX393">
        <v>127</v>
      </c>
      <c r="BY393">
        <v>113</v>
      </c>
      <c r="BZ393">
        <v>106</v>
      </c>
      <c r="CA393">
        <v>1037</v>
      </c>
      <c r="CB393">
        <v>60</v>
      </c>
      <c r="CC393">
        <v>25</v>
      </c>
      <c r="CD393">
        <v>159</v>
      </c>
      <c r="CE393">
        <v>31</v>
      </c>
      <c r="CF393">
        <v>0.19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2</v>
      </c>
      <c r="CM393">
        <v>0</v>
      </c>
      <c r="CN393">
        <v>31</v>
      </c>
      <c r="CO393">
        <v>0</v>
      </c>
      <c r="CP393">
        <v>5</v>
      </c>
      <c r="CQ393">
        <v>0</v>
      </c>
      <c r="CR393">
        <v>0</v>
      </c>
      <c r="CS393">
        <v>0</v>
      </c>
      <c r="CT393">
        <v>38</v>
      </c>
      <c r="CU393">
        <v>0</v>
      </c>
      <c r="CV393">
        <v>0</v>
      </c>
      <c r="CW393">
        <v>5</v>
      </c>
      <c r="CX393">
        <v>0</v>
      </c>
      <c r="CY393">
        <v>19</v>
      </c>
      <c r="CZ393">
        <v>0</v>
      </c>
      <c r="DA393">
        <v>0</v>
      </c>
      <c r="DB393">
        <v>0</v>
      </c>
      <c r="DC393">
        <v>24</v>
      </c>
      <c r="DD393">
        <v>0</v>
      </c>
      <c r="DE393">
        <v>0</v>
      </c>
      <c r="DF393">
        <v>31</v>
      </c>
      <c r="DG393">
        <v>159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190</v>
      </c>
      <c r="DT393">
        <v>252</v>
      </c>
      <c r="DU393">
        <v>63</v>
      </c>
      <c r="DV393">
        <v>0</v>
      </c>
      <c r="DW393">
        <v>0</v>
      </c>
      <c r="DX393">
        <v>0</v>
      </c>
      <c r="DY393">
        <v>406</v>
      </c>
      <c r="DZ393">
        <v>406</v>
      </c>
      <c r="EA393">
        <v>677</v>
      </c>
      <c r="EB393">
        <v>1083</v>
      </c>
      <c r="EC393">
        <v>135</v>
      </c>
      <c r="ED393">
        <v>677</v>
      </c>
      <c r="EE393">
        <v>2030</v>
      </c>
      <c r="EF393">
        <v>0</v>
      </c>
      <c r="EG393">
        <v>1</v>
      </c>
      <c r="EH393">
        <v>1.5</v>
      </c>
      <c r="EI393">
        <v>2</v>
      </c>
      <c r="EJ393">
        <v>0.3</v>
      </c>
      <c r="EK393">
        <v>2.6</v>
      </c>
    </row>
    <row r="394" spans="1:141" x14ac:dyDescent="0.25">
      <c r="A394" t="str">
        <f>[1]ingredient!B394</f>
        <v>Spirulina-Pulver</v>
      </c>
      <c r="B394" t="s">
        <v>450</v>
      </c>
      <c r="C394" s="7">
        <f>_xlfn.XLOOKUP(A394,[1]ingredient!$B$2:$B$521,[1]ingredient!$A$2:$A$521)</f>
        <v>393</v>
      </c>
      <c r="D394">
        <v>371</v>
      </c>
      <c r="E394">
        <v>4</v>
      </c>
      <c r="F394">
        <v>60</v>
      </c>
      <c r="G394">
        <v>20</v>
      </c>
      <c r="H394">
        <v>3</v>
      </c>
      <c r="I394">
        <v>20</v>
      </c>
      <c r="J394">
        <v>1</v>
      </c>
      <c r="K394">
        <v>4</v>
      </c>
      <c r="L394">
        <v>615</v>
      </c>
      <c r="M394">
        <v>308</v>
      </c>
      <c r="N394">
        <v>0</v>
      </c>
      <c r="O394">
        <v>3690</v>
      </c>
      <c r="P394">
        <v>1911</v>
      </c>
      <c r="Q394">
        <v>3311</v>
      </c>
      <c r="R394">
        <v>11672</v>
      </c>
      <c r="S394">
        <v>21722</v>
      </c>
      <c r="T394">
        <v>2995</v>
      </c>
      <c r="U394">
        <v>327</v>
      </c>
      <c r="V394">
        <v>0</v>
      </c>
      <c r="W394">
        <v>1840</v>
      </c>
      <c r="X394">
        <v>51</v>
      </c>
      <c r="Y394">
        <v>5069</v>
      </c>
      <c r="Z394">
        <v>0</v>
      </c>
      <c r="AA394">
        <v>0</v>
      </c>
      <c r="AB394">
        <v>3066</v>
      </c>
      <c r="AC394">
        <v>848</v>
      </c>
      <c r="AD394">
        <v>1104</v>
      </c>
      <c r="AE394">
        <v>644</v>
      </c>
      <c r="AF394">
        <v>920</v>
      </c>
      <c r="AG394">
        <v>102</v>
      </c>
      <c r="AH394">
        <v>460</v>
      </c>
      <c r="AI394">
        <v>112</v>
      </c>
      <c r="AJ394">
        <v>20011</v>
      </c>
      <c r="AK394">
        <v>10139</v>
      </c>
      <c r="AL394">
        <v>1840</v>
      </c>
      <c r="AM394">
        <v>4609</v>
      </c>
      <c r="AN394">
        <v>920</v>
      </c>
      <c r="AO394">
        <v>461</v>
      </c>
      <c r="AP394">
        <v>0</v>
      </c>
      <c r="AQ394">
        <v>0</v>
      </c>
      <c r="AR394">
        <v>0</v>
      </c>
      <c r="AS394">
        <v>0</v>
      </c>
      <c r="AT394">
        <v>8166</v>
      </c>
      <c r="AU394">
        <v>8166</v>
      </c>
      <c r="AV394">
        <v>0</v>
      </c>
      <c r="AW394">
        <v>16332</v>
      </c>
      <c r="AX394">
        <v>3884</v>
      </c>
      <c r="AY394">
        <v>0</v>
      </c>
      <c r="AZ394">
        <v>0</v>
      </c>
      <c r="BA394">
        <v>3884</v>
      </c>
      <c r="BB394">
        <v>0</v>
      </c>
      <c r="BC394">
        <v>0</v>
      </c>
      <c r="BD394">
        <v>0</v>
      </c>
      <c r="BE394">
        <v>204</v>
      </c>
      <c r="BF394">
        <v>204</v>
      </c>
      <c r="BG394">
        <f t="shared" si="53"/>
        <v>94.791666666666657</v>
      </c>
      <c r="BH394">
        <v>2412</v>
      </c>
      <c r="BI394">
        <v>3628</v>
      </c>
      <c r="BJ394">
        <v>3015</v>
      </c>
      <c r="BK394">
        <v>726</v>
      </c>
      <c r="BL394">
        <v>603</v>
      </c>
      <c r="BM394">
        <v>1809</v>
      </c>
      <c r="BN394">
        <v>1206</v>
      </c>
      <c r="BO394">
        <v>2116</v>
      </c>
      <c r="BP394">
        <v>603</v>
      </c>
      <c r="BQ394">
        <v>2412</v>
      </c>
      <c r="BR394">
        <v>2412</v>
      </c>
      <c r="BS394">
        <v>910</v>
      </c>
      <c r="BT394">
        <v>21852</v>
      </c>
      <c r="BU394">
        <v>3015</v>
      </c>
      <c r="BV394">
        <v>6040</v>
      </c>
      <c r="BW394">
        <v>9107</v>
      </c>
      <c r="BX394">
        <v>1686</v>
      </c>
      <c r="BY394">
        <v>2412</v>
      </c>
      <c r="BZ394">
        <v>1809</v>
      </c>
      <c r="CA394">
        <v>24069</v>
      </c>
      <c r="CB394">
        <v>511</v>
      </c>
      <c r="CC394">
        <v>213</v>
      </c>
      <c r="CD394">
        <v>439</v>
      </c>
      <c r="CE394">
        <v>675</v>
      </c>
      <c r="CF394">
        <v>1.54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41</v>
      </c>
      <c r="CM394">
        <v>0</v>
      </c>
      <c r="CN394">
        <v>1329</v>
      </c>
      <c r="CO394">
        <v>0</v>
      </c>
      <c r="CP394">
        <v>41</v>
      </c>
      <c r="CQ394">
        <v>0</v>
      </c>
      <c r="CR394">
        <v>0</v>
      </c>
      <c r="CS394">
        <v>0</v>
      </c>
      <c r="CT394">
        <v>1411</v>
      </c>
      <c r="CU394">
        <v>0</v>
      </c>
      <c r="CV394">
        <v>0</v>
      </c>
      <c r="CW394">
        <v>174</v>
      </c>
      <c r="CX394">
        <v>0</v>
      </c>
      <c r="CY394">
        <v>184</v>
      </c>
      <c r="CZ394">
        <v>0</v>
      </c>
      <c r="DA394">
        <v>0</v>
      </c>
      <c r="DB394">
        <v>0</v>
      </c>
      <c r="DC394">
        <v>358</v>
      </c>
      <c r="DD394">
        <v>0</v>
      </c>
      <c r="DE394">
        <v>0</v>
      </c>
      <c r="DF394">
        <v>675</v>
      </c>
      <c r="DG394">
        <v>439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1114</v>
      </c>
      <c r="DT394">
        <v>2883</v>
      </c>
      <c r="DU394">
        <v>1226</v>
      </c>
      <c r="DV394">
        <v>0</v>
      </c>
      <c r="DW394">
        <v>0</v>
      </c>
      <c r="DX394">
        <v>0</v>
      </c>
      <c r="DY394">
        <v>521</v>
      </c>
      <c r="DZ394">
        <v>695</v>
      </c>
      <c r="EA394">
        <v>940</v>
      </c>
      <c r="EB394">
        <v>1227</v>
      </c>
      <c r="EC394">
        <v>102</v>
      </c>
      <c r="ED394">
        <v>1042</v>
      </c>
      <c r="EE394">
        <v>2432</v>
      </c>
      <c r="EF394">
        <v>0</v>
      </c>
      <c r="EG394">
        <v>2</v>
      </c>
      <c r="EH394">
        <v>5.5</v>
      </c>
      <c r="EI394">
        <v>2.4</v>
      </c>
      <c r="EJ394">
        <v>4.0999999999999996</v>
      </c>
      <c r="EK394">
        <v>47.6</v>
      </c>
    </row>
    <row r="395" spans="1:141" x14ac:dyDescent="0.25">
      <c r="A395" t="str">
        <f>[1]ingredient!B395</f>
        <v>Spitzkohl</v>
      </c>
      <c r="B395" t="s">
        <v>451</v>
      </c>
      <c r="C395" s="7">
        <f>_xlfn.XLOOKUP(A395,[1]ingredient!$B$2:$B$521,[1]ingredient!$A$2:$A$521)</f>
        <v>394</v>
      </c>
      <c r="D395">
        <v>23</v>
      </c>
      <c r="E395">
        <v>0.3</v>
      </c>
      <c r="F395">
        <v>2</v>
      </c>
      <c r="G395">
        <v>3</v>
      </c>
      <c r="H395">
        <v>3</v>
      </c>
      <c r="I395">
        <v>3</v>
      </c>
      <c r="J395">
        <v>0.04</v>
      </c>
      <c r="K395">
        <v>91</v>
      </c>
      <c r="L395">
        <v>25</v>
      </c>
      <c r="M395">
        <v>13</v>
      </c>
      <c r="N395">
        <v>0</v>
      </c>
      <c r="O395">
        <v>150</v>
      </c>
      <c r="P395">
        <v>50</v>
      </c>
      <c r="Q395">
        <v>50</v>
      </c>
      <c r="R395">
        <v>300</v>
      </c>
      <c r="S395">
        <v>650</v>
      </c>
      <c r="T395">
        <v>150</v>
      </c>
      <c r="U395">
        <v>150</v>
      </c>
      <c r="V395">
        <v>0</v>
      </c>
      <c r="W395">
        <v>73</v>
      </c>
      <c r="X395">
        <v>0</v>
      </c>
      <c r="Y395">
        <v>60000</v>
      </c>
      <c r="Z395">
        <v>0</v>
      </c>
      <c r="AA395">
        <v>150</v>
      </c>
      <c r="AB395">
        <v>170</v>
      </c>
      <c r="AC395">
        <v>6</v>
      </c>
      <c r="AD395">
        <v>249</v>
      </c>
      <c r="AE395">
        <v>50</v>
      </c>
      <c r="AF395">
        <v>9</v>
      </c>
      <c r="AG395">
        <v>30</v>
      </c>
      <c r="AH395">
        <v>70</v>
      </c>
      <c r="AI395">
        <v>30</v>
      </c>
      <c r="AJ395">
        <v>500</v>
      </c>
      <c r="AK395">
        <v>200</v>
      </c>
      <c r="AL395">
        <v>70</v>
      </c>
      <c r="AM395">
        <v>200</v>
      </c>
      <c r="AN395">
        <v>12</v>
      </c>
      <c r="AO395">
        <v>5</v>
      </c>
      <c r="AP395">
        <v>0</v>
      </c>
      <c r="AQ395">
        <v>0</v>
      </c>
      <c r="AR395">
        <v>0</v>
      </c>
      <c r="AS395">
        <v>0</v>
      </c>
      <c r="AT395">
        <v>958</v>
      </c>
      <c r="AU395">
        <v>959</v>
      </c>
      <c r="AV395">
        <v>0</v>
      </c>
      <c r="AW395">
        <v>1917</v>
      </c>
      <c r="AX395">
        <v>675</v>
      </c>
      <c r="AY395">
        <v>0</v>
      </c>
      <c r="AZ395">
        <v>0</v>
      </c>
      <c r="BA395">
        <v>675</v>
      </c>
      <c r="BB395">
        <v>0</v>
      </c>
      <c r="BC395">
        <v>0</v>
      </c>
      <c r="BD395">
        <v>0</v>
      </c>
      <c r="BE395">
        <v>108</v>
      </c>
      <c r="BF395">
        <v>108</v>
      </c>
      <c r="BG395">
        <f t="shared" si="53"/>
        <v>87.704918032786878</v>
      </c>
      <c r="BH395">
        <v>63</v>
      </c>
      <c r="BI395">
        <v>107</v>
      </c>
      <c r="BJ395">
        <v>97</v>
      </c>
      <c r="BK395">
        <v>21</v>
      </c>
      <c r="BL395">
        <v>25</v>
      </c>
      <c r="BM395">
        <v>63</v>
      </c>
      <c r="BN395">
        <v>38</v>
      </c>
      <c r="BO395">
        <v>71</v>
      </c>
      <c r="BP395">
        <v>21</v>
      </c>
      <c r="BQ395">
        <v>84</v>
      </c>
      <c r="BR395">
        <v>158</v>
      </c>
      <c r="BS395">
        <v>42</v>
      </c>
      <c r="BT395">
        <v>790</v>
      </c>
      <c r="BU395">
        <v>84</v>
      </c>
      <c r="BV395">
        <v>179</v>
      </c>
      <c r="BW395">
        <v>439</v>
      </c>
      <c r="BX395">
        <v>53</v>
      </c>
      <c r="BY395">
        <v>397</v>
      </c>
      <c r="BZ395">
        <v>116</v>
      </c>
      <c r="CA395">
        <v>1268</v>
      </c>
      <c r="CB395">
        <v>20</v>
      </c>
      <c r="CC395">
        <v>8</v>
      </c>
      <c r="CD395">
        <v>72</v>
      </c>
      <c r="CE395">
        <v>73</v>
      </c>
      <c r="CF395">
        <v>1.01</v>
      </c>
      <c r="CG395">
        <v>0</v>
      </c>
      <c r="CH395">
        <v>0</v>
      </c>
      <c r="CI395">
        <v>0</v>
      </c>
      <c r="CJ395">
        <v>0</v>
      </c>
      <c r="CK395">
        <v>1</v>
      </c>
      <c r="CL395">
        <v>1</v>
      </c>
      <c r="CM395">
        <v>0</v>
      </c>
      <c r="CN395">
        <v>60</v>
      </c>
      <c r="CO395">
        <v>0</v>
      </c>
      <c r="CP395">
        <v>7</v>
      </c>
      <c r="CQ395">
        <v>0</v>
      </c>
      <c r="CR395">
        <v>0</v>
      </c>
      <c r="CS395">
        <v>0</v>
      </c>
      <c r="CT395">
        <v>69</v>
      </c>
      <c r="CU395">
        <v>0</v>
      </c>
      <c r="CV395">
        <v>0</v>
      </c>
      <c r="CW395">
        <v>7</v>
      </c>
      <c r="CX395">
        <v>0</v>
      </c>
      <c r="CY395">
        <v>19</v>
      </c>
      <c r="CZ395">
        <v>0</v>
      </c>
      <c r="DA395">
        <v>0</v>
      </c>
      <c r="DB395">
        <v>0</v>
      </c>
      <c r="DC395">
        <v>26</v>
      </c>
      <c r="DD395">
        <v>0</v>
      </c>
      <c r="DE395">
        <v>0</v>
      </c>
      <c r="DF395">
        <v>73</v>
      </c>
      <c r="DG395">
        <v>72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145</v>
      </c>
      <c r="DT395">
        <v>240</v>
      </c>
      <c r="DU395">
        <v>60</v>
      </c>
      <c r="DV395">
        <v>0</v>
      </c>
      <c r="DW395">
        <v>0</v>
      </c>
      <c r="DX395">
        <v>0</v>
      </c>
      <c r="DY395">
        <v>400</v>
      </c>
      <c r="DZ395">
        <v>325</v>
      </c>
      <c r="EA395">
        <v>350</v>
      </c>
      <c r="EB395">
        <v>1250</v>
      </c>
      <c r="EC395">
        <v>175</v>
      </c>
      <c r="ED395">
        <v>750</v>
      </c>
      <c r="EE395">
        <v>1750</v>
      </c>
      <c r="EF395">
        <v>0</v>
      </c>
      <c r="EG395">
        <v>0.25</v>
      </c>
      <c r="EH395">
        <v>0.9</v>
      </c>
      <c r="EI395">
        <v>1.8</v>
      </c>
      <c r="EJ395">
        <v>0.3</v>
      </c>
      <c r="EK395">
        <v>2.1</v>
      </c>
    </row>
    <row r="396" spans="1:141" x14ac:dyDescent="0.25">
      <c r="A396" t="str">
        <f>[1]ingredient!B396</f>
        <v>Spitzpaprika gelb</v>
      </c>
      <c r="B396" s="11" t="s">
        <v>452</v>
      </c>
      <c r="C396" s="7"/>
      <c r="D396"/>
    </row>
    <row r="397" spans="1:141" x14ac:dyDescent="0.25">
      <c r="A397" t="str">
        <f>[1]ingredient!B397</f>
        <v>Spitzpaprika grün</v>
      </c>
      <c r="B397" s="11" t="s">
        <v>453</v>
      </c>
      <c r="C397" s="7"/>
      <c r="D397"/>
    </row>
    <row r="398" spans="1:141" x14ac:dyDescent="0.25">
      <c r="A398" t="str">
        <f>[1]ingredient!B398</f>
        <v>Spitzpaprika orange</v>
      </c>
      <c r="B398" s="11" t="s">
        <v>452</v>
      </c>
      <c r="C398" s="7"/>
      <c r="D398"/>
    </row>
    <row r="399" spans="1:141" x14ac:dyDescent="0.25">
      <c r="A399" t="str">
        <f>[1]ingredient!B399</f>
        <v>Spitzpaprika rot</v>
      </c>
      <c r="B399" s="11" t="s">
        <v>454</v>
      </c>
      <c r="C399" s="7"/>
      <c r="D399"/>
    </row>
    <row r="400" spans="1:141" x14ac:dyDescent="0.25">
      <c r="A400" t="str">
        <f>[1]ingredient!B400</f>
        <v>Stachelbeeren</v>
      </c>
      <c r="B400" t="s">
        <v>455</v>
      </c>
      <c r="C400" s="7">
        <f>_xlfn.XLOOKUP(A400,[1]ingredient!$B$2:$B$521,[1]ingredient!$A$2:$A$521)</f>
        <v>399</v>
      </c>
      <c r="D400">
        <v>44</v>
      </c>
      <c r="E400">
        <v>0.2</v>
      </c>
      <c r="F400">
        <v>1</v>
      </c>
      <c r="G400">
        <v>9</v>
      </c>
      <c r="H400">
        <v>3</v>
      </c>
      <c r="I400">
        <v>9</v>
      </c>
      <c r="J400">
        <v>0</v>
      </c>
      <c r="K400">
        <v>86</v>
      </c>
      <c r="L400">
        <v>35</v>
      </c>
      <c r="M400">
        <v>18</v>
      </c>
      <c r="N400">
        <v>0</v>
      </c>
      <c r="O400">
        <v>210</v>
      </c>
      <c r="P400">
        <v>20</v>
      </c>
      <c r="Q400">
        <v>20</v>
      </c>
      <c r="R400">
        <v>250</v>
      </c>
      <c r="S400">
        <v>383</v>
      </c>
      <c r="T400">
        <v>200</v>
      </c>
      <c r="U400">
        <v>15</v>
      </c>
      <c r="V400">
        <v>1</v>
      </c>
      <c r="W400">
        <v>8</v>
      </c>
      <c r="X400">
        <v>0</v>
      </c>
      <c r="Y400">
        <v>35000</v>
      </c>
      <c r="Z400">
        <v>0</v>
      </c>
      <c r="AA400">
        <v>621</v>
      </c>
      <c r="AB400">
        <v>10</v>
      </c>
      <c r="AC400">
        <v>2</v>
      </c>
      <c r="AD400">
        <v>200</v>
      </c>
      <c r="AE400">
        <v>30</v>
      </c>
      <c r="AF400">
        <v>15</v>
      </c>
      <c r="AG400">
        <v>30</v>
      </c>
      <c r="AH400">
        <v>16</v>
      </c>
      <c r="AI400">
        <v>1</v>
      </c>
      <c r="AJ400">
        <v>630</v>
      </c>
      <c r="AK400">
        <v>100</v>
      </c>
      <c r="AL400">
        <v>95</v>
      </c>
      <c r="AM400">
        <v>40</v>
      </c>
      <c r="AN400">
        <v>11</v>
      </c>
      <c r="AO400">
        <v>0.1</v>
      </c>
      <c r="AP400">
        <v>0</v>
      </c>
      <c r="AQ400">
        <v>0</v>
      </c>
      <c r="AR400">
        <v>0</v>
      </c>
      <c r="AS400">
        <v>0</v>
      </c>
      <c r="AT400">
        <v>3630</v>
      </c>
      <c r="AU400">
        <v>4011</v>
      </c>
      <c r="AV400">
        <v>0</v>
      </c>
      <c r="AW400">
        <v>7641</v>
      </c>
      <c r="AX400">
        <v>859</v>
      </c>
      <c r="AY400">
        <v>0</v>
      </c>
      <c r="AZ400">
        <v>0</v>
      </c>
      <c r="BA400">
        <v>859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f t="shared" si="53"/>
        <v>41.666666666666671</v>
      </c>
      <c r="BH400">
        <v>16</v>
      </c>
      <c r="BI400">
        <v>36</v>
      </c>
      <c r="BJ400">
        <v>20</v>
      </c>
      <c r="BK400">
        <v>12</v>
      </c>
      <c r="BL400">
        <v>8</v>
      </c>
      <c r="BM400">
        <v>24</v>
      </c>
      <c r="BN400">
        <v>16</v>
      </c>
      <c r="BO400">
        <v>24</v>
      </c>
      <c r="BP400">
        <v>8</v>
      </c>
      <c r="BQ400">
        <v>28</v>
      </c>
      <c r="BR400">
        <v>44</v>
      </c>
      <c r="BS400">
        <v>20</v>
      </c>
      <c r="BT400">
        <v>256</v>
      </c>
      <c r="BU400">
        <v>36</v>
      </c>
      <c r="BV400">
        <v>116</v>
      </c>
      <c r="BW400">
        <v>128</v>
      </c>
      <c r="BX400">
        <v>32</v>
      </c>
      <c r="BY400">
        <v>28</v>
      </c>
      <c r="BZ400">
        <v>32</v>
      </c>
      <c r="CA400">
        <v>372</v>
      </c>
      <c r="CB400">
        <v>15</v>
      </c>
      <c r="CC400">
        <v>6</v>
      </c>
      <c r="CD400">
        <v>18</v>
      </c>
      <c r="CE400">
        <v>105</v>
      </c>
      <c r="CF400">
        <v>5.83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12</v>
      </c>
      <c r="CO400">
        <v>0</v>
      </c>
      <c r="CP400">
        <v>4</v>
      </c>
      <c r="CQ400">
        <v>0</v>
      </c>
      <c r="CR400">
        <v>0</v>
      </c>
      <c r="CS400">
        <v>0</v>
      </c>
      <c r="CT400">
        <v>16</v>
      </c>
      <c r="CU400">
        <v>0</v>
      </c>
      <c r="CV400">
        <v>0</v>
      </c>
      <c r="CW400">
        <v>2</v>
      </c>
      <c r="CX400">
        <v>0</v>
      </c>
      <c r="CY400">
        <v>19</v>
      </c>
      <c r="CZ400">
        <v>0</v>
      </c>
      <c r="DA400">
        <v>0</v>
      </c>
      <c r="DB400">
        <v>0</v>
      </c>
      <c r="DC400">
        <v>21</v>
      </c>
      <c r="DD400">
        <v>0</v>
      </c>
      <c r="DE400">
        <v>0</v>
      </c>
      <c r="DF400">
        <v>105</v>
      </c>
      <c r="DG400">
        <v>18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123</v>
      </c>
      <c r="DT400">
        <v>160</v>
      </c>
      <c r="DU400">
        <v>40</v>
      </c>
      <c r="DV400">
        <v>0</v>
      </c>
      <c r="DW400">
        <v>0</v>
      </c>
      <c r="DX400">
        <v>0</v>
      </c>
      <c r="DY400">
        <v>510</v>
      </c>
      <c r="DZ400">
        <v>383</v>
      </c>
      <c r="EA400">
        <v>609</v>
      </c>
      <c r="EB400">
        <v>1169</v>
      </c>
      <c r="EC400">
        <v>229</v>
      </c>
      <c r="ED400">
        <v>1044</v>
      </c>
      <c r="EE400">
        <v>1856</v>
      </c>
      <c r="EF400">
        <v>0</v>
      </c>
      <c r="EG400">
        <v>1</v>
      </c>
      <c r="EH400">
        <v>0.5</v>
      </c>
      <c r="EI400">
        <v>1.9</v>
      </c>
      <c r="EJ400">
        <v>0.2</v>
      </c>
      <c r="EK400">
        <v>0.7</v>
      </c>
    </row>
    <row r="401" spans="1:141" x14ac:dyDescent="0.25">
      <c r="A401" t="str">
        <f>[1]ingredient!B401</f>
        <v>Stangensellerie</v>
      </c>
      <c r="B401" t="s">
        <v>456</v>
      </c>
      <c r="C401" s="7">
        <f>_xlfn.XLOOKUP(A401,[1]ingredient!$B$2:$B$521,[1]ingredient!$A$2:$A$521)</f>
        <v>400</v>
      </c>
      <c r="D401">
        <v>17</v>
      </c>
      <c r="E401">
        <v>0.2</v>
      </c>
      <c r="F401">
        <v>1</v>
      </c>
      <c r="G401">
        <v>2</v>
      </c>
      <c r="H401">
        <v>3</v>
      </c>
      <c r="I401">
        <v>2</v>
      </c>
      <c r="J401">
        <v>0.26</v>
      </c>
      <c r="K401">
        <v>92</v>
      </c>
      <c r="L401">
        <v>483</v>
      </c>
      <c r="M401">
        <v>242</v>
      </c>
      <c r="N401">
        <v>0</v>
      </c>
      <c r="O401">
        <v>2900</v>
      </c>
      <c r="P401">
        <v>48</v>
      </c>
      <c r="Q401">
        <v>76</v>
      </c>
      <c r="R401">
        <v>550</v>
      </c>
      <c r="S401">
        <v>850</v>
      </c>
      <c r="T401">
        <v>400</v>
      </c>
      <c r="U401">
        <v>90</v>
      </c>
      <c r="V401">
        <v>0.1</v>
      </c>
      <c r="W401">
        <v>7</v>
      </c>
      <c r="X401">
        <v>0</v>
      </c>
      <c r="Y401">
        <v>7000</v>
      </c>
      <c r="Z401">
        <v>0</v>
      </c>
      <c r="AA401">
        <v>200</v>
      </c>
      <c r="AB401">
        <v>19</v>
      </c>
      <c r="AC401">
        <v>132</v>
      </c>
      <c r="AD401">
        <v>344</v>
      </c>
      <c r="AE401">
        <v>80</v>
      </c>
      <c r="AF401">
        <v>12</v>
      </c>
      <c r="AG401">
        <v>48</v>
      </c>
      <c r="AH401">
        <v>15</v>
      </c>
      <c r="AI401">
        <v>130</v>
      </c>
      <c r="AJ401">
        <v>500</v>
      </c>
      <c r="AK401">
        <v>110</v>
      </c>
      <c r="AL401">
        <v>120</v>
      </c>
      <c r="AM401">
        <v>100</v>
      </c>
      <c r="AN401">
        <v>70</v>
      </c>
      <c r="AO401">
        <v>0.1</v>
      </c>
      <c r="AP401">
        <v>218</v>
      </c>
      <c r="AQ401">
        <v>0</v>
      </c>
      <c r="AR401">
        <v>0</v>
      </c>
      <c r="AS401">
        <v>218</v>
      </c>
      <c r="AT401">
        <v>611</v>
      </c>
      <c r="AU401">
        <v>610</v>
      </c>
      <c r="AV401">
        <v>0</v>
      </c>
      <c r="AW401">
        <v>1221</v>
      </c>
      <c r="AX401">
        <v>567</v>
      </c>
      <c r="AY401">
        <v>0</v>
      </c>
      <c r="AZ401">
        <v>0</v>
      </c>
      <c r="BA401">
        <v>567</v>
      </c>
      <c r="BB401">
        <v>0</v>
      </c>
      <c r="BC401">
        <v>0</v>
      </c>
      <c r="BD401">
        <v>0</v>
      </c>
      <c r="BE401">
        <v>174</v>
      </c>
      <c r="BF401">
        <v>174</v>
      </c>
      <c r="BG401">
        <f t="shared" si="53"/>
        <v>130.43478260869566</v>
      </c>
      <c r="BH401">
        <v>48</v>
      </c>
      <c r="BI401">
        <v>90</v>
      </c>
      <c r="BJ401">
        <v>72</v>
      </c>
      <c r="BK401">
        <v>18</v>
      </c>
      <c r="BL401">
        <v>12</v>
      </c>
      <c r="BM401">
        <v>60</v>
      </c>
      <c r="BN401">
        <v>36</v>
      </c>
      <c r="BO401">
        <v>54</v>
      </c>
      <c r="BP401">
        <v>18</v>
      </c>
      <c r="BQ401">
        <v>72</v>
      </c>
      <c r="BR401">
        <v>48</v>
      </c>
      <c r="BS401">
        <v>24</v>
      </c>
      <c r="BT401">
        <v>552</v>
      </c>
      <c r="BU401">
        <v>66</v>
      </c>
      <c r="BV401">
        <v>108</v>
      </c>
      <c r="BW401">
        <v>120</v>
      </c>
      <c r="BX401">
        <v>60</v>
      </c>
      <c r="BY401">
        <v>54</v>
      </c>
      <c r="BZ401">
        <v>48</v>
      </c>
      <c r="CA401">
        <v>456</v>
      </c>
      <c r="CB401">
        <v>70</v>
      </c>
      <c r="CC401">
        <v>29</v>
      </c>
      <c r="CD401">
        <v>82</v>
      </c>
      <c r="CE401">
        <v>27</v>
      </c>
      <c r="CF401">
        <v>0.33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3</v>
      </c>
      <c r="CM401">
        <v>0</v>
      </c>
      <c r="CN401">
        <v>29</v>
      </c>
      <c r="CO401">
        <v>0</v>
      </c>
      <c r="CP401">
        <v>3</v>
      </c>
      <c r="CQ401">
        <v>0</v>
      </c>
      <c r="CR401">
        <v>0</v>
      </c>
      <c r="CS401">
        <v>0</v>
      </c>
      <c r="CT401">
        <v>35</v>
      </c>
      <c r="CU401">
        <v>0</v>
      </c>
      <c r="CV401">
        <v>0</v>
      </c>
      <c r="CW401">
        <v>4</v>
      </c>
      <c r="CX401">
        <v>0</v>
      </c>
      <c r="CY401">
        <v>12</v>
      </c>
      <c r="CZ401">
        <v>0</v>
      </c>
      <c r="DA401">
        <v>0</v>
      </c>
      <c r="DB401">
        <v>0</v>
      </c>
      <c r="DC401">
        <v>16</v>
      </c>
      <c r="DD401">
        <v>0</v>
      </c>
      <c r="DE401">
        <v>0</v>
      </c>
      <c r="DF401">
        <v>27</v>
      </c>
      <c r="DG401">
        <v>82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109</v>
      </c>
      <c r="DT401">
        <v>160</v>
      </c>
      <c r="DU401">
        <v>40</v>
      </c>
      <c r="DV401">
        <v>0</v>
      </c>
      <c r="DW401">
        <v>0</v>
      </c>
      <c r="DX401">
        <v>0</v>
      </c>
      <c r="DY401">
        <v>331</v>
      </c>
      <c r="DZ401">
        <v>357</v>
      </c>
      <c r="EA401">
        <v>611</v>
      </c>
      <c r="EB401">
        <v>1146</v>
      </c>
      <c r="EC401">
        <v>102</v>
      </c>
      <c r="ED401">
        <v>637</v>
      </c>
      <c r="EE401">
        <v>1910</v>
      </c>
      <c r="EF401">
        <v>0</v>
      </c>
      <c r="EG401">
        <v>1</v>
      </c>
      <c r="EH401">
        <v>1.1000000000000001</v>
      </c>
      <c r="EI401">
        <v>1.9</v>
      </c>
      <c r="EJ401">
        <v>0.2</v>
      </c>
      <c r="EK401">
        <v>1.2</v>
      </c>
    </row>
    <row r="402" spans="1:141" x14ac:dyDescent="0.25">
      <c r="A402" t="str">
        <f>[1]ingredient!B402</f>
        <v>Steinpilz</v>
      </c>
      <c r="B402" t="s">
        <v>457</v>
      </c>
      <c r="C402" s="7">
        <f>_xlfn.XLOOKUP(A402,[1]ingredient!$B$2:$B$521,[1]ingredient!$A$2:$A$521)</f>
        <v>401</v>
      </c>
      <c r="D402">
        <v>20</v>
      </c>
      <c r="E402">
        <v>0.4</v>
      </c>
      <c r="F402">
        <v>4</v>
      </c>
      <c r="G402">
        <v>1</v>
      </c>
      <c r="H402">
        <v>7</v>
      </c>
      <c r="I402">
        <v>0.11</v>
      </c>
      <c r="J402">
        <v>0.04</v>
      </c>
      <c r="K402">
        <v>88</v>
      </c>
      <c r="L402">
        <v>1</v>
      </c>
      <c r="M402">
        <v>1</v>
      </c>
      <c r="N402">
        <v>0</v>
      </c>
      <c r="O402">
        <v>6</v>
      </c>
      <c r="P402">
        <v>33</v>
      </c>
      <c r="Q402">
        <v>370</v>
      </c>
      <c r="R402">
        <v>4900</v>
      </c>
      <c r="S402">
        <v>9350</v>
      </c>
      <c r="T402">
        <v>2700</v>
      </c>
      <c r="U402">
        <v>30</v>
      </c>
      <c r="V402">
        <v>15</v>
      </c>
      <c r="W402">
        <v>25</v>
      </c>
      <c r="X402">
        <v>0</v>
      </c>
      <c r="Y402">
        <v>2500</v>
      </c>
      <c r="Z402">
        <v>3</v>
      </c>
      <c r="AA402">
        <v>158</v>
      </c>
      <c r="AB402">
        <v>15</v>
      </c>
      <c r="AC402">
        <v>6</v>
      </c>
      <c r="AD402">
        <v>341</v>
      </c>
      <c r="AE402">
        <v>23</v>
      </c>
      <c r="AF402">
        <v>12</v>
      </c>
      <c r="AG402">
        <v>85</v>
      </c>
      <c r="AH402">
        <v>20</v>
      </c>
      <c r="AI402">
        <v>30</v>
      </c>
      <c r="AJ402">
        <v>1000</v>
      </c>
      <c r="AK402">
        <v>700</v>
      </c>
      <c r="AL402">
        <v>230</v>
      </c>
      <c r="AM402">
        <v>170</v>
      </c>
      <c r="AN402">
        <v>60</v>
      </c>
      <c r="AO402">
        <v>10</v>
      </c>
      <c r="AP402">
        <v>423</v>
      </c>
      <c r="AQ402">
        <v>0</v>
      </c>
      <c r="AR402">
        <v>0</v>
      </c>
      <c r="AS402">
        <v>423</v>
      </c>
      <c r="AT402">
        <v>64</v>
      </c>
      <c r="AU402">
        <v>27</v>
      </c>
      <c r="AV402">
        <v>0</v>
      </c>
      <c r="AW402">
        <v>91</v>
      </c>
      <c r="AX402">
        <v>16</v>
      </c>
      <c r="AY402">
        <v>0</v>
      </c>
      <c r="AZ402">
        <v>0</v>
      </c>
      <c r="BA402">
        <v>16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f t="shared" si="53"/>
        <v>30</v>
      </c>
      <c r="BH402">
        <v>36</v>
      </c>
      <c r="BI402">
        <v>155</v>
      </c>
      <c r="BJ402">
        <v>245</v>
      </c>
      <c r="BK402">
        <v>72</v>
      </c>
      <c r="BL402">
        <v>367</v>
      </c>
      <c r="BM402">
        <v>130</v>
      </c>
      <c r="BN402">
        <v>155</v>
      </c>
      <c r="BO402">
        <v>141</v>
      </c>
      <c r="BP402">
        <v>267</v>
      </c>
      <c r="BQ402">
        <v>101</v>
      </c>
      <c r="BR402">
        <v>331</v>
      </c>
      <c r="BS402">
        <v>281</v>
      </c>
      <c r="BT402">
        <v>2281</v>
      </c>
      <c r="BU402">
        <v>180</v>
      </c>
      <c r="BV402">
        <v>166</v>
      </c>
      <c r="BW402">
        <v>249</v>
      </c>
      <c r="BX402">
        <v>97</v>
      </c>
      <c r="BY402">
        <v>198</v>
      </c>
      <c r="BZ402">
        <v>108</v>
      </c>
      <c r="CA402">
        <v>998</v>
      </c>
      <c r="CB402">
        <v>80</v>
      </c>
      <c r="CC402">
        <v>33</v>
      </c>
      <c r="CD402">
        <v>178</v>
      </c>
      <c r="CE402">
        <v>42</v>
      </c>
      <c r="CF402">
        <v>0.24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1</v>
      </c>
      <c r="CM402">
        <v>0</v>
      </c>
      <c r="CN402">
        <v>88</v>
      </c>
      <c r="CO402">
        <v>0</v>
      </c>
      <c r="CP402">
        <v>6</v>
      </c>
      <c r="CQ402">
        <v>0</v>
      </c>
      <c r="CR402">
        <v>0</v>
      </c>
      <c r="CS402">
        <v>0</v>
      </c>
      <c r="CT402">
        <v>95</v>
      </c>
      <c r="CU402">
        <v>0</v>
      </c>
      <c r="CV402">
        <v>0</v>
      </c>
      <c r="CW402">
        <v>1</v>
      </c>
      <c r="CX402">
        <v>0</v>
      </c>
      <c r="CY402">
        <v>4</v>
      </c>
      <c r="CZ402">
        <v>0</v>
      </c>
      <c r="DA402">
        <v>0</v>
      </c>
      <c r="DB402">
        <v>0</v>
      </c>
      <c r="DC402">
        <v>5</v>
      </c>
      <c r="DD402">
        <v>0</v>
      </c>
      <c r="DE402">
        <v>0</v>
      </c>
      <c r="DF402">
        <v>42</v>
      </c>
      <c r="DG402">
        <v>178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220</v>
      </c>
      <c r="DT402">
        <v>320</v>
      </c>
      <c r="DU402">
        <v>80</v>
      </c>
      <c r="DV402">
        <v>0</v>
      </c>
      <c r="DW402">
        <v>0</v>
      </c>
      <c r="DX402">
        <v>0</v>
      </c>
      <c r="DY402">
        <v>0</v>
      </c>
      <c r="DZ402">
        <v>2825</v>
      </c>
      <c r="EA402">
        <v>69</v>
      </c>
      <c r="EB402">
        <v>3927</v>
      </c>
      <c r="EC402">
        <v>69</v>
      </c>
      <c r="ED402">
        <v>1309</v>
      </c>
      <c r="EE402">
        <v>5581</v>
      </c>
      <c r="EF402">
        <v>0</v>
      </c>
      <c r="EG402">
        <v>0.06</v>
      </c>
      <c r="EH402">
        <v>0.8</v>
      </c>
      <c r="EI402">
        <v>5.6</v>
      </c>
      <c r="EJ402">
        <v>0.4</v>
      </c>
      <c r="EK402">
        <v>3.5</v>
      </c>
    </row>
    <row r="403" spans="1:141" x14ac:dyDescent="0.25">
      <c r="A403" t="str">
        <f>[1]ingredient!B403</f>
        <v>Sternanis</v>
      </c>
      <c r="C403" s="7">
        <f>_xlfn.XLOOKUP(A403,[1]ingredient!$B$2:$B$521,[1]ingredient!$A$2:$A$521)</f>
        <v>402</v>
      </c>
      <c r="D403">
        <v>270</v>
      </c>
      <c r="E403">
        <v>8.4</v>
      </c>
      <c r="F403">
        <v>4.4000000000000004</v>
      </c>
      <c r="G403">
        <v>50</v>
      </c>
      <c r="H403">
        <v>54</v>
      </c>
      <c r="I403">
        <v>34</v>
      </c>
      <c r="BG403">
        <f t="shared" si="53"/>
        <v>0</v>
      </c>
      <c r="CT403">
        <v>2.2999999999999998</v>
      </c>
    </row>
    <row r="404" spans="1:141" x14ac:dyDescent="0.25">
      <c r="A404" t="str">
        <f>[1]ingredient!B404</f>
        <v>Süßkartoffeln orange</v>
      </c>
      <c r="B404" t="s">
        <v>458</v>
      </c>
      <c r="C404" s="7">
        <f>_xlfn.XLOOKUP(A404,[1]ingredient!$B$2:$B$521,[1]ingredient!$A$2:$A$521)</f>
        <v>403</v>
      </c>
      <c r="D404">
        <v>111</v>
      </c>
      <c r="E404">
        <v>1</v>
      </c>
      <c r="F404">
        <v>2</v>
      </c>
      <c r="G404">
        <v>24</v>
      </c>
      <c r="H404">
        <v>3</v>
      </c>
      <c r="I404">
        <v>5</v>
      </c>
      <c r="J404">
        <v>0.05</v>
      </c>
      <c r="K404">
        <v>69</v>
      </c>
      <c r="L404">
        <v>1314</v>
      </c>
      <c r="M404">
        <v>657</v>
      </c>
      <c r="N404">
        <v>0</v>
      </c>
      <c r="O404">
        <v>7887</v>
      </c>
      <c r="P404">
        <v>64</v>
      </c>
      <c r="Q404">
        <v>50</v>
      </c>
      <c r="R404">
        <v>600</v>
      </c>
      <c r="S404">
        <v>1100</v>
      </c>
      <c r="T404">
        <v>830</v>
      </c>
      <c r="U404">
        <v>270</v>
      </c>
      <c r="V404">
        <v>4</v>
      </c>
      <c r="W404">
        <v>12</v>
      </c>
      <c r="X404">
        <v>0</v>
      </c>
      <c r="Y404">
        <v>30000</v>
      </c>
      <c r="Z404">
        <v>0</v>
      </c>
      <c r="AA404">
        <v>4560</v>
      </c>
      <c r="AB404">
        <v>0</v>
      </c>
      <c r="AC404">
        <v>4</v>
      </c>
      <c r="AD404">
        <v>360</v>
      </c>
      <c r="AE404">
        <v>22</v>
      </c>
      <c r="AF404">
        <v>18</v>
      </c>
      <c r="AG404">
        <v>39</v>
      </c>
      <c r="AH404">
        <v>16</v>
      </c>
      <c r="AI404">
        <v>46</v>
      </c>
      <c r="AJ404">
        <v>664</v>
      </c>
      <c r="AK404">
        <v>230</v>
      </c>
      <c r="AL404">
        <v>130</v>
      </c>
      <c r="AM404">
        <v>240</v>
      </c>
      <c r="AN404">
        <v>17</v>
      </c>
      <c r="AO404">
        <v>2</v>
      </c>
      <c r="AP404">
        <v>0</v>
      </c>
      <c r="AQ404">
        <v>0</v>
      </c>
      <c r="AR404">
        <v>0</v>
      </c>
      <c r="AS404">
        <v>0</v>
      </c>
      <c r="AT404">
        <v>786</v>
      </c>
      <c r="AU404">
        <v>655</v>
      </c>
      <c r="AV404">
        <v>0</v>
      </c>
      <c r="AW404">
        <v>1441</v>
      </c>
      <c r="AX404">
        <v>3176</v>
      </c>
      <c r="AY404">
        <v>0</v>
      </c>
      <c r="AZ404">
        <v>0</v>
      </c>
      <c r="BA404">
        <v>3176</v>
      </c>
      <c r="BB404">
        <v>0</v>
      </c>
      <c r="BC404">
        <v>0</v>
      </c>
      <c r="BD404">
        <v>0</v>
      </c>
      <c r="BE404">
        <v>19463</v>
      </c>
      <c r="BF404">
        <v>19463</v>
      </c>
      <c r="BG404">
        <f t="shared" si="53"/>
        <v>72.916666666666657</v>
      </c>
      <c r="BH404">
        <v>72</v>
      </c>
      <c r="BI404">
        <v>89</v>
      </c>
      <c r="BJ404">
        <v>70</v>
      </c>
      <c r="BK404">
        <v>30</v>
      </c>
      <c r="BL404">
        <v>26</v>
      </c>
      <c r="BM404">
        <v>84</v>
      </c>
      <c r="BN404">
        <v>75</v>
      </c>
      <c r="BO404">
        <v>72</v>
      </c>
      <c r="BP404">
        <v>30</v>
      </c>
      <c r="BQ404">
        <v>116</v>
      </c>
      <c r="BR404">
        <v>69</v>
      </c>
      <c r="BS404">
        <v>31</v>
      </c>
      <c r="BT404">
        <v>764</v>
      </c>
      <c r="BU404">
        <v>108</v>
      </c>
      <c r="BV404">
        <v>302</v>
      </c>
      <c r="BW404">
        <v>194</v>
      </c>
      <c r="BX404">
        <v>86</v>
      </c>
      <c r="BY404">
        <v>82</v>
      </c>
      <c r="BZ404">
        <v>96</v>
      </c>
      <c r="CA404">
        <v>868</v>
      </c>
      <c r="CB404">
        <v>14</v>
      </c>
      <c r="CC404">
        <v>6</v>
      </c>
      <c r="CD404">
        <v>36</v>
      </c>
      <c r="CE404">
        <v>170</v>
      </c>
      <c r="CF404">
        <v>4.72</v>
      </c>
      <c r="CG404">
        <v>0</v>
      </c>
      <c r="CH404">
        <v>0</v>
      </c>
      <c r="CI404">
        <v>0</v>
      </c>
      <c r="CJ404">
        <v>7</v>
      </c>
      <c r="CK404">
        <v>26</v>
      </c>
      <c r="CL404">
        <v>3</v>
      </c>
      <c r="CM404">
        <v>0</v>
      </c>
      <c r="CN404">
        <v>169</v>
      </c>
      <c r="CO404">
        <v>7</v>
      </c>
      <c r="CP404">
        <v>17</v>
      </c>
      <c r="CQ404">
        <v>6</v>
      </c>
      <c r="CR404">
        <v>0</v>
      </c>
      <c r="CS404">
        <v>0</v>
      </c>
      <c r="CT404">
        <v>235</v>
      </c>
      <c r="CU404">
        <v>0</v>
      </c>
      <c r="CV404">
        <v>0</v>
      </c>
      <c r="CW404">
        <v>7</v>
      </c>
      <c r="CX404">
        <v>0</v>
      </c>
      <c r="CY404">
        <v>32</v>
      </c>
      <c r="CZ404">
        <v>0</v>
      </c>
      <c r="DA404">
        <v>0</v>
      </c>
      <c r="DB404">
        <v>0</v>
      </c>
      <c r="DC404">
        <v>39</v>
      </c>
      <c r="DD404">
        <v>0</v>
      </c>
      <c r="DE404">
        <v>0</v>
      </c>
      <c r="DF404">
        <v>170</v>
      </c>
      <c r="DG404">
        <v>36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206</v>
      </c>
      <c r="DT404">
        <v>473</v>
      </c>
      <c r="DU404">
        <v>120</v>
      </c>
      <c r="DV404">
        <v>0</v>
      </c>
      <c r="DW404">
        <v>0</v>
      </c>
      <c r="DX404">
        <v>7</v>
      </c>
      <c r="DY404">
        <v>443</v>
      </c>
      <c r="DZ404">
        <v>1034</v>
      </c>
      <c r="EA404">
        <v>443</v>
      </c>
      <c r="EB404">
        <v>975</v>
      </c>
      <c r="EC404">
        <v>245</v>
      </c>
      <c r="ED404">
        <v>1630</v>
      </c>
      <c r="EE404">
        <v>1510</v>
      </c>
      <c r="EF404">
        <v>0</v>
      </c>
      <c r="EG404">
        <v>0.49</v>
      </c>
      <c r="EH404">
        <v>1.1000000000000001</v>
      </c>
      <c r="EI404">
        <v>1.5</v>
      </c>
      <c r="EJ404">
        <v>0.6</v>
      </c>
      <c r="EK404">
        <v>1.7</v>
      </c>
    </row>
    <row r="405" spans="1:141" x14ac:dyDescent="0.25">
      <c r="A405" t="str">
        <f>[1]ingredient!B405</f>
        <v>Süßkartoffeln violett</v>
      </c>
      <c r="B405" t="s">
        <v>458</v>
      </c>
      <c r="C405" s="7">
        <f>_xlfn.XLOOKUP(A405,[1]ingredient!$B$2:$B$521,[1]ingredient!$A$2:$A$521)</f>
        <v>404</v>
      </c>
      <c r="D405">
        <v>111</v>
      </c>
      <c r="E405">
        <v>1</v>
      </c>
      <c r="F405">
        <v>2</v>
      </c>
      <c r="G405">
        <v>24</v>
      </c>
      <c r="H405">
        <v>3</v>
      </c>
      <c r="I405">
        <v>5</v>
      </c>
      <c r="J405">
        <v>0.05</v>
      </c>
      <c r="K405">
        <v>69</v>
      </c>
      <c r="L405">
        <v>1314</v>
      </c>
      <c r="M405">
        <v>657</v>
      </c>
      <c r="N405">
        <v>0</v>
      </c>
      <c r="O405">
        <v>7887</v>
      </c>
      <c r="P405">
        <v>64</v>
      </c>
      <c r="Q405">
        <v>50</v>
      </c>
      <c r="R405">
        <v>600</v>
      </c>
      <c r="S405">
        <v>1100</v>
      </c>
      <c r="T405">
        <v>830</v>
      </c>
      <c r="U405">
        <v>270</v>
      </c>
      <c r="V405">
        <v>4</v>
      </c>
      <c r="W405">
        <v>12</v>
      </c>
      <c r="X405">
        <v>0</v>
      </c>
      <c r="Y405">
        <v>30000</v>
      </c>
      <c r="Z405">
        <v>0</v>
      </c>
      <c r="AA405">
        <v>4560</v>
      </c>
      <c r="AB405">
        <v>0</v>
      </c>
      <c r="AC405">
        <v>4</v>
      </c>
      <c r="AD405">
        <v>360</v>
      </c>
      <c r="AE405">
        <v>22</v>
      </c>
      <c r="AF405">
        <v>18</v>
      </c>
      <c r="AG405">
        <v>39</v>
      </c>
      <c r="AH405">
        <v>16</v>
      </c>
      <c r="AI405">
        <v>46</v>
      </c>
      <c r="AJ405">
        <v>664</v>
      </c>
      <c r="AK405">
        <v>230</v>
      </c>
      <c r="AL405">
        <v>130</v>
      </c>
      <c r="AM405">
        <v>240</v>
      </c>
      <c r="AN405">
        <v>17</v>
      </c>
      <c r="AO405">
        <v>2</v>
      </c>
      <c r="AP405">
        <v>0</v>
      </c>
      <c r="AQ405">
        <v>0</v>
      </c>
      <c r="AR405">
        <v>0</v>
      </c>
      <c r="AS405">
        <v>0</v>
      </c>
      <c r="AT405">
        <v>786</v>
      </c>
      <c r="AU405">
        <v>655</v>
      </c>
      <c r="AV405">
        <v>0</v>
      </c>
      <c r="AW405">
        <v>1441</v>
      </c>
      <c r="AX405">
        <v>3176</v>
      </c>
      <c r="AY405">
        <v>0</v>
      </c>
      <c r="AZ405">
        <v>0</v>
      </c>
      <c r="BA405">
        <v>3176</v>
      </c>
      <c r="BB405">
        <v>0</v>
      </c>
      <c r="BC405">
        <v>0</v>
      </c>
      <c r="BD405">
        <v>0</v>
      </c>
      <c r="BE405">
        <v>19463</v>
      </c>
      <c r="BF405">
        <v>19463</v>
      </c>
      <c r="BG405">
        <f t="shared" ref="BG405:BG470" si="61">IF($F405=0,"0",MIN(
BH405/(30*$F405),
BI405/(61*$F405),
BJ405/(48*$F405),
(BK405+BL405)/(23*$F405),
(BM405+BN405)/(41*$F405),
BO405/(25*$F405),
BP405/(6.6*$F405),
BQ405/(40*$F405),
BS405/(16*$F405)
)*100)</f>
        <v>72.916666666666657</v>
      </c>
      <c r="BH405">
        <v>72</v>
      </c>
      <c r="BI405">
        <v>89</v>
      </c>
      <c r="BJ405">
        <v>70</v>
      </c>
      <c r="BK405">
        <v>30</v>
      </c>
      <c r="BL405">
        <v>26</v>
      </c>
      <c r="BM405">
        <v>84</v>
      </c>
      <c r="BN405">
        <v>75</v>
      </c>
      <c r="BO405">
        <v>72</v>
      </c>
      <c r="BP405">
        <v>30</v>
      </c>
      <c r="BQ405">
        <v>116</v>
      </c>
      <c r="BR405">
        <v>69</v>
      </c>
      <c r="BS405">
        <v>31</v>
      </c>
      <c r="BT405">
        <v>764</v>
      </c>
      <c r="BU405">
        <v>108</v>
      </c>
      <c r="BV405">
        <v>302</v>
      </c>
      <c r="BW405">
        <v>194</v>
      </c>
      <c r="BX405">
        <v>86</v>
      </c>
      <c r="BY405">
        <v>82</v>
      </c>
      <c r="BZ405">
        <v>96</v>
      </c>
      <c r="CA405">
        <v>868</v>
      </c>
      <c r="CB405">
        <v>14</v>
      </c>
      <c r="CC405">
        <v>6</v>
      </c>
      <c r="CD405">
        <v>36</v>
      </c>
      <c r="CE405">
        <v>170</v>
      </c>
      <c r="CF405">
        <v>4.72</v>
      </c>
      <c r="CG405">
        <v>0</v>
      </c>
      <c r="CH405">
        <v>0</v>
      </c>
      <c r="CI405">
        <v>0</v>
      </c>
      <c r="CJ405">
        <v>7</v>
      </c>
      <c r="CK405">
        <v>26</v>
      </c>
      <c r="CL405">
        <v>3</v>
      </c>
      <c r="CM405">
        <v>0</v>
      </c>
      <c r="CN405">
        <v>169</v>
      </c>
      <c r="CO405">
        <v>7</v>
      </c>
      <c r="CP405">
        <v>17</v>
      </c>
      <c r="CQ405">
        <v>6</v>
      </c>
      <c r="CR405">
        <v>0</v>
      </c>
      <c r="CS405">
        <v>0</v>
      </c>
      <c r="CT405">
        <v>235</v>
      </c>
      <c r="CU405">
        <v>0</v>
      </c>
      <c r="CV405">
        <v>0</v>
      </c>
      <c r="CW405">
        <v>7</v>
      </c>
      <c r="CX405">
        <v>0</v>
      </c>
      <c r="CY405">
        <v>32</v>
      </c>
      <c r="CZ405">
        <v>0</v>
      </c>
      <c r="DA405">
        <v>0</v>
      </c>
      <c r="DB405">
        <v>0</v>
      </c>
      <c r="DC405">
        <v>39</v>
      </c>
      <c r="DD405">
        <v>0</v>
      </c>
      <c r="DE405">
        <v>0</v>
      </c>
      <c r="DF405">
        <v>170</v>
      </c>
      <c r="DG405">
        <v>36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206</v>
      </c>
      <c r="DT405">
        <v>473</v>
      </c>
      <c r="DU405">
        <v>120</v>
      </c>
      <c r="DV405">
        <v>0</v>
      </c>
      <c r="DW405">
        <v>0</v>
      </c>
      <c r="DX405">
        <v>7</v>
      </c>
      <c r="DY405">
        <v>443</v>
      </c>
      <c r="DZ405">
        <v>1034</v>
      </c>
      <c r="EA405">
        <v>443</v>
      </c>
      <c r="EB405">
        <v>975</v>
      </c>
      <c r="EC405">
        <v>245</v>
      </c>
      <c r="ED405">
        <v>1630</v>
      </c>
      <c r="EE405">
        <v>1510</v>
      </c>
      <c r="EF405">
        <v>0</v>
      </c>
      <c r="EG405">
        <v>0.49</v>
      </c>
      <c r="EH405">
        <v>1.1000000000000001</v>
      </c>
      <c r="EI405">
        <v>1.5</v>
      </c>
      <c r="EJ405">
        <v>0.6</v>
      </c>
      <c r="EK405">
        <v>1.7</v>
      </c>
    </row>
    <row r="406" spans="1:141" x14ac:dyDescent="0.25">
      <c r="A406" t="str">
        <f>[1]ingredient!B406</f>
        <v>Szechuanpfeffer</v>
      </c>
      <c r="B406" t="s">
        <v>388</v>
      </c>
      <c r="C406" s="7">
        <f>_xlfn.XLOOKUP(A406,[1]ingredient!$B$2:$B$521,[1]ingredient!$A$2:$A$521)</f>
        <v>405</v>
      </c>
      <c r="D406">
        <v>285</v>
      </c>
      <c r="E406">
        <v>3</v>
      </c>
      <c r="F406">
        <v>11</v>
      </c>
      <c r="G406">
        <v>52</v>
      </c>
      <c r="H406">
        <v>13</v>
      </c>
      <c r="I406">
        <v>49</v>
      </c>
      <c r="J406">
        <v>0.1</v>
      </c>
      <c r="K406">
        <v>16</v>
      </c>
      <c r="L406">
        <v>19</v>
      </c>
      <c r="M406">
        <v>10</v>
      </c>
      <c r="N406">
        <v>0</v>
      </c>
      <c r="O406">
        <v>115</v>
      </c>
      <c r="P406">
        <v>110</v>
      </c>
      <c r="Q406">
        <v>240</v>
      </c>
      <c r="R406">
        <v>1100</v>
      </c>
      <c r="S406">
        <v>3100</v>
      </c>
      <c r="T406">
        <v>500</v>
      </c>
      <c r="U406">
        <v>200</v>
      </c>
      <c r="V406">
        <v>10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44</v>
      </c>
      <c r="AD406">
        <v>1260</v>
      </c>
      <c r="AE406">
        <v>430</v>
      </c>
      <c r="AF406">
        <v>190</v>
      </c>
      <c r="AG406">
        <v>170</v>
      </c>
      <c r="AH406">
        <v>99</v>
      </c>
      <c r="AI406">
        <v>60</v>
      </c>
      <c r="AJ406">
        <v>11200</v>
      </c>
      <c r="AK406">
        <v>1400</v>
      </c>
      <c r="AL406">
        <v>1130</v>
      </c>
      <c r="AM406">
        <v>6500</v>
      </c>
      <c r="AN406">
        <v>50</v>
      </c>
      <c r="AO406">
        <v>5</v>
      </c>
      <c r="AP406">
        <v>0</v>
      </c>
      <c r="AQ406">
        <v>0</v>
      </c>
      <c r="AR406">
        <v>0</v>
      </c>
      <c r="AS406">
        <v>0</v>
      </c>
      <c r="AT406">
        <v>26000</v>
      </c>
      <c r="AU406">
        <v>21320</v>
      </c>
      <c r="AV406">
        <v>0</v>
      </c>
      <c r="AW406">
        <v>47320</v>
      </c>
      <c r="AX406">
        <v>2080</v>
      </c>
      <c r="AY406">
        <v>0</v>
      </c>
      <c r="AZ406">
        <v>0</v>
      </c>
      <c r="BA406">
        <v>2080</v>
      </c>
      <c r="BB406">
        <v>0</v>
      </c>
      <c r="BC406">
        <v>0</v>
      </c>
      <c r="BD406">
        <v>0</v>
      </c>
      <c r="BE406">
        <v>2600</v>
      </c>
      <c r="BF406">
        <v>2600</v>
      </c>
      <c r="BG406">
        <f t="shared" si="61"/>
        <v>88.825757575757578</v>
      </c>
      <c r="BH406">
        <v>436</v>
      </c>
      <c r="BI406">
        <v>839</v>
      </c>
      <c r="BJ406">
        <v>469</v>
      </c>
      <c r="BK406">
        <v>131</v>
      </c>
      <c r="BL406">
        <v>131</v>
      </c>
      <c r="BM406">
        <v>349</v>
      </c>
      <c r="BN406">
        <v>316</v>
      </c>
      <c r="BO406">
        <v>403</v>
      </c>
      <c r="BP406">
        <v>120</v>
      </c>
      <c r="BQ406">
        <v>632</v>
      </c>
      <c r="BR406">
        <v>1210</v>
      </c>
      <c r="BS406">
        <v>240</v>
      </c>
      <c r="BT406">
        <v>5276</v>
      </c>
      <c r="BU406">
        <v>578</v>
      </c>
      <c r="BV406">
        <v>1123</v>
      </c>
      <c r="BW406">
        <v>2331</v>
      </c>
      <c r="BX406">
        <v>643</v>
      </c>
      <c r="BY406">
        <v>556</v>
      </c>
      <c r="BZ406">
        <v>338</v>
      </c>
      <c r="CA406">
        <v>5569</v>
      </c>
      <c r="CB406">
        <v>50</v>
      </c>
      <c r="CC406">
        <v>21</v>
      </c>
      <c r="CD406">
        <v>143</v>
      </c>
      <c r="CE406">
        <v>853</v>
      </c>
      <c r="CF406">
        <v>5.97</v>
      </c>
      <c r="CG406">
        <v>0</v>
      </c>
      <c r="CH406">
        <v>0</v>
      </c>
      <c r="CI406">
        <v>0</v>
      </c>
      <c r="CJ406">
        <v>0</v>
      </c>
      <c r="CK406">
        <v>25</v>
      </c>
      <c r="CL406">
        <v>44</v>
      </c>
      <c r="CM406">
        <v>0</v>
      </c>
      <c r="CN406">
        <v>791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860</v>
      </c>
      <c r="CU406">
        <v>0</v>
      </c>
      <c r="CV406">
        <v>0</v>
      </c>
      <c r="CW406">
        <v>0</v>
      </c>
      <c r="CX406">
        <v>0</v>
      </c>
      <c r="CY406">
        <v>890</v>
      </c>
      <c r="CZ406">
        <v>0</v>
      </c>
      <c r="DA406">
        <v>0</v>
      </c>
      <c r="DB406">
        <v>0</v>
      </c>
      <c r="DC406">
        <v>890</v>
      </c>
      <c r="DD406">
        <v>0</v>
      </c>
      <c r="DE406">
        <v>0</v>
      </c>
      <c r="DF406">
        <v>853</v>
      </c>
      <c r="DG406">
        <v>143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996</v>
      </c>
      <c r="DT406">
        <v>2746</v>
      </c>
      <c r="DU406">
        <v>554</v>
      </c>
      <c r="DV406">
        <v>0</v>
      </c>
      <c r="DW406">
        <v>0</v>
      </c>
      <c r="DX406">
        <v>0</v>
      </c>
      <c r="DY406">
        <v>2889</v>
      </c>
      <c r="DZ406">
        <v>2363</v>
      </c>
      <c r="EA406">
        <v>2626</v>
      </c>
      <c r="EB406">
        <v>2626</v>
      </c>
      <c r="EC406">
        <v>2626</v>
      </c>
      <c r="ED406">
        <v>3939</v>
      </c>
      <c r="EE406">
        <v>9191</v>
      </c>
      <c r="EF406">
        <v>0</v>
      </c>
      <c r="EG406">
        <v>0.02</v>
      </c>
      <c r="EH406">
        <v>4.3</v>
      </c>
      <c r="EI406">
        <v>9.1999999999999993</v>
      </c>
      <c r="EJ406">
        <v>3.3</v>
      </c>
      <c r="EK406">
        <v>11</v>
      </c>
    </row>
    <row r="407" spans="1:141" x14ac:dyDescent="0.25">
      <c r="A407" t="str">
        <f>[1]ingredient!B407</f>
        <v>Tabasco</v>
      </c>
      <c r="B407" t="s">
        <v>459</v>
      </c>
      <c r="C407" s="7">
        <f>_xlfn.XLOOKUP(A407,[1]ingredient!$B$2:$B$521,[1]ingredient!$A$2:$A$521)</f>
        <v>406</v>
      </c>
      <c r="D407">
        <v>70</v>
      </c>
      <c r="E407">
        <v>3</v>
      </c>
      <c r="F407">
        <v>2</v>
      </c>
      <c r="G407">
        <v>7</v>
      </c>
      <c r="H407">
        <v>5</v>
      </c>
      <c r="I407">
        <v>6</v>
      </c>
      <c r="J407">
        <v>20</v>
      </c>
      <c r="K407">
        <v>61</v>
      </c>
      <c r="L407">
        <v>833</v>
      </c>
      <c r="M407">
        <v>417</v>
      </c>
      <c r="N407">
        <v>0</v>
      </c>
      <c r="O407">
        <v>5000</v>
      </c>
      <c r="P407">
        <v>66</v>
      </c>
      <c r="Q407">
        <v>184</v>
      </c>
      <c r="R407">
        <v>1740</v>
      </c>
      <c r="S407">
        <v>2140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15200</v>
      </c>
      <c r="Z407">
        <v>0</v>
      </c>
      <c r="AA407">
        <v>0</v>
      </c>
      <c r="AB407">
        <v>0</v>
      </c>
      <c r="AC407">
        <v>7780</v>
      </c>
      <c r="AD407">
        <v>421</v>
      </c>
      <c r="AE407">
        <v>85</v>
      </c>
      <c r="AF407">
        <v>59</v>
      </c>
      <c r="AG407">
        <v>95</v>
      </c>
      <c r="AH407">
        <v>29</v>
      </c>
      <c r="AI407">
        <v>12030</v>
      </c>
      <c r="AJ407">
        <v>1685</v>
      </c>
      <c r="AK407">
        <v>566</v>
      </c>
      <c r="AL407">
        <v>202</v>
      </c>
      <c r="AM407">
        <v>191</v>
      </c>
      <c r="AN407">
        <v>98</v>
      </c>
      <c r="AO407">
        <v>6</v>
      </c>
      <c r="AP407">
        <v>0</v>
      </c>
      <c r="AQ407">
        <v>0</v>
      </c>
      <c r="AR407">
        <v>0</v>
      </c>
      <c r="AS407">
        <v>0</v>
      </c>
      <c r="AT407">
        <v>3260</v>
      </c>
      <c r="AU407">
        <v>2684</v>
      </c>
      <c r="AV407">
        <v>0</v>
      </c>
      <c r="AW407">
        <v>5944</v>
      </c>
      <c r="AX407">
        <v>256</v>
      </c>
      <c r="AY407">
        <v>0</v>
      </c>
      <c r="AZ407">
        <v>0</v>
      </c>
      <c r="BA407">
        <v>256</v>
      </c>
      <c r="BB407">
        <v>0</v>
      </c>
      <c r="BC407">
        <v>0</v>
      </c>
      <c r="BD407">
        <v>0</v>
      </c>
      <c r="BE407">
        <v>320</v>
      </c>
      <c r="BF407">
        <v>320</v>
      </c>
      <c r="BG407">
        <f t="shared" si="61"/>
        <v>99.180327868852459</v>
      </c>
      <c r="BH407">
        <v>73</v>
      </c>
      <c r="BI407">
        <v>121</v>
      </c>
      <c r="BJ407">
        <v>122</v>
      </c>
      <c r="BK407">
        <v>36</v>
      </c>
      <c r="BL407">
        <v>25</v>
      </c>
      <c r="BM407">
        <v>85</v>
      </c>
      <c r="BN407">
        <v>48</v>
      </c>
      <c r="BO407">
        <v>66</v>
      </c>
      <c r="BP407">
        <v>24</v>
      </c>
      <c r="BQ407">
        <v>98</v>
      </c>
      <c r="BR407">
        <v>112</v>
      </c>
      <c r="BS407">
        <v>37</v>
      </c>
      <c r="BT407">
        <v>847</v>
      </c>
      <c r="BU407">
        <v>146</v>
      </c>
      <c r="BV407">
        <v>360</v>
      </c>
      <c r="BW407">
        <v>344</v>
      </c>
      <c r="BX407">
        <v>97</v>
      </c>
      <c r="BY407">
        <v>90</v>
      </c>
      <c r="BZ407">
        <v>98</v>
      </c>
      <c r="CA407">
        <v>1135</v>
      </c>
      <c r="CB407">
        <v>30</v>
      </c>
      <c r="CC407">
        <v>13</v>
      </c>
      <c r="CD407">
        <v>127</v>
      </c>
      <c r="CE407">
        <v>1516</v>
      </c>
      <c r="CF407">
        <v>11.94</v>
      </c>
      <c r="CG407">
        <v>0</v>
      </c>
      <c r="CH407">
        <v>0</v>
      </c>
      <c r="CI407">
        <v>0</v>
      </c>
      <c r="CJ407">
        <v>6</v>
      </c>
      <c r="CK407">
        <v>6</v>
      </c>
      <c r="CL407">
        <v>20</v>
      </c>
      <c r="CM407">
        <v>0</v>
      </c>
      <c r="CN407">
        <v>515</v>
      </c>
      <c r="CO407">
        <v>0</v>
      </c>
      <c r="CP407">
        <v>99</v>
      </c>
      <c r="CQ407">
        <v>0</v>
      </c>
      <c r="CR407">
        <v>0</v>
      </c>
      <c r="CS407">
        <v>0</v>
      </c>
      <c r="CT407">
        <v>646</v>
      </c>
      <c r="CU407">
        <v>0</v>
      </c>
      <c r="CV407">
        <v>0</v>
      </c>
      <c r="CW407">
        <v>45</v>
      </c>
      <c r="CX407">
        <v>0</v>
      </c>
      <c r="CY407">
        <v>495</v>
      </c>
      <c r="CZ407">
        <v>0</v>
      </c>
      <c r="DA407">
        <v>0</v>
      </c>
      <c r="DB407">
        <v>0</v>
      </c>
      <c r="DC407">
        <v>540</v>
      </c>
      <c r="DD407">
        <v>0</v>
      </c>
      <c r="DE407">
        <v>0</v>
      </c>
      <c r="DF407">
        <v>1516</v>
      </c>
      <c r="DG407">
        <v>127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1643</v>
      </c>
      <c r="DT407">
        <v>2823</v>
      </c>
      <c r="DU407">
        <v>571</v>
      </c>
      <c r="DV407">
        <v>0</v>
      </c>
      <c r="DW407">
        <v>0</v>
      </c>
      <c r="DX407">
        <v>6</v>
      </c>
      <c r="DY407">
        <v>1096</v>
      </c>
      <c r="DZ407">
        <v>896</v>
      </c>
      <c r="EA407">
        <v>996</v>
      </c>
      <c r="EB407">
        <v>996</v>
      </c>
      <c r="EC407">
        <v>996</v>
      </c>
      <c r="ED407">
        <v>1494</v>
      </c>
      <c r="EE407">
        <v>3486</v>
      </c>
      <c r="EF407">
        <v>0</v>
      </c>
      <c r="EG407">
        <v>1</v>
      </c>
      <c r="EH407">
        <v>21.1</v>
      </c>
      <c r="EI407">
        <v>3.5</v>
      </c>
      <c r="EJ407">
        <v>3.4</v>
      </c>
      <c r="EK407">
        <v>2.1</v>
      </c>
    </row>
    <row r="408" spans="1:141" x14ac:dyDescent="0.25">
      <c r="A408" t="str">
        <f>[1]ingredient!B408</f>
        <v>Tahini</v>
      </c>
      <c r="B408" t="s">
        <v>460</v>
      </c>
      <c r="C408" s="7">
        <f>_xlfn.XLOOKUP(A408,[1]ingredient!$B$2:$B$521,[1]ingredient!$A$2:$A$521)</f>
        <v>407</v>
      </c>
      <c r="D408">
        <v>583</v>
      </c>
      <c r="E408">
        <v>48</v>
      </c>
      <c r="F408">
        <v>18</v>
      </c>
      <c r="G408">
        <v>21</v>
      </c>
      <c r="H408">
        <v>5</v>
      </c>
      <c r="I408">
        <v>0.42</v>
      </c>
      <c r="J408">
        <v>0.17</v>
      </c>
      <c r="K408">
        <v>3</v>
      </c>
      <c r="L408">
        <v>0</v>
      </c>
      <c r="M408">
        <v>0</v>
      </c>
      <c r="N408">
        <v>0</v>
      </c>
      <c r="O408">
        <v>0</v>
      </c>
      <c r="P408">
        <v>1280</v>
      </c>
      <c r="Q408">
        <v>510</v>
      </c>
      <c r="R408">
        <v>5925</v>
      </c>
      <c r="S408">
        <v>10075</v>
      </c>
      <c r="T408">
        <v>50</v>
      </c>
      <c r="U408">
        <v>790</v>
      </c>
      <c r="V408">
        <v>20</v>
      </c>
      <c r="W408">
        <v>90</v>
      </c>
      <c r="X408">
        <v>0</v>
      </c>
      <c r="Y408">
        <v>0</v>
      </c>
      <c r="Z408">
        <v>0</v>
      </c>
      <c r="AA408">
        <v>4000</v>
      </c>
      <c r="AB408">
        <v>2</v>
      </c>
      <c r="AC408">
        <v>74</v>
      </c>
      <c r="AD408">
        <v>414</v>
      </c>
      <c r="AE408">
        <v>420</v>
      </c>
      <c r="AF408">
        <v>100</v>
      </c>
      <c r="AG408">
        <v>752</v>
      </c>
      <c r="AH408">
        <v>200</v>
      </c>
      <c r="AI408">
        <v>100</v>
      </c>
      <c r="AJ408">
        <v>2510</v>
      </c>
      <c r="AK408">
        <v>4640</v>
      </c>
      <c r="AL408">
        <v>1680</v>
      </c>
      <c r="AM408">
        <v>1200</v>
      </c>
      <c r="AN408">
        <v>30</v>
      </c>
      <c r="AO408">
        <v>5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424</v>
      </c>
      <c r="AY408">
        <v>0</v>
      </c>
      <c r="AZ408">
        <v>0</v>
      </c>
      <c r="BA408">
        <v>424</v>
      </c>
      <c r="BB408">
        <v>0</v>
      </c>
      <c r="BC408">
        <v>0</v>
      </c>
      <c r="BD408">
        <v>0</v>
      </c>
      <c r="BE408">
        <v>20766</v>
      </c>
      <c r="BF408">
        <v>20766</v>
      </c>
      <c r="BG408">
        <f t="shared" si="61"/>
        <v>59.722222222222221</v>
      </c>
      <c r="BH408">
        <v>677</v>
      </c>
      <c r="BI408">
        <v>1247</v>
      </c>
      <c r="BJ408">
        <v>516</v>
      </c>
      <c r="BK408">
        <v>534</v>
      </c>
      <c r="BL408">
        <v>338</v>
      </c>
      <c r="BM408">
        <v>837</v>
      </c>
      <c r="BN408">
        <v>588</v>
      </c>
      <c r="BO408">
        <v>677</v>
      </c>
      <c r="BP408">
        <v>249</v>
      </c>
      <c r="BQ408">
        <v>873</v>
      </c>
      <c r="BR408">
        <v>2244</v>
      </c>
      <c r="BS408">
        <v>463</v>
      </c>
      <c r="BT408">
        <v>9243</v>
      </c>
      <c r="BU408">
        <v>837</v>
      </c>
      <c r="BV408">
        <v>1514</v>
      </c>
      <c r="BW408">
        <v>3651</v>
      </c>
      <c r="BX408">
        <v>908</v>
      </c>
      <c r="BY408">
        <v>695</v>
      </c>
      <c r="BZ408">
        <v>873</v>
      </c>
      <c r="CA408">
        <v>8478</v>
      </c>
      <c r="CB408">
        <v>80</v>
      </c>
      <c r="CC408">
        <v>33</v>
      </c>
      <c r="CD408">
        <v>505</v>
      </c>
      <c r="CE408">
        <v>20741</v>
      </c>
      <c r="CF408">
        <v>41.07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92</v>
      </c>
      <c r="CM408">
        <v>0</v>
      </c>
      <c r="CN408">
        <v>4359</v>
      </c>
      <c r="CO408">
        <v>0</v>
      </c>
      <c r="CP408">
        <v>2019</v>
      </c>
      <c r="CQ408">
        <v>0</v>
      </c>
      <c r="CR408">
        <v>0</v>
      </c>
      <c r="CS408">
        <v>0</v>
      </c>
      <c r="CT408">
        <v>6470</v>
      </c>
      <c r="CU408">
        <v>0</v>
      </c>
      <c r="CV408">
        <v>0</v>
      </c>
      <c r="CW408">
        <v>138</v>
      </c>
      <c r="CX408">
        <v>0</v>
      </c>
      <c r="CY408">
        <v>17988</v>
      </c>
      <c r="CZ408">
        <v>46</v>
      </c>
      <c r="DA408">
        <v>0</v>
      </c>
      <c r="DB408">
        <v>0</v>
      </c>
      <c r="DC408">
        <v>18172</v>
      </c>
      <c r="DD408">
        <v>0</v>
      </c>
      <c r="DE408">
        <v>0</v>
      </c>
      <c r="DF408">
        <v>20741</v>
      </c>
      <c r="DG408">
        <v>321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184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21246</v>
      </c>
      <c r="DT408">
        <v>45888</v>
      </c>
      <c r="DU408">
        <v>2112</v>
      </c>
      <c r="DV408">
        <v>0</v>
      </c>
      <c r="DW408">
        <v>0</v>
      </c>
      <c r="DX408">
        <v>0</v>
      </c>
      <c r="DY408">
        <v>2250</v>
      </c>
      <c r="DZ408">
        <v>1500</v>
      </c>
      <c r="EA408">
        <v>250</v>
      </c>
      <c r="EB408">
        <v>750</v>
      </c>
      <c r="EC408">
        <v>250</v>
      </c>
      <c r="ED408">
        <v>600</v>
      </c>
      <c r="EE408">
        <v>4400</v>
      </c>
      <c r="EF408">
        <v>0</v>
      </c>
      <c r="EG408">
        <v>0</v>
      </c>
      <c r="EH408">
        <v>4.7</v>
      </c>
      <c r="EI408">
        <v>4.4000000000000004</v>
      </c>
      <c r="EJ408">
        <v>48</v>
      </c>
      <c r="EK408">
        <v>18</v>
      </c>
    </row>
    <row r="409" spans="1:141" x14ac:dyDescent="0.25">
      <c r="A409" t="str">
        <f>[1]ingredient!B409</f>
        <v>Tamari</v>
      </c>
      <c r="B409" t="s">
        <v>439</v>
      </c>
      <c r="C409" s="7">
        <f>_xlfn.XLOOKUP(A409,[1]ingredient!$B$2:$B$521,[1]ingredient!$A$2:$A$521)</f>
        <v>408</v>
      </c>
      <c r="D409">
        <v>108</v>
      </c>
      <c r="E409">
        <v>5</v>
      </c>
      <c r="F409">
        <v>10</v>
      </c>
      <c r="G409">
        <v>6</v>
      </c>
      <c r="H409">
        <v>4</v>
      </c>
      <c r="I409">
        <v>6</v>
      </c>
      <c r="J409">
        <v>3</v>
      </c>
      <c r="K409">
        <v>69</v>
      </c>
      <c r="L409">
        <v>19</v>
      </c>
      <c r="M409">
        <v>10</v>
      </c>
      <c r="N409">
        <v>0</v>
      </c>
      <c r="O409">
        <v>114</v>
      </c>
      <c r="P409">
        <v>378</v>
      </c>
      <c r="Q409">
        <v>70</v>
      </c>
      <c r="R409">
        <v>612</v>
      </c>
      <c r="S409">
        <v>2462</v>
      </c>
      <c r="T409">
        <v>461</v>
      </c>
      <c r="U409">
        <v>210</v>
      </c>
      <c r="V409">
        <v>15</v>
      </c>
      <c r="W409">
        <v>63</v>
      </c>
      <c r="X409">
        <v>0</v>
      </c>
      <c r="Y409">
        <v>1050</v>
      </c>
      <c r="Z409">
        <v>0</v>
      </c>
      <c r="AA409">
        <v>407</v>
      </c>
      <c r="AB409">
        <v>55</v>
      </c>
      <c r="AC409">
        <v>1177</v>
      </c>
      <c r="AD409">
        <v>577</v>
      </c>
      <c r="AE409">
        <v>77</v>
      </c>
      <c r="AF409">
        <v>68</v>
      </c>
      <c r="AG409">
        <v>169</v>
      </c>
      <c r="AH409">
        <v>54</v>
      </c>
      <c r="AI409">
        <v>1826</v>
      </c>
      <c r="AJ409">
        <v>3916</v>
      </c>
      <c r="AK409">
        <v>1343</v>
      </c>
      <c r="AL409">
        <v>432</v>
      </c>
      <c r="AM409">
        <v>1098</v>
      </c>
      <c r="AN409">
        <v>42</v>
      </c>
      <c r="AO409">
        <v>3</v>
      </c>
      <c r="AP409">
        <v>0</v>
      </c>
      <c r="AQ409">
        <v>0</v>
      </c>
      <c r="AR409">
        <v>0</v>
      </c>
      <c r="AS409">
        <v>0</v>
      </c>
      <c r="AT409">
        <v>168</v>
      </c>
      <c r="AU409">
        <v>168</v>
      </c>
      <c r="AV409">
        <v>0</v>
      </c>
      <c r="AW409">
        <v>336</v>
      </c>
      <c r="AX409">
        <v>5169</v>
      </c>
      <c r="AY409">
        <v>0</v>
      </c>
      <c r="AZ409">
        <v>0</v>
      </c>
      <c r="BA409">
        <v>5169</v>
      </c>
      <c r="BB409">
        <v>0</v>
      </c>
      <c r="BC409">
        <v>2252</v>
      </c>
      <c r="BD409">
        <v>0</v>
      </c>
      <c r="BE409">
        <v>5</v>
      </c>
      <c r="BF409">
        <v>5</v>
      </c>
      <c r="BG409">
        <f t="shared" si="61"/>
        <v>118.5</v>
      </c>
      <c r="BH409">
        <v>453</v>
      </c>
      <c r="BI409">
        <v>725</v>
      </c>
      <c r="BJ409">
        <v>624</v>
      </c>
      <c r="BK409">
        <v>131</v>
      </c>
      <c r="BL409">
        <v>161</v>
      </c>
      <c r="BM409">
        <v>453</v>
      </c>
      <c r="BN409">
        <v>352</v>
      </c>
      <c r="BO409">
        <v>393</v>
      </c>
      <c r="BP409">
        <v>111</v>
      </c>
      <c r="BQ409">
        <v>474</v>
      </c>
      <c r="BR409">
        <v>763</v>
      </c>
      <c r="BS409">
        <v>231</v>
      </c>
      <c r="BT409">
        <v>4871</v>
      </c>
      <c r="BU409">
        <v>413</v>
      </c>
      <c r="BV409">
        <v>1110</v>
      </c>
      <c r="BW409">
        <v>1931</v>
      </c>
      <c r="BX409">
        <v>412</v>
      </c>
      <c r="BY409">
        <v>563</v>
      </c>
      <c r="BZ409">
        <v>513</v>
      </c>
      <c r="CA409">
        <v>4942</v>
      </c>
      <c r="CB409">
        <v>96</v>
      </c>
      <c r="CC409">
        <v>40</v>
      </c>
      <c r="CD409">
        <v>368</v>
      </c>
      <c r="CE409">
        <v>2685</v>
      </c>
      <c r="CF409">
        <v>7.3</v>
      </c>
      <c r="CG409">
        <v>0</v>
      </c>
      <c r="CH409">
        <v>0</v>
      </c>
      <c r="CI409">
        <v>0</v>
      </c>
      <c r="CJ409">
        <v>0</v>
      </c>
      <c r="CK409">
        <v>6</v>
      </c>
      <c r="CL409">
        <v>10</v>
      </c>
      <c r="CM409">
        <v>0</v>
      </c>
      <c r="CN409">
        <v>519</v>
      </c>
      <c r="CO409">
        <v>0</v>
      </c>
      <c r="CP409">
        <v>178</v>
      </c>
      <c r="CQ409">
        <v>14</v>
      </c>
      <c r="CR409">
        <v>5</v>
      </c>
      <c r="CS409">
        <v>0</v>
      </c>
      <c r="CT409">
        <v>732</v>
      </c>
      <c r="CU409">
        <v>0</v>
      </c>
      <c r="CV409">
        <v>0</v>
      </c>
      <c r="CW409">
        <v>10</v>
      </c>
      <c r="CX409">
        <v>0</v>
      </c>
      <c r="CY409">
        <v>891</v>
      </c>
      <c r="CZ409">
        <v>9</v>
      </c>
      <c r="DA409">
        <v>0</v>
      </c>
      <c r="DB409">
        <v>0</v>
      </c>
      <c r="DC409">
        <v>910</v>
      </c>
      <c r="DD409">
        <v>0</v>
      </c>
      <c r="DE409">
        <v>0</v>
      </c>
      <c r="DF409">
        <v>2685</v>
      </c>
      <c r="DG409">
        <v>368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3053</v>
      </c>
      <c r="DT409">
        <v>4695</v>
      </c>
      <c r="DU409">
        <v>359</v>
      </c>
      <c r="DV409">
        <v>0</v>
      </c>
      <c r="DW409">
        <v>0</v>
      </c>
      <c r="DX409">
        <v>0</v>
      </c>
      <c r="DY409">
        <v>1079</v>
      </c>
      <c r="DZ409">
        <v>1571</v>
      </c>
      <c r="EA409">
        <v>624</v>
      </c>
      <c r="EB409">
        <v>1060</v>
      </c>
      <c r="EC409">
        <v>25</v>
      </c>
      <c r="ED409">
        <v>2156</v>
      </c>
      <c r="EE409">
        <v>2203</v>
      </c>
      <c r="EF409">
        <v>0</v>
      </c>
      <c r="EG409">
        <v>0.01</v>
      </c>
      <c r="EH409">
        <v>4.2</v>
      </c>
      <c r="EI409">
        <v>2.2000000000000002</v>
      </c>
      <c r="EJ409">
        <v>5.0999999999999996</v>
      </c>
      <c r="EK409">
        <v>10.1</v>
      </c>
    </row>
    <row r="410" spans="1:141" x14ac:dyDescent="0.25">
      <c r="A410" t="str">
        <f>[1]ingredient!B410</f>
        <v>Teff</v>
      </c>
      <c r="B410" t="s">
        <v>461</v>
      </c>
      <c r="C410" s="7">
        <f>_xlfn.XLOOKUP(A410,[1]ingredient!$B$2:$B$521,[1]ingredient!$A$2:$A$521)</f>
        <v>409</v>
      </c>
      <c r="D410">
        <v>346</v>
      </c>
      <c r="E410">
        <v>3</v>
      </c>
      <c r="F410">
        <v>11</v>
      </c>
      <c r="G410">
        <v>67</v>
      </c>
      <c r="H410">
        <v>6</v>
      </c>
      <c r="I410">
        <v>2</v>
      </c>
      <c r="J410">
        <v>0.1</v>
      </c>
      <c r="K410">
        <v>11</v>
      </c>
      <c r="L410">
        <v>0</v>
      </c>
      <c r="M410">
        <v>0</v>
      </c>
      <c r="N410">
        <v>0</v>
      </c>
      <c r="O410">
        <v>0</v>
      </c>
      <c r="P410">
        <v>300</v>
      </c>
      <c r="Q410">
        <v>100</v>
      </c>
      <c r="R410">
        <v>1800</v>
      </c>
      <c r="S410">
        <v>4600</v>
      </c>
      <c r="T410">
        <v>1200</v>
      </c>
      <c r="U410">
        <v>800</v>
      </c>
      <c r="V410">
        <v>1</v>
      </c>
      <c r="W410">
        <v>32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5</v>
      </c>
      <c r="AD410">
        <v>833</v>
      </c>
      <c r="AE410">
        <v>39</v>
      </c>
      <c r="AF410">
        <v>330</v>
      </c>
      <c r="AG410">
        <v>601</v>
      </c>
      <c r="AH410">
        <v>271</v>
      </c>
      <c r="AI410">
        <v>97</v>
      </c>
      <c r="AJ410">
        <v>17400</v>
      </c>
      <c r="AK410">
        <v>4300</v>
      </c>
      <c r="AL410">
        <v>900</v>
      </c>
      <c r="AM410">
        <v>1400</v>
      </c>
      <c r="AN410">
        <v>100</v>
      </c>
      <c r="AO410">
        <v>10</v>
      </c>
      <c r="AP410">
        <v>0</v>
      </c>
      <c r="AQ410">
        <v>0</v>
      </c>
      <c r="AR410">
        <v>0</v>
      </c>
      <c r="AS410">
        <v>0</v>
      </c>
      <c r="AT410">
        <v>1160</v>
      </c>
      <c r="AU410">
        <v>0</v>
      </c>
      <c r="AV410">
        <v>0</v>
      </c>
      <c r="AW410">
        <v>1160</v>
      </c>
      <c r="AX410">
        <v>900</v>
      </c>
      <c r="AY410">
        <v>0</v>
      </c>
      <c r="AZ410">
        <v>0</v>
      </c>
      <c r="BA410">
        <v>930</v>
      </c>
      <c r="BB410">
        <v>610</v>
      </c>
      <c r="BC410">
        <v>330</v>
      </c>
      <c r="BD410">
        <v>0</v>
      </c>
      <c r="BE410">
        <v>64000</v>
      </c>
      <c r="BF410">
        <v>0</v>
      </c>
      <c r="BG410">
        <f t="shared" si="61"/>
        <v>48.674242424242422</v>
      </c>
      <c r="BH410">
        <v>522</v>
      </c>
      <c r="BI410">
        <v>1301</v>
      </c>
      <c r="BJ410">
        <v>257</v>
      </c>
      <c r="BK410">
        <v>234</v>
      </c>
      <c r="BL410">
        <v>145</v>
      </c>
      <c r="BM410">
        <v>434</v>
      </c>
      <c r="BN410">
        <v>257</v>
      </c>
      <c r="BO410">
        <v>389</v>
      </c>
      <c r="BP410">
        <v>167</v>
      </c>
      <c r="BQ410">
        <v>578</v>
      </c>
      <c r="BR410">
        <v>345</v>
      </c>
      <c r="BS410">
        <v>189</v>
      </c>
      <c r="BT410">
        <v>4817</v>
      </c>
      <c r="BU410">
        <v>1267</v>
      </c>
      <c r="BV410">
        <v>601</v>
      </c>
      <c r="BW410">
        <v>2168</v>
      </c>
      <c r="BX410">
        <v>290</v>
      </c>
      <c r="BY410">
        <v>1034</v>
      </c>
      <c r="BZ410">
        <v>723</v>
      </c>
      <c r="CA410">
        <v>6083</v>
      </c>
      <c r="CB410">
        <v>66</v>
      </c>
      <c r="CC410">
        <v>22</v>
      </c>
      <c r="CD410">
        <v>100</v>
      </c>
      <c r="CE410">
        <v>1200</v>
      </c>
      <c r="CF410">
        <v>12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7</v>
      </c>
      <c r="CM410">
        <v>0</v>
      </c>
      <c r="CN410">
        <v>447</v>
      </c>
      <c r="CO410">
        <v>0</v>
      </c>
      <c r="CP410">
        <v>114</v>
      </c>
      <c r="CQ410">
        <v>23</v>
      </c>
      <c r="CR410">
        <v>0</v>
      </c>
      <c r="CS410">
        <v>0</v>
      </c>
      <c r="CT410">
        <v>600</v>
      </c>
      <c r="CU410">
        <v>0</v>
      </c>
      <c r="CV410">
        <v>0</v>
      </c>
      <c r="CW410">
        <v>13</v>
      </c>
      <c r="CX410">
        <v>0</v>
      </c>
      <c r="CY410">
        <v>618</v>
      </c>
      <c r="CZ410">
        <v>0</v>
      </c>
      <c r="DA410">
        <v>0</v>
      </c>
      <c r="DB410">
        <v>0</v>
      </c>
      <c r="DC410">
        <v>600</v>
      </c>
      <c r="DD410">
        <v>0</v>
      </c>
      <c r="DE410">
        <v>0</v>
      </c>
      <c r="DF410">
        <v>1200</v>
      </c>
      <c r="DG410">
        <v>100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1200</v>
      </c>
      <c r="DT410">
        <v>2457</v>
      </c>
      <c r="DU410">
        <v>13</v>
      </c>
      <c r="DV410">
        <v>0</v>
      </c>
      <c r="DW410">
        <v>0</v>
      </c>
      <c r="DX410">
        <v>0</v>
      </c>
      <c r="DY410">
        <v>689</v>
      </c>
      <c r="DZ410">
        <v>3255</v>
      </c>
      <c r="EA410">
        <v>1002</v>
      </c>
      <c r="EB410">
        <v>814</v>
      </c>
      <c r="EC410">
        <v>501</v>
      </c>
      <c r="ED410">
        <v>2316</v>
      </c>
      <c r="EE410">
        <v>3944</v>
      </c>
      <c r="EF410">
        <v>0</v>
      </c>
      <c r="EG410">
        <v>0</v>
      </c>
      <c r="EH410">
        <v>2.2000000000000002</v>
      </c>
      <c r="EI410">
        <v>3.9</v>
      </c>
      <c r="EJ410">
        <v>2.5</v>
      </c>
      <c r="EK410">
        <v>11.1</v>
      </c>
    </row>
    <row r="411" spans="1:141" x14ac:dyDescent="0.25">
      <c r="A411" t="str">
        <f>[1]ingredient!B411</f>
        <v>Teller-Pfirsich</v>
      </c>
      <c r="B411" t="s">
        <v>391</v>
      </c>
      <c r="C411" s="7">
        <f>_xlfn.XLOOKUP(A411,[1]ingredient!$B$2:$B$521,[1]ingredient!$A$2:$A$521)</f>
        <v>410</v>
      </c>
      <c r="D411">
        <v>41</v>
      </c>
      <c r="E411">
        <v>0.1</v>
      </c>
      <c r="F411">
        <v>1</v>
      </c>
      <c r="G411">
        <v>9</v>
      </c>
      <c r="H411">
        <v>2</v>
      </c>
      <c r="I411">
        <v>8</v>
      </c>
      <c r="J411">
        <v>0</v>
      </c>
      <c r="K411">
        <v>87</v>
      </c>
      <c r="L411">
        <v>73</v>
      </c>
      <c r="M411">
        <v>37</v>
      </c>
      <c r="N411">
        <v>0</v>
      </c>
      <c r="O411">
        <v>440</v>
      </c>
      <c r="P411">
        <v>27</v>
      </c>
      <c r="Q411">
        <v>50</v>
      </c>
      <c r="R411">
        <v>900</v>
      </c>
      <c r="S411">
        <v>1000</v>
      </c>
      <c r="T411">
        <v>140</v>
      </c>
      <c r="U411">
        <v>25</v>
      </c>
      <c r="V411">
        <v>2</v>
      </c>
      <c r="W411">
        <v>3</v>
      </c>
      <c r="X411">
        <v>0</v>
      </c>
      <c r="Y411">
        <v>10000</v>
      </c>
      <c r="Z411">
        <v>0</v>
      </c>
      <c r="AA411">
        <v>965</v>
      </c>
      <c r="AB411">
        <v>10</v>
      </c>
      <c r="AC411">
        <v>1</v>
      </c>
      <c r="AD411">
        <v>176</v>
      </c>
      <c r="AE411">
        <v>7</v>
      </c>
      <c r="AF411">
        <v>9</v>
      </c>
      <c r="AG411">
        <v>25</v>
      </c>
      <c r="AH411">
        <v>6</v>
      </c>
      <c r="AI411">
        <v>3</v>
      </c>
      <c r="AJ411">
        <v>480</v>
      </c>
      <c r="AK411">
        <v>145</v>
      </c>
      <c r="AL411">
        <v>50</v>
      </c>
      <c r="AM411">
        <v>83</v>
      </c>
      <c r="AN411">
        <v>20</v>
      </c>
      <c r="AO411">
        <v>1</v>
      </c>
      <c r="AP411">
        <v>0</v>
      </c>
      <c r="AQ411">
        <v>890</v>
      </c>
      <c r="AR411">
        <v>0</v>
      </c>
      <c r="AS411">
        <v>890</v>
      </c>
      <c r="AT411">
        <v>1041</v>
      </c>
      <c r="AU411">
        <v>1237</v>
      </c>
      <c r="AV411">
        <v>0</v>
      </c>
      <c r="AW411">
        <v>2278</v>
      </c>
      <c r="AX411">
        <v>5732</v>
      </c>
      <c r="AY411">
        <v>0</v>
      </c>
      <c r="AZ411">
        <v>0</v>
      </c>
      <c r="BA411">
        <v>5732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f t="shared" si="61"/>
        <v>46.666666666666664</v>
      </c>
      <c r="BH411">
        <v>14</v>
      </c>
      <c r="BI411">
        <v>30</v>
      </c>
      <c r="BJ411">
        <v>30</v>
      </c>
      <c r="BK411">
        <v>31</v>
      </c>
      <c r="BL411">
        <v>10</v>
      </c>
      <c r="BM411">
        <v>19</v>
      </c>
      <c r="BN411">
        <v>21</v>
      </c>
      <c r="BO411">
        <v>29</v>
      </c>
      <c r="BP411">
        <v>6</v>
      </c>
      <c r="BQ411">
        <v>41</v>
      </c>
      <c r="BR411">
        <v>18</v>
      </c>
      <c r="BS411">
        <v>18</v>
      </c>
      <c r="BT411">
        <v>267</v>
      </c>
      <c r="BU411">
        <v>41</v>
      </c>
      <c r="BV411">
        <v>94</v>
      </c>
      <c r="BW411">
        <v>145</v>
      </c>
      <c r="BX411">
        <v>16</v>
      </c>
      <c r="BY411">
        <v>29</v>
      </c>
      <c r="BZ411">
        <v>34</v>
      </c>
      <c r="CA411">
        <v>359</v>
      </c>
      <c r="CB411">
        <v>18</v>
      </c>
      <c r="CC411">
        <v>8</v>
      </c>
      <c r="CD411">
        <v>1</v>
      </c>
      <c r="CE411">
        <v>39</v>
      </c>
      <c r="CF411">
        <v>39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8</v>
      </c>
      <c r="CO411">
        <v>0</v>
      </c>
      <c r="CP411">
        <v>1</v>
      </c>
      <c r="CQ411">
        <v>0</v>
      </c>
      <c r="CR411">
        <v>0</v>
      </c>
      <c r="CS411">
        <v>0</v>
      </c>
      <c r="CT411">
        <v>9</v>
      </c>
      <c r="CU411">
        <v>0</v>
      </c>
      <c r="CV411">
        <v>0</v>
      </c>
      <c r="CW411">
        <v>1</v>
      </c>
      <c r="CX411">
        <v>0</v>
      </c>
      <c r="CY411">
        <v>30</v>
      </c>
      <c r="CZ411">
        <v>0</v>
      </c>
      <c r="DA411">
        <v>0</v>
      </c>
      <c r="DB411">
        <v>0</v>
      </c>
      <c r="DC411">
        <v>31</v>
      </c>
      <c r="DD411">
        <v>0</v>
      </c>
      <c r="DE411">
        <v>0</v>
      </c>
      <c r="DF411">
        <v>39</v>
      </c>
      <c r="DG411">
        <v>1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40</v>
      </c>
      <c r="DT411">
        <v>80</v>
      </c>
      <c r="DU411">
        <v>20</v>
      </c>
      <c r="DV411">
        <v>0</v>
      </c>
      <c r="DW411">
        <v>0</v>
      </c>
      <c r="DX411">
        <v>0</v>
      </c>
      <c r="DY411">
        <v>1035</v>
      </c>
      <c r="DZ411">
        <v>115</v>
      </c>
      <c r="EA411">
        <v>575</v>
      </c>
      <c r="EB411">
        <v>460</v>
      </c>
      <c r="EC411">
        <v>115</v>
      </c>
      <c r="ED411">
        <v>932</v>
      </c>
      <c r="EE411">
        <v>1369</v>
      </c>
      <c r="EF411">
        <v>0</v>
      </c>
      <c r="EG411">
        <v>1</v>
      </c>
      <c r="EH411">
        <v>0.5</v>
      </c>
      <c r="EI411">
        <v>1.4</v>
      </c>
      <c r="EJ411">
        <v>0.1</v>
      </c>
      <c r="EK411">
        <v>0.7</v>
      </c>
    </row>
    <row r="412" spans="1:141" x14ac:dyDescent="0.25">
      <c r="A412" t="str">
        <f>[1]ingredient!B412</f>
        <v>Tempeh</v>
      </c>
      <c r="B412" t="s">
        <v>462</v>
      </c>
      <c r="C412" s="7">
        <f>_xlfn.XLOOKUP(A412,[1]ingredient!$B$2:$B$521,[1]ingredient!$A$2:$A$521)</f>
        <v>411</v>
      </c>
      <c r="D412">
        <v>152</v>
      </c>
      <c r="E412">
        <v>8</v>
      </c>
      <c r="F412">
        <v>19</v>
      </c>
      <c r="G412">
        <v>2</v>
      </c>
      <c r="H412">
        <v>7</v>
      </c>
      <c r="I412">
        <v>2</v>
      </c>
      <c r="J412">
        <v>0.04</v>
      </c>
      <c r="K412">
        <v>63</v>
      </c>
      <c r="L412">
        <v>4</v>
      </c>
      <c r="M412">
        <v>2</v>
      </c>
      <c r="N412">
        <v>0</v>
      </c>
      <c r="O412">
        <v>25</v>
      </c>
      <c r="P412">
        <v>260</v>
      </c>
      <c r="Q412">
        <v>650</v>
      </c>
      <c r="R412">
        <v>1300</v>
      </c>
      <c r="S412">
        <v>5083</v>
      </c>
      <c r="T412">
        <v>300</v>
      </c>
      <c r="U412">
        <v>300</v>
      </c>
      <c r="V412">
        <v>53</v>
      </c>
      <c r="W412">
        <v>156</v>
      </c>
      <c r="X412">
        <v>0.8</v>
      </c>
      <c r="Y412">
        <v>0</v>
      </c>
      <c r="Z412">
        <v>0</v>
      </c>
      <c r="AA412">
        <v>1000</v>
      </c>
      <c r="AB412">
        <v>120</v>
      </c>
      <c r="AC412">
        <v>8</v>
      </c>
      <c r="AD412">
        <v>250</v>
      </c>
      <c r="AE412">
        <v>142</v>
      </c>
      <c r="AF412">
        <v>230</v>
      </c>
      <c r="AG412">
        <v>240</v>
      </c>
      <c r="AH412">
        <v>65</v>
      </c>
      <c r="AI412">
        <v>30</v>
      </c>
      <c r="AJ412">
        <v>5000</v>
      </c>
      <c r="AK412">
        <v>3800</v>
      </c>
      <c r="AL412">
        <v>800</v>
      </c>
      <c r="AM412">
        <v>1200</v>
      </c>
      <c r="AN412">
        <v>26</v>
      </c>
      <c r="AO412">
        <v>3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1782</v>
      </c>
      <c r="AY412">
        <v>0</v>
      </c>
      <c r="AZ412">
        <v>0</v>
      </c>
      <c r="BA412">
        <v>1782</v>
      </c>
      <c r="BB412">
        <v>0</v>
      </c>
      <c r="BC412">
        <v>900</v>
      </c>
      <c r="BD412">
        <v>0</v>
      </c>
      <c r="BE412">
        <v>18</v>
      </c>
      <c r="BF412">
        <v>18</v>
      </c>
      <c r="BG412">
        <f t="shared" si="61"/>
        <v>116.93363844393592</v>
      </c>
      <c r="BH412">
        <v>1042</v>
      </c>
      <c r="BI412">
        <v>1647</v>
      </c>
      <c r="BJ412">
        <v>1137</v>
      </c>
      <c r="BK412">
        <v>208</v>
      </c>
      <c r="BL412">
        <v>303</v>
      </c>
      <c r="BM412">
        <v>948</v>
      </c>
      <c r="BN412">
        <v>512</v>
      </c>
      <c r="BO412">
        <v>758</v>
      </c>
      <c r="BP412">
        <v>227</v>
      </c>
      <c r="BQ412">
        <v>1042</v>
      </c>
      <c r="BR412">
        <v>1270</v>
      </c>
      <c r="BS412">
        <v>531</v>
      </c>
      <c r="BT412">
        <v>9625</v>
      </c>
      <c r="BU412">
        <v>891</v>
      </c>
      <c r="BV412">
        <v>2236</v>
      </c>
      <c r="BW412">
        <v>3108</v>
      </c>
      <c r="BX412">
        <v>815</v>
      </c>
      <c r="BY412">
        <v>948</v>
      </c>
      <c r="BZ412">
        <v>853</v>
      </c>
      <c r="CA412">
        <v>8851</v>
      </c>
      <c r="CB412">
        <v>110</v>
      </c>
      <c r="CC412">
        <v>46</v>
      </c>
      <c r="CD412">
        <v>557</v>
      </c>
      <c r="CE412">
        <v>4094</v>
      </c>
      <c r="CF412">
        <v>7.35</v>
      </c>
      <c r="CG412">
        <v>0</v>
      </c>
      <c r="CH412">
        <v>0</v>
      </c>
      <c r="CI412">
        <v>0</v>
      </c>
      <c r="CJ412">
        <v>0</v>
      </c>
      <c r="CK412">
        <v>7</v>
      </c>
      <c r="CL412">
        <v>14</v>
      </c>
      <c r="CM412">
        <v>0</v>
      </c>
      <c r="CN412">
        <v>786</v>
      </c>
      <c r="CO412">
        <v>0</v>
      </c>
      <c r="CP412">
        <v>271</v>
      </c>
      <c r="CQ412">
        <v>21</v>
      </c>
      <c r="CR412">
        <v>7</v>
      </c>
      <c r="CS412">
        <v>0</v>
      </c>
      <c r="CT412">
        <v>1106</v>
      </c>
      <c r="CU412">
        <v>0</v>
      </c>
      <c r="CV412">
        <v>0</v>
      </c>
      <c r="CW412">
        <v>14</v>
      </c>
      <c r="CX412">
        <v>0</v>
      </c>
      <c r="CY412">
        <v>1357</v>
      </c>
      <c r="CZ412">
        <v>14</v>
      </c>
      <c r="DA412">
        <v>0</v>
      </c>
      <c r="DB412">
        <v>0</v>
      </c>
      <c r="DC412">
        <v>1385</v>
      </c>
      <c r="DD412">
        <v>0</v>
      </c>
      <c r="DE412">
        <v>0</v>
      </c>
      <c r="DF412">
        <v>4094</v>
      </c>
      <c r="DG412">
        <v>557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4651</v>
      </c>
      <c r="DT412">
        <v>7142</v>
      </c>
      <c r="DU412">
        <v>538</v>
      </c>
      <c r="DV412">
        <v>0</v>
      </c>
      <c r="DW412">
        <v>0</v>
      </c>
      <c r="DX412">
        <v>0</v>
      </c>
      <c r="DY412">
        <v>1625</v>
      </c>
      <c r="DZ412">
        <v>2372</v>
      </c>
      <c r="EA412">
        <v>910</v>
      </c>
      <c r="EB412">
        <v>1560</v>
      </c>
      <c r="EC412">
        <v>33</v>
      </c>
      <c r="ED412">
        <v>3250</v>
      </c>
      <c r="EE412">
        <v>3250</v>
      </c>
      <c r="EF412">
        <v>0</v>
      </c>
      <c r="EG412">
        <v>0</v>
      </c>
      <c r="EH412">
        <v>1.4</v>
      </c>
      <c r="EI412">
        <v>3.3</v>
      </c>
      <c r="EJ412">
        <v>7.7</v>
      </c>
      <c r="EK412">
        <v>18.8</v>
      </c>
    </row>
    <row r="413" spans="1:141" x14ac:dyDescent="0.25">
      <c r="A413" s="9" t="str">
        <f>[1]ingredient!B413</f>
        <v>Teriyaki Sauce</v>
      </c>
      <c r="C413" s="7">
        <f>_xlfn.XLOOKUP(A413,[1]ingredient!$B$2:$B$521,[1]ingredient!$A$2:$A$521)</f>
        <v>412</v>
      </c>
      <c r="D413" s="10">
        <f t="shared" ref="D413:BF413" si="62">(5*D166+10*D307+100*D81+150*D386+20*D11)/285</f>
        <v>173.57894736842104</v>
      </c>
      <c r="E413" s="10">
        <f t="shared" si="62"/>
        <v>3.1403508771929824</v>
      </c>
      <c r="F413" s="10">
        <f t="shared" si="62"/>
        <v>6.5017543859649125</v>
      </c>
      <c r="G413" s="10">
        <f t="shared" si="62"/>
        <v>29.263157894736842</v>
      </c>
      <c r="H413" s="10">
        <f t="shared" si="62"/>
        <v>5.8245614035087723</v>
      </c>
      <c r="I413" s="10">
        <f t="shared" si="62"/>
        <v>29.140350877192983</v>
      </c>
      <c r="J413" s="10">
        <f t="shared" si="62"/>
        <v>1.653859649122807</v>
      </c>
      <c r="K413" s="10">
        <f t="shared" si="62"/>
        <v>50.807017543859651</v>
      </c>
      <c r="L413" s="10">
        <f t="shared" si="62"/>
        <v>13.56140350877193</v>
      </c>
      <c r="M413" s="10">
        <f t="shared" si="62"/>
        <v>7.0526315789473681</v>
      </c>
      <c r="N413" s="10">
        <f t="shared" si="62"/>
        <v>0</v>
      </c>
      <c r="O413" s="10">
        <f t="shared" si="62"/>
        <v>80.10526315789474</v>
      </c>
      <c r="P413" s="10">
        <f t="shared" si="62"/>
        <v>223.68421052631578</v>
      </c>
      <c r="Q413" s="10">
        <f t="shared" si="62"/>
        <v>68.596491228070178</v>
      </c>
      <c r="R413" s="10">
        <f t="shared" si="62"/>
        <v>1021.0526315789474</v>
      </c>
      <c r="S413" s="10">
        <f t="shared" si="62"/>
        <v>2377.2105263157896</v>
      </c>
      <c r="T413" s="10">
        <f t="shared" si="62"/>
        <v>510.87719298245617</v>
      </c>
      <c r="U413" s="10">
        <f t="shared" si="62"/>
        <v>175.26315789473685</v>
      </c>
      <c r="V413" s="10">
        <f t="shared" si="62"/>
        <v>9.6491228070175445</v>
      </c>
      <c r="W413" s="10">
        <f t="shared" si="62"/>
        <v>39.122807017543863</v>
      </c>
      <c r="X413" s="10">
        <f t="shared" si="62"/>
        <v>0</v>
      </c>
      <c r="Y413" s="10">
        <f t="shared" si="62"/>
        <v>1409.1228070175439</v>
      </c>
      <c r="Z413" s="10">
        <f t="shared" si="62"/>
        <v>0</v>
      </c>
      <c r="AA413" s="10">
        <f t="shared" si="62"/>
        <v>278.42105263157896</v>
      </c>
      <c r="AB413" s="10">
        <f t="shared" si="62"/>
        <v>32.10526315789474</v>
      </c>
      <c r="AC413" s="10">
        <f t="shared" si="62"/>
        <v>623.43859649122805</v>
      </c>
      <c r="AD413" s="10">
        <f t="shared" si="62"/>
        <v>602.10526315789468</v>
      </c>
      <c r="AE413" s="10">
        <f t="shared" si="62"/>
        <v>80.89473684210526</v>
      </c>
      <c r="AF413" s="10">
        <f t="shared" si="62"/>
        <v>64.035087719298247</v>
      </c>
      <c r="AG413" s="10">
        <f t="shared" si="62"/>
        <v>119.40350877192982</v>
      </c>
      <c r="AH413" s="10">
        <f t="shared" si="62"/>
        <v>57.333333333333336</v>
      </c>
      <c r="AI413" s="10">
        <f t="shared" si="62"/>
        <v>1031.2280701754387</v>
      </c>
      <c r="AJ413" s="10">
        <f t="shared" si="62"/>
        <v>3376.4912280701756</v>
      </c>
      <c r="AK413" s="10">
        <f t="shared" si="62"/>
        <v>974.21052631578948</v>
      </c>
      <c r="AL413" s="10">
        <f t="shared" si="62"/>
        <v>384.73684210526318</v>
      </c>
      <c r="AM413" s="10">
        <f t="shared" si="62"/>
        <v>1052.6315789473683</v>
      </c>
      <c r="AN413" s="10">
        <f t="shared" si="62"/>
        <v>39.298245614035089</v>
      </c>
      <c r="AO413" s="10">
        <f t="shared" si="62"/>
        <v>2.263157894736842</v>
      </c>
      <c r="AP413" s="10">
        <f t="shared" si="62"/>
        <v>0</v>
      </c>
      <c r="AQ413" s="10">
        <f t="shared" si="62"/>
        <v>0</v>
      </c>
      <c r="AR413" s="10">
        <f t="shared" si="62"/>
        <v>0</v>
      </c>
      <c r="AS413" s="10">
        <f t="shared" si="62"/>
        <v>0</v>
      </c>
      <c r="AT413" s="10">
        <f t="shared" si="62"/>
        <v>13436.491228070176</v>
      </c>
      <c r="AU413" s="10">
        <f t="shared" si="62"/>
        <v>12460.350877192983</v>
      </c>
      <c r="AV413" s="10">
        <f t="shared" si="62"/>
        <v>0</v>
      </c>
      <c r="AW413" s="10">
        <f t="shared" si="62"/>
        <v>25896.842105263157</v>
      </c>
      <c r="AX413" s="10">
        <f t="shared" si="62"/>
        <v>3016.6666666666665</v>
      </c>
      <c r="AY413" s="10">
        <f t="shared" si="62"/>
        <v>0</v>
      </c>
      <c r="AZ413" s="10">
        <f t="shared" si="62"/>
        <v>0</v>
      </c>
      <c r="BA413" s="10">
        <f t="shared" si="62"/>
        <v>3016.6666666666665</v>
      </c>
      <c r="BB413" s="10">
        <f t="shared" si="62"/>
        <v>0</v>
      </c>
      <c r="BC413" s="10">
        <f t="shared" si="62"/>
        <v>1185.2631578947369</v>
      </c>
      <c r="BD413" s="10">
        <f t="shared" si="62"/>
        <v>0</v>
      </c>
      <c r="BE413" s="10">
        <f t="shared" si="62"/>
        <v>104.3859649122807</v>
      </c>
      <c r="BF413" s="10">
        <f t="shared" si="62"/>
        <v>104.3859649122807</v>
      </c>
      <c r="BG413">
        <f t="shared" si="61"/>
        <v>113.2191483902931</v>
      </c>
      <c r="BH413" s="10">
        <f t="shared" ref="BH413:DS413" si="63">(5*BH166+10*BH307+100*BH81+150*BH386+20*BH11)/285</f>
        <v>275.10526315789474</v>
      </c>
      <c r="BI413" s="10">
        <f t="shared" si="63"/>
        <v>449.03508771929825</v>
      </c>
      <c r="BJ413" s="10">
        <f t="shared" si="63"/>
        <v>371.07017543859649</v>
      </c>
      <c r="BK413" s="10">
        <f t="shared" si="63"/>
        <v>82.245614035087726</v>
      </c>
      <c r="BL413" s="10">
        <f t="shared" si="63"/>
        <v>106.63157894736842</v>
      </c>
      <c r="BM413" s="10">
        <f t="shared" si="63"/>
        <v>274.19298245614033</v>
      </c>
      <c r="BN413" s="10">
        <f t="shared" si="63"/>
        <v>208.78947368421052</v>
      </c>
      <c r="BO413" s="10">
        <f t="shared" si="63"/>
        <v>244.21052631578948</v>
      </c>
      <c r="BP413" s="10">
        <f t="shared" si="63"/>
        <v>81.368421052631575</v>
      </c>
      <c r="BQ413" s="10">
        <f t="shared" si="63"/>
        <v>301.73684210526318</v>
      </c>
      <c r="BR413" s="10">
        <f t="shared" si="63"/>
        <v>472.63157894736844</v>
      </c>
      <c r="BS413" s="10">
        <f t="shared" si="63"/>
        <v>143.2982456140351</v>
      </c>
      <c r="BT413" s="10">
        <f t="shared" si="63"/>
        <v>3010.3157894736842</v>
      </c>
      <c r="BU413" s="10">
        <f t="shared" si="63"/>
        <v>276.91228070175441</v>
      </c>
      <c r="BV413" s="10">
        <f t="shared" si="63"/>
        <v>685.15789473684208</v>
      </c>
      <c r="BW413" s="10">
        <f t="shared" si="63"/>
        <v>1189.5438596491229</v>
      </c>
      <c r="BX413" s="10">
        <f t="shared" si="63"/>
        <v>277.33333333333331</v>
      </c>
      <c r="BY413" s="10">
        <f t="shared" si="63"/>
        <v>359.36842105263156</v>
      </c>
      <c r="BZ413" s="10">
        <f t="shared" si="63"/>
        <v>310.01754385964909</v>
      </c>
      <c r="CA413" s="10">
        <f t="shared" si="63"/>
        <v>3098.3333333333335</v>
      </c>
      <c r="CB413" s="10">
        <f t="shared" si="63"/>
        <v>59.315789473684212</v>
      </c>
      <c r="CC413" s="10">
        <f t="shared" si="63"/>
        <v>24.631578947368421</v>
      </c>
      <c r="CD413" s="10">
        <f t="shared" si="63"/>
        <v>215.05263157894737</v>
      </c>
      <c r="CE413" s="10">
        <f t="shared" si="63"/>
        <v>1509.7719298245613</v>
      </c>
      <c r="CF413" s="10">
        <f t="shared" si="63"/>
        <v>5.6508771929824562</v>
      </c>
      <c r="CG413" s="10">
        <f t="shared" si="63"/>
        <v>0</v>
      </c>
      <c r="CH413" s="10">
        <f t="shared" si="63"/>
        <v>0</v>
      </c>
      <c r="CI413" s="10">
        <f t="shared" si="63"/>
        <v>0.52631578947368418</v>
      </c>
      <c r="CJ413" s="10">
        <f t="shared" si="63"/>
        <v>1.0877192982456141</v>
      </c>
      <c r="CK413" s="10">
        <f t="shared" si="63"/>
        <v>7.7017543859649127</v>
      </c>
      <c r="CL413" s="10">
        <f t="shared" si="63"/>
        <v>9.6315789473684212</v>
      </c>
      <c r="CM413" s="10">
        <f t="shared" si="63"/>
        <v>0</v>
      </c>
      <c r="CN413" s="10">
        <f t="shared" si="63"/>
        <v>344.77192982456143</v>
      </c>
      <c r="CO413" s="10">
        <f t="shared" si="63"/>
        <v>0</v>
      </c>
      <c r="CP413" s="10">
        <f t="shared" si="63"/>
        <v>100.59649122807018</v>
      </c>
      <c r="CQ413" s="10">
        <f t="shared" si="63"/>
        <v>7.3684210526315788</v>
      </c>
      <c r="CR413" s="10">
        <f t="shared" si="63"/>
        <v>2.6315789473684212</v>
      </c>
      <c r="CS413" s="10">
        <f t="shared" si="63"/>
        <v>0</v>
      </c>
      <c r="CT413" s="10">
        <f t="shared" si="63"/>
        <v>474.31578947368422</v>
      </c>
      <c r="CU413" s="10">
        <f t="shared" si="63"/>
        <v>0</v>
      </c>
      <c r="CV413" s="10">
        <f t="shared" si="63"/>
        <v>0</v>
      </c>
      <c r="CW413" s="10">
        <f t="shared" si="63"/>
        <v>8.3333333333333339</v>
      </c>
      <c r="CX413" s="10">
        <f t="shared" si="63"/>
        <v>0</v>
      </c>
      <c r="CY413" s="10">
        <f t="shared" si="63"/>
        <v>538</v>
      </c>
      <c r="CZ413" s="10">
        <f t="shared" si="63"/>
        <v>5.2631578947368425</v>
      </c>
      <c r="DA413" s="10">
        <f t="shared" si="63"/>
        <v>0</v>
      </c>
      <c r="DB413" s="10">
        <f t="shared" si="63"/>
        <v>0</v>
      </c>
      <c r="DC413" s="10">
        <f t="shared" si="63"/>
        <v>551.59649122807014</v>
      </c>
      <c r="DD413" s="10">
        <f t="shared" si="63"/>
        <v>0</v>
      </c>
      <c r="DE413" s="10">
        <f t="shared" si="63"/>
        <v>0</v>
      </c>
      <c r="DF413" s="10">
        <f t="shared" si="63"/>
        <v>1509.7719298245613</v>
      </c>
      <c r="DG413" s="10">
        <f t="shared" si="63"/>
        <v>215.05263157894737</v>
      </c>
      <c r="DH413" s="10">
        <f t="shared" si="63"/>
        <v>0</v>
      </c>
      <c r="DI413" s="10">
        <f t="shared" si="63"/>
        <v>0</v>
      </c>
      <c r="DJ413" s="10">
        <f t="shared" si="63"/>
        <v>0</v>
      </c>
      <c r="DK413" s="10">
        <f t="shared" si="63"/>
        <v>0</v>
      </c>
      <c r="DL413" s="10">
        <f t="shared" si="63"/>
        <v>0</v>
      </c>
      <c r="DM413" s="10">
        <f t="shared" si="63"/>
        <v>0</v>
      </c>
      <c r="DN413" s="10">
        <f t="shared" si="63"/>
        <v>0</v>
      </c>
      <c r="DO413" s="10">
        <f t="shared" si="63"/>
        <v>0</v>
      </c>
      <c r="DP413" s="10">
        <f t="shared" si="63"/>
        <v>0</v>
      </c>
      <c r="DQ413" s="10">
        <f t="shared" si="63"/>
        <v>0</v>
      </c>
      <c r="DR413" s="10">
        <f t="shared" si="63"/>
        <v>0</v>
      </c>
      <c r="DS413" s="10">
        <f t="shared" si="63"/>
        <v>1724.8245614035088</v>
      </c>
      <c r="DT413" s="10">
        <f t="shared" ref="DT413:EK413" si="64">(5*DT166+10*DT307+100*DT81+150*DT386+20*DT11)/285</f>
        <v>2749.1228070175439</v>
      </c>
      <c r="DU413" s="10">
        <f t="shared" si="64"/>
        <v>261.54385964912279</v>
      </c>
      <c r="DV413" s="10">
        <f t="shared" si="64"/>
        <v>0</v>
      </c>
      <c r="DW413" s="10">
        <f t="shared" si="64"/>
        <v>0</v>
      </c>
      <c r="DX413" s="10">
        <f t="shared" si="64"/>
        <v>1.6140350877192982</v>
      </c>
      <c r="DY413" s="10">
        <f t="shared" si="64"/>
        <v>1150.4385964912281</v>
      </c>
      <c r="DZ413" s="10">
        <f t="shared" si="64"/>
        <v>1546.3684210526317</v>
      </c>
      <c r="EA413" s="10">
        <f t="shared" si="64"/>
        <v>1069.6140350877192</v>
      </c>
      <c r="EB413" s="10">
        <f t="shared" si="64"/>
        <v>1312.5438596491229</v>
      </c>
      <c r="EC413" s="10">
        <f t="shared" si="64"/>
        <v>884.54385964912285</v>
      </c>
      <c r="ED413" s="10">
        <f t="shared" si="64"/>
        <v>1873.6140350877192</v>
      </c>
      <c r="EE413" s="10">
        <f t="shared" si="64"/>
        <v>4090.6140350877195</v>
      </c>
      <c r="EF413" s="10">
        <f t="shared" si="64"/>
        <v>0</v>
      </c>
      <c r="EG413" s="10">
        <f t="shared" si="64"/>
        <v>0.71298245614035083</v>
      </c>
      <c r="EH413" s="10">
        <f t="shared" si="64"/>
        <v>2.880701754385965</v>
      </c>
      <c r="EI413" s="10">
        <f t="shared" si="64"/>
        <v>4.0842105263157897</v>
      </c>
      <c r="EJ413" s="10">
        <f t="shared" si="64"/>
        <v>3.0333333333333332</v>
      </c>
      <c r="EK413" s="10">
        <f t="shared" si="64"/>
        <v>6.2859649122807015</v>
      </c>
    </row>
    <row r="414" spans="1:141" x14ac:dyDescent="0.25">
      <c r="A414" t="str">
        <f>[1]ingredient!B414</f>
        <v>Thymian</v>
      </c>
      <c r="B414" t="s">
        <v>463</v>
      </c>
      <c r="C414" s="7">
        <f>_xlfn.XLOOKUP(A414,[1]ingredient!$B$2:$B$521,[1]ingredient!$A$2:$A$521)</f>
        <v>413</v>
      </c>
      <c r="D414">
        <v>47</v>
      </c>
      <c r="E414">
        <v>1</v>
      </c>
      <c r="F414">
        <v>1</v>
      </c>
      <c r="G414">
        <v>7</v>
      </c>
      <c r="H414">
        <v>3</v>
      </c>
      <c r="I414">
        <v>7</v>
      </c>
      <c r="J414">
        <v>0.04</v>
      </c>
      <c r="K414">
        <v>85</v>
      </c>
      <c r="L414">
        <v>62</v>
      </c>
      <c r="M414">
        <v>31</v>
      </c>
      <c r="N414">
        <v>0</v>
      </c>
      <c r="O414">
        <v>370</v>
      </c>
      <c r="P414">
        <v>83</v>
      </c>
      <c r="Q414">
        <v>65</v>
      </c>
      <c r="R414">
        <v>795</v>
      </c>
      <c r="S414">
        <v>1045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9</v>
      </c>
      <c r="AD414">
        <v>131</v>
      </c>
      <c r="AE414">
        <v>307</v>
      </c>
      <c r="AF414">
        <v>36</v>
      </c>
      <c r="AG414">
        <v>32</v>
      </c>
      <c r="AH414">
        <v>16</v>
      </c>
      <c r="AI414">
        <v>32</v>
      </c>
      <c r="AJ414">
        <v>20045</v>
      </c>
      <c r="AK414">
        <v>1005</v>
      </c>
      <c r="AL414">
        <v>139</v>
      </c>
      <c r="AM414">
        <v>1233</v>
      </c>
      <c r="AN414">
        <v>65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2939</v>
      </c>
      <c r="AU414">
        <v>2939</v>
      </c>
      <c r="AV414">
        <v>0</v>
      </c>
      <c r="AW414">
        <v>5878</v>
      </c>
      <c r="AX414">
        <v>1396</v>
      </c>
      <c r="AY414">
        <v>0</v>
      </c>
      <c r="AZ414">
        <v>0</v>
      </c>
      <c r="BA414">
        <v>1396</v>
      </c>
      <c r="BB414">
        <v>0</v>
      </c>
      <c r="BC414">
        <v>0</v>
      </c>
      <c r="BD414">
        <v>0</v>
      </c>
      <c r="BE414">
        <v>73</v>
      </c>
      <c r="BF414">
        <v>73</v>
      </c>
      <c r="BG414">
        <f t="shared" si="61"/>
        <v>137.5</v>
      </c>
      <c r="BH414">
        <v>59</v>
      </c>
      <c r="BI414">
        <v>89</v>
      </c>
      <c r="BJ414">
        <v>74</v>
      </c>
      <c r="BK414">
        <v>18</v>
      </c>
      <c r="BL414">
        <v>15</v>
      </c>
      <c r="BM414">
        <v>44</v>
      </c>
      <c r="BN414">
        <v>30</v>
      </c>
      <c r="BO414">
        <v>52</v>
      </c>
      <c r="BP414">
        <v>15</v>
      </c>
      <c r="BQ414">
        <v>59</v>
      </c>
      <c r="BR414">
        <v>59</v>
      </c>
      <c r="BS414">
        <v>22</v>
      </c>
      <c r="BT414">
        <v>536</v>
      </c>
      <c r="BU414">
        <v>74</v>
      </c>
      <c r="BV414">
        <v>148</v>
      </c>
      <c r="BW414">
        <v>220</v>
      </c>
      <c r="BX414">
        <v>41</v>
      </c>
      <c r="BY414">
        <v>59</v>
      </c>
      <c r="BZ414">
        <v>44</v>
      </c>
      <c r="CA414">
        <v>586</v>
      </c>
      <c r="CB414">
        <v>21</v>
      </c>
      <c r="CC414">
        <v>9</v>
      </c>
      <c r="CD414">
        <v>151</v>
      </c>
      <c r="CE414">
        <v>107</v>
      </c>
      <c r="CF414">
        <v>0.71</v>
      </c>
      <c r="CG414">
        <v>0</v>
      </c>
      <c r="CH414">
        <v>0</v>
      </c>
      <c r="CI414">
        <v>53</v>
      </c>
      <c r="CJ414">
        <v>26</v>
      </c>
      <c r="CK414">
        <v>50</v>
      </c>
      <c r="CL414">
        <v>32</v>
      </c>
      <c r="CM414">
        <v>0</v>
      </c>
      <c r="CN414">
        <v>378</v>
      </c>
      <c r="CO414">
        <v>0</v>
      </c>
      <c r="CP414">
        <v>60</v>
      </c>
      <c r="CQ414">
        <v>0</v>
      </c>
      <c r="CR414">
        <v>0</v>
      </c>
      <c r="CS414">
        <v>0</v>
      </c>
      <c r="CT414">
        <v>599</v>
      </c>
      <c r="CU414">
        <v>0</v>
      </c>
      <c r="CV414">
        <v>0</v>
      </c>
      <c r="CW414">
        <v>0</v>
      </c>
      <c r="CX414">
        <v>0</v>
      </c>
      <c r="CY414">
        <v>103</v>
      </c>
      <c r="CZ414">
        <v>0</v>
      </c>
      <c r="DA414">
        <v>0</v>
      </c>
      <c r="DB414">
        <v>0</v>
      </c>
      <c r="DC414">
        <v>103</v>
      </c>
      <c r="DD414">
        <v>0</v>
      </c>
      <c r="DE414">
        <v>0</v>
      </c>
      <c r="DF414">
        <v>107</v>
      </c>
      <c r="DG414">
        <v>151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258</v>
      </c>
      <c r="DT414">
        <v>881</v>
      </c>
      <c r="DU414">
        <v>240</v>
      </c>
      <c r="DV414">
        <v>0</v>
      </c>
      <c r="DW414">
        <v>0</v>
      </c>
      <c r="DX414">
        <v>79</v>
      </c>
      <c r="DY414">
        <v>453</v>
      </c>
      <c r="DZ414">
        <v>604</v>
      </c>
      <c r="EA414">
        <v>816</v>
      </c>
      <c r="EB414">
        <v>1057</v>
      </c>
      <c r="EC414">
        <v>91</v>
      </c>
      <c r="ED414">
        <v>906</v>
      </c>
      <c r="EE414">
        <v>2115</v>
      </c>
      <c r="EF414">
        <v>0</v>
      </c>
      <c r="EG414">
        <v>0.05</v>
      </c>
      <c r="EH414">
        <v>1.9</v>
      </c>
      <c r="EI414">
        <v>2.1</v>
      </c>
      <c r="EJ414">
        <v>1.2</v>
      </c>
      <c r="EK414">
        <v>1.2</v>
      </c>
    </row>
    <row r="415" spans="1:141" x14ac:dyDescent="0.25">
      <c r="A415" t="str">
        <f>[1]ingredient!B415</f>
        <v>Thymian, getrocknet</v>
      </c>
      <c r="B415" t="s">
        <v>464</v>
      </c>
      <c r="C415" s="7">
        <f>_xlfn.XLOOKUP(A415,[1]ingredient!$B$2:$B$521,[1]ingredient!$A$2:$A$521)</f>
        <v>414</v>
      </c>
      <c r="D415">
        <v>287</v>
      </c>
      <c r="E415">
        <v>7</v>
      </c>
      <c r="F415">
        <v>9</v>
      </c>
      <c r="G415">
        <v>45</v>
      </c>
      <c r="H415">
        <v>19</v>
      </c>
      <c r="I415">
        <v>45</v>
      </c>
      <c r="J415">
        <v>0.26</v>
      </c>
      <c r="K415">
        <v>8</v>
      </c>
      <c r="L415">
        <v>380</v>
      </c>
      <c r="M415">
        <v>190</v>
      </c>
      <c r="N415">
        <v>0</v>
      </c>
      <c r="O415">
        <v>2280</v>
      </c>
      <c r="P415">
        <v>513</v>
      </c>
      <c r="Q415">
        <v>400</v>
      </c>
      <c r="R415">
        <v>4900</v>
      </c>
      <c r="S415">
        <v>6417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55</v>
      </c>
      <c r="AD415">
        <v>810</v>
      </c>
      <c r="AE415">
        <v>1890</v>
      </c>
      <c r="AF415">
        <v>220</v>
      </c>
      <c r="AG415">
        <v>200</v>
      </c>
      <c r="AH415">
        <v>100</v>
      </c>
      <c r="AI415">
        <v>200</v>
      </c>
      <c r="AJ415">
        <v>123600</v>
      </c>
      <c r="AK415">
        <v>6200</v>
      </c>
      <c r="AL415">
        <v>860</v>
      </c>
      <c r="AM415">
        <v>7600</v>
      </c>
      <c r="AN415">
        <v>400</v>
      </c>
      <c r="AO415">
        <v>5</v>
      </c>
      <c r="AP415">
        <v>0</v>
      </c>
      <c r="AQ415">
        <v>0</v>
      </c>
      <c r="AR415">
        <v>0</v>
      </c>
      <c r="AS415">
        <v>0</v>
      </c>
      <c r="AT415">
        <v>18120</v>
      </c>
      <c r="AU415">
        <v>18120</v>
      </c>
      <c r="AV415">
        <v>0</v>
      </c>
      <c r="AW415">
        <v>36240</v>
      </c>
      <c r="AX415">
        <v>8607</v>
      </c>
      <c r="AY415">
        <v>0</v>
      </c>
      <c r="AZ415">
        <v>0</v>
      </c>
      <c r="BA415">
        <v>8607</v>
      </c>
      <c r="BB415">
        <v>0</v>
      </c>
      <c r="BC415">
        <v>0</v>
      </c>
      <c r="BD415">
        <v>0</v>
      </c>
      <c r="BE415">
        <v>453</v>
      </c>
      <c r="BF415">
        <v>453</v>
      </c>
      <c r="BG415">
        <f t="shared" si="61"/>
        <v>95.138888888888886</v>
      </c>
      <c r="BH415">
        <v>364</v>
      </c>
      <c r="BI415">
        <v>546</v>
      </c>
      <c r="BJ415">
        <v>455</v>
      </c>
      <c r="BK415">
        <v>109</v>
      </c>
      <c r="BL415">
        <v>91</v>
      </c>
      <c r="BM415">
        <v>273</v>
      </c>
      <c r="BN415">
        <v>182</v>
      </c>
      <c r="BO415">
        <v>319</v>
      </c>
      <c r="BP415">
        <v>91</v>
      </c>
      <c r="BQ415">
        <v>364</v>
      </c>
      <c r="BR415">
        <v>364</v>
      </c>
      <c r="BS415">
        <v>137</v>
      </c>
      <c r="BT415">
        <v>3295</v>
      </c>
      <c r="BU415">
        <v>455</v>
      </c>
      <c r="BV415">
        <v>910</v>
      </c>
      <c r="BW415">
        <v>1364</v>
      </c>
      <c r="BX415">
        <v>255</v>
      </c>
      <c r="BY415">
        <v>364</v>
      </c>
      <c r="BZ415">
        <v>273</v>
      </c>
      <c r="CA415">
        <v>3621</v>
      </c>
      <c r="CB415">
        <v>130</v>
      </c>
      <c r="CC415">
        <v>54</v>
      </c>
      <c r="CD415">
        <v>929</v>
      </c>
      <c r="CE415">
        <v>657</v>
      </c>
      <c r="CF415">
        <v>0.71</v>
      </c>
      <c r="CG415">
        <v>0</v>
      </c>
      <c r="CH415">
        <v>0</v>
      </c>
      <c r="CI415">
        <v>326</v>
      </c>
      <c r="CJ415">
        <v>160</v>
      </c>
      <c r="CK415">
        <v>308</v>
      </c>
      <c r="CL415">
        <v>195</v>
      </c>
      <c r="CM415">
        <v>0</v>
      </c>
      <c r="CN415">
        <v>2345</v>
      </c>
      <c r="CO415">
        <v>0</v>
      </c>
      <c r="CP415">
        <v>367</v>
      </c>
      <c r="CQ415">
        <v>0</v>
      </c>
      <c r="CR415">
        <v>0</v>
      </c>
      <c r="CS415">
        <v>0</v>
      </c>
      <c r="CT415">
        <v>3701</v>
      </c>
      <c r="CU415">
        <v>0</v>
      </c>
      <c r="CV415">
        <v>0</v>
      </c>
      <c r="CW415">
        <v>0</v>
      </c>
      <c r="CX415">
        <v>0</v>
      </c>
      <c r="CY415">
        <v>633</v>
      </c>
      <c r="CZ415">
        <v>0</v>
      </c>
      <c r="DA415">
        <v>0</v>
      </c>
      <c r="DB415">
        <v>0</v>
      </c>
      <c r="DC415">
        <v>633</v>
      </c>
      <c r="DD415">
        <v>0</v>
      </c>
      <c r="DE415">
        <v>0</v>
      </c>
      <c r="DF415">
        <v>657</v>
      </c>
      <c r="DG415">
        <v>929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1586</v>
      </c>
      <c r="DT415">
        <v>5434</v>
      </c>
      <c r="DU415">
        <v>1480</v>
      </c>
      <c r="DV415">
        <v>0</v>
      </c>
      <c r="DW415">
        <v>0</v>
      </c>
      <c r="DX415">
        <v>486</v>
      </c>
      <c r="DY415">
        <v>2795</v>
      </c>
      <c r="DZ415">
        <v>3726</v>
      </c>
      <c r="EA415">
        <v>5030</v>
      </c>
      <c r="EB415">
        <v>6520</v>
      </c>
      <c r="EC415">
        <v>559</v>
      </c>
      <c r="ED415">
        <v>5589</v>
      </c>
      <c r="EE415">
        <v>13041</v>
      </c>
      <c r="EF415">
        <v>0</v>
      </c>
      <c r="EG415">
        <v>0.33</v>
      </c>
      <c r="EH415">
        <v>11.7</v>
      </c>
      <c r="EI415">
        <v>13</v>
      </c>
      <c r="EJ415">
        <v>7.4</v>
      </c>
      <c r="EK415">
        <v>7.3</v>
      </c>
    </row>
    <row r="416" spans="1:141" x14ac:dyDescent="0.25">
      <c r="A416" t="str">
        <f>[1]ingredient!B416</f>
        <v>Tomaten</v>
      </c>
      <c r="B416" t="s">
        <v>367</v>
      </c>
      <c r="C416" s="7">
        <f>_xlfn.XLOOKUP(A416,[1]ingredient!$B$2:$B$521,[1]ingredient!$A$2:$A$521)</f>
        <v>415</v>
      </c>
      <c r="D416">
        <v>17</v>
      </c>
      <c r="E416">
        <v>0.21</v>
      </c>
      <c r="F416">
        <v>1</v>
      </c>
      <c r="G416">
        <v>3</v>
      </c>
      <c r="H416">
        <v>1</v>
      </c>
      <c r="I416">
        <v>3</v>
      </c>
      <c r="J416">
        <v>0.03</v>
      </c>
      <c r="K416">
        <v>94</v>
      </c>
      <c r="L416">
        <v>99</v>
      </c>
      <c r="M416">
        <v>49</v>
      </c>
      <c r="N416">
        <v>0</v>
      </c>
      <c r="O416">
        <v>593</v>
      </c>
      <c r="P416">
        <v>57</v>
      </c>
      <c r="Q416">
        <v>35</v>
      </c>
      <c r="R416">
        <v>530</v>
      </c>
      <c r="S416">
        <v>630</v>
      </c>
      <c r="T416">
        <v>310</v>
      </c>
      <c r="U416">
        <v>100</v>
      </c>
      <c r="V416">
        <v>4</v>
      </c>
      <c r="W416">
        <v>33</v>
      </c>
      <c r="X416">
        <v>0</v>
      </c>
      <c r="Y416">
        <v>19255</v>
      </c>
      <c r="Z416">
        <v>0</v>
      </c>
      <c r="AA416">
        <v>800</v>
      </c>
      <c r="AB416">
        <v>6</v>
      </c>
      <c r="AC416">
        <v>3</v>
      </c>
      <c r="AD416">
        <v>235</v>
      </c>
      <c r="AE416">
        <v>9</v>
      </c>
      <c r="AF416">
        <v>11</v>
      </c>
      <c r="AG416">
        <v>22</v>
      </c>
      <c r="AH416">
        <v>11</v>
      </c>
      <c r="AI416">
        <v>30</v>
      </c>
      <c r="AJ416">
        <v>316</v>
      </c>
      <c r="AK416">
        <v>85</v>
      </c>
      <c r="AL416">
        <v>57</v>
      </c>
      <c r="AM416">
        <v>108</v>
      </c>
      <c r="AN416">
        <v>24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1081</v>
      </c>
      <c r="AU416">
        <v>1358</v>
      </c>
      <c r="AV416">
        <v>0</v>
      </c>
      <c r="AW416">
        <v>2439</v>
      </c>
      <c r="AX416">
        <v>84</v>
      </c>
      <c r="AY416">
        <v>0</v>
      </c>
      <c r="AZ416">
        <v>0</v>
      </c>
      <c r="BA416">
        <v>84</v>
      </c>
      <c r="BB416">
        <v>0</v>
      </c>
      <c r="BC416">
        <v>0</v>
      </c>
      <c r="BD416">
        <v>0</v>
      </c>
      <c r="BE416">
        <v>80</v>
      </c>
      <c r="BF416">
        <v>80</v>
      </c>
      <c r="BG416">
        <f t="shared" si="61"/>
        <v>34.782608695652172</v>
      </c>
      <c r="BH416">
        <v>23</v>
      </c>
      <c r="BI416">
        <v>30</v>
      </c>
      <c r="BJ416">
        <v>29</v>
      </c>
      <c r="BK416">
        <v>7</v>
      </c>
      <c r="BL416">
        <v>1</v>
      </c>
      <c r="BM416">
        <v>24</v>
      </c>
      <c r="BN416">
        <v>12</v>
      </c>
      <c r="BO416">
        <v>23</v>
      </c>
      <c r="BP416">
        <v>6</v>
      </c>
      <c r="BQ416">
        <v>23</v>
      </c>
      <c r="BR416">
        <v>18</v>
      </c>
      <c r="BS416">
        <v>13</v>
      </c>
      <c r="BT416">
        <v>209</v>
      </c>
      <c r="BU416">
        <v>26</v>
      </c>
      <c r="BV416">
        <v>121</v>
      </c>
      <c r="BW416">
        <v>337</v>
      </c>
      <c r="BX416">
        <v>18</v>
      </c>
      <c r="BY416">
        <v>16</v>
      </c>
      <c r="BZ416">
        <v>28</v>
      </c>
      <c r="CA416">
        <v>546</v>
      </c>
      <c r="CB416">
        <v>11</v>
      </c>
      <c r="CC416">
        <v>5</v>
      </c>
      <c r="CD416">
        <v>9</v>
      </c>
      <c r="CE416">
        <v>91</v>
      </c>
      <c r="CF416">
        <v>10.11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32</v>
      </c>
      <c r="CO416">
        <v>0</v>
      </c>
      <c r="CP416">
        <v>5</v>
      </c>
      <c r="CQ416">
        <v>0</v>
      </c>
      <c r="CR416">
        <v>0</v>
      </c>
      <c r="CS416">
        <v>0</v>
      </c>
      <c r="CT416">
        <v>37</v>
      </c>
      <c r="CU416">
        <v>0</v>
      </c>
      <c r="CV416">
        <v>0</v>
      </c>
      <c r="CW416">
        <v>2</v>
      </c>
      <c r="CX416">
        <v>0</v>
      </c>
      <c r="CY416">
        <v>23</v>
      </c>
      <c r="CZ416">
        <v>0</v>
      </c>
      <c r="DA416">
        <v>0</v>
      </c>
      <c r="DB416">
        <v>0</v>
      </c>
      <c r="DC416">
        <v>25</v>
      </c>
      <c r="DD416">
        <v>0</v>
      </c>
      <c r="DE416">
        <v>0</v>
      </c>
      <c r="DF416">
        <v>91</v>
      </c>
      <c r="DG416">
        <v>9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100</v>
      </c>
      <c r="DT416">
        <v>162</v>
      </c>
      <c r="DU416">
        <v>42</v>
      </c>
      <c r="DV416">
        <v>0</v>
      </c>
      <c r="DW416">
        <v>0</v>
      </c>
      <c r="DX416">
        <v>0</v>
      </c>
      <c r="DY416">
        <v>130</v>
      </c>
      <c r="DZ416">
        <v>156</v>
      </c>
      <c r="EA416">
        <v>325</v>
      </c>
      <c r="EB416">
        <v>360</v>
      </c>
      <c r="EC416">
        <v>234</v>
      </c>
      <c r="ED416">
        <v>220</v>
      </c>
      <c r="EE416">
        <v>730</v>
      </c>
      <c r="EF416">
        <v>0</v>
      </c>
      <c r="EG416">
        <v>0.39</v>
      </c>
      <c r="EH416">
        <v>0.6</v>
      </c>
      <c r="EI416">
        <v>0.7</v>
      </c>
      <c r="EJ416">
        <v>0.2</v>
      </c>
      <c r="EK416">
        <v>0.8</v>
      </c>
    </row>
    <row r="417" spans="1:141" x14ac:dyDescent="0.25">
      <c r="A417" t="str">
        <f>[1]ingredient!B417</f>
        <v>Cherry-Tomaten</v>
      </c>
      <c r="B417" t="s">
        <v>465</v>
      </c>
      <c r="C417" s="7">
        <f>_xlfn.XLOOKUP(A417,[1]ingredient!$B$2:$B$521,[1]ingredient!$A$2:$A$521)</f>
        <v>416</v>
      </c>
      <c r="D417">
        <v>20</v>
      </c>
      <c r="E417">
        <v>0.2</v>
      </c>
      <c r="F417">
        <v>1</v>
      </c>
      <c r="G417">
        <v>3</v>
      </c>
      <c r="H417">
        <v>1</v>
      </c>
      <c r="I417">
        <v>3</v>
      </c>
      <c r="J417">
        <v>0.03</v>
      </c>
      <c r="K417">
        <v>94</v>
      </c>
      <c r="L417">
        <v>100</v>
      </c>
      <c r="M417">
        <v>50</v>
      </c>
      <c r="N417">
        <v>0</v>
      </c>
      <c r="O417">
        <v>600</v>
      </c>
      <c r="P417">
        <v>100</v>
      </c>
      <c r="Q417">
        <v>0</v>
      </c>
      <c r="R417">
        <v>500</v>
      </c>
      <c r="S417">
        <v>600</v>
      </c>
      <c r="T417">
        <v>300</v>
      </c>
      <c r="U417">
        <v>100</v>
      </c>
      <c r="V417">
        <v>4</v>
      </c>
      <c r="W417">
        <v>33</v>
      </c>
      <c r="X417">
        <v>0</v>
      </c>
      <c r="Y417">
        <v>19300</v>
      </c>
      <c r="Z417">
        <v>0</v>
      </c>
      <c r="AA417">
        <v>0</v>
      </c>
      <c r="AB417">
        <v>0</v>
      </c>
      <c r="AC417">
        <v>3</v>
      </c>
      <c r="AD417">
        <v>235</v>
      </c>
      <c r="AE417">
        <v>9</v>
      </c>
      <c r="AF417">
        <v>11</v>
      </c>
      <c r="AG417">
        <v>22</v>
      </c>
      <c r="AH417">
        <v>11</v>
      </c>
      <c r="AI417">
        <v>30</v>
      </c>
      <c r="AJ417">
        <v>300</v>
      </c>
      <c r="AK417">
        <v>100</v>
      </c>
      <c r="AL417">
        <v>100</v>
      </c>
      <c r="AM417">
        <v>100</v>
      </c>
      <c r="AN417">
        <v>0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1081</v>
      </c>
      <c r="AU417">
        <v>1358</v>
      </c>
      <c r="AV417">
        <v>0</v>
      </c>
      <c r="AW417">
        <v>2439</v>
      </c>
      <c r="AX417">
        <v>100</v>
      </c>
      <c r="AY417">
        <v>0</v>
      </c>
      <c r="AZ417">
        <v>0</v>
      </c>
      <c r="BA417">
        <v>84</v>
      </c>
      <c r="BB417">
        <v>0</v>
      </c>
      <c r="BC417">
        <v>0</v>
      </c>
      <c r="BD417">
        <v>0</v>
      </c>
      <c r="BE417">
        <v>80</v>
      </c>
      <c r="BF417">
        <v>0</v>
      </c>
      <c r="BG417">
        <f t="shared" si="61"/>
        <v>34.782608695652172</v>
      </c>
      <c r="BH417">
        <v>23</v>
      </c>
      <c r="BI417">
        <v>30</v>
      </c>
      <c r="BJ417">
        <v>29</v>
      </c>
      <c r="BK417">
        <v>7</v>
      </c>
      <c r="BL417">
        <v>1</v>
      </c>
      <c r="BM417">
        <v>24</v>
      </c>
      <c r="BN417">
        <v>12</v>
      </c>
      <c r="BO417">
        <v>23</v>
      </c>
      <c r="BP417">
        <v>6</v>
      </c>
      <c r="BQ417">
        <v>23</v>
      </c>
      <c r="BR417">
        <v>18</v>
      </c>
      <c r="BS417">
        <v>13</v>
      </c>
      <c r="BT417">
        <v>209</v>
      </c>
      <c r="BU417">
        <v>26</v>
      </c>
      <c r="BV417">
        <v>121</v>
      </c>
      <c r="BW417">
        <v>337</v>
      </c>
      <c r="BX417">
        <v>18</v>
      </c>
      <c r="BY417">
        <v>16</v>
      </c>
      <c r="BZ417">
        <v>28</v>
      </c>
      <c r="CA417">
        <v>546</v>
      </c>
      <c r="CB417">
        <v>11</v>
      </c>
      <c r="CC417">
        <v>5</v>
      </c>
      <c r="CD417">
        <v>0</v>
      </c>
      <c r="CE417">
        <v>100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32</v>
      </c>
      <c r="CO417">
        <v>0</v>
      </c>
      <c r="CP417">
        <v>5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2</v>
      </c>
      <c r="CX417">
        <v>0</v>
      </c>
      <c r="CY417">
        <v>23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100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100</v>
      </c>
      <c r="DT417">
        <v>162</v>
      </c>
      <c r="DU417">
        <v>42</v>
      </c>
      <c r="DV417">
        <v>0</v>
      </c>
      <c r="DW417">
        <v>0</v>
      </c>
      <c r="DX417">
        <v>0</v>
      </c>
      <c r="DY417">
        <v>130</v>
      </c>
      <c r="DZ417">
        <v>156</v>
      </c>
      <c r="EA417">
        <v>325</v>
      </c>
      <c r="EB417">
        <v>360</v>
      </c>
      <c r="EC417">
        <v>234</v>
      </c>
      <c r="ED417">
        <v>220</v>
      </c>
      <c r="EE417">
        <v>730</v>
      </c>
      <c r="EF417">
        <v>0</v>
      </c>
      <c r="EG417">
        <v>390</v>
      </c>
      <c r="EH417">
        <v>0.6</v>
      </c>
      <c r="EI417">
        <v>0.7</v>
      </c>
      <c r="EJ417">
        <v>0.2</v>
      </c>
      <c r="EK417">
        <v>0.8</v>
      </c>
    </row>
    <row r="418" spans="1:141" x14ac:dyDescent="0.25">
      <c r="A418" t="str">
        <f>[1]ingredient!B418</f>
        <v>Tomaten gelb</v>
      </c>
      <c r="B418" t="s">
        <v>367</v>
      </c>
      <c r="C418" s="7">
        <f>_xlfn.XLOOKUP(A418,[1]ingredient!$B$2:$B$521,[1]ingredient!$A$2:$A$521)</f>
        <v>417</v>
      </c>
      <c r="D418">
        <v>17</v>
      </c>
      <c r="E418">
        <v>0.21</v>
      </c>
      <c r="F418">
        <v>1</v>
      </c>
      <c r="G418">
        <v>3</v>
      </c>
      <c r="H418">
        <v>1</v>
      </c>
      <c r="I418">
        <v>3</v>
      </c>
      <c r="J418">
        <v>0.03</v>
      </c>
      <c r="K418">
        <v>94</v>
      </c>
      <c r="L418">
        <v>99</v>
      </c>
      <c r="M418">
        <v>49</v>
      </c>
      <c r="N418">
        <v>0</v>
      </c>
      <c r="O418">
        <v>593</v>
      </c>
      <c r="P418">
        <v>57</v>
      </c>
      <c r="Q418">
        <v>35</v>
      </c>
      <c r="R418">
        <v>530</v>
      </c>
      <c r="S418">
        <v>630</v>
      </c>
      <c r="T418">
        <v>310</v>
      </c>
      <c r="U418">
        <v>100</v>
      </c>
      <c r="V418">
        <v>4</v>
      </c>
      <c r="W418">
        <v>33</v>
      </c>
      <c r="X418">
        <v>0</v>
      </c>
      <c r="Y418">
        <v>19255</v>
      </c>
      <c r="Z418">
        <v>0</v>
      </c>
      <c r="AA418">
        <v>800</v>
      </c>
      <c r="AB418">
        <v>6</v>
      </c>
      <c r="AC418">
        <v>3</v>
      </c>
      <c r="AD418">
        <v>235</v>
      </c>
      <c r="AE418">
        <v>9</v>
      </c>
      <c r="AF418">
        <v>11</v>
      </c>
      <c r="AG418">
        <v>22</v>
      </c>
      <c r="AH418">
        <v>11</v>
      </c>
      <c r="AI418">
        <v>30</v>
      </c>
      <c r="AJ418">
        <v>316</v>
      </c>
      <c r="AK418">
        <v>85</v>
      </c>
      <c r="AL418">
        <v>57</v>
      </c>
      <c r="AM418">
        <v>108</v>
      </c>
      <c r="AN418">
        <v>24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1081</v>
      </c>
      <c r="AU418">
        <v>1358</v>
      </c>
      <c r="AV418">
        <v>0</v>
      </c>
      <c r="AW418">
        <v>2439</v>
      </c>
      <c r="AX418">
        <v>84</v>
      </c>
      <c r="AY418">
        <v>0</v>
      </c>
      <c r="AZ418">
        <v>0</v>
      </c>
      <c r="BA418">
        <v>84</v>
      </c>
      <c r="BB418">
        <v>0</v>
      </c>
      <c r="BC418">
        <v>0</v>
      </c>
      <c r="BD418">
        <v>0</v>
      </c>
      <c r="BE418">
        <v>80</v>
      </c>
      <c r="BF418">
        <v>80</v>
      </c>
      <c r="BG418">
        <f t="shared" si="61"/>
        <v>34.782608695652172</v>
      </c>
      <c r="BH418">
        <v>23</v>
      </c>
      <c r="BI418">
        <v>30</v>
      </c>
      <c r="BJ418">
        <v>29</v>
      </c>
      <c r="BK418">
        <v>7</v>
      </c>
      <c r="BL418">
        <v>1</v>
      </c>
      <c r="BM418">
        <v>24</v>
      </c>
      <c r="BN418">
        <v>12</v>
      </c>
      <c r="BO418">
        <v>23</v>
      </c>
      <c r="BP418">
        <v>6</v>
      </c>
      <c r="BQ418">
        <v>23</v>
      </c>
      <c r="BR418">
        <v>18</v>
      </c>
      <c r="BS418">
        <v>13</v>
      </c>
      <c r="BT418">
        <v>209</v>
      </c>
      <c r="BU418">
        <v>26</v>
      </c>
      <c r="BV418">
        <v>121</v>
      </c>
      <c r="BW418">
        <v>337</v>
      </c>
      <c r="BX418">
        <v>18</v>
      </c>
      <c r="BY418">
        <v>16</v>
      </c>
      <c r="BZ418">
        <v>28</v>
      </c>
      <c r="CA418">
        <v>546</v>
      </c>
      <c r="CB418">
        <v>11</v>
      </c>
      <c r="CC418">
        <v>5</v>
      </c>
      <c r="CD418">
        <v>9</v>
      </c>
      <c r="CE418">
        <v>91</v>
      </c>
      <c r="CF418">
        <v>10.11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32</v>
      </c>
      <c r="CO418">
        <v>0</v>
      </c>
      <c r="CP418">
        <v>5</v>
      </c>
      <c r="CQ418">
        <v>0</v>
      </c>
      <c r="CR418">
        <v>0</v>
      </c>
      <c r="CS418">
        <v>0</v>
      </c>
      <c r="CT418">
        <v>37</v>
      </c>
      <c r="CU418">
        <v>0</v>
      </c>
      <c r="CV418">
        <v>0</v>
      </c>
      <c r="CW418">
        <v>2</v>
      </c>
      <c r="CX418">
        <v>0</v>
      </c>
      <c r="CY418">
        <v>23</v>
      </c>
      <c r="CZ418">
        <v>0</v>
      </c>
      <c r="DA418">
        <v>0</v>
      </c>
      <c r="DB418">
        <v>0</v>
      </c>
      <c r="DC418">
        <v>25</v>
      </c>
      <c r="DD418">
        <v>0</v>
      </c>
      <c r="DE418">
        <v>0</v>
      </c>
      <c r="DF418">
        <v>91</v>
      </c>
      <c r="DG418">
        <v>9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100</v>
      </c>
      <c r="DT418">
        <v>162</v>
      </c>
      <c r="DU418">
        <v>42</v>
      </c>
      <c r="DV418">
        <v>0</v>
      </c>
      <c r="DW418">
        <v>0</v>
      </c>
      <c r="DX418">
        <v>0</v>
      </c>
      <c r="DY418">
        <v>130</v>
      </c>
      <c r="DZ418">
        <v>156</v>
      </c>
      <c r="EA418">
        <v>325</v>
      </c>
      <c r="EB418">
        <v>360</v>
      </c>
      <c r="EC418">
        <v>234</v>
      </c>
      <c r="ED418">
        <v>220</v>
      </c>
      <c r="EE418">
        <v>730</v>
      </c>
      <c r="EF418">
        <v>0</v>
      </c>
      <c r="EG418">
        <v>0.39</v>
      </c>
      <c r="EH418">
        <v>0.6</v>
      </c>
      <c r="EI418">
        <v>0.7</v>
      </c>
      <c r="EJ418">
        <v>0.2</v>
      </c>
      <c r="EK418">
        <v>0.8</v>
      </c>
    </row>
    <row r="419" spans="1:141" x14ac:dyDescent="0.25">
      <c r="A419" t="str">
        <f>[1]ingredient!B419</f>
        <v>Tomaten Passata</v>
      </c>
      <c r="B419" t="s">
        <v>466</v>
      </c>
      <c r="C419" s="7">
        <f>_xlfn.XLOOKUP(A419,[1]ingredient!$B$2:$B$521,[1]ingredient!$A$2:$A$521)</f>
        <v>418</v>
      </c>
      <c r="D419">
        <v>74</v>
      </c>
      <c r="E419">
        <v>0.2</v>
      </c>
      <c r="F419">
        <v>5</v>
      </c>
      <c r="G419">
        <v>13</v>
      </c>
      <c r="H419">
        <v>3</v>
      </c>
      <c r="I419">
        <v>12</v>
      </c>
      <c r="J419">
        <v>1</v>
      </c>
      <c r="K419">
        <v>77</v>
      </c>
      <c r="L419">
        <v>217</v>
      </c>
      <c r="M419">
        <v>108</v>
      </c>
      <c r="N419">
        <v>0</v>
      </c>
      <c r="O419">
        <v>1300</v>
      </c>
      <c r="P419">
        <v>220</v>
      </c>
      <c r="Q419">
        <v>120</v>
      </c>
      <c r="R419">
        <v>3500</v>
      </c>
      <c r="S419">
        <v>4100</v>
      </c>
      <c r="T419">
        <v>1000</v>
      </c>
      <c r="U419">
        <v>440</v>
      </c>
      <c r="V419">
        <v>6</v>
      </c>
      <c r="W419">
        <v>54</v>
      </c>
      <c r="X419">
        <v>0</v>
      </c>
      <c r="Y419">
        <v>38000</v>
      </c>
      <c r="Z419">
        <v>0</v>
      </c>
      <c r="AA419">
        <v>5370</v>
      </c>
      <c r="AB419">
        <v>20</v>
      </c>
      <c r="AC419">
        <v>240</v>
      </c>
      <c r="AD419">
        <v>1150</v>
      </c>
      <c r="AE419">
        <v>48</v>
      </c>
      <c r="AF419">
        <v>48</v>
      </c>
      <c r="AG419">
        <v>94</v>
      </c>
      <c r="AH419">
        <v>60</v>
      </c>
      <c r="AI419">
        <v>490</v>
      </c>
      <c r="AJ419">
        <v>1600</v>
      </c>
      <c r="AK419">
        <v>700</v>
      </c>
      <c r="AL419">
        <v>530</v>
      </c>
      <c r="AM419">
        <v>300</v>
      </c>
      <c r="AN419">
        <v>40</v>
      </c>
      <c r="AO419">
        <v>4</v>
      </c>
      <c r="AP419">
        <v>0</v>
      </c>
      <c r="AQ419">
        <v>0</v>
      </c>
      <c r="AR419">
        <v>0</v>
      </c>
      <c r="AS419">
        <v>0</v>
      </c>
      <c r="AT419">
        <v>5483</v>
      </c>
      <c r="AU419">
        <v>6449</v>
      </c>
      <c r="AV419">
        <v>0</v>
      </c>
      <c r="AW419">
        <v>11932</v>
      </c>
      <c r="AX419">
        <v>516</v>
      </c>
      <c r="AY419">
        <v>0</v>
      </c>
      <c r="AZ419">
        <v>0</v>
      </c>
      <c r="BA419">
        <v>516</v>
      </c>
      <c r="BB419">
        <v>0</v>
      </c>
      <c r="BC419">
        <v>0</v>
      </c>
      <c r="BD419">
        <v>0</v>
      </c>
      <c r="BE419">
        <v>387</v>
      </c>
      <c r="BF419">
        <v>387</v>
      </c>
      <c r="BG419">
        <f t="shared" si="61"/>
        <v>54.754098360655732</v>
      </c>
      <c r="BH419">
        <v>113</v>
      </c>
      <c r="BI419">
        <v>167</v>
      </c>
      <c r="BJ419">
        <v>171</v>
      </c>
      <c r="BK419">
        <v>27</v>
      </c>
      <c r="BL419">
        <v>41</v>
      </c>
      <c r="BM419">
        <v>113</v>
      </c>
      <c r="BN419">
        <v>63</v>
      </c>
      <c r="BO419">
        <v>126</v>
      </c>
      <c r="BP419">
        <v>36</v>
      </c>
      <c r="BQ419">
        <v>113</v>
      </c>
      <c r="BR419">
        <v>108</v>
      </c>
      <c r="BS419">
        <v>63</v>
      </c>
      <c r="BT419">
        <v>1141</v>
      </c>
      <c r="BU419">
        <v>144</v>
      </c>
      <c r="BV419">
        <v>585</v>
      </c>
      <c r="BW419">
        <v>1617</v>
      </c>
      <c r="BX419">
        <v>113</v>
      </c>
      <c r="BY419">
        <v>90</v>
      </c>
      <c r="BZ419">
        <v>135</v>
      </c>
      <c r="CA419">
        <v>2684</v>
      </c>
      <c r="CB419">
        <v>91</v>
      </c>
      <c r="CC419">
        <v>38</v>
      </c>
      <c r="CD419">
        <v>6</v>
      </c>
      <c r="CE419">
        <v>89</v>
      </c>
      <c r="CF419">
        <v>14.83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28</v>
      </c>
      <c r="CO419">
        <v>0</v>
      </c>
      <c r="CP419">
        <v>8</v>
      </c>
      <c r="CQ419">
        <v>0</v>
      </c>
      <c r="CR419">
        <v>0</v>
      </c>
      <c r="CS419">
        <v>0</v>
      </c>
      <c r="CT419">
        <v>36</v>
      </c>
      <c r="CU419">
        <v>0</v>
      </c>
      <c r="CV419">
        <v>0</v>
      </c>
      <c r="CW419">
        <v>1</v>
      </c>
      <c r="CX419">
        <v>0</v>
      </c>
      <c r="CY419">
        <v>28</v>
      </c>
      <c r="CZ419">
        <v>0</v>
      </c>
      <c r="DA419">
        <v>0</v>
      </c>
      <c r="DB419">
        <v>0</v>
      </c>
      <c r="DC419">
        <v>29</v>
      </c>
      <c r="DD419">
        <v>0</v>
      </c>
      <c r="DE419">
        <v>0</v>
      </c>
      <c r="DF419">
        <v>89</v>
      </c>
      <c r="DG419">
        <v>6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95</v>
      </c>
      <c r="DT419">
        <v>160</v>
      </c>
      <c r="DU419">
        <v>40</v>
      </c>
      <c r="DV419">
        <v>0</v>
      </c>
      <c r="DW419">
        <v>0</v>
      </c>
      <c r="DX419">
        <v>0</v>
      </c>
      <c r="DY419">
        <v>280</v>
      </c>
      <c r="DZ419">
        <v>336</v>
      </c>
      <c r="EA419">
        <v>700</v>
      </c>
      <c r="EB419">
        <v>980</v>
      </c>
      <c r="EC419">
        <v>504</v>
      </c>
      <c r="ED419">
        <v>280</v>
      </c>
      <c r="EE419">
        <v>2520</v>
      </c>
      <c r="EF419">
        <v>0</v>
      </c>
      <c r="EG419">
        <v>1</v>
      </c>
      <c r="EH419">
        <v>2.4</v>
      </c>
      <c r="EI419">
        <v>2.5</v>
      </c>
      <c r="EJ419">
        <v>0.2</v>
      </c>
      <c r="EK419">
        <v>4.0999999999999996</v>
      </c>
    </row>
    <row r="420" spans="1:141" x14ac:dyDescent="0.25">
      <c r="A420" t="str">
        <f>[1]ingredient!B420</f>
        <v>Tomaten schwarz</v>
      </c>
      <c r="B420" t="s">
        <v>367</v>
      </c>
      <c r="C420" s="7">
        <f>_xlfn.XLOOKUP(A420,[1]ingredient!$B$2:$B$521,[1]ingredient!$A$2:$A$521)</f>
        <v>419</v>
      </c>
      <c r="D420">
        <v>17</v>
      </c>
      <c r="E420">
        <v>0.21</v>
      </c>
      <c r="F420">
        <v>1</v>
      </c>
      <c r="G420">
        <v>3</v>
      </c>
      <c r="H420">
        <v>1</v>
      </c>
      <c r="I420">
        <v>3</v>
      </c>
      <c r="J420">
        <v>0.03</v>
      </c>
      <c r="K420">
        <v>94</v>
      </c>
      <c r="L420">
        <v>99</v>
      </c>
      <c r="M420">
        <v>49</v>
      </c>
      <c r="N420">
        <v>0</v>
      </c>
      <c r="O420">
        <v>593</v>
      </c>
      <c r="P420">
        <v>57</v>
      </c>
      <c r="Q420">
        <v>35</v>
      </c>
      <c r="R420">
        <v>530</v>
      </c>
      <c r="S420">
        <v>630</v>
      </c>
      <c r="T420">
        <v>310</v>
      </c>
      <c r="U420">
        <v>100</v>
      </c>
      <c r="V420">
        <v>4</v>
      </c>
      <c r="W420">
        <v>33</v>
      </c>
      <c r="X420">
        <v>0</v>
      </c>
      <c r="Y420">
        <v>19255</v>
      </c>
      <c r="Z420">
        <v>0</v>
      </c>
      <c r="AA420">
        <v>800</v>
      </c>
      <c r="AB420">
        <v>6</v>
      </c>
      <c r="AC420">
        <v>3</v>
      </c>
      <c r="AD420">
        <v>235</v>
      </c>
      <c r="AE420">
        <v>9</v>
      </c>
      <c r="AF420">
        <v>11</v>
      </c>
      <c r="AG420">
        <v>22</v>
      </c>
      <c r="AH420">
        <v>11</v>
      </c>
      <c r="AI420">
        <v>30</v>
      </c>
      <c r="AJ420">
        <v>316</v>
      </c>
      <c r="AK420">
        <v>85</v>
      </c>
      <c r="AL420">
        <v>57</v>
      </c>
      <c r="AM420">
        <v>108</v>
      </c>
      <c r="AN420">
        <v>24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1081</v>
      </c>
      <c r="AU420">
        <v>1358</v>
      </c>
      <c r="AV420">
        <v>0</v>
      </c>
      <c r="AW420">
        <v>2439</v>
      </c>
      <c r="AX420">
        <v>84</v>
      </c>
      <c r="AY420">
        <v>0</v>
      </c>
      <c r="AZ420">
        <v>0</v>
      </c>
      <c r="BA420">
        <v>84</v>
      </c>
      <c r="BB420">
        <v>0</v>
      </c>
      <c r="BC420">
        <v>0</v>
      </c>
      <c r="BD420">
        <v>0</v>
      </c>
      <c r="BE420">
        <v>80</v>
      </c>
      <c r="BF420">
        <v>80</v>
      </c>
      <c r="BG420">
        <f t="shared" si="61"/>
        <v>34.782608695652172</v>
      </c>
      <c r="BH420">
        <v>23</v>
      </c>
      <c r="BI420">
        <v>30</v>
      </c>
      <c r="BJ420">
        <v>29</v>
      </c>
      <c r="BK420">
        <v>7</v>
      </c>
      <c r="BL420">
        <v>1</v>
      </c>
      <c r="BM420">
        <v>24</v>
      </c>
      <c r="BN420">
        <v>12</v>
      </c>
      <c r="BO420">
        <v>23</v>
      </c>
      <c r="BP420">
        <v>6</v>
      </c>
      <c r="BQ420">
        <v>23</v>
      </c>
      <c r="BR420">
        <v>18</v>
      </c>
      <c r="BS420">
        <v>13</v>
      </c>
      <c r="BT420">
        <v>209</v>
      </c>
      <c r="BU420">
        <v>26</v>
      </c>
      <c r="BV420">
        <v>121</v>
      </c>
      <c r="BW420">
        <v>337</v>
      </c>
      <c r="BX420">
        <v>18</v>
      </c>
      <c r="BY420">
        <v>16</v>
      </c>
      <c r="BZ420">
        <v>28</v>
      </c>
      <c r="CA420">
        <v>546</v>
      </c>
      <c r="CB420">
        <v>11</v>
      </c>
      <c r="CC420">
        <v>5</v>
      </c>
      <c r="CD420">
        <v>9</v>
      </c>
      <c r="CE420">
        <v>91</v>
      </c>
      <c r="CF420">
        <v>10.11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32</v>
      </c>
      <c r="CO420">
        <v>0</v>
      </c>
      <c r="CP420">
        <v>5</v>
      </c>
      <c r="CQ420">
        <v>0</v>
      </c>
      <c r="CR420">
        <v>0</v>
      </c>
      <c r="CS420">
        <v>0</v>
      </c>
      <c r="CT420">
        <v>37</v>
      </c>
      <c r="CU420">
        <v>0</v>
      </c>
      <c r="CV420">
        <v>0</v>
      </c>
      <c r="CW420">
        <v>2</v>
      </c>
      <c r="CX420">
        <v>0</v>
      </c>
      <c r="CY420">
        <v>23</v>
      </c>
      <c r="CZ420">
        <v>0</v>
      </c>
      <c r="DA420">
        <v>0</v>
      </c>
      <c r="DB420">
        <v>0</v>
      </c>
      <c r="DC420">
        <v>25</v>
      </c>
      <c r="DD420">
        <v>0</v>
      </c>
      <c r="DE420">
        <v>0</v>
      </c>
      <c r="DF420">
        <v>91</v>
      </c>
      <c r="DG420">
        <v>9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100</v>
      </c>
      <c r="DT420">
        <v>162</v>
      </c>
      <c r="DU420">
        <v>42</v>
      </c>
      <c r="DV420">
        <v>0</v>
      </c>
      <c r="DW420">
        <v>0</v>
      </c>
      <c r="DX420">
        <v>0</v>
      </c>
      <c r="DY420">
        <v>130</v>
      </c>
      <c r="DZ420">
        <v>156</v>
      </c>
      <c r="EA420">
        <v>325</v>
      </c>
      <c r="EB420">
        <v>360</v>
      </c>
      <c r="EC420">
        <v>234</v>
      </c>
      <c r="ED420">
        <v>220</v>
      </c>
      <c r="EE420">
        <v>730</v>
      </c>
      <c r="EF420">
        <v>0</v>
      </c>
      <c r="EG420">
        <v>0.39</v>
      </c>
      <c r="EH420">
        <v>0.6</v>
      </c>
      <c r="EI420">
        <v>0.7</v>
      </c>
      <c r="EJ420">
        <v>0.2</v>
      </c>
      <c r="EK420">
        <v>0.8</v>
      </c>
    </row>
    <row r="421" spans="1:141" x14ac:dyDescent="0.25">
      <c r="A421" t="str">
        <f>[1]ingredient!B421</f>
        <v>Tomaten, getrocknet</v>
      </c>
      <c r="B421" t="s">
        <v>467</v>
      </c>
      <c r="C421" s="7">
        <f>_xlfn.XLOOKUP(A421,[1]ingredient!$B$2:$B$521,[1]ingredient!$A$2:$A$521)</f>
        <v>420</v>
      </c>
      <c r="D421">
        <v>69</v>
      </c>
      <c r="E421">
        <v>1</v>
      </c>
      <c r="F421">
        <v>4</v>
      </c>
      <c r="G421">
        <v>10</v>
      </c>
      <c r="H421">
        <v>5</v>
      </c>
      <c r="I421">
        <v>10</v>
      </c>
      <c r="J421">
        <v>0.12</v>
      </c>
      <c r="K421">
        <v>76</v>
      </c>
      <c r="L421">
        <v>201</v>
      </c>
      <c r="M421">
        <v>100</v>
      </c>
      <c r="N421">
        <v>0</v>
      </c>
      <c r="O421">
        <v>1202</v>
      </c>
      <c r="P421">
        <v>173</v>
      </c>
      <c r="Q421">
        <v>99</v>
      </c>
      <c r="R421">
        <v>1827</v>
      </c>
      <c r="S421">
        <v>2360</v>
      </c>
      <c r="T421">
        <v>1006</v>
      </c>
      <c r="U421">
        <v>324</v>
      </c>
      <c r="V421">
        <v>15</v>
      </c>
      <c r="W421">
        <v>67</v>
      </c>
      <c r="X421">
        <v>0</v>
      </c>
      <c r="Y421">
        <v>31237</v>
      </c>
      <c r="Z421">
        <v>0</v>
      </c>
      <c r="AA421">
        <v>2920</v>
      </c>
      <c r="AB421">
        <v>24</v>
      </c>
      <c r="AC421">
        <v>10</v>
      </c>
      <c r="AD421">
        <v>811</v>
      </c>
      <c r="AE421">
        <v>33</v>
      </c>
      <c r="AF421">
        <v>40</v>
      </c>
      <c r="AG421">
        <v>79</v>
      </c>
      <c r="AH421">
        <v>40</v>
      </c>
      <c r="AI421">
        <v>110</v>
      </c>
      <c r="AJ421">
        <v>1089</v>
      </c>
      <c r="AK421">
        <v>310</v>
      </c>
      <c r="AL421">
        <v>208</v>
      </c>
      <c r="AM421">
        <v>394</v>
      </c>
      <c r="AN421">
        <v>88</v>
      </c>
      <c r="AO421">
        <v>4</v>
      </c>
      <c r="AP421">
        <v>0</v>
      </c>
      <c r="AQ421">
        <v>0</v>
      </c>
      <c r="AR421">
        <v>0</v>
      </c>
      <c r="AS421">
        <v>0</v>
      </c>
      <c r="AT421">
        <v>4161</v>
      </c>
      <c r="AU421">
        <v>5224</v>
      </c>
      <c r="AV421">
        <v>0</v>
      </c>
      <c r="AW421">
        <v>9385</v>
      </c>
      <c r="AX421">
        <v>324</v>
      </c>
      <c r="AY421">
        <v>0</v>
      </c>
      <c r="AZ421">
        <v>0</v>
      </c>
      <c r="BA421">
        <v>324</v>
      </c>
      <c r="BB421">
        <v>0</v>
      </c>
      <c r="BC421">
        <v>0</v>
      </c>
      <c r="BD421">
        <v>0</v>
      </c>
      <c r="BE421">
        <v>308</v>
      </c>
      <c r="BF421">
        <v>308</v>
      </c>
      <c r="BG421">
        <f t="shared" si="61"/>
        <v>44.565217391304344</v>
      </c>
      <c r="BH421">
        <v>118</v>
      </c>
      <c r="BI421">
        <v>154</v>
      </c>
      <c r="BJ421">
        <v>146</v>
      </c>
      <c r="BK421">
        <v>37</v>
      </c>
      <c r="BL421">
        <v>4</v>
      </c>
      <c r="BM421">
        <v>122</v>
      </c>
      <c r="BN421">
        <v>61</v>
      </c>
      <c r="BO421">
        <v>118</v>
      </c>
      <c r="BP421">
        <v>32</v>
      </c>
      <c r="BQ421">
        <v>118</v>
      </c>
      <c r="BR421">
        <v>93</v>
      </c>
      <c r="BS421">
        <v>65</v>
      </c>
      <c r="BT421">
        <v>1068</v>
      </c>
      <c r="BU421">
        <v>134</v>
      </c>
      <c r="BV421">
        <v>616</v>
      </c>
      <c r="BW421">
        <v>1719</v>
      </c>
      <c r="BX421">
        <v>93</v>
      </c>
      <c r="BY421">
        <v>81</v>
      </c>
      <c r="BZ421">
        <v>142</v>
      </c>
      <c r="CA421">
        <v>2785</v>
      </c>
      <c r="CB421">
        <v>45</v>
      </c>
      <c r="CC421">
        <v>19</v>
      </c>
      <c r="CD421">
        <v>37</v>
      </c>
      <c r="CE421">
        <v>382</v>
      </c>
      <c r="CF421">
        <v>10.32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134</v>
      </c>
      <c r="CO421">
        <v>0</v>
      </c>
      <c r="CP421">
        <v>20</v>
      </c>
      <c r="CQ421">
        <v>0</v>
      </c>
      <c r="CR421">
        <v>0</v>
      </c>
      <c r="CS421">
        <v>0</v>
      </c>
      <c r="CT421">
        <v>154</v>
      </c>
      <c r="CU421">
        <v>0</v>
      </c>
      <c r="CV421">
        <v>0</v>
      </c>
      <c r="CW421">
        <v>8</v>
      </c>
      <c r="CX421">
        <v>0</v>
      </c>
      <c r="CY421">
        <v>97</v>
      </c>
      <c r="CZ421">
        <v>0</v>
      </c>
      <c r="DA421">
        <v>0</v>
      </c>
      <c r="DB421">
        <v>0</v>
      </c>
      <c r="DC421">
        <v>105</v>
      </c>
      <c r="DD421">
        <v>0</v>
      </c>
      <c r="DE421">
        <v>0</v>
      </c>
      <c r="DF421">
        <v>382</v>
      </c>
      <c r="DG421">
        <v>37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419</v>
      </c>
      <c r="DT421">
        <v>678</v>
      </c>
      <c r="DU421">
        <v>174</v>
      </c>
      <c r="DV421">
        <v>0</v>
      </c>
      <c r="DW421">
        <v>0</v>
      </c>
      <c r="DX421">
        <v>0</v>
      </c>
      <c r="DY421">
        <v>568</v>
      </c>
      <c r="DZ421">
        <v>681</v>
      </c>
      <c r="EA421">
        <v>1425</v>
      </c>
      <c r="EB421">
        <v>1575</v>
      </c>
      <c r="EC421">
        <v>1023</v>
      </c>
      <c r="ED421">
        <v>892</v>
      </c>
      <c r="EE421">
        <v>2961</v>
      </c>
      <c r="EF421">
        <v>0</v>
      </c>
      <c r="EG421">
        <v>2</v>
      </c>
      <c r="EH421">
        <v>2.2000000000000002</v>
      </c>
      <c r="EI421">
        <v>3</v>
      </c>
      <c r="EJ421">
        <v>0.9</v>
      </c>
      <c r="EK421">
        <v>4</v>
      </c>
    </row>
    <row r="422" spans="1:141" x14ac:dyDescent="0.25">
      <c r="A422" t="str">
        <f>[1]ingredient!B422</f>
        <v>Tomatenmark</v>
      </c>
      <c r="B422" t="s">
        <v>468</v>
      </c>
      <c r="C422" s="7">
        <f>_xlfn.XLOOKUP(A422,[1]ingredient!$B$2:$B$521,[1]ingredient!$A$2:$A$521)</f>
        <v>421</v>
      </c>
      <c r="D422">
        <v>74</v>
      </c>
      <c r="E422">
        <v>0.2</v>
      </c>
      <c r="F422">
        <v>5</v>
      </c>
      <c r="G422">
        <v>13</v>
      </c>
      <c r="H422">
        <v>3</v>
      </c>
      <c r="I422">
        <v>12</v>
      </c>
      <c r="J422">
        <v>1</v>
      </c>
      <c r="K422">
        <v>77</v>
      </c>
      <c r="L422">
        <v>217</v>
      </c>
      <c r="M422">
        <v>108</v>
      </c>
      <c r="N422">
        <v>0</v>
      </c>
      <c r="O422">
        <v>1300</v>
      </c>
      <c r="P422">
        <v>220</v>
      </c>
      <c r="Q422">
        <v>120</v>
      </c>
      <c r="R422">
        <v>3500</v>
      </c>
      <c r="S422">
        <v>4100</v>
      </c>
      <c r="T422">
        <v>1000</v>
      </c>
      <c r="U422">
        <v>440</v>
      </c>
      <c r="V422">
        <v>6</v>
      </c>
      <c r="W422">
        <v>54</v>
      </c>
      <c r="X422">
        <v>0</v>
      </c>
      <c r="Y422">
        <v>38000</v>
      </c>
      <c r="Z422">
        <v>0</v>
      </c>
      <c r="AA422">
        <v>5370</v>
      </c>
      <c r="AB422">
        <v>20</v>
      </c>
      <c r="AC422">
        <v>240</v>
      </c>
      <c r="AD422">
        <v>1150</v>
      </c>
      <c r="AE422">
        <v>48</v>
      </c>
      <c r="AF422">
        <v>48</v>
      </c>
      <c r="AG422">
        <v>94</v>
      </c>
      <c r="AH422">
        <v>60</v>
      </c>
      <c r="AI422">
        <v>490</v>
      </c>
      <c r="AJ422">
        <v>1600</v>
      </c>
      <c r="AK422">
        <v>700</v>
      </c>
      <c r="AL422">
        <v>530</v>
      </c>
      <c r="AM422">
        <v>300</v>
      </c>
      <c r="AN422">
        <v>40</v>
      </c>
      <c r="AO422">
        <v>4</v>
      </c>
      <c r="AP422">
        <v>0</v>
      </c>
      <c r="AQ422">
        <v>0</v>
      </c>
      <c r="AR422">
        <v>0</v>
      </c>
      <c r="AS422">
        <v>0</v>
      </c>
      <c r="AT422">
        <v>5483</v>
      </c>
      <c r="AU422">
        <v>6449</v>
      </c>
      <c r="AV422">
        <v>0</v>
      </c>
      <c r="AW422">
        <v>11932</v>
      </c>
      <c r="AX422">
        <v>516</v>
      </c>
      <c r="AY422">
        <v>0</v>
      </c>
      <c r="AZ422">
        <v>0</v>
      </c>
      <c r="BA422">
        <v>516</v>
      </c>
      <c r="BB422">
        <v>0</v>
      </c>
      <c r="BC422">
        <v>0</v>
      </c>
      <c r="BD422">
        <v>0</v>
      </c>
      <c r="BE422">
        <v>387</v>
      </c>
      <c r="BF422">
        <v>387</v>
      </c>
      <c r="BG422">
        <f t="shared" si="61"/>
        <v>54.754098360655732</v>
      </c>
      <c r="BH422">
        <v>113</v>
      </c>
      <c r="BI422">
        <v>167</v>
      </c>
      <c r="BJ422">
        <v>171</v>
      </c>
      <c r="BK422">
        <v>27</v>
      </c>
      <c r="BL422">
        <v>41</v>
      </c>
      <c r="BM422">
        <v>113</v>
      </c>
      <c r="BN422">
        <v>63</v>
      </c>
      <c r="BO422">
        <v>126</v>
      </c>
      <c r="BP422">
        <v>36</v>
      </c>
      <c r="BQ422">
        <v>113</v>
      </c>
      <c r="BR422">
        <v>108</v>
      </c>
      <c r="BS422">
        <v>63</v>
      </c>
      <c r="BT422">
        <v>1141</v>
      </c>
      <c r="BU422">
        <v>144</v>
      </c>
      <c r="BV422">
        <v>585</v>
      </c>
      <c r="BW422">
        <v>1617</v>
      </c>
      <c r="BX422">
        <v>113</v>
      </c>
      <c r="BY422">
        <v>90</v>
      </c>
      <c r="BZ422">
        <v>135</v>
      </c>
      <c r="CA422">
        <v>2684</v>
      </c>
      <c r="CB422">
        <v>91</v>
      </c>
      <c r="CC422">
        <v>38</v>
      </c>
      <c r="CD422">
        <v>6</v>
      </c>
      <c r="CE422">
        <v>89</v>
      </c>
      <c r="CF422">
        <v>14.83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28</v>
      </c>
      <c r="CO422">
        <v>0</v>
      </c>
      <c r="CP422">
        <v>8</v>
      </c>
      <c r="CQ422">
        <v>0</v>
      </c>
      <c r="CR422">
        <v>0</v>
      </c>
      <c r="CS422">
        <v>0</v>
      </c>
      <c r="CT422">
        <v>36</v>
      </c>
      <c r="CU422">
        <v>0</v>
      </c>
      <c r="CV422">
        <v>0</v>
      </c>
      <c r="CW422">
        <v>1</v>
      </c>
      <c r="CX422">
        <v>0</v>
      </c>
      <c r="CY422">
        <v>28</v>
      </c>
      <c r="CZ422">
        <v>0</v>
      </c>
      <c r="DA422">
        <v>0</v>
      </c>
      <c r="DB422">
        <v>0</v>
      </c>
      <c r="DC422">
        <v>29</v>
      </c>
      <c r="DD422">
        <v>0</v>
      </c>
      <c r="DE422">
        <v>0</v>
      </c>
      <c r="DF422">
        <v>89</v>
      </c>
      <c r="DG422">
        <v>6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95</v>
      </c>
      <c r="DT422">
        <v>160</v>
      </c>
      <c r="DU422">
        <v>40</v>
      </c>
      <c r="DV422">
        <v>0</v>
      </c>
      <c r="DW422">
        <v>0</v>
      </c>
      <c r="DX422">
        <v>0</v>
      </c>
      <c r="DY422">
        <v>280</v>
      </c>
      <c r="DZ422">
        <v>336</v>
      </c>
      <c r="EA422">
        <v>700</v>
      </c>
      <c r="EB422">
        <v>980</v>
      </c>
      <c r="EC422">
        <v>504</v>
      </c>
      <c r="ED422">
        <v>280</v>
      </c>
      <c r="EE422">
        <v>2520</v>
      </c>
      <c r="EF422">
        <v>0</v>
      </c>
      <c r="EG422">
        <v>1</v>
      </c>
      <c r="EH422">
        <v>2.4</v>
      </c>
      <c r="EI422">
        <v>2.5</v>
      </c>
      <c r="EJ422">
        <v>0.2</v>
      </c>
      <c r="EK422">
        <v>4.0999999999999996</v>
      </c>
    </row>
    <row r="423" spans="1:141" x14ac:dyDescent="0.25">
      <c r="A423" t="str">
        <f>[1]ingredient!B423</f>
        <v>Tomatenstücke</v>
      </c>
      <c r="B423" t="s">
        <v>367</v>
      </c>
      <c r="C423" s="7">
        <f>_xlfn.XLOOKUP(A423,[1]ingredient!$B$2:$B$521,[1]ingredient!$A$2:$A$521)</f>
        <v>422</v>
      </c>
      <c r="D423">
        <v>17</v>
      </c>
      <c r="E423">
        <v>0.21</v>
      </c>
      <c r="F423">
        <v>1</v>
      </c>
      <c r="G423">
        <v>3</v>
      </c>
      <c r="H423">
        <v>1</v>
      </c>
      <c r="I423">
        <v>3</v>
      </c>
      <c r="J423">
        <v>0.03</v>
      </c>
      <c r="K423">
        <v>94</v>
      </c>
      <c r="L423">
        <v>99</v>
      </c>
      <c r="M423">
        <v>49</v>
      </c>
      <c r="N423">
        <v>0</v>
      </c>
      <c r="O423">
        <v>593</v>
      </c>
      <c r="P423">
        <v>57</v>
      </c>
      <c r="Q423">
        <v>35</v>
      </c>
      <c r="R423">
        <v>530</v>
      </c>
      <c r="S423">
        <v>630</v>
      </c>
      <c r="T423">
        <v>310</v>
      </c>
      <c r="U423">
        <v>100</v>
      </c>
      <c r="V423">
        <v>4</v>
      </c>
      <c r="W423">
        <v>33</v>
      </c>
      <c r="X423">
        <v>0</v>
      </c>
      <c r="Y423">
        <v>19255</v>
      </c>
      <c r="Z423">
        <v>0</v>
      </c>
      <c r="AA423">
        <v>800</v>
      </c>
      <c r="AB423">
        <v>6</v>
      </c>
      <c r="AC423">
        <v>3</v>
      </c>
      <c r="AD423">
        <v>235</v>
      </c>
      <c r="AE423">
        <v>9</v>
      </c>
      <c r="AF423">
        <v>11</v>
      </c>
      <c r="AG423">
        <v>22</v>
      </c>
      <c r="AH423">
        <v>11</v>
      </c>
      <c r="AI423">
        <v>30</v>
      </c>
      <c r="AJ423">
        <v>316</v>
      </c>
      <c r="AK423">
        <v>85</v>
      </c>
      <c r="AL423">
        <v>57</v>
      </c>
      <c r="AM423">
        <v>108</v>
      </c>
      <c r="AN423">
        <v>24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1081</v>
      </c>
      <c r="AU423">
        <v>1358</v>
      </c>
      <c r="AV423">
        <v>0</v>
      </c>
      <c r="AW423">
        <v>2439</v>
      </c>
      <c r="AX423">
        <v>84</v>
      </c>
      <c r="AY423">
        <v>0</v>
      </c>
      <c r="AZ423">
        <v>0</v>
      </c>
      <c r="BA423">
        <v>84</v>
      </c>
      <c r="BB423">
        <v>0</v>
      </c>
      <c r="BC423">
        <v>0</v>
      </c>
      <c r="BD423">
        <v>0</v>
      </c>
      <c r="BE423">
        <v>80</v>
      </c>
      <c r="BF423">
        <v>80</v>
      </c>
      <c r="BG423">
        <f t="shared" si="61"/>
        <v>34.782608695652172</v>
      </c>
      <c r="BH423">
        <v>23</v>
      </c>
      <c r="BI423">
        <v>30</v>
      </c>
      <c r="BJ423">
        <v>29</v>
      </c>
      <c r="BK423">
        <v>7</v>
      </c>
      <c r="BL423">
        <v>1</v>
      </c>
      <c r="BM423">
        <v>24</v>
      </c>
      <c r="BN423">
        <v>12</v>
      </c>
      <c r="BO423">
        <v>23</v>
      </c>
      <c r="BP423">
        <v>6</v>
      </c>
      <c r="BQ423">
        <v>23</v>
      </c>
      <c r="BR423">
        <v>18</v>
      </c>
      <c r="BS423">
        <v>13</v>
      </c>
      <c r="BT423">
        <v>209</v>
      </c>
      <c r="BU423">
        <v>26</v>
      </c>
      <c r="BV423">
        <v>121</v>
      </c>
      <c r="BW423">
        <v>337</v>
      </c>
      <c r="BX423">
        <v>18</v>
      </c>
      <c r="BY423">
        <v>16</v>
      </c>
      <c r="BZ423">
        <v>28</v>
      </c>
      <c r="CA423">
        <v>546</v>
      </c>
      <c r="CB423">
        <v>11</v>
      </c>
      <c r="CC423">
        <v>5</v>
      </c>
      <c r="CD423">
        <v>9</v>
      </c>
      <c r="CE423">
        <v>91</v>
      </c>
      <c r="CF423">
        <v>10.11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32</v>
      </c>
      <c r="CO423">
        <v>0</v>
      </c>
      <c r="CP423">
        <v>5</v>
      </c>
      <c r="CQ423">
        <v>0</v>
      </c>
      <c r="CR423">
        <v>0</v>
      </c>
      <c r="CS423">
        <v>0</v>
      </c>
      <c r="CT423">
        <v>37</v>
      </c>
      <c r="CU423">
        <v>0</v>
      </c>
      <c r="CV423">
        <v>0</v>
      </c>
      <c r="CW423">
        <v>2</v>
      </c>
      <c r="CX423">
        <v>0</v>
      </c>
      <c r="CY423">
        <v>23</v>
      </c>
      <c r="CZ423">
        <v>0</v>
      </c>
      <c r="DA423">
        <v>0</v>
      </c>
      <c r="DB423">
        <v>0</v>
      </c>
      <c r="DC423">
        <v>25</v>
      </c>
      <c r="DD423">
        <v>0</v>
      </c>
      <c r="DE423">
        <v>0</v>
      </c>
      <c r="DF423">
        <v>91</v>
      </c>
      <c r="DG423">
        <v>9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100</v>
      </c>
      <c r="DT423">
        <v>162</v>
      </c>
      <c r="DU423">
        <v>42</v>
      </c>
      <c r="DV423">
        <v>0</v>
      </c>
      <c r="DW423">
        <v>0</v>
      </c>
      <c r="DX423">
        <v>0</v>
      </c>
      <c r="DY423">
        <v>130</v>
      </c>
      <c r="DZ423">
        <v>156</v>
      </c>
      <c r="EA423">
        <v>325</v>
      </c>
      <c r="EB423">
        <v>360</v>
      </c>
      <c r="EC423">
        <v>234</v>
      </c>
      <c r="ED423">
        <v>220</v>
      </c>
      <c r="EE423">
        <v>730</v>
      </c>
      <c r="EF423">
        <v>0</v>
      </c>
      <c r="EG423">
        <v>0.39</v>
      </c>
      <c r="EH423">
        <v>0.6</v>
      </c>
      <c r="EI423">
        <v>0.7</v>
      </c>
      <c r="EJ423">
        <v>0.2</v>
      </c>
      <c r="EK423">
        <v>0.8</v>
      </c>
    </row>
    <row r="424" spans="1:141" x14ac:dyDescent="0.25">
      <c r="A424" t="str">
        <f>[1]ingredient!B424</f>
        <v>Tonkabohne</v>
      </c>
      <c r="C424" s="7">
        <f>_xlfn.XLOOKUP(A424,[1]ingredient!$B$2:$B$521,[1]ingredient!$A$2:$A$521)</f>
        <v>423</v>
      </c>
      <c r="D424">
        <v>467</v>
      </c>
      <c r="E424">
        <v>24</v>
      </c>
      <c r="F424">
        <v>13</v>
      </c>
      <c r="G424">
        <v>50</v>
      </c>
      <c r="I424">
        <v>9.1</v>
      </c>
      <c r="J424">
        <v>0.01</v>
      </c>
      <c r="BG424">
        <f t="shared" si="61"/>
        <v>0</v>
      </c>
      <c r="CT424">
        <v>7.4</v>
      </c>
    </row>
    <row r="425" spans="1:141" x14ac:dyDescent="0.25">
      <c r="A425" t="str">
        <f>[1]ingredient!B425</f>
        <v>Topinambur</v>
      </c>
      <c r="B425" t="s">
        <v>469</v>
      </c>
      <c r="C425" s="7">
        <f>_xlfn.XLOOKUP(A425,[1]ingredient!$B$2:$B$521,[1]ingredient!$A$2:$A$521)</f>
        <v>424</v>
      </c>
      <c r="D425">
        <v>31</v>
      </c>
      <c r="E425">
        <v>0.41</v>
      </c>
      <c r="F425">
        <v>2</v>
      </c>
      <c r="G425">
        <v>4</v>
      </c>
      <c r="H425">
        <v>13</v>
      </c>
      <c r="I425">
        <v>1</v>
      </c>
      <c r="J425">
        <v>0.06</v>
      </c>
      <c r="K425">
        <v>78</v>
      </c>
      <c r="L425">
        <v>2</v>
      </c>
      <c r="M425">
        <v>1</v>
      </c>
      <c r="N425">
        <v>0</v>
      </c>
      <c r="O425">
        <v>12</v>
      </c>
      <c r="P425">
        <v>200</v>
      </c>
      <c r="Q425">
        <v>60</v>
      </c>
      <c r="R425">
        <v>1300</v>
      </c>
      <c r="S425">
        <v>1783</v>
      </c>
      <c r="T425">
        <v>60</v>
      </c>
      <c r="U425">
        <v>90</v>
      </c>
      <c r="V425">
        <v>2</v>
      </c>
      <c r="W425">
        <v>35</v>
      </c>
      <c r="X425">
        <v>0</v>
      </c>
      <c r="Y425">
        <v>4000</v>
      </c>
      <c r="Z425">
        <v>0</v>
      </c>
      <c r="AA425">
        <v>200</v>
      </c>
      <c r="AB425">
        <v>23</v>
      </c>
      <c r="AC425">
        <v>3</v>
      </c>
      <c r="AD425">
        <v>478</v>
      </c>
      <c r="AE425">
        <v>10</v>
      </c>
      <c r="AF425">
        <v>20</v>
      </c>
      <c r="AG425">
        <v>78</v>
      </c>
      <c r="AH425">
        <v>22</v>
      </c>
      <c r="AI425">
        <v>60</v>
      </c>
      <c r="AJ425">
        <v>3700</v>
      </c>
      <c r="AK425">
        <v>60</v>
      </c>
      <c r="AL425">
        <v>150</v>
      </c>
      <c r="AM425">
        <v>60</v>
      </c>
      <c r="AN425">
        <v>9</v>
      </c>
      <c r="AO425">
        <v>0.1</v>
      </c>
      <c r="AP425">
        <v>0</v>
      </c>
      <c r="AQ425">
        <v>0</v>
      </c>
      <c r="AR425">
        <v>0</v>
      </c>
      <c r="AS425">
        <v>0</v>
      </c>
      <c r="AT425">
        <v>80</v>
      </c>
      <c r="AU425">
        <v>40</v>
      </c>
      <c r="AV425">
        <v>0</v>
      </c>
      <c r="AW425">
        <v>120</v>
      </c>
      <c r="AX425">
        <v>1000</v>
      </c>
      <c r="AY425">
        <v>0</v>
      </c>
      <c r="AZ425">
        <v>0</v>
      </c>
      <c r="BA425">
        <v>1000</v>
      </c>
      <c r="BB425">
        <v>2880</v>
      </c>
      <c r="BC425">
        <v>0</v>
      </c>
      <c r="BD425">
        <v>0</v>
      </c>
      <c r="BE425">
        <v>0</v>
      </c>
      <c r="BF425">
        <v>0</v>
      </c>
      <c r="BG425">
        <f t="shared" si="61"/>
        <v>100</v>
      </c>
      <c r="BH425">
        <v>73</v>
      </c>
      <c r="BI425">
        <v>122</v>
      </c>
      <c r="BJ425">
        <v>98</v>
      </c>
      <c r="BK425">
        <v>32</v>
      </c>
      <c r="BL425">
        <v>37</v>
      </c>
      <c r="BM425">
        <v>85</v>
      </c>
      <c r="BN425">
        <v>61</v>
      </c>
      <c r="BO425">
        <v>98</v>
      </c>
      <c r="BP425">
        <v>29</v>
      </c>
      <c r="BQ425">
        <v>110</v>
      </c>
      <c r="BR425">
        <v>171</v>
      </c>
      <c r="BS425">
        <v>49</v>
      </c>
      <c r="BT425">
        <v>965</v>
      </c>
      <c r="BU425">
        <v>105</v>
      </c>
      <c r="BV425">
        <v>278</v>
      </c>
      <c r="BW425">
        <v>291</v>
      </c>
      <c r="BX425">
        <v>110</v>
      </c>
      <c r="BY425">
        <v>88</v>
      </c>
      <c r="BZ425">
        <v>115</v>
      </c>
      <c r="CA425">
        <v>987</v>
      </c>
      <c r="CB425">
        <v>14</v>
      </c>
      <c r="CC425">
        <v>6</v>
      </c>
      <c r="CD425">
        <v>44</v>
      </c>
      <c r="CE425">
        <v>165</v>
      </c>
      <c r="CF425">
        <v>3.75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102</v>
      </c>
      <c r="CO425">
        <v>0</v>
      </c>
      <c r="CP425">
        <v>9</v>
      </c>
      <c r="CQ425">
        <v>0</v>
      </c>
      <c r="CR425">
        <v>0</v>
      </c>
      <c r="CS425">
        <v>0</v>
      </c>
      <c r="CT425">
        <v>111</v>
      </c>
      <c r="CU425">
        <v>0</v>
      </c>
      <c r="CV425">
        <v>0</v>
      </c>
      <c r="CW425">
        <v>0</v>
      </c>
      <c r="CX425">
        <v>0</v>
      </c>
      <c r="CY425">
        <v>8</v>
      </c>
      <c r="CZ425">
        <v>0</v>
      </c>
      <c r="DA425">
        <v>0</v>
      </c>
      <c r="DB425">
        <v>0</v>
      </c>
      <c r="DC425">
        <v>8</v>
      </c>
      <c r="DD425">
        <v>0</v>
      </c>
      <c r="DE425">
        <v>0</v>
      </c>
      <c r="DF425">
        <v>165</v>
      </c>
      <c r="DG425">
        <v>44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209</v>
      </c>
      <c r="DT425">
        <v>328</v>
      </c>
      <c r="DU425">
        <v>82</v>
      </c>
      <c r="DV425">
        <v>0</v>
      </c>
      <c r="DW425">
        <v>0</v>
      </c>
      <c r="DX425">
        <v>0</v>
      </c>
      <c r="DY425">
        <v>1877</v>
      </c>
      <c r="DZ425">
        <v>4378</v>
      </c>
      <c r="EA425">
        <v>1877</v>
      </c>
      <c r="EB425">
        <v>4128</v>
      </c>
      <c r="EC425">
        <v>250</v>
      </c>
      <c r="ED425">
        <v>6255</v>
      </c>
      <c r="EE425">
        <v>6255</v>
      </c>
      <c r="EF425">
        <v>0</v>
      </c>
      <c r="EG425">
        <v>0.44</v>
      </c>
      <c r="EH425">
        <v>1.7</v>
      </c>
      <c r="EI425">
        <v>6.3</v>
      </c>
      <c r="EJ425">
        <v>0.4</v>
      </c>
      <c r="EK425">
        <v>2</v>
      </c>
    </row>
    <row r="426" spans="1:141" x14ac:dyDescent="0.25">
      <c r="A426" t="str">
        <f>[1]ingredient!B426</f>
        <v>Trauben grün</v>
      </c>
      <c r="B426" t="s">
        <v>470</v>
      </c>
      <c r="C426" s="7">
        <f>_xlfn.XLOOKUP(A426,[1]ingredient!$B$2:$B$521,[1]ingredient!$A$2:$A$521)</f>
        <v>425</v>
      </c>
      <c r="D426">
        <v>71</v>
      </c>
      <c r="E426">
        <v>0.3</v>
      </c>
      <c r="F426">
        <v>1</v>
      </c>
      <c r="G426">
        <v>16</v>
      </c>
      <c r="H426">
        <v>1</v>
      </c>
      <c r="I426">
        <v>15</v>
      </c>
      <c r="J426">
        <v>0</v>
      </c>
      <c r="K426">
        <v>81</v>
      </c>
      <c r="L426">
        <v>4</v>
      </c>
      <c r="M426">
        <v>2</v>
      </c>
      <c r="N426">
        <v>0</v>
      </c>
      <c r="O426">
        <v>25</v>
      </c>
      <c r="P426">
        <v>45</v>
      </c>
      <c r="Q426">
        <v>25</v>
      </c>
      <c r="R426">
        <v>230</v>
      </c>
      <c r="S426">
        <v>297</v>
      </c>
      <c r="T426">
        <v>65</v>
      </c>
      <c r="U426">
        <v>75</v>
      </c>
      <c r="V426">
        <v>2</v>
      </c>
      <c r="W426">
        <v>5</v>
      </c>
      <c r="X426">
        <v>0</v>
      </c>
      <c r="Y426">
        <v>4000</v>
      </c>
      <c r="Z426">
        <v>0</v>
      </c>
      <c r="AA426">
        <v>666</v>
      </c>
      <c r="AB426">
        <v>10</v>
      </c>
      <c r="AC426">
        <v>2</v>
      </c>
      <c r="AD426">
        <v>190</v>
      </c>
      <c r="AE426">
        <v>18</v>
      </c>
      <c r="AF426">
        <v>9</v>
      </c>
      <c r="AG426">
        <v>20</v>
      </c>
      <c r="AH426">
        <v>8</v>
      </c>
      <c r="AI426">
        <v>2</v>
      </c>
      <c r="AJ426">
        <v>500</v>
      </c>
      <c r="AK426">
        <v>55</v>
      </c>
      <c r="AL426">
        <v>83</v>
      </c>
      <c r="AM426">
        <v>104</v>
      </c>
      <c r="AN426">
        <v>14</v>
      </c>
      <c r="AO426">
        <v>1</v>
      </c>
      <c r="AP426">
        <v>0</v>
      </c>
      <c r="AQ426">
        <v>203</v>
      </c>
      <c r="AR426">
        <v>0</v>
      </c>
      <c r="AS426">
        <v>203</v>
      </c>
      <c r="AT426">
        <v>7332</v>
      </c>
      <c r="AU426">
        <v>7628</v>
      </c>
      <c r="AV426">
        <v>0</v>
      </c>
      <c r="AW426">
        <v>14960</v>
      </c>
      <c r="AX426">
        <v>437</v>
      </c>
      <c r="AY426">
        <v>0</v>
      </c>
      <c r="AZ426">
        <v>0</v>
      </c>
      <c r="BA426">
        <v>437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f t="shared" si="61"/>
        <v>20</v>
      </c>
      <c r="BH426">
        <v>6</v>
      </c>
      <c r="BI426">
        <v>15</v>
      </c>
      <c r="BJ426">
        <v>16</v>
      </c>
      <c r="BK426">
        <v>23</v>
      </c>
      <c r="BL426">
        <v>12</v>
      </c>
      <c r="BM426">
        <v>15</v>
      </c>
      <c r="BN426">
        <v>13</v>
      </c>
      <c r="BO426">
        <v>19</v>
      </c>
      <c r="BP426">
        <v>4</v>
      </c>
      <c r="BQ426">
        <v>19</v>
      </c>
      <c r="BR426">
        <v>52</v>
      </c>
      <c r="BS426">
        <v>25</v>
      </c>
      <c r="BT426">
        <v>219</v>
      </c>
      <c r="BU426">
        <v>29</v>
      </c>
      <c r="BV426">
        <v>86</v>
      </c>
      <c r="BW426">
        <v>144</v>
      </c>
      <c r="BX426">
        <v>21</v>
      </c>
      <c r="BY426">
        <v>23</v>
      </c>
      <c r="BZ426">
        <v>34</v>
      </c>
      <c r="CA426">
        <v>337</v>
      </c>
      <c r="CB426">
        <v>20</v>
      </c>
      <c r="CC426">
        <v>8</v>
      </c>
      <c r="CD426">
        <v>25</v>
      </c>
      <c r="CE426">
        <v>82</v>
      </c>
      <c r="CF426">
        <v>3.28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3</v>
      </c>
      <c r="CM426">
        <v>0</v>
      </c>
      <c r="CN426">
        <v>102</v>
      </c>
      <c r="CO426">
        <v>0</v>
      </c>
      <c r="CP426">
        <v>13</v>
      </c>
      <c r="CQ426">
        <v>0</v>
      </c>
      <c r="CR426">
        <v>0</v>
      </c>
      <c r="CS426">
        <v>0</v>
      </c>
      <c r="CT426">
        <v>118</v>
      </c>
      <c r="CU426">
        <v>0</v>
      </c>
      <c r="CV426">
        <v>0</v>
      </c>
      <c r="CW426">
        <v>0</v>
      </c>
      <c r="CX426">
        <v>0</v>
      </c>
      <c r="CY426">
        <v>15</v>
      </c>
      <c r="CZ426">
        <v>0</v>
      </c>
      <c r="DA426">
        <v>0</v>
      </c>
      <c r="DB426">
        <v>0</v>
      </c>
      <c r="DC426">
        <v>15</v>
      </c>
      <c r="DD426">
        <v>0</v>
      </c>
      <c r="DE426">
        <v>0</v>
      </c>
      <c r="DF426">
        <v>82</v>
      </c>
      <c r="DG426">
        <v>25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107</v>
      </c>
      <c r="DT426">
        <v>240</v>
      </c>
      <c r="DU426">
        <v>60</v>
      </c>
      <c r="DV426">
        <v>0</v>
      </c>
      <c r="DW426">
        <v>0</v>
      </c>
      <c r="DX426">
        <v>0</v>
      </c>
      <c r="DY426">
        <v>160</v>
      </c>
      <c r="DZ426">
        <v>90</v>
      </c>
      <c r="EA426">
        <v>150</v>
      </c>
      <c r="EB426">
        <v>300</v>
      </c>
      <c r="EC426">
        <v>100</v>
      </c>
      <c r="ED426">
        <v>112</v>
      </c>
      <c r="EE426">
        <v>688</v>
      </c>
      <c r="EF426">
        <v>0</v>
      </c>
      <c r="EG426">
        <v>1</v>
      </c>
      <c r="EH426">
        <v>0.5</v>
      </c>
      <c r="EI426">
        <v>0.7</v>
      </c>
      <c r="EJ426">
        <v>0.3</v>
      </c>
      <c r="EK426">
        <v>0.6</v>
      </c>
    </row>
    <row r="427" spans="1:141" x14ac:dyDescent="0.25">
      <c r="A427" t="str">
        <f>[1]ingredient!B427</f>
        <v>Trauben rot</v>
      </c>
      <c r="B427" t="s">
        <v>471</v>
      </c>
      <c r="C427" s="7">
        <f>_xlfn.XLOOKUP(A427,[1]ingredient!$B$2:$B$521,[1]ingredient!$A$2:$A$521)</f>
        <v>426</v>
      </c>
      <c r="D427">
        <v>71</v>
      </c>
      <c r="E427">
        <v>0.3</v>
      </c>
      <c r="F427">
        <v>1</v>
      </c>
      <c r="G427">
        <v>16</v>
      </c>
      <c r="H427">
        <v>1</v>
      </c>
      <c r="I427">
        <v>15</v>
      </c>
      <c r="J427">
        <v>0</v>
      </c>
      <c r="K427">
        <v>81</v>
      </c>
      <c r="L427">
        <v>4</v>
      </c>
      <c r="M427">
        <v>2</v>
      </c>
      <c r="N427">
        <v>0</v>
      </c>
      <c r="O427">
        <v>25</v>
      </c>
      <c r="P427">
        <v>45</v>
      </c>
      <c r="Q427">
        <v>25</v>
      </c>
      <c r="R427">
        <v>230</v>
      </c>
      <c r="S427">
        <v>297</v>
      </c>
      <c r="T427">
        <v>65</v>
      </c>
      <c r="U427">
        <v>75</v>
      </c>
      <c r="V427">
        <v>2</v>
      </c>
      <c r="W427">
        <v>5</v>
      </c>
      <c r="X427">
        <v>0</v>
      </c>
      <c r="Y427">
        <v>4000</v>
      </c>
      <c r="Z427">
        <v>0</v>
      </c>
      <c r="AA427">
        <v>666</v>
      </c>
      <c r="AB427">
        <v>10</v>
      </c>
      <c r="AC427">
        <v>2</v>
      </c>
      <c r="AD427">
        <v>190</v>
      </c>
      <c r="AE427">
        <v>18</v>
      </c>
      <c r="AF427">
        <v>9</v>
      </c>
      <c r="AG427">
        <v>20</v>
      </c>
      <c r="AH427">
        <v>8</v>
      </c>
      <c r="AI427">
        <v>2</v>
      </c>
      <c r="AJ427">
        <v>500</v>
      </c>
      <c r="AK427">
        <v>55</v>
      </c>
      <c r="AL427">
        <v>83</v>
      </c>
      <c r="AM427">
        <v>104</v>
      </c>
      <c r="AN427">
        <v>14</v>
      </c>
      <c r="AO427">
        <v>1</v>
      </c>
      <c r="AP427">
        <v>0</v>
      </c>
      <c r="AQ427">
        <v>203</v>
      </c>
      <c r="AR427">
        <v>0</v>
      </c>
      <c r="AS427">
        <v>203</v>
      </c>
      <c r="AT427">
        <v>7332</v>
      </c>
      <c r="AU427">
        <v>7628</v>
      </c>
      <c r="AV427">
        <v>0</v>
      </c>
      <c r="AW427">
        <v>14960</v>
      </c>
      <c r="AX427">
        <v>437</v>
      </c>
      <c r="AY427">
        <v>0</v>
      </c>
      <c r="AZ427">
        <v>0</v>
      </c>
      <c r="BA427">
        <v>437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f t="shared" si="61"/>
        <v>20</v>
      </c>
      <c r="BH427">
        <v>6</v>
      </c>
      <c r="BI427">
        <v>15</v>
      </c>
      <c r="BJ427">
        <v>16</v>
      </c>
      <c r="BK427">
        <v>23</v>
      </c>
      <c r="BL427">
        <v>12</v>
      </c>
      <c r="BM427">
        <v>15</v>
      </c>
      <c r="BN427">
        <v>13</v>
      </c>
      <c r="BO427">
        <v>19</v>
      </c>
      <c r="BP427">
        <v>4</v>
      </c>
      <c r="BQ427">
        <v>19</v>
      </c>
      <c r="BR427">
        <v>52</v>
      </c>
      <c r="BS427">
        <v>25</v>
      </c>
      <c r="BT427">
        <v>219</v>
      </c>
      <c r="BU427">
        <v>29</v>
      </c>
      <c r="BV427">
        <v>86</v>
      </c>
      <c r="BW427">
        <v>144</v>
      </c>
      <c r="BX427">
        <v>21</v>
      </c>
      <c r="BY427">
        <v>23</v>
      </c>
      <c r="BZ427">
        <v>34</v>
      </c>
      <c r="CA427">
        <v>337</v>
      </c>
      <c r="CB427">
        <v>20</v>
      </c>
      <c r="CC427">
        <v>8</v>
      </c>
      <c r="CD427">
        <v>25</v>
      </c>
      <c r="CE427">
        <v>82</v>
      </c>
      <c r="CF427">
        <v>3.28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3</v>
      </c>
      <c r="CM427">
        <v>0</v>
      </c>
      <c r="CN427">
        <v>102</v>
      </c>
      <c r="CO427">
        <v>0</v>
      </c>
      <c r="CP427">
        <v>13</v>
      </c>
      <c r="CQ427">
        <v>0</v>
      </c>
      <c r="CR427">
        <v>0</v>
      </c>
      <c r="CS427">
        <v>0</v>
      </c>
      <c r="CT427">
        <v>118</v>
      </c>
      <c r="CU427">
        <v>0</v>
      </c>
      <c r="CV427">
        <v>0</v>
      </c>
      <c r="CW427">
        <v>0</v>
      </c>
      <c r="CX427">
        <v>0</v>
      </c>
      <c r="CY427">
        <v>15</v>
      </c>
      <c r="CZ427">
        <v>0</v>
      </c>
      <c r="DA427">
        <v>0</v>
      </c>
      <c r="DB427">
        <v>0</v>
      </c>
      <c r="DC427">
        <v>15</v>
      </c>
      <c r="DD427">
        <v>0</v>
      </c>
      <c r="DE427">
        <v>0</v>
      </c>
      <c r="DF427">
        <v>82</v>
      </c>
      <c r="DG427">
        <v>25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107</v>
      </c>
      <c r="DT427">
        <v>240</v>
      </c>
      <c r="DU427">
        <v>60</v>
      </c>
      <c r="DV427">
        <v>0</v>
      </c>
      <c r="DW427">
        <v>0</v>
      </c>
      <c r="DX427">
        <v>0</v>
      </c>
      <c r="DY427">
        <v>160</v>
      </c>
      <c r="DZ427">
        <v>90</v>
      </c>
      <c r="EA427">
        <v>150</v>
      </c>
      <c r="EB427">
        <v>300</v>
      </c>
      <c r="EC427">
        <v>100</v>
      </c>
      <c r="ED427">
        <v>112</v>
      </c>
      <c r="EE427">
        <v>688</v>
      </c>
      <c r="EF427">
        <v>0</v>
      </c>
      <c r="EG427">
        <v>1</v>
      </c>
      <c r="EH427">
        <v>0.5</v>
      </c>
      <c r="EI427">
        <v>0.7</v>
      </c>
      <c r="EJ427">
        <v>0.3</v>
      </c>
      <c r="EK427">
        <v>0.6</v>
      </c>
    </row>
    <row r="428" spans="1:141" x14ac:dyDescent="0.25">
      <c r="A428" t="str">
        <f>[1]ingredient!B428</f>
        <v>Trüffel</v>
      </c>
      <c r="B428" t="s">
        <v>472</v>
      </c>
      <c r="C428" s="7">
        <f>_xlfn.XLOOKUP(A428,[1]ingredient!$B$2:$B$521,[1]ingredient!$A$2:$A$521)</f>
        <v>427</v>
      </c>
      <c r="D428">
        <v>48</v>
      </c>
      <c r="E428">
        <v>1</v>
      </c>
      <c r="F428">
        <v>6</v>
      </c>
      <c r="G428">
        <v>7</v>
      </c>
      <c r="H428">
        <v>17</v>
      </c>
      <c r="I428">
        <v>1</v>
      </c>
      <c r="J428">
        <v>0.11</v>
      </c>
      <c r="K428">
        <v>68</v>
      </c>
      <c r="L428">
        <v>2</v>
      </c>
      <c r="M428">
        <v>1</v>
      </c>
      <c r="N428">
        <v>0</v>
      </c>
      <c r="O428">
        <v>10</v>
      </c>
      <c r="P428">
        <v>100</v>
      </c>
      <c r="Q428">
        <v>400</v>
      </c>
      <c r="R428">
        <v>5000</v>
      </c>
      <c r="S428">
        <v>5283</v>
      </c>
      <c r="T428">
        <v>2500</v>
      </c>
      <c r="U428">
        <v>50</v>
      </c>
      <c r="V428">
        <v>15</v>
      </c>
      <c r="W428">
        <v>25</v>
      </c>
      <c r="X428">
        <v>0</v>
      </c>
      <c r="Y428">
        <v>5000</v>
      </c>
      <c r="Z428">
        <v>2</v>
      </c>
      <c r="AA428">
        <v>100</v>
      </c>
      <c r="AB428">
        <v>15</v>
      </c>
      <c r="AC428">
        <v>77</v>
      </c>
      <c r="AD428">
        <v>526</v>
      </c>
      <c r="AE428">
        <v>24</v>
      </c>
      <c r="AF428">
        <v>24</v>
      </c>
      <c r="AG428">
        <v>62</v>
      </c>
      <c r="AH428">
        <v>40</v>
      </c>
      <c r="AI428">
        <v>28</v>
      </c>
      <c r="AJ428">
        <v>3500</v>
      </c>
      <c r="AK428">
        <v>600</v>
      </c>
      <c r="AL428">
        <v>350</v>
      </c>
      <c r="AM428">
        <v>250</v>
      </c>
      <c r="AN428">
        <v>70</v>
      </c>
      <c r="AO428">
        <v>45</v>
      </c>
      <c r="AP428">
        <v>5920</v>
      </c>
      <c r="AQ428">
        <v>0</v>
      </c>
      <c r="AR428">
        <v>0</v>
      </c>
      <c r="AS428">
        <v>5920</v>
      </c>
      <c r="AT428">
        <v>888</v>
      </c>
      <c r="AU428">
        <v>370</v>
      </c>
      <c r="AV428">
        <v>0</v>
      </c>
      <c r="AW428">
        <v>1258</v>
      </c>
      <c r="AX428">
        <v>222</v>
      </c>
      <c r="AY428">
        <v>0</v>
      </c>
      <c r="AZ428">
        <v>0</v>
      </c>
      <c r="BA428">
        <v>222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f t="shared" si="61"/>
        <v>42.929292929292934</v>
      </c>
      <c r="BH428">
        <v>155</v>
      </c>
      <c r="BI428">
        <v>398</v>
      </c>
      <c r="BJ428">
        <v>481</v>
      </c>
      <c r="BK428">
        <v>188</v>
      </c>
      <c r="BL428">
        <v>149</v>
      </c>
      <c r="BM428">
        <v>188</v>
      </c>
      <c r="BN428">
        <v>177</v>
      </c>
      <c r="BO428">
        <v>376</v>
      </c>
      <c r="BP428">
        <v>17</v>
      </c>
      <c r="BQ428">
        <v>249</v>
      </c>
      <c r="BR428">
        <v>636</v>
      </c>
      <c r="BS428">
        <v>100</v>
      </c>
      <c r="BT428">
        <v>3114</v>
      </c>
      <c r="BU428">
        <v>277</v>
      </c>
      <c r="BV428">
        <v>254</v>
      </c>
      <c r="BW428">
        <v>382</v>
      </c>
      <c r="BX428">
        <v>149</v>
      </c>
      <c r="BY428">
        <v>304</v>
      </c>
      <c r="BZ428">
        <v>166</v>
      </c>
      <c r="CA428">
        <v>1532</v>
      </c>
      <c r="CB428">
        <v>50</v>
      </c>
      <c r="CC428">
        <v>21</v>
      </c>
      <c r="CD428">
        <v>272</v>
      </c>
      <c r="CE428">
        <v>64</v>
      </c>
      <c r="CF428">
        <v>0.24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2</v>
      </c>
      <c r="CM428">
        <v>0</v>
      </c>
      <c r="CN428">
        <v>134</v>
      </c>
      <c r="CO428">
        <v>0</v>
      </c>
      <c r="CP428">
        <v>9</v>
      </c>
      <c r="CQ428">
        <v>0</v>
      </c>
      <c r="CR428">
        <v>0</v>
      </c>
      <c r="CS428">
        <v>0</v>
      </c>
      <c r="CT428">
        <v>145</v>
      </c>
      <c r="CU428">
        <v>0</v>
      </c>
      <c r="CV428">
        <v>0</v>
      </c>
      <c r="CW428">
        <v>1</v>
      </c>
      <c r="CX428">
        <v>0</v>
      </c>
      <c r="CY428">
        <v>6</v>
      </c>
      <c r="CZ428">
        <v>0</v>
      </c>
      <c r="DA428">
        <v>0</v>
      </c>
      <c r="DB428">
        <v>0</v>
      </c>
      <c r="DC428">
        <v>7</v>
      </c>
      <c r="DD428">
        <v>0</v>
      </c>
      <c r="DE428">
        <v>0</v>
      </c>
      <c r="DF428">
        <v>64</v>
      </c>
      <c r="DG428">
        <v>272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336</v>
      </c>
      <c r="DT428">
        <v>488</v>
      </c>
      <c r="DU428">
        <v>122</v>
      </c>
      <c r="DV428">
        <v>0</v>
      </c>
      <c r="DW428">
        <v>0</v>
      </c>
      <c r="DX428">
        <v>0</v>
      </c>
      <c r="DY428">
        <v>0</v>
      </c>
      <c r="DZ428">
        <v>6781</v>
      </c>
      <c r="EA428">
        <v>165</v>
      </c>
      <c r="EB428">
        <v>9429</v>
      </c>
      <c r="EC428">
        <v>165</v>
      </c>
      <c r="ED428">
        <v>3143</v>
      </c>
      <c r="EE428">
        <v>13397</v>
      </c>
      <c r="EF428">
        <v>0</v>
      </c>
      <c r="EG428">
        <v>0.06</v>
      </c>
      <c r="EH428">
        <v>1.9</v>
      </c>
      <c r="EI428">
        <v>13.4</v>
      </c>
      <c r="EJ428">
        <v>0.6</v>
      </c>
      <c r="EK428">
        <v>4.8</v>
      </c>
    </row>
    <row r="429" spans="1:141" x14ac:dyDescent="0.25">
      <c r="A429" t="str">
        <f>[1]ingredient!B429</f>
        <v>Vanille</v>
      </c>
      <c r="B429" t="s">
        <v>473</v>
      </c>
      <c r="C429" s="7">
        <f>_xlfn.XLOOKUP(A429,[1]ingredient!$B$2:$B$521,[1]ingredient!$A$2:$A$521)</f>
        <v>428</v>
      </c>
      <c r="D429">
        <v>272</v>
      </c>
      <c r="E429">
        <v>3</v>
      </c>
      <c r="F429">
        <v>4</v>
      </c>
      <c r="G429">
        <v>56</v>
      </c>
      <c r="H429">
        <v>24</v>
      </c>
      <c r="I429">
        <v>55</v>
      </c>
      <c r="J429">
        <v>0.25</v>
      </c>
      <c r="K429">
        <v>9</v>
      </c>
      <c r="L429">
        <v>26</v>
      </c>
      <c r="M429">
        <v>13</v>
      </c>
      <c r="N429">
        <v>0</v>
      </c>
      <c r="O429">
        <v>155</v>
      </c>
      <c r="P429">
        <v>80</v>
      </c>
      <c r="Q429">
        <v>140</v>
      </c>
      <c r="R429">
        <v>1300</v>
      </c>
      <c r="S429">
        <v>1683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26</v>
      </c>
      <c r="AD429">
        <v>500</v>
      </c>
      <c r="AE429">
        <v>1228</v>
      </c>
      <c r="AF429">
        <v>56</v>
      </c>
      <c r="AG429">
        <v>61</v>
      </c>
      <c r="AH429">
        <v>100</v>
      </c>
      <c r="AI429">
        <v>220</v>
      </c>
      <c r="AJ429">
        <v>38100</v>
      </c>
      <c r="AK429">
        <v>1970</v>
      </c>
      <c r="AL429">
        <v>460</v>
      </c>
      <c r="AM429">
        <v>5700</v>
      </c>
      <c r="AN429">
        <v>50</v>
      </c>
      <c r="AO429">
        <v>5</v>
      </c>
      <c r="AP429">
        <v>0</v>
      </c>
      <c r="AQ429">
        <v>0</v>
      </c>
      <c r="AR429">
        <v>0</v>
      </c>
      <c r="AS429">
        <v>0</v>
      </c>
      <c r="AT429">
        <v>22400</v>
      </c>
      <c r="AU429">
        <v>22400</v>
      </c>
      <c r="AV429">
        <v>0</v>
      </c>
      <c r="AW429">
        <v>44800</v>
      </c>
      <c r="AX429">
        <v>10640</v>
      </c>
      <c r="AY429">
        <v>0</v>
      </c>
      <c r="AZ429">
        <v>0</v>
      </c>
      <c r="BA429">
        <v>10640</v>
      </c>
      <c r="BB429">
        <v>0</v>
      </c>
      <c r="BC429">
        <v>0</v>
      </c>
      <c r="BD429">
        <v>0</v>
      </c>
      <c r="BE429">
        <v>560</v>
      </c>
      <c r="BF429">
        <v>560</v>
      </c>
      <c r="BG429">
        <f t="shared" si="61"/>
        <v>46.739130434782609</v>
      </c>
      <c r="BH429">
        <v>113</v>
      </c>
      <c r="BI429">
        <v>164</v>
      </c>
      <c r="BJ429">
        <v>125</v>
      </c>
      <c r="BK429">
        <v>27</v>
      </c>
      <c r="BL429">
        <v>16</v>
      </c>
      <c r="BM429">
        <v>98</v>
      </c>
      <c r="BN429">
        <v>43</v>
      </c>
      <c r="BO429">
        <v>78</v>
      </c>
      <c r="BP429">
        <v>23</v>
      </c>
      <c r="BQ429">
        <v>160</v>
      </c>
      <c r="BR429">
        <v>94</v>
      </c>
      <c r="BS429">
        <v>66</v>
      </c>
      <c r="BT429">
        <v>1007</v>
      </c>
      <c r="BU429">
        <v>66</v>
      </c>
      <c r="BV429">
        <v>462</v>
      </c>
      <c r="BW429">
        <v>363</v>
      </c>
      <c r="BX429">
        <v>94</v>
      </c>
      <c r="BY429">
        <v>90</v>
      </c>
      <c r="BZ429">
        <v>98</v>
      </c>
      <c r="CA429">
        <v>1173</v>
      </c>
      <c r="CB429">
        <v>41</v>
      </c>
      <c r="CC429">
        <v>17</v>
      </c>
      <c r="CD429">
        <v>0</v>
      </c>
      <c r="CE429">
        <v>715</v>
      </c>
      <c r="CG429">
        <v>0</v>
      </c>
      <c r="CH429">
        <v>0</v>
      </c>
      <c r="CI429">
        <v>0</v>
      </c>
      <c r="CJ429">
        <v>0</v>
      </c>
      <c r="CK429">
        <v>40</v>
      </c>
      <c r="CL429">
        <v>123</v>
      </c>
      <c r="CM429">
        <v>0</v>
      </c>
      <c r="CN429">
        <v>527</v>
      </c>
      <c r="CO429">
        <v>0</v>
      </c>
      <c r="CP429">
        <v>188</v>
      </c>
      <c r="CQ429">
        <v>0</v>
      </c>
      <c r="CR429">
        <v>0</v>
      </c>
      <c r="CS429">
        <v>0</v>
      </c>
      <c r="CT429">
        <v>878</v>
      </c>
      <c r="CU429">
        <v>0</v>
      </c>
      <c r="CV429">
        <v>0</v>
      </c>
      <c r="CW429">
        <v>40</v>
      </c>
      <c r="CX429">
        <v>0</v>
      </c>
      <c r="CY429">
        <v>607</v>
      </c>
      <c r="CZ429">
        <v>0</v>
      </c>
      <c r="DA429">
        <v>0</v>
      </c>
      <c r="DB429">
        <v>0</v>
      </c>
      <c r="DC429">
        <v>647</v>
      </c>
      <c r="DD429">
        <v>0</v>
      </c>
      <c r="DE429">
        <v>0</v>
      </c>
      <c r="DF429">
        <v>715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715</v>
      </c>
      <c r="DT429">
        <v>2240</v>
      </c>
      <c r="DU429">
        <v>960</v>
      </c>
      <c r="DV429">
        <v>0</v>
      </c>
      <c r="DW429">
        <v>0</v>
      </c>
      <c r="DX429">
        <v>0</v>
      </c>
      <c r="DY429">
        <v>3653</v>
      </c>
      <c r="DZ429">
        <v>3653</v>
      </c>
      <c r="EA429">
        <v>6575</v>
      </c>
      <c r="EB429">
        <v>9738</v>
      </c>
      <c r="EC429">
        <v>731</v>
      </c>
      <c r="ED429">
        <v>6088</v>
      </c>
      <c r="EE429">
        <v>18263</v>
      </c>
      <c r="EF429">
        <v>0</v>
      </c>
      <c r="EG429">
        <v>0.04</v>
      </c>
      <c r="EH429">
        <v>3.6</v>
      </c>
      <c r="EI429">
        <v>18.3</v>
      </c>
      <c r="EJ429">
        <v>3.2</v>
      </c>
      <c r="EK429">
        <v>2.2999999999999998</v>
      </c>
    </row>
    <row r="430" spans="1:141" x14ac:dyDescent="0.25">
      <c r="A430" t="str">
        <f>[1]ingredient!B430</f>
        <v>Vollkorn-Bandnudeln</v>
      </c>
      <c r="B430" t="s">
        <v>215</v>
      </c>
      <c r="C430" s="7">
        <f>_xlfn.XLOOKUP(A430,[1]ingredient!$B$2:$B$521,[1]ingredient!$A$2:$A$521)</f>
        <v>429</v>
      </c>
      <c r="D430">
        <v>323</v>
      </c>
      <c r="E430">
        <v>3</v>
      </c>
      <c r="F430">
        <v>13</v>
      </c>
      <c r="G430">
        <v>61</v>
      </c>
      <c r="H430">
        <v>12</v>
      </c>
      <c r="I430">
        <v>1</v>
      </c>
      <c r="J430">
        <v>0.03</v>
      </c>
      <c r="K430">
        <v>11</v>
      </c>
      <c r="L430">
        <v>0</v>
      </c>
      <c r="M430">
        <v>0</v>
      </c>
      <c r="N430">
        <v>0</v>
      </c>
      <c r="O430">
        <v>0</v>
      </c>
      <c r="P430">
        <v>670</v>
      </c>
      <c r="Q430">
        <v>110</v>
      </c>
      <c r="R430">
        <v>3100</v>
      </c>
      <c r="S430">
        <v>5333</v>
      </c>
      <c r="T430">
        <v>800</v>
      </c>
      <c r="U430">
        <v>200</v>
      </c>
      <c r="V430">
        <v>1</v>
      </c>
      <c r="W430">
        <v>40</v>
      </c>
      <c r="X430">
        <v>0</v>
      </c>
      <c r="Y430">
        <v>0</v>
      </c>
      <c r="Z430">
        <v>0</v>
      </c>
      <c r="AA430">
        <v>250</v>
      </c>
      <c r="AB430">
        <v>0</v>
      </c>
      <c r="AC430">
        <v>5</v>
      </c>
      <c r="AD430">
        <v>390</v>
      </c>
      <c r="AE430">
        <v>34</v>
      </c>
      <c r="AF430">
        <v>120</v>
      </c>
      <c r="AG430">
        <v>370</v>
      </c>
      <c r="AH430">
        <v>190</v>
      </c>
      <c r="AI430">
        <v>22</v>
      </c>
      <c r="AJ430">
        <v>3900</v>
      </c>
      <c r="AK430">
        <v>3000</v>
      </c>
      <c r="AL430">
        <v>510</v>
      </c>
      <c r="AM430">
        <v>264</v>
      </c>
      <c r="AN430">
        <v>40</v>
      </c>
      <c r="AO430">
        <v>2</v>
      </c>
      <c r="AP430">
        <v>0</v>
      </c>
      <c r="AQ430">
        <v>0</v>
      </c>
      <c r="AR430">
        <v>0</v>
      </c>
      <c r="AS430">
        <v>0</v>
      </c>
      <c r="AT430">
        <v>61</v>
      </c>
      <c r="AU430">
        <v>61</v>
      </c>
      <c r="AV430">
        <v>0</v>
      </c>
      <c r="AW430">
        <v>122</v>
      </c>
      <c r="AX430">
        <v>606</v>
      </c>
      <c r="AY430">
        <v>0</v>
      </c>
      <c r="AZ430">
        <v>0</v>
      </c>
      <c r="BA430">
        <v>606</v>
      </c>
      <c r="BB430">
        <v>364</v>
      </c>
      <c r="BC430">
        <v>0</v>
      </c>
      <c r="BD430">
        <v>0</v>
      </c>
      <c r="BE430">
        <v>59508</v>
      </c>
      <c r="BF430">
        <v>59508</v>
      </c>
      <c r="BG430">
        <f t="shared" si="61"/>
        <v>58.012820512820518</v>
      </c>
      <c r="BH430">
        <v>523</v>
      </c>
      <c r="BI430">
        <v>898</v>
      </c>
      <c r="BJ430">
        <v>362</v>
      </c>
      <c r="BK430">
        <v>201</v>
      </c>
      <c r="BL430">
        <v>268</v>
      </c>
      <c r="BM430">
        <v>616</v>
      </c>
      <c r="BN430">
        <v>402</v>
      </c>
      <c r="BO430">
        <v>389</v>
      </c>
      <c r="BP430">
        <v>134</v>
      </c>
      <c r="BQ430">
        <v>603</v>
      </c>
      <c r="BR430">
        <v>603</v>
      </c>
      <c r="BS430">
        <v>255</v>
      </c>
      <c r="BT430">
        <v>5254</v>
      </c>
      <c r="BU430">
        <v>469</v>
      </c>
      <c r="BV430">
        <v>657</v>
      </c>
      <c r="BW430">
        <v>4059</v>
      </c>
      <c r="BX430">
        <v>616</v>
      </c>
      <c r="BY430">
        <v>1528</v>
      </c>
      <c r="BZ430">
        <v>683</v>
      </c>
      <c r="CA430">
        <v>8012</v>
      </c>
      <c r="CB430">
        <v>80</v>
      </c>
      <c r="CC430">
        <v>33</v>
      </c>
      <c r="CD430">
        <v>72</v>
      </c>
      <c r="CE430">
        <v>1073</v>
      </c>
      <c r="CF430">
        <v>14.9</v>
      </c>
      <c r="CG430">
        <v>0</v>
      </c>
      <c r="CH430">
        <v>0</v>
      </c>
      <c r="CI430">
        <v>0</v>
      </c>
      <c r="CJ430">
        <v>0</v>
      </c>
      <c r="CK430">
        <v>2</v>
      </c>
      <c r="CL430">
        <v>4</v>
      </c>
      <c r="CM430">
        <v>2</v>
      </c>
      <c r="CN430">
        <v>324</v>
      </c>
      <c r="CO430">
        <v>0</v>
      </c>
      <c r="CP430">
        <v>18</v>
      </c>
      <c r="CQ430">
        <v>14</v>
      </c>
      <c r="CR430">
        <v>0</v>
      </c>
      <c r="CS430">
        <v>0</v>
      </c>
      <c r="CT430">
        <v>364</v>
      </c>
      <c r="CU430">
        <v>0</v>
      </c>
      <c r="CV430">
        <v>0</v>
      </c>
      <c r="CW430">
        <v>9</v>
      </c>
      <c r="CX430">
        <v>0</v>
      </c>
      <c r="CY430">
        <v>275</v>
      </c>
      <c r="CZ430">
        <v>7</v>
      </c>
      <c r="DA430">
        <v>0</v>
      </c>
      <c r="DB430">
        <v>0</v>
      </c>
      <c r="DC430">
        <v>291</v>
      </c>
      <c r="DD430">
        <v>0</v>
      </c>
      <c r="DE430">
        <v>0</v>
      </c>
      <c r="DF430">
        <v>1069</v>
      </c>
      <c r="DG430">
        <v>72</v>
      </c>
      <c r="DH430">
        <v>0</v>
      </c>
      <c r="DI430">
        <v>0</v>
      </c>
      <c r="DJ430">
        <v>0</v>
      </c>
      <c r="DK430">
        <v>0</v>
      </c>
      <c r="DL430">
        <v>4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1145</v>
      </c>
      <c r="DT430">
        <v>1800</v>
      </c>
      <c r="DU430">
        <v>700</v>
      </c>
      <c r="DV430">
        <v>0</v>
      </c>
      <c r="DW430">
        <v>0</v>
      </c>
      <c r="DX430">
        <v>0</v>
      </c>
      <c r="DY430">
        <v>4600</v>
      </c>
      <c r="DZ430">
        <v>3450</v>
      </c>
      <c r="EA430">
        <v>805</v>
      </c>
      <c r="EB430">
        <v>2070</v>
      </c>
      <c r="EC430">
        <v>575</v>
      </c>
      <c r="ED430">
        <v>2875</v>
      </c>
      <c r="EE430">
        <v>8625</v>
      </c>
      <c r="EF430">
        <v>0</v>
      </c>
      <c r="EG430">
        <v>0</v>
      </c>
      <c r="EH430">
        <v>1.5</v>
      </c>
      <c r="EI430">
        <v>8.6</v>
      </c>
      <c r="EJ430">
        <v>2.5</v>
      </c>
      <c r="EK430">
        <v>13.5</v>
      </c>
    </row>
    <row r="431" spans="1:141" x14ac:dyDescent="0.25">
      <c r="A431" t="str">
        <f>[1]ingredient!B431</f>
        <v>Vollkorn-Brötchen</v>
      </c>
      <c r="B431" t="s">
        <v>474</v>
      </c>
      <c r="C431" s="7"/>
      <c r="D431"/>
    </row>
    <row r="432" spans="1:141" x14ac:dyDescent="0.25">
      <c r="A432" t="str">
        <f>[1]ingredient!B432</f>
        <v>Vollkorn-Fadennudeln</v>
      </c>
      <c r="B432" t="s">
        <v>215</v>
      </c>
      <c r="C432" s="7">
        <f>_xlfn.XLOOKUP(A432,[1]ingredient!$B$2:$B$521,[1]ingredient!$A$2:$A$521)</f>
        <v>431</v>
      </c>
      <c r="D432">
        <v>323</v>
      </c>
      <c r="E432">
        <v>3</v>
      </c>
      <c r="F432">
        <v>13</v>
      </c>
      <c r="G432">
        <v>61</v>
      </c>
      <c r="H432">
        <v>12</v>
      </c>
      <c r="I432">
        <v>1</v>
      </c>
      <c r="J432">
        <v>0.03</v>
      </c>
      <c r="K432">
        <v>11</v>
      </c>
      <c r="L432">
        <v>0</v>
      </c>
      <c r="M432">
        <v>0</v>
      </c>
      <c r="N432">
        <v>0</v>
      </c>
      <c r="O432">
        <v>0</v>
      </c>
      <c r="P432">
        <v>670</v>
      </c>
      <c r="Q432">
        <v>110</v>
      </c>
      <c r="R432">
        <v>3100</v>
      </c>
      <c r="S432">
        <v>5333</v>
      </c>
      <c r="T432">
        <v>800</v>
      </c>
      <c r="U432">
        <v>200</v>
      </c>
      <c r="V432">
        <v>1</v>
      </c>
      <c r="W432">
        <v>40</v>
      </c>
      <c r="X432">
        <v>0</v>
      </c>
      <c r="Y432">
        <v>0</v>
      </c>
      <c r="Z432">
        <v>0</v>
      </c>
      <c r="AA432">
        <v>250</v>
      </c>
      <c r="AB432">
        <v>0</v>
      </c>
      <c r="AC432">
        <v>5</v>
      </c>
      <c r="AD432">
        <v>390</v>
      </c>
      <c r="AE432">
        <v>34</v>
      </c>
      <c r="AF432">
        <v>120</v>
      </c>
      <c r="AG432">
        <v>370</v>
      </c>
      <c r="AH432">
        <v>190</v>
      </c>
      <c r="AI432">
        <v>22</v>
      </c>
      <c r="AJ432">
        <v>3900</v>
      </c>
      <c r="AK432">
        <v>3000</v>
      </c>
      <c r="AL432">
        <v>510</v>
      </c>
      <c r="AM432">
        <v>264</v>
      </c>
      <c r="AN432">
        <v>40</v>
      </c>
      <c r="AO432">
        <v>2</v>
      </c>
      <c r="AP432">
        <v>0</v>
      </c>
      <c r="AQ432">
        <v>0</v>
      </c>
      <c r="AR432">
        <v>0</v>
      </c>
      <c r="AS432">
        <v>0</v>
      </c>
      <c r="AT432">
        <v>61</v>
      </c>
      <c r="AU432">
        <v>61</v>
      </c>
      <c r="AV432">
        <v>0</v>
      </c>
      <c r="AW432">
        <v>122</v>
      </c>
      <c r="AX432">
        <v>606</v>
      </c>
      <c r="AY432">
        <v>0</v>
      </c>
      <c r="AZ432">
        <v>0</v>
      </c>
      <c r="BA432">
        <v>606</v>
      </c>
      <c r="BB432">
        <v>364</v>
      </c>
      <c r="BC432">
        <v>0</v>
      </c>
      <c r="BD432">
        <v>0</v>
      </c>
      <c r="BE432">
        <v>59508</v>
      </c>
      <c r="BF432">
        <v>59508</v>
      </c>
      <c r="BG432">
        <f t="shared" si="61"/>
        <v>58.012820512820518</v>
      </c>
      <c r="BH432">
        <v>523</v>
      </c>
      <c r="BI432">
        <v>898</v>
      </c>
      <c r="BJ432">
        <v>362</v>
      </c>
      <c r="BK432">
        <v>201</v>
      </c>
      <c r="BL432">
        <v>268</v>
      </c>
      <c r="BM432">
        <v>616</v>
      </c>
      <c r="BN432">
        <v>402</v>
      </c>
      <c r="BO432">
        <v>389</v>
      </c>
      <c r="BP432">
        <v>134</v>
      </c>
      <c r="BQ432">
        <v>603</v>
      </c>
      <c r="BR432">
        <v>603</v>
      </c>
      <c r="BS432">
        <v>255</v>
      </c>
      <c r="BT432">
        <v>5254</v>
      </c>
      <c r="BU432">
        <v>469</v>
      </c>
      <c r="BV432">
        <v>657</v>
      </c>
      <c r="BW432">
        <v>4059</v>
      </c>
      <c r="BX432">
        <v>616</v>
      </c>
      <c r="BY432">
        <v>1528</v>
      </c>
      <c r="BZ432">
        <v>683</v>
      </c>
      <c r="CA432">
        <v>8012</v>
      </c>
      <c r="CB432">
        <v>80</v>
      </c>
      <c r="CC432">
        <v>33</v>
      </c>
      <c r="CD432">
        <v>72</v>
      </c>
      <c r="CE432">
        <v>1073</v>
      </c>
      <c r="CF432">
        <v>14.9</v>
      </c>
      <c r="CG432">
        <v>0</v>
      </c>
      <c r="CH432">
        <v>0</v>
      </c>
      <c r="CI432">
        <v>0</v>
      </c>
      <c r="CJ432">
        <v>0</v>
      </c>
      <c r="CK432">
        <v>2</v>
      </c>
      <c r="CL432">
        <v>4</v>
      </c>
      <c r="CM432">
        <v>2</v>
      </c>
      <c r="CN432">
        <v>324</v>
      </c>
      <c r="CO432">
        <v>0</v>
      </c>
      <c r="CP432">
        <v>18</v>
      </c>
      <c r="CQ432">
        <v>14</v>
      </c>
      <c r="CR432">
        <v>0</v>
      </c>
      <c r="CS432">
        <v>0</v>
      </c>
      <c r="CT432">
        <v>364</v>
      </c>
      <c r="CU432">
        <v>0</v>
      </c>
      <c r="CV432">
        <v>0</v>
      </c>
      <c r="CW432">
        <v>9</v>
      </c>
      <c r="CX432">
        <v>0</v>
      </c>
      <c r="CY432">
        <v>275</v>
      </c>
      <c r="CZ432">
        <v>7</v>
      </c>
      <c r="DA432">
        <v>0</v>
      </c>
      <c r="DB432">
        <v>0</v>
      </c>
      <c r="DC432">
        <v>291</v>
      </c>
      <c r="DD432">
        <v>0</v>
      </c>
      <c r="DE432">
        <v>0</v>
      </c>
      <c r="DF432">
        <v>1069</v>
      </c>
      <c r="DG432">
        <v>72</v>
      </c>
      <c r="DH432">
        <v>0</v>
      </c>
      <c r="DI432">
        <v>0</v>
      </c>
      <c r="DJ432">
        <v>0</v>
      </c>
      <c r="DK432">
        <v>0</v>
      </c>
      <c r="DL432">
        <v>4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1145</v>
      </c>
      <c r="DT432">
        <v>1800</v>
      </c>
      <c r="DU432">
        <v>700</v>
      </c>
      <c r="DV432">
        <v>0</v>
      </c>
      <c r="DW432">
        <v>0</v>
      </c>
      <c r="DX432">
        <v>0</v>
      </c>
      <c r="DY432">
        <v>4600</v>
      </c>
      <c r="DZ432">
        <v>3450</v>
      </c>
      <c r="EA432">
        <v>805</v>
      </c>
      <c r="EB432">
        <v>2070</v>
      </c>
      <c r="EC432">
        <v>575</v>
      </c>
      <c r="ED432">
        <v>2875</v>
      </c>
      <c r="EE432">
        <v>8625</v>
      </c>
      <c r="EF432">
        <v>0</v>
      </c>
      <c r="EG432">
        <v>0</v>
      </c>
      <c r="EH432">
        <v>1.5</v>
      </c>
      <c r="EI432">
        <v>8.6</v>
      </c>
      <c r="EJ432">
        <v>2.5</v>
      </c>
      <c r="EK432">
        <v>13.5</v>
      </c>
    </row>
    <row r="433" spans="1:141" x14ac:dyDescent="0.25">
      <c r="A433" s="12" t="str">
        <f>[1]ingredient!B433</f>
        <v>Vollkornflocken</v>
      </c>
      <c r="C433" s="7">
        <f>_xlfn.XLOOKUP(A433,[1]ingredient!$B$2:$B$521,[1]ingredient!$A$2:$A$521)</f>
        <v>432</v>
      </c>
      <c r="D433" s="10">
        <f t="shared" ref="D433:BF433" si="65">AVERAGE(D51,D85,D129,D145,D343,D449)</f>
        <v>336.66666666666669</v>
      </c>
      <c r="E433" s="10">
        <f t="shared" si="65"/>
        <v>3</v>
      </c>
      <c r="F433" s="10">
        <f t="shared" si="65"/>
        <v>10.666666666666666</v>
      </c>
      <c r="G433" s="10">
        <f t="shared" si="65"/>
        <v>65.666666666666671</v>
      </c>
      <c r="H433" s="10">
        <f t="shared" si="65"/>
        <v>9.8333333333333339</v>
      </c>
      <c r="I433" s="10">
        <f t="shared" si="65"/>
        <v>1.1666666666666667</v>
      </c>
      <c r="J433" s="10">
        <f t="shared" si="65"/>
        <v>3.833333333333333E-2</v>
      </c>
      <c r="K433" s="10">
        <f t="shared" si="65"/>
        <v>9.8833333333333329</v>
      </c>
      <c r="L433" s="10">
        <f t="shared" si="65"/>
        <v>0.83333333333333337</v>
      </c>
      <c r="M433" s="10">
        <f t="shared" si="65"/>
        <v>0.5</v>
      </c>
      <c r="N433" s="10">
        <f t="shared" si="65"/>
        <v>0</v>
      </c>
      <c r="O433" s="10">
        <f t="shared" si="65"/>
        <v>5.333333333333333</v>
      </c>
      <c r="P433" s="10">
        <f t="shared" si="65"/>
        <v>394.5</v>
      </c>
      <c r="Q433" s="10">
        <f t="shared" si="65"/>
        <v>95.166666666666671</v>
      </c>
      <c r="R433" s="10">
        <f t="shared" si="65"/>
        <v>3066.6666666666665</v>
      </c>
      <c r="S433" s="10">
        <f t="shared" si="65"/>
        <v>5299.833333333333</v>
      </c>
      <c r="T433" s="10">
        <f t="shared" si="65"/>
        <v>1060</v>
      </c>
      <c r="U433" s="10">
        <f t="shared" si="65"/>
        <v>291.16666666666669</v>
      </c>
      <c r="V433" s="10">
        <f t="shared" si="65"/>
        <v>7.5</v>
      </c>
      <c r="W433" s="10">
        <f t="shared" si="65"/>
        <v>55.5</v>
      </c>
      <c r="X433" s="10">
        <f t="shared" si="65"/>
        <v>0</v>
      </c>
      <c r="Y433" s="10">
        <f t="shared" si="65"/>
        <v>0</v>
      </c>
      <c r="Z433" s="10">
        <f t="shared" si="65"/>
        <v>0</v>
      </c>
      <c r="AA433" s="10">
        <f t="shared" si="65"/>
        <v>706.66666666666663</v>
      </c>
      <c r="AB433" s="10">
        <f t="shared" si="65"/>
        <v>20</v>
      </c>
      <c r="AC433" s="10">
        <f t="shared" si="65"/>
        <v>3.8333333333333335</v>
      </c>
      <c r="AD433" s="10">
        <f t="shared" si="65"/>
        <v>331.16666666666669</v>
      </c>
      <c r="AE433" s="10">
        <f t="shared" si="65"/>
        <v>29.5</v>
      </c>
      <c r="AF433" s="10">
        <f t="shared" si="65"/>
        <v>92.166666666666671</v>
      </c>
      <c r="AG433" s="10">
        <f t="shared" si="65"/>
        <v>304.33333333333331</v>
      </c>
      <c r="AH433" s="10">
        <f t="shared" si="65"/>
        <v>130</v>
      </c>
      <c r="AI433" s="10">
        <f t="shared" si="65"/>
        <v>36.5</v>
      </c>
      <c r="AJ433" s="10">
        <f t="shared" si="65"/>
        <v>3185.5</v>
      </c>
      <c r="AK433" s="10">
        <f t="shared" si="65"/>
        <v>2443.6666666666665</v>
      </c>
      <c r="AL433" s="10">
        <f t="shared" si="65"/>
        <v>282.5</v>
      </c>
      <c r="AM433" s="10">
        <f t="shared" si="65"/>
        <v>2944.8333333333335</v>
      </c>
      <c r="AN433" s="10">
        <f t="shared" si="65"/>
        <v>103.33333333333333</v>
      </c>
      <c r="AO433" s="10">
        <f t="shared" si="65"/>
        <v>3.6666666666666665</v>
      </c>
      <c r="AP433" s="10">
        <f t="shared" si="65"/>
        <v>0</v>
      </c>
      <c r="AQ433" s="10">
        <f t="shared" si="65"/>
        <v>0</v>
      </c>
      <c r="AR433" s="10">
        <f t="shared" si="65"/>
        <v>0</v>
      </c>
      <c r="AS433" s="10">
        <f t="shared" si="65"/>
        <v>0</v>
      </c>
      <c r="AT433" s="10">
        <f t="shared" si="65"/>
        <v>72.166666666666671</v>
      </c>
      <c r="AU433" s="10">
        <f t="shared" si="65"/>
        <v>67.333333333333329</v>
      </c>
      <c r="AV433" s="10">
        <f t="shared" si="65"/>
        <v>0</v>
      </c>
      <c r="AW433" s="10">
        <f t="shared" si="65"/>
        <v>139.5</v>
      </c>
      <c r="AX433" s="10">
        <f t="shared" si="65"/>
        <v>773.33333333333337</v>
      </c>
      <c r="AY433" s="10">
        <f t="shared" si="65"/>
        <v>120.16666666666667</v>
      </c>
      <c r="AZ433" s="10">
        <f t="shared" si="65"/>
        <v>0</v>
      </c>
      <c r="BA433" s="10">
        <f t="shared" si="65"/>
        <v>901.83333333333337</v>
      </c>
      <c r="BB433" s="10">
        <f t="shared" si="65"/>
        <v>448.16666666666669</v>
      </c>
      <c r="BC433" s="10">
        <f t="shared" si="65"/>
        <v>56.666666666666664</v>
      </c>
      <c r="BD433" s="10">
        <f t="shared" si="65"/>
        <v>0</v>
      </c>
      <c r="BE433" s="10">
        <f t="shared" si="65"/>
        <v>64058.333333333336</v>
      </c>
      <c r="BF433" s="10">
        <f t="shared" si="65"/>
        <v>39808.333333333336</v>
      </c>
      <c r="BG433">
        <f t="shared" si="61"/>
        <v>79.817708333333343</v>
      </c>
      <c r="BH433" s="10">
        <f t="shared" ref="BH433:DS433" si="66">AVERAGE(BH51,BH85,BH129,BH145,BH343,BH449)</f>
        <v>432.66666666666669</v>
      </c>
      <c r="BI433" s="10">
        <f t="shared" si="66"/>
        <v>751.16666666666663</v>
      </c>
      <c r="BJ433" s="10">
        <f t="shared" si="66"/>
        <v>408.66666666666669</v>
      </c>
      <c r="BK433" s="10">
        <f t="shared" si="66"/>
        <v>176.66666666666666</v>
      </c>
      <c r="BL433" s="10">
        <f t="shared" si="66"/>
        <v>229.83333333333334</v>
      </c>
      <c r="BM433" s="10">
        <f t="shared" si="66"/>
        <v>524.16666666666663</v>
      </c>
      <c r="BN433" s="10">
        <f t="shared" si="66"/>
        <v>321.83333333333331</v>
      </c>
      <c r="BO433" s="10">
        <f t="shared" si="66"/>
        <v>380.66666666666669</v>
      </c>
      <c r="BP433" s="10">
        <f t="shared" si="66"/>
        <v>134.66666666666666</v>
      </c>
      <c r="BQ433" s="10">
        <f t="shared" si="66"/>
        <v>559.83333333333337</v>
      </c>
      <c r="BR433" s="10">
        <f t="shared" si="66"/>
        <v>622.83333333333337</v>
      </c>
      <c r="BS433" s="10">
        <f t="shared" si="66"/>
        <v>220.33333333333334</v>
      </c>
      <c r="BT433" s="10">
        <f t="shared" si="66"/>
        <v>4762.833333333333</v>
      </c>
      <c r="BU433" s="10">
        <f t="shared" si="66"/>
        <v>478.83333333333331</v>
      </c>
      <c r="BV433" s="10">
        <f t="shared" si="66"/>
        <v>743.5</v>
      </c>
      <c r="BW433" s="10">
        <f t="shared" si="66"/>
        <v>2659.1666666666665</v>
      </c>
      <c r="BX433" s="10">
        <f t="shared" si="66"/>
        <v>558.83333333333337</v>
      </c>
      <c r="BY433" s="10">
        <f t="shared" si="66"/>
        <v>967</v>
      </c>
      <c r="BZ433" s="10">
        <f t="shared" si="66"/>
        <v>532.83333333333337</v>
      </c>
      <c r="CA433" s="10">
        <f t="shared" si="66"/>
        <v>5940.166666666667</v>
      </c>
      <c r="CB433" s="10">
        <f t="shared" si="66"/>
        <v>79.5</v>
      </c>
      <c r="CC433" s="10">
        <f t="shared" si="66"/>
        <v>31.333333333333332</v>
      </c>
      <c r="CD433" s="10">
        <f t="shared" si="66"/>
        <v>78.833333333333329</v>
      </c>
      <c r="CE433" s="10">
        <f t="shared" si="66"/>
        <v>1050.8333333333333</v>
      </c>
      <c r="CF433" s="10">
        <f t="shared" si="66"/>
        <v>15.318333333333333</v>
      </c>
      <c r="CG433" s="10">
        <f t="shared" si="66"/>
        <v>0</v>
      </c>
      <c r="CH433" s="10">
        <f t="shared" si="66"/>
        <v>0</v>
      </c>
      <c r="CI433" s="10">
        <f t="shared" si="66"/>
        <v>0</v>
      </c>
      <c r="CJ433" s="10">
        <f t="shared" si="66"/>
        <v>0</v>
      </c>
      <c r="CK433" s="10">
        <f t="shared" si="66"/>
        <v>9.6666666666666661</v>
      </c>
      <c r="CL433" s="10">
        <f t="shared" si="66"/>
        <v>4.333333333333333</v>
      </c>
      <c r="CM433" s="10">
        <f t="shared" si="66"/>
        <v>0.33333333333333331</v>
      </c>
      <c r="CN433" s="10">
        <f t="shared" si="66"/>
        <v>402.83333333333331</v>
      </c>
      <c r="CO433" s="10">
        <f t="shared" si="66"/>
        <v>0</v>
      </c>
      <c r="CP433" s="10">
        <f t="shared" si="66"/>
        <v>34.333333333333336</v>
      </c>
      <c r="CQ433" s="10">
        <f t="shared" si="66"/>
        <v>10.5</v>
      </c>
      <c r="CR433" s="10">
        <f t="shared" si="66"/>
        <v>0</v>
      </c>
      <c r="CS433" s="10">
        <f t="shared" si="66"/>
        <v>0</v>
      </c>
      <c r="CT433" s="10">
        <f t="shared" si="66"/>
        <v>461.83333333333331</v>
      </c>
      <c r="CU433" s="10">
        <f t="shared" si="66"/>
        <v>0</v>
      </c>
      <c r="CV433" s="10">
        <f t="shared" si="66"/>
        <v>0</v>
      </c>
      <c r="CW433" s="10">
        <f t="shared" si="66"/>
        <v>7.5</v>
      </c>
      <c r="CX433" s="10">
        <f t="shared" si="66"/>
        <v>0</v>
      </c>
      <c r="CY433" s="10">
        <f t="shared" si="66"/>
        <v>684.33333333333337</v>
      </c>
      <c r="CZ433" s="10">
        <f t="shared" si="66"/>
        <v>16.166666666666668</v>
      </c>
      <c r="DA433" s="10">
        <f t="shared" si="66"/>
        <v>0</v>
      </c>
      <c r="DB433" s="10">
        <f t="shared" si="66"/>
        <v>0</v>
      </c>
      <c r="DC433" s="10">
        <f t="shared" si="66"/>
        <v>712.66666666666663</v>
      </c>
      <c r="DD433" s="10">
        <f t="shared" si="66"/>
        <v>0</v>
      </c>
      <c r="DE433" s="10">
        <f t="shared" si="66"/>
        <v>0</v>
      </c>
      <c r="DF433" s="10">
        <f t="shared" si="66"/>
        <v>1049.5</v>
      </c>
      <c r="DG433" s="10">
        <f t="shared" si="66"/>
        <v>78.333333333333329</v>
      </c>
      <c r="DH433" s="10">
        <f t="shared" si="66"/>
        <v>0</v>
      </c>
      <c r="DI433" s="10">
        <f t="shared" si="66"/>
        <v>0</v>
      </c>
      <c r="DJ433" s="10">
        <f t="shared" si="66"/>
        <v>0</v>
      </c>
      <c r="DK433" s="10">
        <f t="shared" si="66"/>
        <v>0</v>
      </c>
      <c r="DL433" s="10">
        <f t="shared" si="66"/>
        <v>1.3333333333333333</v>
      </c>
      <c r="DM433" s="10">
        <f t="shared" si="66"/>
        <v>0.5</v>
      </c>
      <c r="DN433" s="10">
        <f t="shared" si="66"/>
        <v>0</v>
      </c>
      <c r="DO433" s="10">
        <f t="shared" si="66"/>
        <v>0</v>
      </c>
      <c r="DP433" s="10">
        <f t="shared" si="66"/>
        <v>0</v>
      </c>
      <c r="DQ433" s="10">
        <f t="shared" si="66"/>
        <v>0</v>
      </c>
      <c r="DR433" s="10">
        <f t="shared" si="66"/>
        <v>0</v>
      </c>
      <c r="DS433" s="10">
        <f t="shared" si="66"/>
        <v>1129.1666666666667</v>
      </c>
      <c r="DT433" s="10">
        <f t="shared" ref="DT433:EK433" si="67">AVERAGE(DT51,DT85,DT129,DT145,DT343,DT449)</f>
        <v>2301.5</v>
      </c>
      <c r="DU433" s="10">
        <f t="shared" si="67"/>
        <v>445.5</v>
      </c>
      <c r="DV433" s="10">
        <f t="shared" si="67"/>
        <v>0</v>
      </c>
      <c r="DW433" s="10">
        <f t="shared" si="67"/>
        <v>0</v>
      </c>
      <c r="DX433" s="10">
        <f t="shared" si="67"/>
        <v>0</v>
      </c>
      <c r="DY433" s="10">
        <f t="shared" si="67"/>
        <v>3806</v>
      </c>
      <c r="DZ433" s="10">
        <f t="shared" si="67"/>
        <v>3614.1666666666665</v>
      </c>
      <c r="EA433" s="10">
        <f t="shared" si="67"/>
        <v>630.16666666666663</v>
      </c>
      <c r="EB433" s="10">
        <f t="shared" si="67"/>
        <v>1326</v>
      </c>
      <c r="EC433" s="10">
        <f t="shared" si="67"/>
        <v>493.66666666666669</v>
      </c>
      <c r="ED433" s="10">
        <f t="shared" si="67"/>
        <v>3086.3333333333335</v>
      </c>
      <c r="EE433" s="10">
        <f t="shared" si="67"/>
        <v>6845.333333333333</v>
      </c>
      <c r="EF433" s="10">
        <f t="shared" si="67"/>
        <v>0</v>
      </c>
      <c r="EG433" s="10">
        <f t="shared" si="67"/>
        <v>28.333333333333332</v>
      </c>
      <c r="EH433" s="10">
        <f t="shared" si="67"/>
        <v>1.0999999999999999</v>
      </c>
      <c r="EI433" s="10">
        <f t="shared" si="67"/>
        <v>6.8500000000000005</v>
      </c>
      <c r="EJ433" s="10">
        <f t="shared" si="67"/>
        <v>2.75</v>
      </c>
      <c r="EK433" s="10">
        <f t="shared" si="67"/>
        <v>10.983333333333334</v>
      </c>
    </row>
    <row r="434" spans="1:141" x14ac:dyDescent="0.25">
      <c r="A434" s="12" t="str">
        <f>[1]ingredient!B434</f>
        <v>Vollkorngetreide</v>
      </c>
      <c r="C434" s="7">
        <f>_xlfn.XLOOKUP(A434,[1]ingredient!$B$2:$B$521,[1]ingredient!$A$2:$A$521)</f>
        <v>433</v>
      </c>
      <c r="D434" s="10">
        <f t="shared" ref="D434:BF434" si="68">AVERAGE(D50,D84,D96,D98,D128,D135,D144,D176,D323,D342,D448)</f>
        <v>326.63636363636363</v>
      </c>
      <c r="E434" s="10">
        <f t="shared" si="68"/>
        <v>3.0909090909090908</v>
      </c>
      <c r="F434" s="10">
        <f t="shared" si="68"/>
        <v>11.545454545454545</v>
      </c>
      <c r="G434" s="10">
        <f t="shared" si="68"/>
        <v>61.909090909090907</v>
      </c>
      <c r="H434" s="10">
        <f t="shared" si="68"/>
        <v>10.272727272727273</v>
      </c>
      <c r="I434" s="10">
        <f t="shared" si="68"/>
        <v>1.3118181818181818</v>
      </c>
      <c r="J434" s="10">
        <f t="shared" si="68"/>
        <v>5.5454545454545465E-2</v>
      </c>
      <c r="K434" s="10">
        <f t="shared" si="68"/>
        <v>11.909090909090908</v>
      </c>
      <c r="L434" s="10">
        <f t="shared" si="68"/>
        <v>1</v>
      </c>
      <c r="M434" s="10">
        <f t="shared" si="68"/>
        <v>0.64363636363636367</v>
      </c>
      <c r="N434" s="10">
        <f t="shared" si="68"/>
        <v>0</v>
      </c>
      <c r="O434" s="10">
        <f t="shared" si="68"/>
        <v>6.4545454545454541</v>
      </c>
      <c r="P434" s="10">
        <f t="shared" si="68"/>
        <v>421.90909090909093</v>
      </c>
      <c r="Q434" s="10">
        <f t="shared" si="68"/>
        <v>114.27272727272727</v>
      </c>
      <c r="R434" s="10">
        <f t="shared" si="68"/>
        <v>3321.2727272727275</v>
      </c>
      <c r="S434" s="10">
        <f t="shared" si="68"/>
        <v>5692.454545454545</v>
      </c>
      <c r="T434" s="10">
        <f t="shared" si="68"/>
        <v>1029.8181818181818</v>
      </c>
      <c r="U434" s="10">
        <f t="shared" si="68"/>
        <v>381</v>
      </c>
      <c r="V434" s="10">
        <f t="shared" si="68"/>
        <v>6</v>
      </c>
      <c r="W434" s="10">
        <f t="shared" si="68"/>
        <v>56.909090909090907</v>
      </c>
      <c r="X434" s="10">
        <f t="shared" si="68"/>
        <v>0</v>
      </c>
      <c r="Y434" s="10">
        <f t="shared" si="68"/>
        <v>393.27272727272725</v>
      </c>
      <c r="Z434" s="10">
        <f t="shared" si="68"/>
        <v>0</v>
      </c>
      <c r="AA434" s="10">
        <f t="shared" si="68"/>
        <v>626.90909090909088</v>
      </c>
      <c r="AB434" s="10">
        <f t="shared" si="68"/>
        <v>10.818181818181818</v>
      </c>
      <c r="AC434" s="10">
        <f t="shared" si="68"/>
        <v>6.2727272727272725</v>
      </c>
      <c r="AD434" s="10">
        <f t="shared" si="68"/>
        <v>400.90909090909093</v>
      </c>
      <c r="AE434" s="10">
        <f t="shared" si="68"/>
        <v>40.272727272727273</v>
      </c>
      <c r="AF434" s="10">
        <f t="shared" si="68"/>
        <v>115.54545454545455</v>
      </c>
      <c r="AG434" s="10">
        <f t="shared" si="68"/>
        <v>354.36363636363637</v>
      </c>
      <c r="AH434" s="10">
        <f t="shared" si="68"/>
        <v>129.54545454545453</v>
      </c>
      <c r="AI434" s="10">
        <f t="shared" si="68"/>
        <v>50.454545454545453</v>
      </c>
      <c r="AJ434" s="10">
        <f t="shared" si="68"/>
        <v>3533</v>
      </c>
      <c r="AK434" s="10">
        <f t="shared" si="68"/>
        <v>2909.4545454545455</v>
      </c>
      <c r="AL434" s="10">
        <f t="shared" si="68"/>
        <v>403.81818181818181</v>
      </c>
      <c r="AM434" s="10">
        <f t="shared" si="68"/>
        <v>2791.2727272727275</v>
      </c>
      <c r="AN434" s="10">
        <f t="shared" si="68"/>
        <v>86.727272727272734</v>
      </c>
      <c r="AO434" s="10">
        <f t="shared" si="68"/>
        <v>4.4545454545454541</v>
      </c>
      <c r="AP434" s="10">
        <f t="shared" si="68"/>
        <v>0</v>
      </c>
      <c r="AQ434" s="10">
        <f t="shared" si="68"/>
        <v>0</v>
      </c>
      <c r="AR434" s="10">
        <f t="shared" si="68"/>
        <v>0</v>
      </c>
      <c r="AS434" s="10">
        <f t="shared" si="68"/>
        <v>0</v>
      </c>
      <c r="AT434" s="10">
        <f t="shared" si="68"/>
        <v>114</v>
      </c>
      <c r="AU434" s="10">
        <f t="shared" si="68"/>
        <v>55.545454545454547</v>
      </c>
      <c r="AV434" s="10">
        <f t="shared" si="68"/>
        <v>0</v>
      </c>
      <c r="AW434" s="10">
        <f t="shared" si="68"/>
        <v>169.54545454545453</v>
      </c>
      <c r="AX434" s="10">
        <f t="shared" si="68"/>
        <v>927.81818181818187</v>
      </c>
      <c r="AY434" s="10">
        <f t="shared" si="68"/>
        <v>81.545454545454547</v>
      </c>
      <c r="AZ434" s="10">
        <f t="shared" si="68"/>
        <v>0</v>
      </c>
      <c r="BA434" s="10">
        <f t="shared" si="68"/>
        <v>1013.2727272727273</v>
      </c>
      <c r="BB434" s="10">
        <f t="shared" si="68"/>
        <v>422.72727272727275</v>
      </c>
      <c r="BC434" s="10">
        <f t="shared" si="68"/>
        <v>127.27272727272727</v>
      </c>
      <c r="BD434" s="10">
        <f t="shared" si="68"/>
        <v>0</v>
      </c>
      <c r="BE434" s="10">
        <f t="shared" si="68"/>
        <v>60221.727272727272</v>
      </c>
      <c r="BF434" s="10">
        <f t="shared" si="68"/>
        <v>49477.545454545456</v>
      </c>
      <c r="BG434">
        <f t="shared" si="61"/>
        <v>76.525590551181097</v>
      </c>
      <c r="BH434" s="10">
        <f t="shared" ref="BH434:DS434" si="69">AVERAGE(BH50,BH84,BH96,BH98,BH128,BH135,BH144,BH176,BH323,BH342,BH448)</f>
        <v>492.63636363636363</v>
      </c>
      <c r="BI434" s="10">
        <f t="shared" si="69"/>
        <v>831.81818181818187</v>
      </c>
      <c r="BJ434" s="10">
        <f t="shared" si="69"/>
        <v>424.09090909090907</v>
      </c>
      <c r="BK434" s="10">
        <f t="shared" si="69"/>
        <v>193.27272727272728</v>
      </c>
      <c r="BL434" s="10">
        <f t="shared" si="69"/>
        <v>249.36363636363637</v>
      </c>
      <c r="BM434" s="10">
        <f t="shared" si="69"/>
        <v>575.63636363636363</v>
      </c>
      <c r="BN434" s="10">
        <f t="shared" si="69"/>
        <v>365</v>
      </c>
      <c r="BO434" s="10">
        <f t="shared" si="69"/>
        <v>413.45454545454544</v>
      </c>
      <c r="BP434" s="10">
        <f t="shared" si="69"/>
        <v>142.09090909090909</v>
      </c>
      <c r="BQ434" s="10">
        <f t="shared" si="69"/>
        <v>580.90909090909088</v>
      </c>
      <c r="BR434" s="10">
        <f t="shared" si="69"/>
        <v>653.27272727272725</v>
      </c>
      <c r="BS434" s="10">
        <f t="shared" si="69"/>
        <v>258</v>
      </c>
      <c r="BT434" s="10">
        <f t="shared" si="69"/>
        <v>5178.909090909091</v>
      </c>
      <c r="BU434" s="10">
        <f t="shared" si="69"/>
        <v>509.54545454545456</v>
      </c>
      <c r="BV434" s="10">
        <f t="shared" si="69"/>
        <v>755</v>
      </c>
      <c r="BW434" s="10">
        <f t="shared" si="69"/>
        <v>3235.090909090909</v>
      </c>
      <c r="BX434" s="10">
        <f t="shared" si="69"/>
        <v>626.72727272727275</v>
      </c>
      <c r="BY434" s="10">
        <f t="shared" si="69"/>
        <v>1187.4545454545455</v>
      </c>
      <c r="BZ434" s="10">
        <f t="shared" si="69"/>
        <v>622.36363636363637</v>
      </c>
      <c r="CA434" s="10">
        <f t="shared" si="69"/>
        <v>6935.909090909091</v>
      </c>
      <c r="CB434" s="10">
        <f t="shared" si="69"/>
        <v>84.818181818181813</v>
      </c>
      <c r="CC434" s="10">
        <f t="shared" si="69"/>
        <v>34.545454545454547</v>
      </c>
      <c r="CD434" s="10">
        <f t="shared" si="69"/>
        <v>83.727272727272734</v>
      </c>
      <c r="CE434" s="10">
        <f t="shared" si="69"/>
        <v>1136</v>
      </c>
      <c r="CF434" s="10">
        <f t="shared" si="69"/>
        <v>12.977</v>
      </c>
      <c r="CG434" s="10">
        <f t="shared" si="69"/>
        <v>0</v>
      </c>
      <c r="CH434" s="10">
        <f t="shared" si="69"/>
        <v>0</v>
      </c>
      <c r="CI434" s="10">
        <f t="shared" si="69"/>
        <v>0</v>
      </c>
      <c r="CJ434" s="10">
        <f t="shared" si="69"/>
        <v>0</v>
      </c>
      <c r="CK434" s="10">
        <f t="shared" si="69"/>
        <v>1.7272727272727273</v>
      </c>
      <c r="CL434" s="10">
        <f t="shared" si="69"/>
        <v>8.454545454545455</v>
      </c>
      <c r="CM434" s="10">
        <f t="shared" si="69"/>
        <v>0.72727272727272729</v>
      </c>
      <c r="CN434" s="10">
        <f t="shared" si="69"/>
        <v>477.54545454545456</v>
      </c>
      <c r="CO434" s="10">
        <f t="shared" si="69"/>
        <v>5.6363636363636367</v>
      </c>
      <c r="CP434" s="10">
        <f t="shared" si="69"/>
        <v>34.909090909090907</v>
      </c>
      <c r="CQ434" s="10">
        <f t="shared" si="69"/>
        <v>14.363636363636363</v>
      </c>
      <c r="CR434" s="10">
        <f t="shared" si="69"/>
        <v>0</v>
      </c>
      <c r="CS434" s="10">
        <f t="shared" si="69"/>
        <v>0</v>
      </c>
      <c r="CT434" s="10">
        <f t="shared" si="69"/>
        <v>545.27272727272725</v>
      </c>
      <c r="CU434" s="10">
        <f t="shared" si="69"/>
        <v>0</v>
      </c>
      <c r="CV434" s="10">
        <f t="shared" si="69"/>
        <v>0</v>
      </c>
      <c r="CW434" s="10">
        <f t="shared" si="69"/>
        <v>11.636363636363637</v>
      </c>
      <c r="CX434" s="10">
        <f t="shared" si="69"/>
        <v>0</v>
      </c>
      <c r="CY434" s="10">
        <f t="shared" si="69"/>
        <v>593.27272727272725</v>
      </c>
      <c r="CZ434" s="10">
        <f t="shared" si="69"/>
        <v>12.909090909090908</v>
      </c>
      <c r="DA434" s="10">
        <f t="shared" si="69"/>
        <v>0.72727272727272729</v>
      </c>
      <c r="DB434" s="10">
        <f t="shared" si="69"/>
        <v>0</v>
      </c>
      <c r="DC434" s="10">
        <f t="shared" si="69"/>
        <v>623</v>
      </c>
      <c r="DD434" s="10">
        <f t="shared" si="69"/>
        <v>0</v>
      </c>
      <c r="DE434" s="10">
        <f t="shared" si="69"/>
        <v>0</v>
      </c>
      <c r="DF434" s="10">
        <f t="shared" si="69"/>
        <v>1133.3636363636363</v>
      </c>
      <c r="DG434" s="10">
        <f t="shared" si="69"/>
        <v>83.727272727272734</v>
      </c>
      <c r="DH434" s="10">
        <f t="shared" si="69"/>
        <v>0</v>
      </c>
      <c r="DI434" s="10">
        <f t="shared" si="69"/>
        <v>0</v>
      </c>
      <c r="DJ434" s="10">
        <f t="shared" si="69"/>
        <v>0</v>
      </c>
      <c r="DK434" s="10">
        <f t="shared" si="69"/>
        <v>0</v>
      </c>
      <c r="DL434" s="10">
        <f t="shared" si="69"/>
        <v>2.6363636363636362</v>
      </c>
      <c r="DM434" s="10">
        <f t="shared" si="69"/>
        <v>0</v>
      </c>
      <c r="DN434" s="10">
        <f t="shared" si="69"/>
        <v>0</v>
      </c>
      <c r="DO434" s="10">
        <f t="shared" si="69"/>
        <v>0</v>
      </c>
      <c r="DP434" s="10">
        <f t="shared" si="69"/>
        <v>0</v>
      </c>
      <c r="DQ434" s="10">
        <f t="shared" si="69"/>
        <v>0</v>
      </c>
      <c r="DR434" s="10">
        <f t="shared" si="69"/>
        <v>0</v>
      </c>
      <c r="DS434" s="10">
        <f t="shared" si="69"/>
        <v>1210</v>
      </c>
      <c r="DT434" s="10">
        <f t="shared" ref="DT434:EK434" si="70">AVERAGE(DT50,DT84,DT96,DT98,DT128,DT135,DT144,DT176,DT323,DT342,DT448)</f>
        <v>2380.4545454545455</v>
      </c>
      <c r="DU434" s="10">
        <f t="shared" si="70"/>
        <v>533.18181818181813</v>
      </c>
      <c r="DV434" s="10">
        <f t="shared" si="70"/>
        <v>0</v>
      </c>
      <c r="DW434" s="10">
        <f t="shared" si="70"/>
        <v>0</v>
      </c>
      <c r="DX434" s="10">
        <f t="shared" si="70"/>
        <v>0</v>
      </c>
      <c r="DY434" s="10">
        <f t="shared" si="70"/>
        <v>3548.090909090909</v>
      </c>
      <c r="DZ434" s="10">
        <f t="shared" si="70"/>
        <v>3646.909090909091</v>
      </c>
      <c r="EA434" s="10">
        <f t="shared" si="70"/>
        <v>737</v>
      </c>
      <c r="EB434" s="10">
        <f t="shared" si="70"/>
        <v>1419.5454545454545</v>
      </c>
      <c r="EC434" s="10">
        <f t="shared" si="70"/>
        <v>507.09090909090907</v>
      </c>
      <c r="ED434" s="10">
        <f t="shared" si="70"/>
        <v>3033.090909090909</v>
      </c>
      <c r="EE434" s="10">
        <f t="shared" si="70"/>
        <v>7182.636363636364</v>
      </c>
      <c r="EF434" s="10">
        <f t="shared" si="70"/>
        <v>0</v>
      </c>
      <c r="EG434" s="10">
        <f t="shared" si="70"/>
        <v>0</v>
      </c>
      <c r="EH434" s="10">
        <f t="shared" si="70"/>
        <v>1.6909090909090911</v>
      </c>
      <c r="EI434" s="10">
        <f t="shared" si="70"/>
        <v>7.1818181818181817</v>
      </c>
      <c r="EJ434" s="10">
        <f t="shared" si="70"/>
        <v>2.9545454545454546</v>
      </c>
      <c r="EK434" s="10">
        <f t="shared" si="70"/>
        <v>12.390909090909089</v>
      </c>
    </row>
    <row r="435" spans="1:141" x14ac:dyDescent="0.25">
      <c r="A435" s="12" t="str">
        <f>[1]ingredient!B435</f>
        <v>Vollkornmehl</v>
      </c>
      <c r="C435" s="7">
        <f>_xlfn.XLOOKUP(A435,[1]ingredient!$B$2:$B$521,[1]ingredient!$A$2:$A$521)</f>
        <v>434</v>
      </c>
      <c r="D435" s="10">
        <f t="shared" ref="D435:BF435" si="71">AVERAGE(D52,D86,D148,D344,D451)</f>
        <v>332.2</v>
      </c>
      <c r="E435" s="10">
        <f t="shared" si="71"/>
        <v>3.6</v>
      </c>
      <c r="F435" s="10">
        <f t="shared" si="71"/>
        <v>11.6</v>
      </c>
      <c r="G435" s="10">
        <f t="shared" si="71"/>
        <v>62.8</v>
      </c>
      <c r="H435" s="10">
        <f t="shared" si="71"/>
        <v>8.1999999999999993</v>
      </c>
      <c r="I435" s="10">
        <f t="shared" si="71"/>
        <v>1.48</v>
      </c>
      <c r="J435" s="10">
        <f t="shared" si="71"/>
        <v>3.2000000000000001E-2</v>
      </c>
      <c r="K435" s="10">
        <f t="shared" si="71"/>
        <v>12.6</v>
      </c>
      <c r="L435" s="10">
        <f t="shared" si="71"/>
        <v>1.2</v>
      </c>
      <c r="M435" s="10">
        <f t="shared" si="71"/>
        <v>0.6</v>
      </c>
      <c r="N435" s="10">
        <f t="shared" si="71"/>
        <v>0</v>
      </c>
      <c r="O435" s="10">
        <f t="shared" si="71"/>
        <v>7</v>
      </c>
      <c r="P435" s="10">
        <f t="shared" si="71"/>
        <v>494</v>
      </c>
      <c r="Q435" s="10">
        <f t="shared" si="71"/>
        <v>127.2</v>
      </c>
      <c r="R435" s="10">
        <f t="shared" si="71"/>
        <v>2468</v>
      </c>
      <c r="S435" s="10">
        <f t="shared" si="71"/>
        <v>4811.3999999999996</v>
      </c>
      <c r="T435" s="10">
        <f t="shared" si="71"/>
        <v>1270</v>
      </c>
      <c r="U435" s="10">
        <f t="shared" si="71"/>
        <v>341</v>
      </c>
      <c r="V435" s="10">
        <f t="shared" si="71"/>
        <v>8</v>
      </c>
      <c r="W435" s="10">
        <f t="shared" si="71"/>
        <v>53.2</v>
      </c>
      <c r="X435" s="10">
        <f t="shared" si="71"/>
        <v>0</v>
      </c>
      <c r="Y435" s="10">
        <f t="shared" si="71"/>
        <v>0</v>
      </c>
      <c r="Z435" s="10">
        <f t="shared" si="71"/>
        <v>0</v>
      </c>
      <c r="AA435" s="10">
        <f t="shared" si="71"/>
        <v>1711.8</v>
      </c>
      <c r="AB435" s="10">
        <f t="shared" si="71"/>
        <v>20</v>
      </c>
      <c r="AC435" s="10">
        <f t="shared" si="71"/>
        <v>3.2</v>
      </c>
      <c r="AD435" s="10">
        <f t="shared" si="71"/>
        <v>440.4</v>
      </c>
      <c r="AE435" s="10">
        <f t="shared" si="71"/>
        <v>38.4</v>
      </c>
      <c r="AF435" s="10">
        <f t="shared" si="71"/>
        <v>106.8</v>
      </c>
      <c r="AG435" s="10">
        <f t="shared" si="71"/>
        <v>331.8</v>
      </c>
      <c r="AH435" s="10">
        <f t="shared" si="71"/>
        <v>122.6</v>
      </c>
      <c r="AI435" s="10">
        <f t="shared" si="71"/>
        <v>30</v>
      </c>
      <c r="AJ435" s="10">
        <f t="shared" si="71"/>
        <v>4867</v>
      </c>
      <c r="AK435" s="10">
        <f t="shared" si="71"/>
        <v>3289.8</v>
      </c>
      <c r="AL435" s="10">
        <f t="shared" si="71"/>
        <v>536.6</v>
      </c>
      <c r="AM435" s="10">
        <f t="shared" si="71"/>
        <v>3247.4</v>
      </c>
      <c r="AN435" s="10">
        <f t="shared" si="71"/>
        <v>86</v>
      </c>
      <c r="AO435" s="10">
        <f t="shared" si="71"/>
        <v>3.6</v>
      </c>
      <c r="AP435" s="10">
        <f t="shared" si="71"/>
        <v>0</v>
      </c>
      <c r="AQ435" s="10">
        <f t="shared" si="71"/>
        <v>0</v>
      </c>
      <c r="AR435" s="10">
        <f t="shared" si="71"/>
        <v>0</v>
      </c>
      <c r="AS435" s="10">
        <f t="shared" si="71"/>
        <v>0</v>
      </c>
      <c r="AT435" s="10">
        <f t="shared" si="71"/>
        <v>86</v>
      </c>
      <c r="AU435" s="10">
        <f t="shared" si="71"/>
        <v>57.4</v>
      </c>
      <c r="AV435" s="10">
        <f t="shared" si="71"/>
        <v>0</v>
      </c>
      <c r="AW435" s="10">
        <f t="shared" si="71"/>
        <v>143.4</v>
      </c>
      <c r="AX435" s="10">
        <f t="shared" si="71"/>
        <v>548</v>
      </c>
      <c r="AY435" s="10">
        <f t="shared" si="71"/>
        <v>608</v>
      </c>
      <c r="AZ435" s="10">
        <f t="shared" si="71"/>
        <v>0</v>
      </c>
      <c r="BA435" s="10">
        <f t="shared" si="71"/>
        <v>1156</v>
      </c>
      <c r="BB435" s="10">
        <f t="shared" si="71"/>
        <v>330</v>
      </c>
      <c r="BC435" s="10">
        <f t="shared" si="71"/>
        <v>56</v>
      </c>
      <c r="BD435" s="10">
        <f t="shared" si="71"/>
        <v>0</v>
      </c>
      <c r="BE435" s="10">
        <f t="shared" si="71"/>
        <v>60467</v>
      </c>
      <c r="BF435" s="10">
        <f t="shared" si="71"/>
        <v>60467</v>
      </c>
      <c r="BG435">
        <f t="shared" si="61"/>
        <v>75.790229885057485</v>
      </c>
      <c r="BH435" s="10">
        <f t="shared" ref="BH435:DS435" si="72">AVERAGE(BH52,BH86,BH148,BH344,BH451)</f>
        <v>472.4</v>
      </c>
      <c r="BI435" s="10">
        <f t="shared" si="72"/>
        <v>813.4</v>
      </c>
      <c r="BJ435" s="10">
        <f t="shared" si="72"/>
        <v>422</v>
      </c>
      <c r="BK435" s="10">
        <f t="shared" si="72"/>
        <v>184.2</v>
      </c>
      <c r="BL435" s="10">
        <f t="shared" si="72"/>
        <v>285</v>
      </c>
      <c r="BM435" s="10">
        <f t="shared" si="72"/>
        <v>570</v>
      </c>
      <c r="BN435" s="10">
        <f t="shared" si="72"/>
        <v>356.2</v>
      </c>
      <c r="BO435" s="10">
        <f t="shared" si="72"/>
        <v>409.6</v>
      </c>
      <c r="BP435" s="10">
        <f t="shared" si="72"/>
        <v>140.6</v>
      </c>
      <c r="BQ435" s="10">
        <f t="shared" si="72"/>
        <v>605.79999999999995</v>
      </c>
      <c r="BR435" s="10">
        <f t="shared" si="72"/>
        <v>683.2</v>
      </c>
      <c r="BS435" s="10">
        <f t="shared" si="72"/>
        <v>254.6</v>
      </c>
      <c r="BT435" s="10">
        <f t="shared" si="72"/>
        <v>5196.8</v>
      </c>
      <c r="BU435" s="10">
        <f t="shared" si="72"/>
        <v>494.4</v>
      </c>
      <c r="BV435" s="10">
        <f t="shared" si="72"/>
        <v>767.6</v>
      </c>
      <c r="BW435" s="10">
        <f t="shared" si="72"/>
        <v>3187.6</v>
      </c>
      <c r="BX435" s="10">
        <f t="shared" si="72"/>
        <v>582.6</v>
      </c>
      <c r="BY435" s="10">
        <f t="shared" si="72"/>
        <v>1061.2</v>
      </c>
      <c r="BZ435" s="10">
        <f t="shared" si="72"/>
        <v>594</v>
      </c>
      <c r="CA435" s="10">
        <f t="shared" si="72"/>
        <v>6687.4</v>
      </c>
      <c r="CB435" s="10">
        <f t="shared" si="72"/>
        <v>121.2</v>
      </c>
      <c r="CC435" s="10">
        <f t="shared" si="72"/>
        <v>50.4</v>
      </c>
      <c r="CD435" s="10">
        <f t="shared" si="72"/>
        <v>79.599999999999994</v>
      </c>
      <c r="CE435" s="10">
        <f t="shared" si="72"/>
        <v>1315.6</v>
      </c>
      <c r="CF435" s="10">
        <f t="shared" si="72"/>
        <v>13.65</v>
      </c>
      <c r="CG435" s="10">
        <f t="shared" si="72"/>
        <v>0</v>
      </c>
      <c r="CH435" s="10">
        <f t="shared" si="72"/>
        <v>0</v>
      </c>
      <c r="CI435" s="10">
        <f t="shared" si="72"/>
        <v>0</v>
      </c>
      <c r="CJ435" s="10">
        <f t="shared" si="72"/>
        <v>0</v>
      </c>
      <c r="CK435" s="10">
        <f t="shared" si="72"/>
        <v>3.4</v>
      </c>
      <c r="CL435" s="10">
        <f t="shared" si="72"/>
        <v>7.2</v>
      </c>
      <c r="CM435" s="10">
        <f t="shared" si="72"/>
        <v>0.4</v>
      </c>
      <c r="CN435" s="10">
        <f t="shared" si="72"/>
        <v>495</v>
      </c>
      <c r="CO435" s="10">
        <f t="shared" si="72"/>
        <v>0</v>
      </c>
      <c r="CP435" s="10">
        <f t="shared" si="72"/>
        <v>37.799999999999997</v>
      </c>
      <c r="CQ435" s="10">
        <f t="shared" si="72"/>
        <v>18.8</v>
      </c>
      <c r="CR435" s="10">
        <f t="shared" si="72"/>
        <v>0.8</v>
      </c>
      <c r="CS435" s="10">
        <f t="shared" si="72"/>
        <v>0</v>
      </c>
      <c r="CT435" s="10">
        <f t="shared" si="72"/>
        <v>563.6</v>
      </c>
      <c r="CU435" s="10">
        <f t="shared" si="72"/>
        <v>0</v>
      </c>
      <c r="CV435" s="10">
        <f t="shared" si="72"/>
        <v>0</v>
      </c>
      <c r="CW435" s="10">
        <f t="shared" si="72"/>
        <v>7.6</v>
      </c>
      <c r="CX435" s="10">
        <f t="shared" si="72"/>
        <v>0</v>
      </c>
      <c r="CY435" s="10">
        <f t="shared" si="72"/>
        <v>862</v>
      </c>
      <c r="CZ435" s="10">
        <f t="shared" si="72"/>
        <v>9</v>
      </c>
      <c r="DA435" s="10">
        <f t="shared" si="72"/>
        <v>0</v>
      </c>
      <c r="DB435" s="10">
        <f t="shared" si="72"/>
        <v>0</v>
      </c>
      <c r="DC435" s="10">
        <f t="shared" si="72"/>
        <v>878.6</v>
      </c>
      <c r="DD435" s="10">
        <f t="shared" si="72"/>
        <v>0</v>
      </c>
      <c r="DE435" s="10">
        <f t="shared" si="72"/>
        <v>0</v>
      </c>
      <c r="DF435" s="10">
        <f t="shared" si="72"/>
        <v>1312.8</v>
      </c>
      <c r="DG435" s="10">
        <f t="shared" si="72"/>
        <v>79.599999999999994</v>
      </c>
      <c r="DH435" s="10">
        <f t="shared" si="72"/>
        <v>0</v>
      </c>
      <c r="DI435" s="10">
        <f t="shared" si="72"/>
        <v>0</v>
      </c>
      <c r="DJ435" s="10">
        <f t="shared" si="72"/>
        <v>0.4</v>
      </c>
      <c r="DK435" s="10">
        <f t="shared" si="72"/>
        <v>0</v>
      </c>
      <c r="DL435" s="10">
        <f t="shared" si="72"/>
        <v>2.4</v>
      </c>
      <c r="DM435" s="10">
        <f t="shared" si="72"/>
        <v>0</v>
      </c>
      <c r="DN435" s="10">
        <f t="shared" si="72"/>
        <v>0.2</v>
      </c>
      <c r="DO435" s="10">
        <f t="shared" si="72"/>
        <v>0</v>
      </c>
      <c r="DP435" s="10">
        <f t="shared" si="72"/>
        <v>0</v>
      </c>
      <c r="DQ435" s="10">
        <f t="shared" si="72"/>
        <v>0</v>
      </c>
      <c r="DR435" s="10">
        <f t="shared" si="72"/>
        <v>0</v>
      </c>
      <c r="DS435" s="10">
        <f t="shared" si="72"/>
        <v>1395.2</v>
      </c>
      <c r="DT435" s="10">
        <f t="shared" ref="DT435:EK435" si="73">AVERAGE(DT52,DT86,DT148,DT344,DT451)</f>
        <v>2837.6</v>
      </c>
      <c r="DU435" s="10">
        <f t="shared" si="73"/>
        <v>622</v>
      </c>
      <c r="DV435" s="10">
        <f t="shared" si="73"/>
        <v>0</v>
      </c>
      <c r="DW435" s="10">
        <f t="shared" si="73"/>
        <v>0</v>
      </c>
      <c r="DX435" s="10">
        <f t="shared" si="73"/>
        <v>0</v>
      </c>
      <c r="DY435" s="10">
        <f t="shared" si="73"/>
        <v>3379.2</v>
      </c>
      <c r="DZ435" s="10">
        <f t="shared" si="73"/>
        <v>2756.4</v>
      </c>
      <c r="EA435" s="10">
        <f t="shared" si="73"/>
        <v>544.4</v>
      </c>
      <c r="EB435" s="10">
        <f t="shared" si="73"/>
        <v>1051.8</v>
      </c>
      <c r="EC435" s="10">
        <f t="shared" si="73"/>
        <v>440.2</v>
      </c>
      <c r="ED435" s="10">
        <f t="shared" si="73"/>
        <v>2281.6</v>
      </c>
      <c r="EE435" s="10">
        <f t="shared" si="73"/>
        <v>5914.4</v>
      </c>
      <c r="EF435" s="10">
        <f t="shared" si="73"/>
        <v>0</v>
      </c>
      <c r="EG435" s="10">
        <f t="shared" si="73"/>
        <v>0</v>
      </c>
      <c r="EH435" s="10">
        <f t="shared" si="73"/>
        <v>1.56</v>
      </c>
      <c r="EI435" s="10">
        <f t="shared" si="73"/>
        <v>5.92</v>
      </c>
      <c r="EJ435" s="10">
        <f t="shared" si="73"/>
        <v>3.5199999999999996</v>
      </c>
      <c r="EK435" s="10">
        <f t="shared" si="73"/>
        <v>12.3</v>
      </c>
    </row>
    <row r="436" spans="1:141" x14ac:dyDescent="0.25">
      <c r="A436" t="str">
        <f>[1]ingredient!B436</f>
        <v>Vollkornnudeln</v>
      </c>
      <c r="B436" t="s">
        <v>215</v>
      </c>
      <c r="C436" s="7">
        <f>_xlfn.XLOOKUP(A436,[1]ingredient!$B$2:$B$521,[1]ingredient!$A$2:$A$521)</f>
        <v>435</v>
      </c>
      <c r="D436">
        <v>323</v>
      </c>
      <c r="E436">
        <v>3</v>
      </c>
      <c r="F436">
        <v>13</v>
      </c>
      <c r="G436">
        <v>61</v>
      </c>
      <c r="H436">
        <v>12</v>
      </c>
      <c r="I436">
        <v>1</v>
      </c>
      <c r="J436">
        <v>0.03</v>
      </c>
      <c r="K436">
        <v>11</v>
      </c>
      <c r="L436">
        <v>0</v>
      </c>
      <c r="M436">
        <v>0</v>
      </c>
      <c r="N436">
        <v>0</v>
      </c>
      <c r="O436">
        <v>0</v>
      </c>
      <c r="P436">
        <v>670</v>
      </c>
      <c r="Q436">
        <v>110</v>
      </c>
      <c r="R436">
        <v>3100</v>
      </c>
      <c r="S436">
        <v>5333</v>
      </c>
      <c r="T436">
        <v>800</v>
      </c>
      <c r="U436">
        <v>200</v>
      </c>
      <c r="V436">
        <v>1</v>
      </c>
      <c r="W436">
        <v>40</v>
      </c>
      <c r="X436">
        <v>0</v>
      </c>
      <c r="Y436">
        <v>0</v>
      </c>
      <c r="Z436">
        <v>0</v>
      </c>
      <c r="AA436">
        <v>250</v>
      </c>
      <c r="AB436">
        <v>0</v>
      </c>
      <c r="AC436">
        <v>5</v>
      </c>
      <c r="AD436">
        <v>390</v>
      </c>
      <c r="AE436">
        <v>34</v>
      </c>
      <c r="AF436">
        <v>120</v>
      </c>
      <c r="AG436">
        <v>370</v>
      </c>
      <c r="AH436">
        <v>190</v>
      </c>
      <c r="AI436">
        <v>22</v>
      </c>
      <c r="AJ436">
        <v>3900</v>
      </c>
      <c r="AK436">
        <v>3000</v>
      </c>
      <c r="AL436">
        <v>510</v>
      </c>
      <c r="AM436">
        <v>264</v>
      </c>
      <c r="AN436">
        <v>40</v>
      </c>
      <c r="AO436">
        <v>2</v>
      </c>
      <c r="AP436">
        <v>0</v>
      </c>
      <c r="AQ436">
        <v>0</v>
      </c>
      <c r="AR436">
        <v>0</v>
      </c>
      <c r="AS436">
        <v>0</v>
      </c>
      <c r="AT436">
        <v>61</v>
      </c>
      <c r="AU436">
        <v>61</v>
      </c>
      <c r="AV436">
        <v>0</v>
      </c>
      <c r="AW436">
        <v>122</v>
      </c>
      <c r="AX436">
        <v>606</v>
      </c>
      <c r="AY436">
        <v>0</v>
      </c>
      <c r="AZ436">
        <v>0</v>
      </c>
      <c r="BA436">
        <v>606</v>
      </c>
      <c r="BB436">
        <v>364</v>
      </c>
      <c r="BC436">
        <v>0</v>
      </c>
      <c r="BD436">
        <v>0</v>
      </c>
      <c r="BE436">
        <v>59508</v>
      </c>
      <c r="BF436">
        <v>59508</v>
      </c>
      <c r="BG436">
        <f t="shared" si="61"/>
        <v>58.012820512820518</v>
      </c>
      <c r="BH436">
        <v>523</v>
      </c>
      <c r="BI436">
        <v>898</v>
      </c>
      <c r="BJ436">
        <v>362</v>
      </c>
      <c r="BK436">
        <v>201</v>
      </c>
      <c r="BL436">
        <v>268</v>
      </c>
      <c r="BM436">
        <v>616</v>
      </c>
      <c r="BN436">
        <v>402</v>
      </c>
      <c r="BO436">
        <v>389</v>
      </c>
      <c r="BP436">
        <v>134</v>
      </c>
      <c r="BQ436">
        <v>603</v>
      </c>
      <c r="BR436">
        <v>603</v>
      </c>
      <c r="BS436">
        <v>255</v>
      </c>
      <c r="BT436">
        <v>5254</v>
      </c>
      <c r="BU436">
        <v>469</v>
      </c>
      <c r="BV436">
        <v>657</v>
      </c>
      <c r="BW436">
        <v>4059</v>
      </c>
      <c r="BX436">
        <v>616</v>
      </c>
      <c r="BY436">
        <v>1528</v>
      </c>
      <c r="BZ436">
        <v>683</v>
      </c>
      <c r="CA436">
        <v>8012</v>
      </c>
      <c r="CB436">
        <v>80</v>
      </c>
      <c r="CC436">
        <v>33</v>
      </c>
      <c r="CD436">
        <v>72</v>
      </c>
      <c r="CE436">
        <v>1073</v>
      </c>
      <c r="CF436">
        <v>14.9</v>
      </c>
      <c r="CG436">
        <v>0</v>
      </c>
      <c r="CH436">
        <v>0</v>
      </c>
      <c r="CI436">
        <v>0</v>
      </c>
      <c r="CJ436">
        <v>0</v>
      </c>
      <c r="CK436">
        <v>2</v>
      </c>
      <c r="CL436">
        <v>4</v>
      </c>
      <c r="CM436">
        <v>2</v>
      </c>
      <c r="CN436">
        <v>324</v>
      </c>
      <c r="CO436">
        <v>0</v>
      </c>
      <c r="CP436">
        <v>18</v>
      </c>
      <c r="CQ436">
        <v>14</v>
      </c>
      <c r="CR436">
        <v>0</v>
      </c>
      <c r="CS436">
        <v>0</v>
      </c>
      <c r="CT436">
        <v>364</v>
      </c>
      <c r="CU436">
        <v>0</v>
      </c>
      <c r="CV436">
        <v>0</v>
      </c>
      <c r="CW436">
        <v>9</v>
      </c>
      <c r="CX436">
        <v>0</v>
      </c>
      <c r="CY436">
        <v>275</v>
      </c>
      <c r="CZ436">
        <v>7</v>
      </c>
      <c r="DA436">
        <v>0</v>
      </c>
      <c r="DB436">
        <v>0</v>
      </c>
      <c r="DC436">
        <v>291</v>
      </c>
      <c r="DD436">
        <v>0</v>
      </c>
      <c r="DE436">
        <v>0</v>
      </c>
      <c r="DF436">
        <v>1069</v>
      </c>
      <c r="DG436">
        <v>72</v>
      </c>
      <c r="DH436">
        <v>0</v>
      </c>
      <c r="DI436">
        <v>0</v>
      </c>
      <c r="DJ436">
        <v>0</v>
      </c>
      <c r="DK436">
        <v>0</v>
      </c>
      <c r="DL436">
        <v>4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1145</v>
      </c>
      <c r="DT436">
        <v>1800</v>
      </c>
      <c r="DU436">
        <v>700</v>
      </c>
      <c r="DV436">
        <v>0</v>
      </c>
      <c r="DW436">
        <v>0</v>
      </c>
      <c r="DX436">
        <v>0</v>
      </c>
      <c r="DY436">
        <v>4600</v>
      </c>
      <c r="DZ436">
        <v>3450</v>
      </c>
      <c r="EA436">
        <v>805</v>
      </c>
      <c r="EB436">
        <v>2070</v>
      </c>
      <c r="EC436">
        <v>575</v>
      </c>
      <c r="ED436">
        <v>2875</v>
      </c>
      <c r="EE436">
        <v>8625</v>
      </c>
      <c r="EF436">
        <v>0</v>
      </c>
      <c r="EG436">
        <v>0</v>
      </c>
      <c r="EH436">
        <v>1.5</v>
      </c>
      <c r="EI436">
        <v>8.6</v>
      </c>
      <c r="EJ436">
        <v>2.5</v>
      </c>
      <c r="EK436">
        <v>13.5</v>
      </c>
    </row>
    <row r="437" spans="1:141" x14ac:dyDescent="0.25">
      <c r="A437" t="str">
        <f>[1]ingredient!B437</f>
        <v>Vollkorn-Spaghetti</v>
      </c>
      <c r="B437" t="s">
        <v>215</v>
      </c>
      <c r="C437" s="7">
        <f>_xlfn.XLOOKUP(A437,[1]ingredient!$B$2:$B$521,[1]ingredient!$A$2:$A$521)</f>
        <v>436</v>
      </c>
      <c r="D437">
        <v>323</v>
      </c>
      <c r="E437">
        <v>3</v>
      </c>
      <c r="F437">
        <v>13</v>
      </c>
      <c r="G437">
        <v>61</v>
      </c>
      <c r="H437">
        <v>12</v>
      </c>
      <c r="I437">
        <v>1</v>
      </c>
      <c r="J437">
        <v>0.03</v>
      </c>
      <c r="K437">
        <v>11</v>
      </c>
      <c r="L437">
        <v>0</v>
      </c>
      <c r="M437">
        <v>0</v>
      </c>
      <c r="N437">
        <v>0</v>
      </c>
      <c r="O437">
        <v>0</v>
      </c>
      <c r="P437">
        <v>670</v>
      </c>
      <c r="Q437">
        <v>110</v>
      </c>
      <c r="R437">
        <v>3100</v>
      </c>
      <c r="S437">
        <v>5333</v>
      </c>
      <c r="T437">
        <v>800</v>
      </c>
      <c r="U437">
        <v>200</v>
      </c>
      <c r="V437">
        <v>1</v>
      </c>
      <c r="W437">
        <v>40</v>
      </c>
      <c r="X437">
        <v>0</v>
      </c>
      <c r="Y437">
        <v>0</v>
      </c>
      <c r="Z437">
        <v>0</v>
      </c>
      <c r="AA437">
        <v>250</v>
      </c>
      <c r="AB437">
        <v>0</v>
      </c>
      <c r="AC437">
        <v>5</v>
      </c>
      <c r="AD437">
        <v>390</v>
      </c>
      <c r="AE437">
        <v>34</v>
      </c>
      <c r="AF437">
        <v>120</v>
      </c>
      <c r="AG437">
        <v>370</v>
      </c>
      <c r="AH437">
        <v>190</v>
      </c>
      <c r="AI437">
        <v>22</v>
      </c>
      <c r="AJ437">
        <v>3900</v>
      </c>
      <c r="AK437">
        <v>3000</v>
      </c>
      <c r="AL437">
        <v>510</v>
      </c>
      <c r="AM437">
        <v>264</v>
      </c>
      <c r="AN437">
        <v>40</v>
      </c>
      <c r="AO437">
        <v>2</v>
      </c>
      <c r="AP437">
        <v>0</v>
      </c>
      <c r="AQ437">
        <v>0</v>
      </c>
      <c r="AR437">
        <v>0</v>
      </c>
      <c r="AS437">
        <v>0</v>
      </c>
      <c r="AT437">
        <v>61</v>
      </c>
      <c r="AU437">
        <v>61</v>
      </c>
      <c r="AV437">
        <v>0</v>
      </c>
      <c r="AW437">
        <v>122</v>
      </c>
      <c r="AX437">
        <v>606</v>
      </c>
      <c r="AY437">
        <v>0</v>
      </c>
      <c r="AZ437">
        <v>0</v>
      </c>
      <c r="BA437">
        <v>606</v>
      </c>
      <c r="BB437">
        <v>364</v>
      </c>
      <c r="BC437">
        <v>0</v>
      </c>
      <c r="BD437">
        <v>0</v>
      </c>
      <c r="BE437">
        <v>59508</v>
      </c>
      <c r="BF437">
        <v>59508</v>
      </c>
      <c r="BG437">
        <f t="shared" si="61"/>
        <v>58.012820512820518</v>
      </c>
      <c r="BH437">
        <v>523</v>
      </c>
      <c r="BI437">
        <v>898</v>
      </c>
      <c r="BJ437">
        <v>362</v>
      </c>
      <c r="BK437">
        <v>201</v>
      </c>
      <c r="BL437">
        <v>268</v>
      </c>
      <c r="BM437">
        <v>616</v>
      </c>
      <c r="BN437">
        <v>402</v>
      </c>
      <c r="BO437">
        <v>389</v>
      </c>
      <c r="BP437">
        <v>134</v>
      </c>
      <c r="BQ437">
        <v>603</v>
      </c>
      <c r="BR437">
        <v>603</v>
      </c>
      <c r="BS437">
        <v>255</v>
      </c>
      <c r="BT437">
        <v>5254</v>
      </c>
      <c r="BU437">
        <v>469</v>
      </c>
      <c r="BV437">
        <v>657</v>
      </c>
      <c r="BW437">
        <v>4059</v>
      </c>
      <c r="BX437">
        <v>616</v>
      </c>
      <c r="BY437">
        <v>1528</v>
      </c>
      <c r="BZ437">
        <v>683</v>
      </c>
      <c r="CA437">
        <v>8012</v>
      </c>
      <c r="CB437">
        <v>80</v>
      </c>
      <c r="CC437">
        <v>33</v>
      </c>
      <c r="CD437">
        <v>72</v>
      </c>
      <c r="CE437">
        <v>1073</v>
      </c>
      <c r="CF437">
        <v>14.9</v>
      </c>
      <c r="CG437">
        <v>0</v>
      </c>
      <c r="CH437">
        <v>0</v>
      </c>
      <c r="CI437">
        <v>0</v>
      </c>
      <c r="CJ437">
        <v>0</v>
      </c>
      <c r="CK437">
        <v>2</v>
      </c>
      <c r="CL437">
        <v>4</v>
      </c>
      <c r="CM437">
        <v>2</v>
      </c>
      <c r="CN437">
        <v>324</v>
      </c>
      <c r="CO437">
        <v>0</v>
      </c>
      <c r="CP437">
        <v>18</v>
      </c>
      <c r="CQ437">
        <v>14</v>
      </c>
      <c r="CR437">
        <v>0</v>
      </c>
      <c r="CS437">
        <v>0</v>
      </c>
      <c r="CT437">
        <v>364</v>
      </c>
      <c r="CU437">
        <v>0</v>
      </c>
      <c r="CV437">
        <v>0</v>
      </c>
      <c r="CW437">
        <v>9</v>
      </c>
      <c r="CX437">
        <v>0</v>
      </c>
      <c r="CY437">
        <v>275</v>
      </c>
      <c r="CZ437">
        <v>7</v>
      </c>
      <c r="DA437">
        <v>0</v>
      </c>
      <c r="DB437">
        <v>0</v>
      </c>
      <c r="DC437">
        <v>291</v>
      </c>
      <c r="DD437">
        <v>0</v>
      </c>
      <c r="DE437">
        <v>0</v>
      </c>
      <c r="DF437">
        <v>1069</v>
      </c>
      <c r="DG437">
        <v>72</v>
      </c>
      <c r="DH437">
        <v>0</v>
      </c>
      <c r="DI437">
        <v>0</v>
      </c>
      <c r="DJ437">
        <v>0</v>
      </c>
      <c r="DK437">
        <v>0</v>
      </c>
      <c r="DL437">
        <v>4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1145</v>
      </c>
      <c r="DT437">
        <v>1800</v>
      </c>
      <c r="DU437">
        <v>700</v>
      </c>
      <c r="DV437">
        <v>0</v>
      </c>
      <c r="DW437">
        <v>0</v>
      </c>
      <c r="DX437">
        <v>0</v>
      </c>
      <c r="DY437">
        <v>4600</v>
      </c>
      <c r="DZ437">
        <v>3450</v>
      </c>
      <c r="EA437">
        <v>805</v>
      </c>
      <c r="EB437">
        <v>2070</v>
      </c>
      <c r="EC437">
        <v>575</v>
      </c>
      <c r="ED437">
        <v>2875</v>
      </c>
      <c r="EE437">
        <v>8625</v>
      </c>
      <c r="EF437">
        <v>0</v>
      </c>
      <c r="EG437">
        <v>0</v>
      </c>
      <c r="EH437">
        <v>1.5</v>
      </c>
      <c r="EI437">
        <v>8.6</v>
      </c>
      <c r="EJ437">
        <v>2.5</v>
      </c>
      <c r="EK437">
        <v>13.5</v>
      </c>
    </row>
    <row r="438" spans="1:141" x14ac:dyDescent="0.25">
      <c r="A438" t="str">
        <f>[1]ingredient!B438</f>
        <v>Vollkorn-Wraps</v>
      </c>
      <c r="C438" s="7">
        <f>_xlfn.XLOOKUP(A438,[1]ingredient!$B$2:$B$521,[1]ingredient!$A$2:$A$521)</f>
        <v>437</v>
      </c>
      <c r="D438">
        <v>299</v>
      </c>
      <c r="E438">
        <v>7.5</v>
      </c>
      <c r="F438">
        <v>8.8000000000000007</v>
      </c>
      <c r="G438">
        <v>46</v>
      </c>
      <c r="H438">
        <v>6.1</v>
      </c>
      <c r="I438">
        <v>0.7</v>
      </c>
      <c r="J438">
        <v>1</v>
      </c>
      <c r="BG438">
        <f t="shared" si="61"/>
        <v>0</v>
      </c>
      <c r="CT438">
        <v>1.5</v>
      </c>
    </row>
    <row r="439" spans="1:141" x14ac:dyDescent="0.25">
      <c r="A439" t="str">
        <f>[1]ingredient!B440</f>
        <v>Wakame</v>
      </c>
      <c r="B439" t="s">
        <v>307</v>
      </c>
      <c r="C439" s="7">
        <f>_xlfn.XLOOKUP(A439,[1]ingredient!$B$2:$B$521,[1]ingredient!$A$2:$A$521)</f>
        <v>439</v>
      </c>
      <c r="D439">
        <v>301</v>
      </c>
      <c r="E439">
        <v>4</v>
      </c>
      <c r="F439">
        <v>11</v>
      </c>
      <c r="G439">
        <v>53</v>
      </c>
      <c r="H439">
        <v>9</v>
      </c>
      <c r="I439">
        <v>53</v>
      </c>
      <c r="J439">
        <v>1</v>
      </c>
      <c r="K439">
        <v>15</v>
      </c>
      <c r="L439">
        <v>451</v>
      </c>
      <c r="M439">
        <v>226</v>
      </c>
      <c r="N439">
        <v>0</v>
      </c>
      <c r="O439">
        <v>2708</v>
      </c>
      <c r="P439">
        <v>293</v>
      </c>
      <c r="Q439">
        <v>973</v>
      </c>
      <c r="R439">
        <v>3055</v>
      </c>
      <c r="S439">
        <v>6338</v>
      </c>
      <c r="T439">
        <v>1109</v>
      </c>
      <c r="U439">
        <v>646</v>
      </c>
      <c r="V439">
        <v>0</v>
      </c>
      <c r="W439">
        <v>1231</v>
      </c>
      <c r="X439">
        <v>7</v>
      </c>
      <c r="Y439">
        <v>75217</v>
      </c>
      <c r="Z439">
        <v>0</v>
      </c>
      <c r="AA439">
        <v>5354</v>
      </c>
      <c r="AB439">
        <v>2055</v>
      </c>
      <c r="AC439">
        <v>1354</v>
      </c>
      <c r="AD439">
        <v>517</v>
      </c>
      <c r="AE439">
        <v>1034</v>
      </c>
      <c r="AF439">
        <v>742</v>
      </c>
      <c r="AG439">
        <v>259</v>
      </c>
      <c r="AH439">
        <v>306</v>
      </c>
      <c r="AI439">
        <v>75</v>
      </c>
      <c r="AJ439">
        <v>16566</v>
      </c>
      <c r="AK439">
        <v>7572</v>
      </c>
      <c r="AL439">
        <v>803</v>
      </c>
      <c r="AM439">
        <v>1231</v>
      </c>
      <c r="AN439">
        <v>612</v>
      </c>
      <c r="AO439">
        <v>308</v>
      </c>
      <c r="AP439">
        <v>0</v>
      </c>
      <c r="AQ439">
        <v>0</v>
      </c>
      <c r="AR439">
        <v>0</v>
      </c>
      <c r="AS439">
        <v>0</v>
      </c>
      <c r="AT439">
        <v>21308</v>
      </c>
      <c r="AU439">
        <v>21308</v>
      </c>
      <c r="AV439">
        <v>0</v>
      </c>
      <c r="AW439">
        <v>42616</v>
      </c>
      <c r="AX439">
        <v>10123</v>
      </c>
      <c r="AY439">
        <v>0</v>
      </c>
      <c r="AZ439">
        <v>0</v>
      </c>
      <c r="BA439">
        <v>10123</v>
      </c>
      <c r="BB439">
        <v>0</v>
      </c>
      <c r="BC439">
        <v>0</v>
      </c>
      <c r="BD439">
        <v>0</v>
      </c>
      <c r="BE439">
        <v>531</v>
      </c>
      <c r="BF439">
        <v>531</v>
      </c>
      <c r="BG439">
        <f t="shared" si="61"/>
        <v>46.590909090909086</v>
      </c>
      <c r="BH439">
        <v>408</v>
      </c>
      <c r="BI439">
        <v>680</v>
      </c>
      <c r="BJ439">
        <v>320</v>
      </c>
      <c r="BK439">
        <v>197</v>
      </c>
      <c r="BL439">
        <v>184</v>
      </c>
      <c r="BM439">
        <v>503</v>
      </c>
      <c r="BN439">
        <v>408</v>
      </c>
      <c r="BO439">
        <v>320</v>
      </c>
      <c r="BP439">
        <v>197</v>
      </c>
      <c r="BQ439">
        <v>898</v>
      </c>
      <c r="BR439">
        <v>408</v>
      </c>
      <c r="BS439">
        <v>82</v>
      </c>
      <c r="BT439">
        <v>4605</v>
      </c>
      <c r="BU439">
        <v>782</v>
      </c>
      <c r="BV439">
        <v>1381</v>
      </c>
      <c r="BW439">
        <v>2791</v>
      </c>
      <c r="BX439">
        <v>456</v>
      </c>
      <c r="BY439">
        <v>592</v>
      </c>
      <c r="BZ439">
        <v>367</v>
      </c>
      <c r="CA439">
        <v>6369</v>
      </c>
      <c r="CB439">
        <v>102</v>
      </c>
      <c r="CC439">
        <v>43</v>
      </c>
      <c r="CD439">
        <v>102</v>
      </c>
      <c r="CE439">
        <v>218</v>
      </c>
      <c r="CF439">
        <v>2.14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211</v>
      </c>
      <c r="CM439">
        <v>0</v>
      </c>
      <c r="CN439">
        <v>897</v>
      </c>
      <c r="CO439">
        <v>0</v>
      </c>
      <c r="CP439">
        <v>585</v>
      </c>
      <c r="CQ439">
        <v>0</v>
      </c>
      <c r="CR439">
        <v>0</v>
      </c>
      <c r="CS439">
        <v>0</v>
      </c>
      <c r="CT439">
        <v>1693</v>
      </c>
      <c r="CU439">
        <v>0</v>
      </c>
      <c r="CV439">
        <v>0</v>
      </c>
      <c r="CW439">
        <v>82</v>
      </c>
      <c r="CX439">
        <v>0</v>
      </c>
      <c r="CY439">
        <v>585</v>
      </c>
      <c r="CZ439">
        <v>0</v>
      </c>
      <c r="DA439">
        <v>0</v>
      </c>
      <c r="DB439">
        <v>0</v>
      </c>
      <c r="DC439">
        <v>667</v>
      </c>
      <c r="DD439">
        <v>0</v>
      </c>
      <c r="DE439">
        <v>0</v>
      </c>
      <c r="DF439">
        <v>136</v>
      </c>
      <c r="DG439">
        <v>27</v>
      </c>
      <c r="DH439">
        <v>27</v>
      </c>
      <c r="DI439">
        <v>0</v>
      </c>
      <c r="DJ439">
        <v>0</v>
      </c>
      <c r="DK439">
        <v>0</v>
      </c>
      <c r="DL439">
        <v>82</v>
      </c>
      <c r="DM439">
        <v>48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320</v>
      </c>
      <c r="DT439">
        <v>2680</v>
      </c>
      <c r="DU439">
        <v>1150</v>
      </c>
      <c r="DV439">
        <v>0</v>
      </c>
      <c r="DW439">
        <v>0</v>
      </c>
      <c r="DX439">
        <v>0</v>
      </c>
      <c r="DY439">
        <v>1333</v>
      </c>
      <c r="DZ439">
        <v>1776</v>
      </c>
      <c r="EA439">
        <v>2402</v>
      </c>
      <c r="EB439">
        <v>3116</v>
      </c>
      <c r="EC439">
        <v>265</v>
      </c>
      <c r="ED439">
        <v>2667</v>
      </c>
      <c r="EE439">
        <v>6225</v>
      </c>
      <c r="EF439">
        <v>0</v>
      </c>
      <c r="EG439">
        <v>1</v>
      </c>
      <c r="EH439">
        <v>6.2</v>
      </c>
      <c r="EI439">
        <v>6.2</v>
      </c>
      <c r="EJ439">
        <v>3.8</v>
      </c>
      <c r="EK439">
        <v>11.3</v>
      </c>
    </row>
    <row r="440" spans="1:141" x14ac:dyDescent="0.25">
      <c r="A440" t="str">
        <f>[1]ingredient!B441</f>
        <v>Walnusskerne</v>
      </c>
      <c r="B440" t="s">
        <v>475</v>
      </c>
      <c r="C440" s="7">
        <f>_xlfn.XLOOKUP(A440,[1]ingredient!$B$2:$B$521,[1]ingredient!$A$2:$A$521)</f>
        <v>440</v>
      </c>
      <c r="D440">
        <v>714</v>
      </c>
      <c r="E440">
        <v>71</v>
      </c>
      <c r="F440">
        <v>16</v>
      </c>
      <c r="G440">
        <v>6</v>
      </c>
      <c r="H440">
        <v>5</v>
      </c>
      <c r="I440">
        <v>6</v>
      </c>
      <c r="J440">
        <v>0.02</v>
      </c>
      <c r="K440">
        <v>1</v>
      </c>
      <c r="L440">
        <v>4</v>
      </c>
      <c r="M440">
        <v>2</v>
      </c>
      <c r="N440">
        <v>0</v>
      </c>
      <c r="O440">
        <v>23</v>
      </c>
      <c r="P440">
        <v>340</v>
      </c>
      <c r="Q440">
        <v>130</v>
      </c>
      <c r="R440">
        <v>1210</v>
      </c>
      <c r="S440">
        <v>4627</v>
      </c>
      <c r="T440">
        <v>0</v>
      </c>
      <c r="U440">
        <v>600</v>
      </c>
      <c r="V440">
        <v>36</v>
      </c>
      <c r="W440">
        <v>73</v>
      </c>
      <c r="X440">
        <v>0</v>
      </c>
      <c r="Y440">
        <v>0</v>
      </c>
      <c r="Z440">
        <v>0</v>
      </c>
      <c r="AA440">
        <v>25450</v>
      </c>
      <c r="AB440">
        <v>3</v>
      </c>
      <c r="AC440">
        <v>0</v>
      </c>
      <c r="AD440">
        <v>444</v>
      </c>
      <c r="AE440">
        <v>87</v>
      </c>
      <c r="AF440">
        <v>140</v>
      </c>
      <c r="AG440">
        <v>320</v>
      </c>
      <c r="AH440">
        <v>130</v>
      </c>
      <c r="AI440">
        <v>18</v>
      </c>
      <c r="AJ440">
        <v>2780</v>
      </c>
      <c r="AK440">
        <v>2640</v>
      </c>
      <c r="AL440">
        <v>1340</v>
      </c>
      <c r="AM440">
        <v>2740</v>
      </c>
      <c r="AN440">
        <v>0</v>
      </c>
      <c r="AO440">
        <v>3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6091</v>
      </c>
      <c r="AY440">
        <v>0</v>
      </c>
      <c r="AZ440">
        <v>0</v>
      </c>
      <c r="BA440">
        <v>6091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f t="shared" si="61"/>
        <v>57.552083333333336</v>
      </c>
      <c r="BH440">
        <v>614</v>
      </c>
      <c r="BI440">
        <v>1142</v>
      </c>
      <c r="BJ440">
        <v>442</v>
      </c>
      <c r="BK440">
        <v>280</v>
      </c>
      <c r="BL440">
        <v>237</v>
      </c>
      <c r="BM440">
        <v>700</v>
      </c>
      <c r="BN440">
        <v>506</v>
      </c>
      <c r="BO440">
        <v>528</v>
      </c>
      <c r="BP440">
        <v>205</v>
      </c>
      <c r="BQ440">
        <v>754</v>
      </c>
      <c r="BR440">
        <v>2370</v>
      </c>
      <c r="BS440">
        <v>399</v>
      </c>
      <c r="BT440">
        <v>8177</v>
      </c>
      <c r="BU440">
        <v>700</v>
      </c>
      <c r="BV440">
        <v>1605</v>
      </c>
      <c r="BW440">
        <v>3371</v>
      </c>
      <c r="BX440">
        <v>797</v>
      </c>
      <c r="BY440">
        <v>592</v>
      </c>
      <c r="BZ440">
        <v>829</v>
      </c>
      <c r="CA440">
        <v>7894</v>
      </c>
      <c r="CB440">
        <v>0</v>
      </c>
      <c r="CC440">
        <v>0</v>
      </c>
      <c r="CD440">
        <v>10172</v>
      </c>
      <c r="CE440">
        <v>42043</v>
      </c>
      <c r="CF440">
        <v>4.13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14</v>
      </c>
      <c r="CM440">
        <v>7</v>
      </c>
      <c r="CN440">
        <v>4647</v>
      </c>
      <c r="CO440">
        <v>28</v>
      </c>
      <c r="CP440">
        <v>1799</v>
      </c>
      <c r="CQ440">
        <v>65</v>
      </c>
      <c r="CR440">
        <v>21</v>
      </c>
      <c r="CS440">
        <v>7</v>
      </c>
      <c r="CT440">
        <v>6588</v>
      </c>
      <c r="CU440">
        <v>0</v>
      </c>
      <c r="CV440">
        <v>0</v>
      </c>
      <c r="CW440">
        <v>57</v>
      </c>
      <c r="CX440">
        <v>14</v>
      </c>
      <c r="CY440">
        <v>11597</v>
      </c>
      <c r="CZ440">
        <v>128</v>
      </c>
      <c r="DA440">
        <v>0</v>
      </c>
      <c r="DB440">
        <v>0</v>
      </c>
      <c r="DC440">
        <v>11796</v>
      </c>
      <c r="DD440">
        <v>0</v>
      </c>
      <c r="DE440">
        <v>0</v>
      </c>
      <c r="DF440">
        <v>42022</v>
      </c>
      <c r="DG440">
        <v>10172</v>
      </c>
      <c r="DH440">
        <v>0</v>
      </c>
      <c r="DI440">
        <v>0</v>
      </c>
      <c r="DJ440">
        <v>21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52215</v>
      </c>
      <c r="DT440">
        <v>70599</v>
      </c>
      <c r="DU440">
        <v>1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4600</v>
      </c>
      <c r="EF440">
        <v>0</v>
      </c>
      <c r="EG440">
        <v>0</v>
      </c>
      <c r="EH440">
        <v>1.6</v>
      </c>
      <c r="EI440">
        <v>4.5999999999999996</v>
      </c>
      <c r="EJ440">
        <v>70.599999999999994</v>
      </c>
      <c r="EK440">
        <v>16.100000000000001</v>
      </c>
    </row>
    <row r="441" spans="1:141" x14ac:dyDescent="0.25">
      <c r="A441" t="str">
        <f>[1]ingredient!B442</f>
        <v>Wasabi</v>
      </c>
      <c r="B441" t="s">
        <v>476</v>
      </c>
      <c r="C441" s="7">
        <f>_xlfn.XLOOKUP(A441,[1]ingredient!$B$2:$B$521,[1]ingredient!$A$2:$A$521)</f>
        <v>441</v>
      </c>
      <c r="D441">
        <v>123</v>
      </c>
      <c r="E441">
        <v>1</v>
      </c>
      <c r="F441">
        <v>5</v>
      </c>
      <c r="G441">
        <v>24</v>
      </c>
      <c r="H441">
        <v>8</v>
      </c>
      <c r="I441">
        <v>24</v>
      </c>
      <c r="J441">
        <v>0.04</v>
      </c>
      <c r="K441">
        <v>61</v>
      </c>
      <c r="L441">
        <v>3</v>
      </c>
      <c r="M441">
        <v>2</v>
      </c>
      <c r="N441">
        <v>0</v>
      </c>
      <c r="O441">
        <v>20</v>
      </c>
      <c r="P441">
        <v>131</v>
      </c>
      <c r="Q441">
        <v>114</v>
      </c>
      <c r="R441">
        <v>743</v>
      </c>
      <c r="S441">
        <v>1243</v>
      </c>
      <c r="T441">
        <v>203</v>
      </c>
      <c r="U441">
        <v>274</v>
      </c>
      <c r="V441">
        <v>2</v>
      </c>
      <c r="W441">
        <v>18</v>
      </c>
      <c r="X441">
        <v>0</v>
      </c>
      <c r="Y441">
        <v>41900</v>
      </c>
      <c r="Z441">
        <v>0</v>
      </c>
      <c r="AA441">
        <v>100</v>
      </c>
      <c r="AB441">
        <v>0</v>
      </c>
      <c r="AC441">
        <v>17</v>
      </c>
      <c r="AD441">
        <v>568</v>
      </c>
      <c r="AE441">
        <v>128</v>
      </c>
      <c r="AF441">
        <v>69</v>
      </c>
      <c r="AG441">
        <v>80</v>
      </c>
      <c r="AH441">
        <v>210</v>
      </c>
      <c r="AI441">
        <v>18</v>
      </c>
      <c r="AJ441">
        <v>1030</v>
      </c>
      <c r="AK441">
        <v>1620</v>
      </c>
      <c r="AL441">
        <v>155</v>
      </c>
      <c r="AM441">
        <v>391</v>
      </c>
      <c r="AN441">
        <v>35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15301</v>
      </c>
      <c r="AU441">
        <v>7062</v>
      </c>
      <c r="AV441">
        <v>0</v>
      </c>
      <c r="AW441">
        <v>22363</v>
      </c>
      <c r="AX441">
        <v>1177</v>
      </c>
      <c r="AY441">
        <v>0</v>
      </c>
      <c r="AZ441">
        <v>0</v>
      </c>
      <c r="BA441">
        <v>1177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f t="shared" si="61"/>
        <v>90.909090909090907</v>
      </c>
      <c r="BH441">
        <v>267</v>
      </c>
      <c r="BI441">
        <v>332</v>
      </c>
      <c r="BJ441">
        <v>326</v>
      </c>
      <c r="BK441">
        <v>59</v>
      </c>
      <c r="BL441">
        <v>59</v>
      </c>
      <c r="BM441">
        <v>207</v>
      </c>
      <c r="BN441">
        <v>119</v>
      </c>
      <c r="BO441">
        <v>267</v>
      </c>
      <c r="BP441">
        <v>30</v>
      </c>
      <c r="BQ441">
        <v>296</v>
      </c>
      <c r="BR441">
        <v>356</v>
      </c>
      <c r="BS441">
        <v>119</v>
      </c>
      <c r="BT441">
        <v>2437</v>
      </c>
      <c r="BU441">
        <v>207</v>
      </c>
      <c r="BV441">
        <v>444</v>
      </c>
      <c r="BW441">
        <v>1185</v>
      </c>
      <c r="BX441">
        <v>195</v>
      </c>
      <c r="BY441">
        <v>154</v>
      </c>
      <c r="BZ441">
        <v>178</v>
      </c>
      <c r="CA441">
        <v>2363</v>
      </c>
      <c r="CB441">
        <v>30</v>
      </c>
      <c r="CC441">
        <v>10</v>
      </c>
      <c r="CD441">
        <v>191</v>
      </c>
      <c r="CE441">
        <v>60</v>
      </c>
      <c r="CF441">
        <v>0.31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144</v>
      </c>
      <c r="CO441">
        <v>0</v>
      </c>
      <c r="CP441">
        <v>21</v>
      </c>
      <c r="CQ441">
        <v>0</v>
      </c>
      <c r="CR441">
        <v>0</v>
      </c>
      <c r="CS441">
        <v>0</v>
      </c>
      <c r="CT441">
        <v>165</v>
      </c>
      <c r="CU441">
        <v>0</v>
      </c>
      <c r="CV441">
        <v>0</v>
      </c>
      <c r="CW441">
        <v>5</v>
      </c>
      <c r="CX441">
        <v>0</v>
      </c>
      <c r="CY441">
        <v>83</v>
      </c>
      <c r="CZ441">
        <v>0</v>
      </c>
      <c r="DA441">
        <v>0</v>
      </c>
      <c r="DB441">
        <v>0</v>
      </c>
      <c r="DC441">
        <v>88</v>
      </c>
      <c r="DD441">
        <v>0</v>
      </c>
      <c r="DE441">
        <v>0</v>
      </c>
      <c r="DF441">
        <v>60</v>
      </c>
      <c r="DG441">
        <v>191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251</v>
      </c>
      <c r="DT441">
        <v>504</v>
      </c>
      <c r="DU441">
        <v>126</v>
      </c>
      <c r="DV441">
        <v>0</v>
      </c>
      <c r="DW441">
        <v>0</v>
      </c>
      <c r="DX441">
        <v>0</v>
      </c>
      <c r="DY441">
        <v>780</v>
      </c>
      <c r="DZ441">
        <v>1170</v>
      </c>
      <c r="EA441">
        <v>2106</v>
      </c>
      <c r="EB441">
        <v>3510</v>
      </c>
      <c r="EC441">
        <v>234</v>
      </c>
      <c r="ED441">
        <v>2340</v>
      </c>
      <c r="EE441">
        <v>5460</v>
      </c>
      <c r="EF441">
        <v>0</v>
      </c>
      <c r="EG441">
        <v>1</v>
      </c>
      <c r="EH441">
        <v>1.9</v>
      </c>
      <c r="EI441">
        <v>5.5</v>
      </c>
      <c r="EJ441">
        <v>0.6</v>
      </c>
      <c r="EK441">
        <v>4.9000000000000004</v>
      </c>
    </row>
    <row r="442" spans="1:141" x14ac:dyDescent="0.25">
      <c r="A442" t="str">
        <f>[1]ingredient!B443</f>
        <v>Wasser</v>
      </c>
      <c r="C442" s="7"/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100</v>
      </c>
    </row>
    <row r="443" spans="1:141" x14ac:dyDescent="0.25">
      <c r="A443" t="str">
        <f>[1]ingredient!B444</f>
        <v>Wassermelone</v>
      </c>
      <c r="B443" t="s">
        <v>477</v>
      </c>
      <c r="C443" s="7">
        <f>_xlfn.XLOOKUP(A443,[1]ingredient!$B$2:$B$521,[1]ingredient!$A$2:$A$521)</f>
        <v>443</v>
      </c>
      <c r="D443">
        <v>38</v>
      </c>
      <c r="E443">
        <v>0.2</v>
      </c>
      <c r="F443">
        <v>1</v>
      </c>
      <c r="G443">
        <v>8</v>
      </c>
      <c r="H443">
        <v>0.22</v>
      </c>
      <c r="I443">
        <v>8</v>
      </c>
      <c r="J443">
        <v>0.01</v>
      </c>
      <c r="K443">
        <v>90</v>
      </c>
      <c r="L443">
        <v>41</v>
      </c>
      <c r="M443">
        <v>20</v>
      </c>
      <c r="N443">
        <v>0</v>
      </c>
      <c r="O443">
        <v>245</v>
      </c>
      <c r="P443">
        <v>45</v>
      </c>
      <c r="Q443">
        <v>50</v>
      </c>
      <c r="R443">
        <v>150</v>
      </c>
      <c r="S443">
        <v>317</v>
      </c>
      <c r="T443">
        <v>1600</v>
      </c>
      <c r="U443">
        <v>70</v>
      </c>
      <c r="V443">
        <v>4</v>
      </c>
      <c r="W443">
        <v>5</v>
      </c>
      <c r="X443">
        <v>0</v>
      </c>
      <c r="Y443">
        <v>6000</v>
      </c>
      <c r="Z443">
        <v>0</v>
      </c>
      <c r="AA443">
        <v>70</v>
      </c>
      <c r="AB443">
        <v>0</v>
      </c>
      <c r="AC443">
        <v>1</v>
      </c>
      <c r="AD443">
        <v>109</v>
      </c>
      <c r="AE443">
        <v>7</v>
      </c>
      <c r="AF443">
        <v>9</v>
      </c>
      <c r="AG443">
        <v>9</v>
      </c>
      <c r="AH443">
        <v>12</v>
      </c>
      <c r="AI443">
        <v>8</v>
      </c>
      <c r="AJ443">
        <v>225</v>
      </c>
      <c r="AK443">
        <v>83</v>
      </c>
      <c r="AL443">
        <v>28</v>
      </c>
      <c r="AM443">
        <v>32</v>
      </c>
      <c r="AN443">
        <v>11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2024</v>
      </c>
      <c r="AU443">
        <v>3917</v>
      </c>
      <c r="AV443">
        <v>0</v>
      </c>
      <c r="AW443">
        <v>5941</v>
      </c>
      <c r="AX443">
        <v>2350</v>
      </c>
      <c r="AY443">
        <v>0</v>
      </c>
      <c r="AZ443">
        <v>0</v>
      </c>
      <c r="BA443">
        <v>2350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f t="shared" si="61"/>
        <v>40.983606557377051</v>
      </c>
      <c r="BH443">
        <v>28</v>
      </c>
      <c r="BI443">
        <v>25</v>
      </c>
      <c r="BJ443">
        <v>89</v>
      </c>
      <c r="BK443">
        <v>9</v>
      </c>
      <c r="BL443">
        <v>3</v>
      </c>
      <c r="BM443">
        <v>21</v>
      </c>
      <c r="BN443">
        <v>16</v>
      </c>
      <c r="BO443">
        <v>39</v>
      </c>
      <c r="BP443">
        <v>10</v>
      </c>
      <c r="BQ443">
        <v>24</v>
      </c>
      <c r="BR443">
        <v>84</v>
      </c>
      <c r="BS443">
        <v>9</v>
      </c>
      <c r="BT443">
        <v>357</v>
      </c>
      <c r="BU443">
        <v>24</v>
      </c>
      <c r="BV443">
        <v>56</v>
      </c>
      <c r="BW443">
        <v>90</v>
      </c>
      <c r="BX443">
        <v>15</v>
      </c>
      <c r="BY443">
        <v>34</v>
      </c>
      <c r="BZ443">
        <v>24</v>
      </c>
      <c r="CA443">
        <v>243</v>
      </c>
      <c r="CB443">
        <v>20</v>
      </c>
      <c r="CC443">
        <v>8</v>
      </c>
      <c r="CD443">
        <v>40</v>
      </c>
      <c r="CE443">
        <v>27</v>
      </c>
      <c r="CF443">
        <v>0.68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2</v>
      </c>
      <c r="CM443">
        <v>0</v>
      </c>
      <c r="CN443">
        <v>45</v>
      </c>
      <c r="CO443">
        <v>0</v>
      </c>
      <c r="CP443">
        <v>9</v>
      </c>
      <c r="CQ443">
        <v>0</v>
      </c>
      <c r="CR443">
        <v>0</v>
      </c>
      <c r="CS443">
        <v>0</v>
      </c>
      <c r="CT443">
        <v>56</v>
      </c>
      <c r="CU443">
        <v>0</v>
      </c>
      <c r="CV443">
        <v>0</v>
      </c>
      <c r="CW443">
        <v>4</v>
      </c>
      <c r="CX443">
        <v>0</v>
      </c>
      <c r="CY443">
        <v>22</v>
      </c>
      <c r="CZ443">
        <v>0</v>
      </c>
      <c r="DA443">
        <v>0</v>
      </c>
      <c r="DB443">
        <v>0</v>
      </c>
      <c r="DC443">
        <v>26</v>
      </c>
      <c r="DD443">
        <v>0</v>
      </c>
      <c r="DE443">
        <v>0</v>
      </c>
      <c r="DF443">
        <v>27</v>
      </c>
      <c r="DG443">
        <v>40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67</v>
      </c>
      <c r="DT443">
        <v>149</v>
      </c>
      <c r="DU443">
        <v>40</v>
      </c>
      <c r="DV443">
        <v>0</v>
      </c>
      <c r="DW443">
        <v>0</v>
      </c>
      <c r="DX443">
        <v>0</v>
      </c>
      <c r="DY443">
        <v>48</v>
      </c>
      <c r="DZ443">
        <v>26</v>
      </c>
      <c r="EA443">
        <v>48</v>
      </c>
      <c r="EB443">
        <v>48</v>
      </c>
      <c r="EC443">
        <v>48</v>
      </c>
      <c r="ED443">
        <v>20</v>
      </c>
      <c r="EE443">
        <v>200</v>
      </c>
      <c r="EF443">
        <v>0</v>
      </c>
      <c r="EG443">
        <v>0.1</v>
      </c>
      <c r="EH443">
        <v>0.4</v>
      </c>
      <c r="EI443">
        <v>0.2</v>
      </c>
      <c r="EJ443">
        <v>0.2</v>
      </c>
      <c r="EK443">
        <v>0.7</v>
      </c>
    </row>
    <row r="444" spans="1:141" x14ac:dyDescent="0.25">
      <c r="A444" t="str">
        <f>[1]ingredient!B445</f>
        <v>Weiße Beete</v>
      </c>
      <c r="B444" t="s">
        <v>240</v>
      </c>
      <c r="C444" s="7">
        <f>_xlfn.XLOOKUP(A444,[1]ingredient!$B$2:$B$521,[1]ingredient!$A$2:$A$521)</f>
        <v>444</v>
      </c>
      <c r="D444">
        <v>42</v>
      </c>
      <c r="E444">
        <v>0.1</v>
      </c>
      <c r="F444">
        <v>2</v>
      </c>
      <c r="G444">
        <v>8</v>
      </c>
      <c r="H444">
        <v>3</v>
      </c>
      <c r="I444">
        <v>8</v>
      </c>
      <c r="J444">
        <v>0.14000000000000001</v>
      </c>
      <c r="K444">
        <v>86</v>
      </c>
      <c r="L444">
        <v>2</v>
      </c>
      <c r="M444">
        <v>1</v>
      </c>
      <c r="N444">
        <v>0</v>
      </c>
      <c r="O444">
        <v>11</v>
      </c>
      <c r="P444">
        <v>22</v>
      </c>
      <c r="Q444">
        <v>42</v>
      </c>
      <c r="R444">
        <v>230</v>
      </c>
      <c r="S444">
        <v>430</v>
      </c>
      <c r="T444">
        <v>130</v>
      </c>
      <c r="U444">
        <v>50</v>
      </c>
      <c r="V444">
        <v>0.1</v>
      </c>
      <c r="W444">
        <v>93</v>
      </c>
      <c r="X444">
        <v>0</v>
      </c>
      <c r="Y444">
        <v>10000</v>
      </c>
      <c r="Z444">
        <v>0</v>
      </c>
      <c r="AA444">
        <v>47</v>
      </c>
      <c r="AB444">
        <v>5</v>
      </c>
      <c r="AC444">
        <v>58</v>
      </c>
      <c r="AD444">
        <v>336</v>
      </c>
      <c r="AE444">
        <v>29</v>
      </c>
      <c r="AF444">
        <v>25</v>
      </c>
      <c r="AG444">
        <v>45</v>
      </c>
      <c r="AH444">
        <v>16</v>
      </c>
      <c r="AI444">
        <v>82</v>
      </c>
      <c r="AJ444">
        <v>930</v>
      </c>
      <c r="AK444">
        <v>344</v>
      </c>
      <c r="AL444">
        <v>80</v>
      </c>
      <c r="AM444">
        <v>155</v>
      </c>
      <c r="AN444">
        <v>20</v>
      </c>
      <c r="AO444">
        <v>0.4</v>
      </c>
      <c r="AP444">
        <v>0</v>
      </c>
      <c r="AQ444">
        <v>0</v>
      </c>
      <c r="AR444">
        <v>0</v>
      </c>
      <c r="AS444">
        <v>0</v>
      </c>
      <c r="AT444">
        <v>335</v>
      </c>
      <c r="AU444">
        <v>335</v>
      </c>
      <c r="AV444">
        <v>0</v>
      </c>
      <c r="AW444">
        <v>670</v>
      </c>
      <c r="AX444">
        <v>7710</v>
      </c>
      <c r="AY444">
        <v>0</v>
      </c>
      <c r="AZ444">
        <v>0</v>
      </c>
      <c r="BA444">
        <v>7710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f t="shared" si="61"/>
        <v>47.5</v>
      </c>
      <c r="BH444">
        <v>38</v>
      </c>
      <c r="BI444">
        <v>61</v>
      </c>
      <c r="BJ444">
        <v>80</v>
      </c>
      <c r="BK444">
        <v>28</v>
      </c>
      <c r="BL444">
        <v>17</v>
      </c>
      <c r="BM444">
        <v>46</v>
      </c>
      <c r="BN444">
        <v>54</v>
      </c>
      <c r="BO444">
        <v>44</v>
      </c>
      <c r="BP444">
        <v>12</v>
      </c>
      <c r="BQ444">
        <v>38</v>
      </c>
      <c r="BR444">
        <v>31</v>
      </c>
      <c r="BS444">
        <v>18</v>
      </c>
      <c r="BT444">
        <v>467</v>
      </c>
      <c r="BU444">
        <v>35</v>
      </c>
      <c r="BV444">
        <v>110</v>
      </c>
      <c r="BW444">
        <v>398</v>
      </c>
      <c r="BX444">
        <v>31</v>
      </c>
      <c r="BY444">
        <v>38</v>
      </c>
      <c r="BZ444">
        <v>38</v>
      </c>
      <c r="CA444">
        <v>650</v>
      </c>
      <c r="CB444">
        <v>20</v>
      </c>
      <c r="CC444">
        <v>8</v>
      </c>
      <c r="CD444">
        <v>8</v>
      </c>
      <c r="CE444">
        <v>42</v>
      </c>
      <c r="CF444">
        <v>5.25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19</v>
      </c>
      <c r="CO444">
        <v>0</v>
      </c>
      <c r="CP444">
        <v>1</v>
      </c>
      <c r="CQ444">
        <v>0</v>
      </c>
      <c r="CR444">
        <v>0</v>
      </c>
      <c r="CS444">
        <v>0</v>
      </c>
      <c r="CT444">
        <v>20</v>
      </c>
      <c r="CU444">
        <v>0</v>
      </c>
      <c r="CV444">
        <v>0</v>
      </c>
      <c r="CW444">
        <v>0</v>
      </c>
      <c r="CX444">
        <v>0</v>
      </c>
      <c r="CY444">
        <v>10</v>
      </c>
      <c r="CZ444">
        <v>0</v>
      </c>
      <c r="DA444">
        <v>0</v>
      </c>
      <c r="DB444">
        <v>0</v>
      </c>
      <c r="DC444">
        <v>10</v>
      </c>
      <c r="DD444">
        <v>0</v>
      </c>
      <c r="DE444">
        <v>0</v>
      </c>
      <c r="DF444">
        <v>42</v>
      </c>
      <c r="DG444">
        <v>8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50</v>
      </c>
      <c r="DT444">
        <v>80</v>
      </c>
      <c r="DU444">
        <v>20</v>
      </c>
      <c r="DV444">
        <v>0</v>
      </c>
      <c r="DW444">
        <v>0</v>
      </c>
      <c r="DX444">
        <v>0</v>
      </c>
      <c r="DY444">
        <v>1000</v>
      </c>
      <c r="DZ444">
        <v>500</v>
      </c>
      <c r="EA444">
        <v>225</v>
      </c>
      <c r="EB444">
        <v>750</v>
      </c>
      <c r="EC444">
        <v>25</v>
      </c>
      <c r="ED444">
        <v>625</v>
      </c>
      <c r="EE444">
        <v>1875</v>
      </c>
      <c r="EF444">
        <v>0</v>
      </c>
      <c r="EG444">
        <v>0.23</v>
      </c>
      <c r="EH444">
        <v>1</v>
      </c>
      <c r="EI444">
        <v>1.9</v>
      </c>
      <c r="EJ444">
        <v>0.1</v>
      </c>
      <c r="EK444">
        <v>1.2</v>
      </c>
    </row>
    <row r="445" spans="1:141" x14ac:dyDescent="0.25">
      <c r="A445" t="str">
        <f>[1]ingredient!B446</f>
        <v>Weiße Bohnen</v>
      </c>
      <c r="B445" t="s">
        <v>478</v>
      </c>
      <c r="C445" s="7">
        <f>_xlfn.XLOOKUP(A445,[1]ingredient!$B$2:$B$521,[1]ingredient!$A$2:$A$521)</f>
        <v>445</v>
      </c>
      <c r="D445">
        <v>263</v>
      </c>
      <c r="E445">
        <v>2</v>
      </c>
      <c r="F445">
        <v>21</v>
      </c>
      <c r="G445">
        <v>40</v>
      </c>
      <c r="H445">
        <v>17</v>
      </c>
      <c r="I445">
        <v>1</v>
      </c>
      <c r="J445">
        <v>0.05</v>
      </c>
      <c r="K445">
        <v>12</v>
      </c>
      <c r="L445">
        <v>67</v>
      </c>
      <c r="M445">
        <v>33</v>
      </c>
      <c r="N445">
        <v>0</v>
      </c>
      <c r="O445">
        <v>400</v>
      </c>
      <c r="P445">
        <v>503</v>
      </c>
      <c r="Q445">
        <v>177</v>
      </c>
      <c r="R445">
        <v>1970</v>
      </c>
      <c r="S445">
        <v>5170</v>
      </c>
      <c r="T445">
        <v>870</v>
      </c>
      <c r="U445">
        <v>410</v>
      </c>
      <c r="V445">
        <v>10</v>
      </c>
      <c r="W445">
        <v>245</v>
      </c>
      <c r="X445">
        <v>0</v>
      </c>
      <c r="Y445">
        <v>2500</v>
      </c>
      <c r="Z445">
        <v>0</v>
      </c>
      <c r="AA445">
        <v>210</v>
      </c>
      <c r="AB445">
        <v>190</v>
      </c>
      <c r="AC445">
        <v>4</v>
      </c>
      <c r="AD445">
        <v>1336</v>
      </c>
      <c r="AE445">
        <v>113</v>
      </c>
      <c r="AF445">
        <v>140</v>
      </c>
      <c r="AG445">
        <v>426</v>
      </c>
      <c r="AH445">
        <v>170</v>
      </c>
      <c r="AI445">
        <v>47</v>
      </c>
      <c r="AJ445">
        <v>6170</v>
      </c>
      <c r="AK445">
        <v>2635</v>
      </c>
      <c r="AL445">
        <v>635</v>
      </c>
      <c r="AM445">
        <v>1615</v>
      </c>
      <c r="AN445">
        <v>90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1195</v>
      </c>
      <c r="AY445">
        <v>0</v>
      </c>
      <c r="AZ445">
        <v>0</v>
      </c>
      <c r="BA445">
        <v>1195</v>
      </c>
      <c r="BB445">
        <v>3186</v>
      </c>
      <c r="BC445">
        <v>4430</v>
      </c>
      <c r="BD445">
        <v>0</v>
      </c>
      <c r="BE445">
        <v>35439</v>
      </c>
      <c r="BF445">
        <v>35439</v>
      </c>
      <c r="BG445">
        <f t="shared" si="61"/>
        <v>83.850931677018636</v>
      </c>
      <c r="BH445">
        <v>1193</v>
      </c>
      <c r="BI445">
        <v>1809</v>
      </c>
      <c r="BJ445">
        <v>1576</v>
      </c>
      <c r="BK445">
        <v>213</v>
      </c>
      <c r="BL445">
        <v>192</v>
      </c>
      <c r="BM445">
        <v>1172</v>
      </c>
      <c r="BN445">
        <v>809</v>
      </c>
      <c r="BO445">
        <v>916</v>
      </c>
      <c r="BP445">
        <v>192</v>
      </c>
      <c r="BQ445">
        <v>1278</v>
      </c>
      <c r="BR445">
        <v>1278</v>
      </c>
      <c r="BS445">
        <v>596</v>
      </c>
      <c r="BT445">
        <v>11224</v>
      </c>
      <c r="BU445">
        <v>533</v>
      </c>
      <c r="BV445">
        <v>2024</v>
      </c>
      <c r="BW445">
        <v>3536</v>
      </c>
      <c r="BX445">
        <v>660</v>
      </c>
      <c r="BY445">
        <v>767</v>
      </c>
      <c r="BZ445">
        <v>1065</v>
      </c>
      <c r="CA445">
        <v>8585</v>
      </c>
      <c r="CB445">
        <v>180</v>
      </c>
      <c r="CC445">
        <v>75</v>
      </c>
      <c r="CD445">
        <v>594</v>
      </c>
      <c r="CE445">
        <v>335</v>
      </c>
      <c r="CF445">
        <v>0.56000000000000005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172</v>
      </c>
      <c r="CO445">
        <v>0</v>
      </c>
      <c r="CP445">
        <v>21</v>
      </c>
      <c r="CQ445">
        <v>0</v>
      </c>
      <c r="CR445">
        <v>0</v>
      </c>
      <c r="CS445">
        <v>0</v>
      </c>
      <c r="CT445">
        <v>193</v>
      </c>
      <c r="CU445">
        <v>0</v>
      </c>
      <c r="CV445">
        <v>0</v>
      </c>
      <c r="CW445">
        <v>0</v>
      </c>
      <c r="CX445">
        <v>0</v>
      </c>
      <c r="CY445">
        <v>118</v>
      </c>
      <c r="CZ445">
        <v>0</v>
      </c>
      <c r="DA445">
        <v>0</v>
      </c>
      <c r="DB445">
        <v>0</v>
      </c>
      <c r="DC445">
        <v>118</v>
      </c>
      <c r="DD445">
        <v>0</v>
      </c>
      <c r="DE445">
        <v>0</v>
      </c>
      <c r="DF445">
        <v>335</v>
      </c>
      <c r="DG445">
        <v>594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929</v>
      </c>
      <c r="DT445">
        <v>1240</v>
      </c>
      <c r="DU445">
        <v>360</v>
      </c>
      <c r="DV445">
        <v>0</v>
      </c>
      <c r="DW445">
        <v>0</v>
      </c>
      <c r="DX445">
        <v>0</v>
      </c>
      <c r="DY445">
        <v>2210</v>
      </c>
      <c r="DZ445">
        <v>5950</v>
      </c>
      <c r="EA445">
        <v>2210</v>
      </c>
      <c r="EB445">
        <v>6290</v>
      </c>
      <c r="EC445">
        <v>340</v>
      </c>
      <c r="ED445">
        <v>8500</v>
      </c>
      <c r="EE445">
        <v>8500</v>
      </c>
      <c r="EF445">
        <v>0</v>
      </c>
      <c r="EG445">
        <v>0.25</v>
      </c>
      <c r="EH445">
        <v>4</v>
      </c>
      <c r="EI445">
        <v>8.5</v>
      </c>
      <c r="EJ445">
        <v>1.6</v>
      </c>
      <c r="EK445">
        <v>20.399999999999999</v>
      </c>
    </row>
    <row r="446" spans="1:141" x14ac:dyDescent="0.25">
      <c r="A446" t="str">
        <f>[1]ingredient!B447</f>
        <v>Weiße Bohnen, gekocht</v>
      </c>
      <c r="B446" t="s">
        <v>479</v>
      </c>
      <c r="C446" s="7">
        <f>_xlfn.XLOOKUP(A446,[1]ingredient!$B$2:$B$521,[1]ingredient!$A$2:$A$521)</f>
        <v>446</v>
      </c>
      <c r="D446">
        <v>112</v>
      </c>
      <c r="E446">
        <v>1</v>
      </c>
      <c r="F446">
        <v>9</v>
      </c>
      <c r="G446">
        <v>17</v>
      </c>
      <c r="H446">
        <v>7</v>
      </c>
      <c r="I446">
        <v>1</v>
      </c>
      <c r="J446">
        <v>0.02</v>
      </c>
      <c r="K446">
        <v>62</v>
      </c>
      <c r="L446">
        <v>27</v>
      </c>
      <c r="M446">
        <v>13</v>
      </c>
      <c r="N446">
        <v>0</v>
      </c>
      <c r="O446">
        <v>161</v>
      </c>
      <c r="P446">
        <v>154</v>
      </c>
      <c r="Q446">
        <v>63</v>
      </c>
      <c r="R446">
        <v>652</v>
      </c>
      <c r="S446">
        <v>2019</v>
      </c>
      <c r="T446">
        <v>308</v>
      </c>
      <c r="U446">
        <v>136</v>
      </c>
      <c r="V446">
        <v>3</v>
      </c>
      <c r="W446">
        <v>58</v>
      </c>
      <c r="X446">
        <v>0</v>
      </c>
      <c r="Y446">
        <v>591</v>
      </c>
      <c r="Z446">
        <v>0</v>
      </c>
      <c r="AA446">
        <v>99</v>
      </c>
      <c r="AB446">
        <v>90</v>
      </c>
      <c r="AC446">
        <v>1</v>
      </c>
      <c r="AD446">
        <v>473</v>
      </c>
      <c r="AE446">
        <v>48</v>
      </c>
      <c r="AF446">
        <v>56</v>
      </c>
      <c r="AG446">
        <v>181</v>
      </c>
      <c r="AH446">
        <v>72</v>
      </c>
      <c r="AI446">
        <v>16</v>
      </c>
      <c r="AJ446">
        <v>2478</v>
      </c>
      <c r="AK446">
        <v>1121</v>
      </c>
      <c r="AL446">
        <v>210</v>
      </c>
      <c r="AM446">
        <v>687</v>
      </c>
      <c r="AN446">
        <v>38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508</v>
      </c>
      <c r="AY446">
        <v>0</v>
      </c>
      <c r="AZ446">
        <v>0</v>
      </c>
      <c r="BA446">
        <v>508</v>
      </c>
      <c r="BB446">
        <v>1355</v>
      </c>
      <c r="BC446">
        <v>2093</v>
      </c>
      <c r="BD446">
        <v>0</v>
      </c>
      <c r="BE446">
        <v>15069</v>
      </c>
      <c r="BF446">
        <v>15069</v>
      </c>
      <c r="BG446">
        <f t="shared" si="61"/>
        <v>83.574879227053145</v>
      </c>
      <c r="BH446">
        <v>507</v>
      </c>
      <c r="BI446">
        <v>768</v>
      </c>
      <c r="BJ446">
        <v>670</v>
      </c>
      <c r="BK446">
        <v>91</v>
      </c>
      <c r="BL446">
        <v>82</v>
      </c>
      <c r="BM446">
        <v>498</v>
      </c>
      <c r="BN446">
        <v>344</v>
      </c>
      <c r="BO446">
        <v>390</v>
      </c>
      <c r="BP446">
        <v>82</v>
      </c>
      <c r="BQ446">
        <v>543</v>
      </c>
      <c r="BR446">
        <v>543</v>
      </c>
      <c r="BS446">
        <v>253</v>
      </c>
      <c r="BT446">
        <v>4771</v>
      </c>
      <c r="BU446">
        <v>227</v>
      </c>
      <c r="BV446">
        <v>861</v>
      </c>
      <c r="BW446">
        <v>1504</v>
      </c>
      <c r="BX446">
        <v>281</v>
      </c>
      <c r="BY446">
        <v>326</v>
      </c>
      <c r="BZ446">
        <v>453</v>
      </c>
      <c r="CA446">
        <v>3652</v>
      </c>
      <c r="CB446">
        <v>77</v>
      </c>
      <c r="CC446">
        <v>32</v>
      </c>
      <c r="CD446">
        <v>253</v>
      </c>
      <c r="CE446">
        <v>142</v>
      </c>
      <c r="CF446">
        <v>0.56000000000000005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73</v>
      </c>
      <c r="CO446">
        <v>0</v>
      </c>
      <c r="CP446">
        <v>9</v>
      </c>
      <c r="CQ446">
        <v>0</v>
      </c>
      <c r="CR446">
        <v>0</v>
      </c>
      <c r="CS446">
        <v>0</v>
      </c>
      <c r="CT446">
        <v>82</v>
      </c>
      <c r="CU446">
        <v>0</v>
      </c>
      <c r="CV446">
        <v>0</v>
      </c>
      <c r="CW446">
        <v>0</v>
      </c>
      <c r="CX446">
        <v>0</v>
      </c>
      <c r="CY446">
        <v>50</v>
      </c>
      <c r="CZ446">
        <v>0</v>
      </c>
      <c r="DA446">
        <v>0</v>
      </c>
      <c r="DB446">
        <v>0</v>
      </c>
      <c r="DC446">
        <v>50</v>
      </c>
      <c r="DD446">
        <v>0</v>
      </c>
      <c r="DE446">
        <v>0</v>
      </c>
      <c r="DF446">
        <v>142</v>
      </c>
      <c r="DG446">
        <v>253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395</v>
      </c>
      <c r="DT446">
        <v>527</v>
      </c>
      <c r="DU446">
        <v>153</v>
      </c>
      <c r="DV446">
        <v>0</v>
      </c>
      <c r="DW446">
        <v>0</v>
      </c>
      <c r="DX446">
        <v>0</v>
      </c>
      <c r="DY446">
        <v>971</v>
      </c>
      <c r="DZ446">
        <v>2614</v>
      </c>
      <c r="EA446">
        <v>971</v>
      </c>
      <c r="EB446">
        <v>2765</v>
      </c>
      <c r="EC446">
        <v>149</v>
      </c>
      <c r="ED446">
        <v>3735</v>
      </c>
      <c r="EE446">
        <v>3735</v>
      </c>
      <c r="EF446">
        <v>0</v>
      </c>
      <c r="EG446">
        <v>0.06</v>
      </c>
      <c r="EH446">
        <v>1.5</v>
      </c>
      <c r="EI446">
        <v>3.7</v>
      </c>
      <c r="EJ446">
        <v>0.7</v>
      </c>
      <c r="EK446">
        <v>8.6999999999999993</v>
      </c>
    </row>
    <row r="447" spans="1:141" x14ac:dyDescent="0.25">
      <c r="A447" t="str">
        <f>[1]ingredient!B448</f>
        <v>Weißkohl</v>
      </c>
      <c r="B447" t="s">
        <v>480</v>
      </c>
      <c r="C447" s="7">
        <f>_xlfn.XLOOKUP(A447,[1]ingredient!$B$2:$B$521,[1]ingredient!$A$2:$A$521)</f>
        <v>447</v>
      </c>
      <c r="D447">
        <v>25</v>
      </c>
      <c r="E447">
        <v>0.2</v>
      </c>
      <c r="F447">
        <v>1</v>
      </c>
      <c r="G447">
        <v>4</v>
      </c>
      <c r="H447">
        <v>3</v>
      </c>
      <c r="I447">
        <v>4</v>
      </c>
      <c r="J447">
        <v>0.05</v>
      </c>
      <c r="K447">
        <v>90</v>
      </c>
      <c r="L447">
        <v>12</v>
      </c>
      <c r="M447">
        <v>6</v>
      </c>
      <c r="N447">
        <v>0</v>
      </c>
      <c r="O447">
        <v>72</v>
      </c>
      <c r="P447">
        <v>48</v>
      </c>
      <c r="Q447">
        <v>37</v>
      </c>
      <c r="R447">
        <v>300</v>
      </c>
      <c r="S447">
        <v>533</v>
      </c>
      <c r="T447">
        <v>260</v>
      </c>
      <c r="U447">
        <v>110</v>
      </c>
      <c r="V447">
        <v>1</v>
      </c>
      <c r="W447">
        <v>79</v>
      </c>
      <c r="X447">
        <v>0</v>
      </c>
      <c r="Y447">
        <v>45800</v>
      </c>
      <c r="Z447">
        <v>0</v>
      </c>
      <c r="AA447">
        <v>1700</v>
      </c>
      <c r="AB447">
        <v>80</v>
      </c>
      <c r="AC447">
        <v>12</v>
      </c>
      <c r="AD447">
        <v>208</v>
      </c>
      <c r="AE447">
        <v>46</v>
      </c>
      <c r="AF447">
        <v>23</v>
      </c>
      <c r="AG447">
        <v>28</v>
      </c>
      <c r="AH447">
        <v>54</v>
      </c>
      <c r="AI447">
        <v>37</v>
      </c>
      <c r="AJ447">
        <v>500</v>
      </c>
      <c r="AK447">
        <v>210</v>
      </c>
      <c r="AL447">
        <v>33</v>
      </c>
      <c r="AM447">
        <v>100</v>
      </c>
      <c r="AN447">
        <v>12</v>
      </c>
      <c r="AO447">
        <v>5</v>
      </c>
      <c r="AP447">
        <v>0</v>
      </c>
      <c r="AQ447">
        <v>0</v>
      </c>
      <c r="AR447">
        <v>0</v>
      </c>
      <c r="AS447">
        <v>0</v>
      </c>
      <c r="AT447">
        <v>1872</v>
      </c>
      <c r="AU447">
        <v>1872</v>
      </c>
      <c r="AV447">
        <v>0</v>
      </c>
      <c r="AW447">
        <v>3744</v>
      </c>
      <c r="AX447">
        <v>333</v>
      </c>
      <c r="AY447">
        <v>0</v>
      </c>
      <c r="AZ447">
        <v>0</v>
      </c>
      <c r="BA447">
        <v>333</v>
      </c>
      <c r="BB447">
        <v>0</v>
      </c>
      <c r="BC447">
        <v>0</v>
      </c>
      <c r="BD447">
        <v>0</v>
      </c>
      <c r="BE447">
        <v>83</v>
      </c>
      <c r="BF447">
        <v>83</v>
      </c>
      <c r="BG447">
        <f t="shared" si="61"/>
        <v>114.75409836065573</v>
      </c>
      <c r="BH447">
        <v>41</v>
      </c>
      <c r="BI447">
        <v>70</v>
      </c>
      <c r="BJ447">
        <v>63</v>
      </c>
      <c r="BK447">
        <v>14</v>
      </c>
      <c r="BL447">
        <v>16</v>
      </c>
      <c r="BM447">
        <v>41</v>
      </c>
      <c r="BN447">
        <v>25</v>
      </c>
      <c r="BO447">
        <v>47</v>
      </c>
      <c r="BP447">
        <v>14</v>
      </c>
      <c r="BQ447">
        <v>55</v>
      </c>
      <c r="BR447">
        <v>103</v>
      </c>
      <c r="BS447">
        <v>27</v>
      </c>
      <c r="BT447">
        <v>516</v>
      </c>
      <c r="BU447">
        <v>55</v>
      </c>
      <c r="BV447">
        <v>116</v>
      </c>
      <c r="BW447">
        <v>288</v>
      </c>
      <c r="BX447">
        <v>34</v>
      </c>
      <c r="BY447">
        <v>259</v>
      </c>
      <c r="BZ447">
        <v>75</v>
      </c>
      <c r="CA447">
        <v>827</v>
      </c>
      <c r="CB447">
        <v>20</v>
      </c>
      <c r="CC447">
        <v>8</v>
      </c>
      <c r="CD447">
        <v>80</v>
      </c>
      <c r="CE447">
        <v>30</v>
      </c>
      <c r="CF447">
        <v>0.38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35</v>
      </c>
      <c r="CO447">
        <v>0</v>
      </c>
      <c r="CP447">
        <v>4</v>
      </c>
      <c r="CQ447">
        <v>0</v>
      </c>
      <c r="CR447">
        <v>0</v>
      </c>
      <c r="CS447">
        <v>0</v>
      </c>
      <c r="CT447">
        <v>39</v>
      </c>
      <c r="CU447">
        <v>0</v>
      </c>
      <c r="CV447">
        <v>0</v>
      </c>
      <c r="CW447">
        <v>4</v>
      </c>
      <c r="CX447">
        <v>0</v>
      </c>
      <c r="CY447">
        <v>7</v>
      </c>
      <c r="CZ447">
        <v>0</v>
      </c>
      <c r="DA447">
        <v>0</v>
      </c>
      <c r="DB447">
        <v>0</v>
      </c>
      <c r="DC447">
        <v>11</v>
      </c>
      <c r="DD447">
        <v>0</v>
      </c>
      <c r="DE447">
        <v>0</v>
      </c>
      <c r="DF447">
        <v>30</v>
      </c>
      <c r="DG447">
        <v>80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110</v>
      </c>
      <c r="DT447">
        <v>160</v>
      </c>
      <c r="DU447">
        <v>40</v>
      </c>
      <c r="DV447">
        <v>0</v>
      </c>
      <c r="DW447">
        <v>0</v>
      </c>
      <c r="DX447">
        <v>0</v>
      </c>
      <c r="DY447">
        <v>502</v>
      </c>
      <c r="DZ447">
        <v>355</v>
      </c>
      <c r="EA447">
        <v>1063</v>
      </c>
      <c r="EB447">
        <v>946</v>
      </c>
      <c r="EC447">
        <v>89</v>
      </c>
      <c r="ED447">
        <v>887</v>
      </c>
      <c r="EE447">
        <v>2069</v>
      </c>
      <c r="EF447">
        <v>0</v>
      </c>
      <c r="EG447">
        <v>0.23</v>
      </c>
      <c r="EH447">
        <v>0.6</v>
      </c>
      <c r="EI447">
        <v>2.1</v>
      </c>
      <c r="EJ447">
        <v>0.2</v>
      </c>
      <c r="EK447">
        <v>1.4</v>
      </c>
    </row>
    <row r="448" spans="1:141" x14ac:dyDescent="0.25">
      <c r="A448" t="str">
        <f>[1]ingredient!B449</f>
        <v>Weizen</v>
      </c>
      <c r="B448" t="s">
        <v>281</v>
      </c>
      <c r="C448" s="7">
        <f>_xlfn.XLOOKUP(A448,[1]ingredient!$B$2:$B$521,[1]ingredient!$A$2:$A$521)</f>
        <v>448</v>
      </c>
      <c r="D448">
        <v>305</v>
      </c>
      <c r="E448">
        <v>2</v>
      </c>
      <c r="F448">
        <v>11</v>
      </c>
      <c r="G448">
        <v>60</v>
      </c>
      <c r="H448">
        <v>13</v>
      </c>
      <c r="I448">
        <v>1</v>
      </c>
      <c r="J448">
        <v>0.06</v>
      </c>
      <c r="K448">
        <v>12</v>
      </c>
      <c r="L448">
        <v>3</v>
      </c>
      <c r="M448">
        <v>2</v>
      </c>
      <c r="N448">
        <v>0</v>
      </c>
      <c r="O448">
        <v>20</v>
      </c>
      <c r="P448">
        <v>455</v>
      </c>
      <c r="Q448">
        <v>93</v>
      </c>
      <c r="R448">
        <v>5100</v>
      </c>
      <c r="S448">
        <v>7600</v>
      </c>
      <c r="T448">
        <v>1180</v>
      </c>
      <c r="U448">
        <v>269</v>
      </c>
      <c r="V448">
        <v>6</v>
      </c>
      <c r="W448">
        <v>87</v>
      </c>
      <c r="X448">
        <v>0</v>
      </c>
      <c r="Y448">
        <v>0</v>
      </c>
      <c r="Z448">
        <v>0</v>
      </c>
      <c r="AA448">
        <v>1000</v>
      </c>
      <c r="AB448">
        <v>0</v>
      </c>
      <c r="AC448">
        <v>8</v>
      </c>
      <c r="AD448">
        <v>380</v>
      </c>
      <c r="AE448">
        <v>33</v>
      </c>
      <c r="AF448">
        <v>97</v>
      </c>
      <c r="AG448">
        <v>342</v>
      </c>
      <c r="AH448">
        <v>140</v>
      </c>
      <c r="AI448">
        <v>55</v>
      </c>
      <c r="AJ448">
        <v>3176</v>
      </c>
      <c r="AK448">
        <v>2560</v>
      </c>
      <c r="AL448">
        <v>370</v>
      </c>
      <c r="AM448">
        <v>3095</v>
      </c>
      <c r="AN448">
        <v>90</v>
      </c>
      <c r="AO448">
        <v>7</v>
      </c>
      <c r="AP448">
        <v>0</v>
      </c>
      <c r="AQ448">
        <v>0</v>
      </c>
      <c r="AR448">
        <v>0</v>
      </c>
      <c r="AS448">
        <v>0</v>
      </c>
      <c r="AT448">
        <v>60</v>
      </c>
      <c r="AU448">
        <v>42</v>
      </c>
      <c r="AV448">
        <v>0</v>
      </c>
      <c r="AW448">
        <v>102</v>
      </c>
      <c r="AX448">
        <v>600</v>
      </c>
      <c r="AY448">
        <v>0</v>
      </c>
      <c r="AZ448">
        <v>0</v>
      </c>
      <c r="BA448">
        <v>600</v>
      </c>
      <c r="BB448">
        <v>357</v>
      </c>
      <c r="BC448">
        <v>170</v>
      </c>
      <c r="BD448">
        <v>0</v>
      </c>
      <c r="BE448">
        <v>58160</v>
      </c>
      <c r="BF448">
        <v>58160</v>
      </c>
      <c r="BG448">
        <f t="shared" si="61"/>
        <v>71.969696969696969</v>
      </c>
      <c r="BH448">
        <v>540</v>
      </c>
      <c r="BI448">
        <v>920</v>
      </c>
      <c r="BJ448">
        <v>380</v>
      </c>
      <c r="BK448">
        <v>220</v>
      </c>
      <c r="BL448">
        <v>290</v>
      </c>
      <c r="BM448">
        <v>640</v>
      </c>
      <c r="BN448">
        <v>410</v>
      </c>
      <c r="BO448">
        <v>430</v>
      </c>
      <c r="BP448">
        <v>150</v>
      </c>
      <c r="BQ448">
        <v>620</v>
      </c>
      <c r="BR448">
        <v>620</v>
      </c>
      <c r="BS448">
        <v>280</v>
      </c>
      <c r="BT448">
        <v>5500</v>
      </c>
      <c r="BU448">
        <v>510</v>
      </c>
      <c r="BV448">
        <v>700</v>
      </c>
      <c r="BW448">
        <v>4080</v>
      </c>
      <c r="BX448">
        <v>720</v>
      </c>
      <c r="BY448">
        <v>1560</v>
      </c>
      <c r="BZ448">
        <v>710</v>
      </c>
      <c r="CA448">
        <v>8280</v>
      </c>
      <c r="CB448">
        <v>51</v>
      </c>
      <c r="CC448">
        <v>17</v>
      </c>
      <c r="CD448">
        <v>51</v>
      </c>
      <c r="CE448">
        <v>765</v>
      </c>
      <c r="CF448">
        <v>15</v>
      </c>
      <c r="CG448">
        <v>0</v>
      </c>
      <c r="CH448">
        <v>0</v>
      </c>
      <c r="CI448">
        <v>0</v>
      </c>
      <c r="CJ448">
        <v>0</v>
      </c>
      <c r="CK448">
        <v>1</v>
      </c>
      <c r="CL448">
        <v>1</v>
      </c>
      <c r="CM448">
        <v>1</v>
      </c>
      <c r="CN448">
        <v>283</v>
      </c>
      <c r="CO448">
        <v>0</v>
      </c>
      <c r="CP448">
        <v>13</v>
      </c>
      <c r="CQ448">
        <v>11</v>
      </c>
      <c r="CR448">
        <v>0</v>
      </c>
      <c r="CS448">
        <v>0</v>
      </c>
      <c r="CT448">
        <v>310</v>
      </c>
      <c r="CU448">
        <v>0</v>
      </c>
      <c r="CV448">
        <v>0</v>
      </c>
      <c r="CW448">
        <v>8</v>
      </c>
      <c r="CX448">
        <v>0</v>
      </c>
      <c r="CY448">
        <v>176</v>
      </c>
      <c r="CZ448">
        <v>6</v>
      </c>
      <c r="DA448">
        <v>0</v>
      </c>
      <c r="DB448">
        <v>0</v>
      </c>
      <c r="DC448">
        <v>191</v>
      </c>
      <c r="DD448">
        <v>0</v>
      </c>
      <c r="DE448">
        <v>0</v>
      </c>
      <c r="DF448">
        <v>762</v>
      </c>
      <c r="DG448">
        <v>51</v>
      </c>
      <c r="DH448">
        <v>0</v>
      </c>
      <c r="DI448">
        <v>0</v>
      </c>
      <c r="DJ448">
        <v>0</v>
      </c>
      <c r="DK448">
        <v>0</v>
      </c>
      <c r="DL448">
        <v>3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816</v>
      </c>
      <c r="DT448">
        <v>1317</v>
      </c>
      <c r="DU448">
        <v>513</v>
      </c>
      <c r="DV448">
        <v>0</v>
      </c>
      <c r="DW448">
        <v>0</v>
      </c>
      <c r="DX448">
        <v>0</v>
      </c>
      <c r="DY448">
        <v>5304</v>
      </c>
      <c r="DZ448">
        <v>3978</v>
      </c>
      <c r="EA448">
        <v>928</v>
      </c>
      <c r="EB448">
        <v>2800</v>
      </c>
      <c r="EC448">
        <v>663</v>
      </c>
      <c r="ED448">
        <v>2890</v>
      </c>
      <c r="EE448">
        <v>10370</v>
      </c>
      <c r="EF448">
        <v>0</v>
      </c>
      <c r="EG448">
        <v>0</v>
      </c>
      <c r="EH448">
        <v>1.6</v>
      </c>
      <c r="EI448">
        <v>10.4</v>
      </c>
      <c r="EJ448">
        <v>1.8</v>
      </c>
      <c r="EK448">
        <v>13.9</v>
      </c>
    </row>
    <row r="449" spans="1:141" x14ac:dyDescent="0.25">
      <c r="A449" t="str">
        <f>[1]ingredient!B450</f>
        <v>Weizenflocken</v>
      </c>
      <c r="B449" t="s">
        <v>481</v>
      </c>
      <c r="C449" s="7">
        <f>_xlfn.XLOOKUP(A449,[1]ingredient!$B$2:$B$521,[1]ingredient!$A$2:$A$521)</f>
        <v>449</v>
      </c>
      <c r="D449">
        <v>305</v>
      </c>
      <c r="E449">
        <v>2</v>
      </c>
      <c r="F449">
        <v>11</v>
      </c>
      <c r="G449">
        <v>60</v>
      </c>
      <c r="H449">
        <v>13</v>
      </c>
      <c r="I449">
        <v>1</v>
      </c>
      <c r="J449">
        <v>0.06</v>
      </c>
      <c r="K449">
        <v>12</v>
      </c>
      <c r="L449">
        <v>3</v>
      </c>
      <c r="M449">
        <v>2</v>
      </c>
      <c r="N449">
        <v>0</v>
      </c>
      <c r="O449">
        <v>20</v>
      </c>
      <c r="P449">
        <v>455</v>
      </c>
      <c r="Q449">
        <v>93</v>
      </c>
      <c r="R449">
        <v>5100</v>
      </c>
      <c r="S449">
        <v>7183</v>
      </c>
      <c r="T449">
        <v>1180</v>
      </c>
      <c r="U449">
        <v>269</v>
      </c>
      <c r="V449">
        <v>6</v>
      </c>
      <c r="W449">
        <v>87</v>
      </c>
      <c r="X449">
        <v>0</v>
      </c>
      <c r="Y449">
        <v>0</v>
      </c>
      <c r="Z449">
        <v>0</v>
      </c>
      <c r="AA449">
        <v>1000</v>
      </c>
      <c r="AB449">
        <v>0</v>
      </c>
      <c r="AC449">
        <v>8</v>
      </c>
      <c r="AD449">
        <v>380</v>
      </c>
      <c r="AE449">
        <v>33</v>
      </c>
      <c r="AF449">
        <v>97</v>
      </c>
      <c r="AG449">
        <v>342</v>
      </c>
      <c r="AH449">
        <v>140</v>
      </c>
      <c r="AI449">
        <v>55</v>
      </c>
      <c r="AJ449">
        <v>3176</v>
      </c>
      <c r="AK449">
        <v>2560</v>
      </c>
      <c r="AL449">
        <v>370</v>
      </c>
      <c r="AM449">
        <v>3095</v>
      </c>
      <c r="AN449">
        <v>90</v>
      </c>
      <c r="AO449">
        <v>7</v>
      </c>
      <c r="AP449">
        <v>0</v>
      </c>
      <c r="AQ449">
        <v>0</v>
      </c>
      <c r="AR449">
        <v>0</v>
      </c>
      <c r="AS449">
        <v>0</v>
      </c>
      <c r="AT449">
        <v>61</v>
      </c>
      <c r="AU449">
        <v>42</v>
      </c>
      <c r="AV449">
        <v>0</v>
      </c>
      <c r="AW449">
        <v>103</v>
      </c>
      <c r="AX449">
        <v>603</v>
      </c>
      <c r="AY449">
        <v>0</v>
      </c>
      <c r="AZ449">
        <v>0</v>
      </c>
      <c r="BA449">
        <v>603</v>
      </c>
      <c r="BB449">
        <v>359</v>
      </c>
      <c r="BC449">
        <v>170</v>
      </c>
      <c r="BD449">
        <v>0</v>
      </c>
      <c r="BE449">
        <v>58485</v>
      </c>
      <c r="BF449">
        <v>58485</v>
      </c>
      <c r="BG449">
        <f t="shared" si="61"/>
        <v>59.848484848484851</v>
      </c>
      <c r="BH449">
        <v>448</v>
      </c>
      <c r="BI449">
        <v>764</v>
      </c>
      <c r="BJ449">
        <v>316</v>
      </c>
      <c r="BK449">
        <v>183</v>
      </c>
      <c r="BL449">
        <v>241</v>
      </c>
      <c r="BM449">
        <v>532</v>
      </c>
      <c r="BN449">
        <v>341</v>
      </c>
      <c r="BO449">
        <v>357</v>
      </c>
      <c r="BP449">
        <v>125</v>
      </c>
      <c r="BQ449">
        <v>515</v>
      </c>
      <c r="BR449">
        <v>515</v>
      </c>
      <c r="BS449">
        <v>233</v>
      </c>
      <c r="BT449">
        <v>4570</v>
      </c>
      <c r="BU449">
        <v>424</v>
      </c>
      <c r="BV449">
        <v>581</v>
      </c>
      <c r="BW449">
        <v>3388</v>
      </c>
      <c r="BX449">
        <v>598</v>
      </c>
      <c r="BY449">
        <v>1295</v>
      </c>
      <c r="BZ449">
        <v>590</v>
      </c>
      <c r="CA449">
        <v>6876</v>
      </c>
      <c r="CB449">
        <v>51</v>
      </c>
      <c r="CC449">
        <v>17</v>
      </c>
      <c r="CD449">
        <v>51</v>
      </c>
      <c r="CE449">
        <v>766</v>
      </c>
      <c r="CF449">
        <v>15.02</v>
      </c>
      <c r="CG449">
        <v>0</v>
      </c>
      <c r="CH449">
        <v>0</v>
      </c>
      <c r="CI449">
        <v>0</v>
      </c>
      <c r="CJ449">
        <v>0</v>
      </c>
      <c r="CK449">
        <v>1</v>
      </c>
      <c r="CL449">
        <v>1</v>
      </c>
      <c r="CM449">
        <v>1</v>
      </c>
      <c r="CN449">
        <v>284</v>
      </c>
      <c r="CO449">
        <v>0</v>
      </c>
      <c r="CP449">
        <v>13</v>
      </c>
      <c r="CQ449">
        <v>11</v>
      </c>
      <c r="CR449">
        <v>0</v>
      </c>
      <c r="CS449">
        <v>0</v>
      </c>
      <c r="CT449">
        <v>311</v>
      </c>
      <c r="CU449">
        <v>0</v>
      </c>
      <c r="CV449">
        <v>0</v>
      </c>
      <c r="CW449">
        <v>8</v>
      </c>
      <c r="CX449">
        <v>0</v>
      </c>
      <c r="CY449">
        <v>176</v>
      </c>
      <c r="CZ449">
        <v>6</v>
      </c>
      <c r="DA449">
        <v>0</v>
      </c>
      <c r="DB449">
        <v>0</v>
      </c>
      <c r="DC449">
        <v>190</v>
      </c>
      <c r="DD449">
        <v>0</v>
      </c>
      <c r="DE449">
        <v>0</v>
      </c>
      <c r="DF449">
        <v>763</v>
      </c>
      <c r="DG449">
        <v>51</v>
      </c>
      <c r="DH449">
        <v>0</v>
      </c>
      <c r="DI449">
        <v>0</v>
      </c>
      <c r="DJ449">
        <v>0</v>
      </c>
      <c r="DK449">
        <v>0</v>
      </c>
      <c r="DL449">
        <v>3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817</v>
      </c>
      <c r="DT449">
        <v>1318</v>
      </c>
      <c r="DU449">
        <v>514</v>
      </c>
      <c r="DV449">
        <v>0</v>
      </c>
      <c r="DW449">
        <v>0</v>
      </c>
      <c r="DX449">
        <v>0</v>
      </c>
      <c r="DY449">
        <v>5144</v>
      </c>
      <c r="DZ449">
        <v>3858</v>
      </c>
      <c r="EA449">
        <v>900</v>
      </c>
      <c r="EB449">
        <v>2715</v>
      </c>
      <c r="EC449">
        <v>643</v>
      </c>
      <c r="ED449">
        <v>2890</v>
      </c>
      <c r="EE449">
        <v>10370</v>
      </c>
      <c r="EF449">
        <v>0</v>
      </c>
      <c r="EG449">
        <v>0</v>
      </c>
      <c r="EH449">
        <v>1.6</v>
      </c>
      <c r="EI449">
        <v>10.4</v>
      </c>
      <c r="EJ449">
        <v>1.8</v>
      </c>
      <c r="EK449">
        <v>11.6</v>
      </c>
    </row>
    <row r="450" spans="1:141" x14ac:dyDescent="0.25">
      <c r="A450" t="str">
        <f>[1]ingredient!B451</f>
        <v>Weizenkeime</v>
      </c>
      <c r="B450" t="s">
        <v>482</v>
      </c>
      <c r="C450" s="7">
        <f>_xlfn.XLOOKUP(A450,[1]ingredient!$B$2:$B$521,[1]ingredient!$A$2:$A$521)</f>
        <v>450</v>
      </c>
      <c r="D450">
        <v>322</v>
      </c>
      <c r="E450">
        <v>9</v>
      </c>
      <c r="F450">
        <v>29</v>
      </c>
      <c r="G450">
        <v>31</v>
      </c>
      <c r="H450">
        <v>18</v>
      </c>
      <c r="I450">
        <v>10</v>
      </c>
      <c r="J450">
        <v>0.09</v>
      </c>
      <c r="K450">
        <v>0.14000000000000001</v>
      </c>
      <c r="L450">
        <v>10</v>
      </c>
      <c r="M450">
        <v>5</v>
      </c>
      <c r="N450">
        <v>0</v>
      </c>
      <c r="O450">
        <v>62</v>
      </c>
      <c r="P450">
        <v>2010</v>
      </c>
      <c r="Q450">
        <v>720</v>
      </c>
      <c r="R450">
        <v>4520</v>
      </c>
      <c r="S450">
        <v>9353</v>
      </c>
      <c r="T450">
        <v>1000</v>
      </c>
      <c r="U450">
        <v>492</v>
      </c>
      <c r="V450">
        <v>17</v>
      </c>
      <c r="W450">
        <v>520</v>
      </c>
      <c r="X450">
        <v>0</v>
      </c>
      <c r="Y450">
        <v>0</v>
      </c>
      <c r="Z450">
        <v>0</v>
      </c>
      <c r="AA450">
        <v>22100</v>
      </c>
      <c r="AB450">
        <v>131</v>
      </c>
      <c r="AC450">
        <v>5</v>
      </c>
      <c r="AD450">
        <v>1060</v>
      </c>
      <c r="AE450">
        <v>49</v>
      </c>
      <c r="AF450">
        <v>290</v>
      </c>
      <c r="AG450">
        <v>1000</v>
      </c>
      <c r="AH450">
        <v>250</v>
      </c>
      <c r="AI450">
        <v>80</v>
      </c>
      <c r="AJ450">
        <v>8585</v>
      </c>
      <c r="AK450">
        <v>17800</v>
      </c>
      <c r="AL450">
        <v>1100</v>
      </c>
      <c r="AM450">
        <v>16239</v>
      </c>
      <c r="AN450">
        <v>140</v>
      </c>
      <c r="AO450">
        <v>0.3</v>
      </c>
      <c r="AP450">
        <v>0</v>
      </c>
      <c r="AQ450">
        <v>0</v>
      </c>
      <c r="AR450">
        <v>0</v>
      </c>
      <c r="AS450">
        <v>0</v>
      </c>
      <c r="AT450">
        <v>460</v>
      </c>
      <c r="AU450">
        <v>306</v>
      </c>
      <c r="AV450">
        <v>0</v>
      </c>
      <c r="AW450">
        <v>766</v>
      </c>
      <c r="AX450">
        <v>9191</v>
      </c>
      <c r="AY450">
        <v>0</v>
      </c>
      <c r="AZ450">
        <v>0</v>
      </c>
      <c r="BA450">
        <v>9191</v>
      </c>
      <c r="BB450">
        <v>6127</v>
      </c>
      <c r="BC450">
        <v>9500</v>
      </c>
      <c r="BD450">
        <v>0</v>
      </c>
      <c r="BE450">
        <v>14551</v>
      </c>
      <c r="BF450">
        <v>14551</v>
      </c>
      <c r="BG450">
        <f t="shared" si="61"/>
        <v>108.02713397399661</v>
      </c>
      <c r="BH450">
        <v>1245</v>
      </c>
      <c r="BI450">
        <v>1911</v>
      </c>
      <c r="BJ450">
        <v>1737</v>
      </c>
      <c r="BK450">
        <v>464</v>
      </c>
      <c r="BL450">
        <v>318</v>
      </c>
      <c r="BM450">
        <v>1072</v>
      </c>
      <c r="BN450">
        <v>985</v>
      </c>
      <c r="BO450">
        <v>1447</v>
      </c>
      <c r="BP450">
        <v>290</v>
      </c>
      <c r="BQ450">
        <v>1564</v>
      </c>
      <c r="BR450">
        <v>2113</v>
      </c>
      <c r="BS450">
        <v>782</v>
      </c>
      <c r="BT450">
        <v>13928</v>
      </c>
      <c r="BU450">
        <v>2026</v>
      </c>
      <c r="BV450">
        <v>2606</v>
      </c>
      <c r="BW450">
        <v>4922</v>
      </c>
      <c r="BX450">
        <v>2113</v>
      </c>
      <c r="BY450">
        <v>1621</v>
      </c>
      <c r="BZ450">
        <v>1447</v>
      </c>
      <c r="CA450">
        <v>14735</v>
      </c>
      <c r="CB450">
        <v>843</v>
      </c>
      <c r="CC450">
        <v>281</v>
      </c>
      <c r="CD450">
        <v>451</v>
      </c>
      <c r="CE450">
        <v>3355</v>
      </c>
      <c r="CF450">
        <v>7.44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6</v>
      </c>
      <c r="CM450">
        <v>0</v>
      </c>
      <c r="CN450">
        <v>1327</v>
      </c>
      <c r="CO450">
        <v>0</v>
      </c>
      <c r="CP450">
        <v>52</v>
      </c>
      <c r="CQ450">
        <v>45</v>
      </c>
      <c r="CR450">
        <v>0</v>
      </c>
      <c r="CS450">
        <v>0</v>
      </c>
      <c r="CT450">
        <v>1430</v>
      </c>
      <c r="CU450">
        <v>0</v>
      </c>
      <c r="CV450">
        <v>0</v>
      </c>
      <c r="CW450">
        <v>32</v>
      </c>
      <c r="CX450">
        <v>0</v>
      </c>
      <c r="CY450">
        <v>1172</v>
      </c>
      <c r="CZ450">
        <v>0</v>
      </c>
      <c r="DA450">
        <v>0</v>
      </c>
      <c r="DB450">
        <v>0</v>
      </c>
      <c r="DC450">
        <v>1204</v>
      </c>
      <c r="DD450">
        <v>0</v>
      </c>
      <c r="DE450">
        <v>0</v>
      </c>
      <c r="DF450">
        <v>3355</v>
      </c>
      <c r="DG450">
        <v>451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3806</v>
      </c>
      <c r="DT450">
        <v>6440</v>
      </c>
      <c r="DU450">
        <v>2760</v>
      </c>
      <c r="DV450">
        <v>0</v>
      </c>
      <c r="DW450">
        <v>0</v>
      </c>
      <c r="DX450">
        <v>0</v>
      </c>
      <c r="DY450">
        <v>2650</v>
      </c>
      <c r="DZ450">
        <v>5300</v>
      </c>
      <c r="EA450">
        <v>3533</v>
      </c>
      <c r="EB450">
        <v>5300</v>
      </c>
      <c r="EC450">
        <v>883</v>
      </c>
      <c r="ED450">
        <v>5300</v>
      </c>
      <c r="EE450">
        <v>12366</v>
      </c>
      <c r="EF450">
        <v>0</v>
      </c>
      <c r="EG450">
        <v>0</v>
      </c>
      <c r="EH450">
        <v>4.2</v>
      </c>
      <c r="EI450">
        <v>12.4</v>
      </c>
      <c r="EJ450">
        <v>9.1999999999999993</v>
      </c>
      <c r="EK450">
        <v>31.2</v>
      </c>
    </row>
    <row r="451" spans="1:141" x14ac:dyDescent="0.25">
      <c r="A451" t="str">
        <f>[1]ingredient!B452</f>
        <v>Weizenmehl</v>
      </c>
      <c r="B451" t="s">
        <v>483</v>
      </c>
      <c r="C451" s="7">
        <f>_xlfn.XLOOKUP(A451,[1]ingredient!$B$2:$B$521,[1]ingredient!$A$2:$A$521)</f>
        <v>451</v>
      </c>
      <c r="D451">
        <v>309</v>
      </c>
      <c r="E451">
        <v>2</v>
      </c>
      <c r="F451">
        <v>11</v>
      </c>
      <c r="G451">
        <v>60</v>
      </c>
      <c r="H451">
        <v>10</v>
      </c>
      <c r="I451">
        <v>1</v>
      </c>
      <c r="J451">
        <v>0.04</v>
      </c>
      <c r="K451">
        <v>15</v>
      </c>
      <c r="L451">
        <v>2</v>
      </c>
      <c r="M451">
        <v>1</v>
      </c>
      <c r="N451">
        <v>0</v>
      </c>
      <c r="O451">
        <v>10</v>
      </c>
      <c r="P451">
        <v>470</v>
      </c>
      <c r="Q451">
        <v>170</v>
      </c>
      <c r="R451">
        <v>5200</v>
      </c>
      <c r="S451">
        <v>7117</v>
      </c>
      <c r="T451">
        <v>1200</v>
      </c>
      <c r="U451">
        <v>460</v>
      </c>
      <c r="V451">
        <v>8</v>
      </c>
      <c r="W451">
        <v>50</v>
      </c>
      <c r="X451">
        <v>0</v>
      </c>
      <c r="Y451">
        <v>0</v>
      </c>
      <c r="Z451">
        <v>0</v>
      </c>
      <c r="AA451">
        <v>1400</v>
      </c>
      <c r="AB451">
        <v>0</v>
      </c>
      <c r="AC451">
        <v>3</v>
      </c>
      <c r="AD451">
        <v>337</v>
      </c>
      <c r="AE451">
        <v>32</v>
      </c>
      <c r="AF451">
        <v>124</v>
      </c>
      <c r="AG451">
        <v>345</v>
      </c>
      <c r="AH451">
        <v>125</v>
      </c>
      <c r="AI451">
        <v>37</v>
      </c>
      <c r="AJ451">
        <v>3400</v>
      </c>
      <c r="AK451">
        <v>3400</v>
      </c>
      <c r="AL451">
        <v>630</v>
      </c>
      <c r="AM451">
        <v>3100</v>
      </c>
      <c r="AN451">
        <v>90</v>
      </c>
      <c r="AO451">
        <v>3</v>
      </c>
      <c r="AP451">
        <v>0</v>
      </c>
      <c r="AQ451">
        <v>0</v>
      </c>
      <c r="AR451">
        <v>0</v>
      </c>
      <c r="AS451">
        <v>0</v>
      </c>
      <c r="AT451">
        <v>60</v>
      </c>
      <c r="AU451">
        <v>60</v>
      </c>
      <c r="AV451">
        <v>0</v>
      </c>
      <c r="AW451">
        <v>120</v>
      </c>
      <c r="AX451">
        <v>595</v>
      </c>
      <c r="AY451">
        <v>0</v>
      </c>
      <c r="AZ451">
        <v>0</v>
      </c>
      <c r="BA451">
        <v>595</v>
      </c>
      <c r="BB451">
        <v>357</v>
      </c>
      <c r="BC451">
        <v>0</v>
      </c>
      <c r="BD451">
        <v>0</v>
      </c>
      <c r="BE451">
        <v>58458</v>
      </c>
      <c r="BF451">
        <v>58458</v>
      </c>
      <c r="BG451">
        <f t="shared" si="61"/>
        <v>58.901515151515149</v>
      </c>
      <c r="BH451">
        <v>450</v>
      </c>
      <c r="BI451">
        <v>772</v>
      </c>
      <c r="BJ451">
        <v>311</v>
      </c>
      <c r="BK451">
        <v>173</v>
      </c>
      <c r="BL451">
        <v>230</v>
      </c>
      <c r="BM451">
        <v>530</v>
      </c>
      <c r="BN451">
        <v>346</v>
      </c>
      <c r="BO451">
        <v>334</v>
      </c>
      <c r="BP451">
        <v>115</v>
      </c>
      <c r="BQ451">
        <v>518</v>
      </c>
      <c r="BR451">
        <v>518</v>
      </c>
      <c r="BS451">
        <v>219</v>
      </c>
      <c r="BT451">
        <v>4516</v>
      </c>
      <c r="BU451">
        <v>403</v>
      </c>
      <c r="BV451">
        <v>565</v>
      </c>
      <c r="BW451">
        <v>3493</v>
      </c>
      <c r="BX451">
        <v>530</v>
      </c>
      <c r="BY451">
        <v>1314</v>
      </c>
      <c r="BZ451">
        <v>588</v>
      </c>
      <c r="CA451">
        <v>6893</v>
      </c>
      <c r="CB451">
        <v>82</v>
      </c>
      <c r="CC451">
        <v>34</v>
      </c>
      <c r="CD451">
        <v>68</v>
      </c>
      <c r="CE451">
        <v>1012</v>
      </c>
      <c r="CF451">
        <v>14.88</v>
      </c>
      <c r="CG451">
        <v>0</v>
      </c>
      <c r="CH451">
        <v>0</v>
      </c>
      <c r="CI451">
        <v>0</v>
      </c>
      <c r="CJ451">
        <v>0</v>
      </c>
      <c r="CK451">
        <v>2</v>
      </c>
      <c r="CL451">
        <v>3</v>
      </c>
      <c r="CM451">
        <v>2</v>
      </c>
      <c r="CN451">
        <v>306</v>
      </c>
      <c r="CO451">
        <v>0</v>
      </c>
      <c r="CP451">
        <v>17</v>
      </c>
      <c r="CQ451">
        <v>14</v>
      </c>
      <c r="CR451">
        <v>0</v>
      </c>
      <c r="CS451">
        <v>0</v>
      </c>
      <c r="CT451">
        <v>344</v>
      </c>
      <c r="CU451">
        <v>0</v>
      </c>
      <c r="CV451">
        <v>0</v>
      </c>
      <c r="CW451">
        <v>8</v>
      </c>
      <c r="CX451">
        <v>0</v>
      </c>
      <c r="CY451">
        <v>260</v>
      </c>
      <c r="CZ451">
        <v>7</v>
      </c>
      <c r="DA451">
        <v>0</v>
      </c>
      <c r="DB451">
        <v>0</v>
      </c>
      <c r="DC451">
        <v>275</v>
      </c>
      <c r="DD451">
        <v>0</v>
      </c>
      <c r="DE451">
        <v>0</v>
      </c>
      <c r="DF451">
        <v>1009</v>
      </c>
      <c r="DG451">
        <v>68</v>
      </c>
      <c r="DH451">
        <v>0</v>
      </c>
      <c r="DI451">
        <v>0</v>
      </c>
      <c r="DJ451">
        <v>0</v>
      </c>
      <c r="DK451">
        <v>0</v>
      </c>
      <c r="DL451">
        <v>3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1080</v>
      </c>
      <c r="DT451">
        <v>1699</v>
      </c>
      <c r="DU451">
        <v>661</v>
      </c>
      <c r="DV451">
        <v>0</v>
      </c>
      <c r="DW451">
        <v>0</v>
      </c>
      <c r="DX451">
        <v>0</v>
      </c>
      <c r="DY451">
        <v>4000</v>
      </c>
      <c r="DZ451">
        <v>3000</v>
      </c>
      <c r="EA451">
        <v>700</v>
      </c>
      <c r="EB451">
        <v>1800</v>
      </c>
      <c r="EC451">
        <v>500</v>
      </c>
      <c r="ED451">
        <v>2300</v>
      </c>
      <c r="EE451">
        <v>7700</v>
      </c>
      <c r="EF451">
        <v>0</v>
      </c>
      <c r="EG451">
        <v>0</v>
      </c>
      <c r="EH451">
        <v>1.7</v>
      </c>
      <c r="EI451">
        <v>7.7</v>
      </c>
      <c r="EJ451">
        <v>2.4</v>
      </c>
      <c r="EK451">
        <v>11.7</v>
      </c>
    </row>
    <row r="452" spans="1:141" x14ac:dyDescent="0.25">
      <c r="A452" t="str">
        <f>[1]ingredient!B453</f>
        <v>Weizen-Sprossen</v>
      </c>
      <c r="B452" t="s">
        <v>401</v>
      </c>
      <c r="C452" s="7">
        <f>_xlfn.XLOOKUP(A452,[1]ingredient!$B$2:$B$521,[1]ingredient!$A$2:$A$521)</f>
        <v>452</v>
      </c>
      <c r="D452">
        <v>70</v>
      </c>
      <c r="E452">
        <v>0.4</v>
      </c>
      <c r="F452">
        <v>3</v>
      </c>
      <c r="G452">
        <v>13</v>
      </c>
      <c r="H452">
        <v>3</v>
      </c>
      <c r="I452">
        <v>6</v>
      </c>
      <c r="J452">
        <v>0.02</v>
      </c>
      <c r="K452">
        <v>80</v>
      </c>
      <c r="L452">
        <v>1</v>
      </c>
      <c r="M452">
        <v>0.42</v>
      </c>
      <c r="N452">
        <v>0</v>
      </c>
      <c r="O452">
        <v>5</v>
      </c>
      <c r="P452">
        <v>120</v>
      </c>
      <c r="Q452">
        <v>40</v>
      </c>
      <c r="R452">
        <v>2350</v>
      </c>
      <c r="S452">
        <v>2883</v>
      </c>
      <c r="T452">
        <v>300</v>
      </c>
      <c r="U452">
        <v>110</v>
      </c>
      <c r="V452">
        <v>2</v>
      </c>
      <c r="W452">
        <v>6</v>
      </c>
      <c r="X452">
        <v>0</v>
      </c>
      <c r="Y452">
        <v>0</v>
      </c>
      <c r="Z452">
        <v>0</v>
      </c>
      <c r="AA452">
        <v>330</v>
      </c>
      <c r="AB452">
        <v>5</v>
      </c>
      <c r="AC452">
        <v>1</v>
      </c>
      <c r="AD452">
        <v>100</v>
      </c>
      <c r="AE452">
        <v>11</v>
      </c>
      <c r="AF452">
        <v>50</v>
      </c>
      <c r="AG452">
        <v>100</v>
      </c>
      <c r="AH452">
        <v>30</v>
      </c>
      <c r="AI452">
        <v>15</v>
      </c>
      <c r="AJ452">
        <v>800</v>
      </c>
      <c r="AK452">
        <v>950</v>
      </c>
      <c r="AL452">
        <v>150</v>
      </c>
      <c r="AM452">
        <v>700</v>
      </c>
      <c r="AN452">
        <v>25</v>
      </c>
      <c r="AO452">
        <v>0.2</v>
      </c>
      <c r="AP452">
        <v>0</v>
      </c>
      <c r="AQ452">
        <v>0</v>
      </c>
      <c r="AR452">
        <v>0</v>
      </c>
      <c r="AS452">
        <v>0</v>
      </c>
      <c r="AT452">
        <v>2600</v>
      </c>
      <c r="AU452">
        <v>2600</v>
      </c>
      <c r="AV452">
        <v>0</v>
      </c>
      <c r="AW452">
        <v>5200</v>
      </c>
      <c r="AX452">
        <v>650</v>
      </c>
      <c r="AY452">
        <v>0</v>
      </c>
      <c r="AZ452">
        <v>0</v>
      </c>
      <c r="BA452">
        <v>650</v>
      </c>
      <c r="BB452">
        <v>0</v>
      </c>
      <c r="BC452">
        <v>0</v>
      </c>
      <c r="BD452">
        <v>0</v>
      </c>
      <c r="BE452">
        <v>7150</v>
      </c>
      <c r="BF452">
        <v>7150</v>
      </c>
      <c r="BG452">
        <f t="shared" si="61"/>
        <v>59.722222222222221</v>
      </c>
      <c r="BH452">
        <v>125</v>
      </c>
      <c r="BI452">
        <v>214</v>
      </c>
      <c r="BJ452">
        <v>86</v>
      </c>
      <c r="BK452">
        <v>48</v>
      </c>
      <c r="BL452">
        <v>64</v>
      </c>
      <c r="BM452">
        <v>147</v>
      </c>
      <c r="BN452">
        <v>96</v>
      </c>
      <c r="BO452">
        <v>93</v>
      </c>
      <c r="BP452">
        <v>32</v>
      </c>
      <c r="BQ452">
        <v>144</v>
      </c>
      <c r="BR452">
        <v>144</v>
      </c>
      <c r="BS452">
        <v>61</v>
      </c>
      <c r="BT452">
        <v>1254</v>
      </c>
      <c r="BU452">
        <v>112</v>
      </c>
      <c r="BV452">
        <v>157</v>
      </c>
      <c r="BW452">
        <v>970</v>
      </c>
      <c r="BX452">
        <v>147</v>
      </c>
      <c r="BY452">
        <v>365</v>
      </c>
      <c r="BZ452">
        <v>163</v>
      </c>
      <c r="CA452">
        <v>1914</v>
      </c>
      <c r="CB452">
        <v>15</v>
      </c>
      <c r="CC452">
        <v>6</v>
      </c>
      <c r="CD452">
        <v>20</v>
      </c>
      <c r="CE452">
        <v>146</v>
      </c>
      <c r="CF452">
        <v>7.3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58</v>
      </c>
      <c r="CO452">
        <v>0</v>
      </c>
      <c r="CP452">
        <v>2</v>
      </c>
      <c r="CQ452">
        <v>2</v>
      </c>
      <c r="CR452">
        <v>0</v>
      </c>
      <c r="CS452">
        <v>0</v>
      </c>
      <c r="CT452">
        <v>62</v>
      </c>
      <c r="CU452">
        <v>0</v>
      </c>
      <c r="CV452">
        <v>0</v>
      </c>
      <c r="CW452">
        <v>1</v>
      </c>
      <c r="CX452">
        <v>0</v>
      </c>
      <c r="CY452">
        <v>51</v>
      </c>
      <c r="CZ452">
        <v>0</v>
      </c>
      <c r="DA452">
        <v>0</v>
      </c>
      <c r="DB452">
        <v>0</v>
      </c>
      <c r="DC452">
        <v>52</v>
      </c>
      <c r="DD452">
        <v>0</v>
      </c>
      <c r="DE452">
        <v>0</v>
      </c>
      <c r="DF452">
        <v>146</v>
      </c>
      <c r="DG452">
        <v>20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166</v>
      </c>
      <c r="DT452">
        <v>280</v>
      </c>
      <c r="DU452">
        <v>120</v>
      </c>
      <c r="DV452">
        <v>0</v>
      </c>
      <c r="DW452">
        <v>0</v>
      </c>
      <c r="DX452">
        <v>0</v>
      </c>
      <c r="DY452">
        <v>1000</v>
      </c>
      <c r="DZ452">
        <v>1000</v>
      </c>
      <c r="EA452">
        <v>200</v>
      </c>
      <c r="EB452">
        <v>250</v>
      </c>
      <c r="EC452">
        <v>50</v>
      </c>
      <c r="ED452">
        <v>750</v>
      </c>
      <c r="EE452">
        <v>1750</v>
      </c>
      <c r="EF452">
        <v>0</v>
      </c>
      <c r="EG452">
        <v>0.05</v>
      </c>
      <c r="EH452">
        <v>0.5</v>
      </c>
      <c r="EI452">
        <v>1.8</v>
      </c>
      <c r="EJ452">
        <v>0.4</v>
      </c>
      <c r="EK452">
        <v>3.2</v>
      </c>
    </row>
    <row r="453" spans="1:141" x14ac:dyDescent="0.25">
      <c r="A453" t="str">
        <f>[1]ingredient!B454</f>
        <v>Weizen-Vollkorn Farfalle</v>
      </c>
      <c r="B453" t="s">
        <v>215</v>
      </c>
      <c r="C453" s="7">
        <f>_xlfn.XLOOKUP(A453,[1]ingredient!$B$2:$B$521,[1]ingredient!$A$2:$A$521)</f>
        <v>453</v>
      </c>
      <c r="D453">
        <v>335</v>
      </c>
      <c r="E453">
        <v>2.1</v>
      </c>
      <c r="F453">
        <v>12.5</v>
      </c>
      <c r="G453">
        <v>62</v>
      </c>
      <c r="H453">
        <v>12</v>
      </c>
      <c r="I453">
        <v>1</v>
      </c>
      <c r="J453">
        <v>0.01</v>
      </c>
      <c r="K453">
        <v>11</v>
      </c>
      <c r="L453">
        <v>0</v>
      </c>
      <c r="M453">
        <v>0</v>
      </c>
      <c r="N453">
        <v>0</v>
      </c>
      <c r="O453">
        <v>0</v>
      </c>
      <c r="P453">
        <v>670</v>
      </c>
      <c r="Q453">
        <v>110</v>
      </c>
      <c r="R453">
        <v>3100</v>
      </c>
      <c r="S453">
        <v>5333</v>
      </c>
      <c r="T453">
        <v>800</v>
      </c>
      <c r="U453">
        <v>200</v>
      </c>
      <c r="V453">
        <v>1</v>
      </c>
      <c r="W453">
        <v>40</v>
      </c>
      <c r="X453">
        <v>0</v>
      </c>
      <c r="Y453">
        <v>0</v>
      </c>
      <c r="Z453">
        <v>0</v>
      </c>
      <c r="AA453">
        <v>250</v>
      </c>
      <c r="AB453">
        <v>0</v>
      </c>
      <c r="AC453">
        <v>5</v>
      </c>
      <c r="AD453">
        <v>390</v>
      </c>
      <c r="AE453">
        <v>34</v>
      </c>
      <c r="AF453">
        <v>120</v>
      </c>
      <c r="AG453">
        <v>370</v>
      </c>
      <c r="AH453">
        <v>190</v>
      </c>
      <c r="AI453">
        <v>22</v>
      </c>
      <c r="AJ453">
        <v>3900</v>
      </c>
      <c r="AK453">
        <v>3000</v>
      </c>
      <c r="AL453">
        <v>510</v>
      </c>
      <c r="AM453">
        <v>264</v>
      </c>
      <c r="AN453">
        <v>40</v>
      </c>
      <c r="AO453">
        <v>2</v>
      </c>
      <c r="AP453">
        <v>0</v>
      </c>
      <c r="AQ453">
        <v>0</v>
      </c>
      <c r="AR453">
        <v>0</v>
      </c>
      <c r="AS453">
        <v>0</v>
      </c>
      <c r="AT453">
        <v>61</v>
      </c>
      <c r="AU453">
        <v>61</v>
      </c>
      <c r="AV453">
        <v>0</v>
      </c>
      <c r="AW453">
        <v>122</v>
      </c>
      <c r="AX453">
        <v>606</v>
      </c>
      <c r="AY453">
        <v>0</v>
      </c>
      <c r="AZ453">
        <v>0</v>
      </c>
      <c r="BA453">
        <v>606</v>
      </c>
      <c r="BB453">
        <v>364</v>
      </c>
      <c r="BC453">
        <v>0</v>
      </c>
      <c r="BD453">
        <v>0</v>
      </c>
      <c r="BE453">
        <v>59508</v>
      </c>
      <c r="BF453">
        <v>59508</v>
      </c>
      <c r="BG453">
        <f t="shared" si="61"/>
        <v>60.333333333333336</v>
      </c>
      <c r="BH453">
        <v>523</v>
      </c>
      <c r="BI453">
        <v>898</v>
      </c>
      <c r="BJ453">
        <v>362</v>
      </c>
      <c r="BK453">
        <v>201</v>
      </c>
      <c r="BL453">
        <v>268</v>
      </c>
      <c r="BM453">
        <v>616</v>
      </c>
      <c r="BN453">
        <v>402</v>
      </c>
      <c r="BO453">
        <v>389</v>
      </c>
      <c r="BP453">
        <v>134</v>
      </c>
      <c r="BQ453">
        <v>603</v>
      </c>
      <c r="BR453">
        <v>603</v>
      </c>
      <c r="BS453">
        <v>255</v>
      </c>
      <c r="BT453">
        <v>5254</v>
      </c>
      <c r="BU453">
        <v>469</v>
      </c>
      <c r="BV453">
        <v>657</v>
      </c>
      <c r="BW453">
        <v>4059</v>
      </c>
      <c r="BX453">
        <v>616</v>
      </c>
      <c r="BY453">
        <v>1528</v>
      </c>
      <c r="BZ453">
        <v>683</v>
      </c>
      <c r="CA453">
        <v>8012</v>
      </c>
      <c r="CB453">
        <v>80</v>
      </c>
      <c r="CC453">
        <v>33</v>
      </c>
      <c r="CD453">
        <v>72</v>
      </c>
      <c r="CE453">
        <v>1073</v>
      </c>
      <c r="CF453">
        <v>14.9</v>
      </c>
      <c r="CG453">
        <v>0</v>
      </c>
      <c r="CH453">
        <v>0</v>
      </c>
      <c r="CI453">
        <v>0</v>
      </c>
      <c r="CJ453">
        <v>0</v>
      </c>
      <c r="CK453">
        <v>2</v>
      </c>
      <c r="CL453">
        <v>4</v>
      </c>
      <c r="CM453">
        <v>2</v>
      </c>
      <c r="CN453">
        <v>324</v>
      </c>
      <c r="CO453">
        <v>0</v>
      </c>
      <c r="CP453">
        <v>18</v>
      </c>
      <c r="CQ453">
        <v>14</v>
      </c>
      <c r="CR453">
        <v>0</v>
      </c>
      <c r="CS453">
        <v>0</v>
      </c>
      <c r="CT453">
        <v>364</v>
      </c>
      <c r="CU453">
        <v>0</v>
      </c>
      <c r="CV453">
        <v>0</v>
      </c>
      <c r="CW453">
        <v>9</v>
      </c>
      <c r="CX453">
        <v>0</v>
      </c>
      <c r="CY453">
        <v>275</v>
      </c>
      <c r="CZ453">
        <v>7</v>
      </c>
      <c r="DA453">
        <v>0</v>
      </c>
      <c r="DB453">
        <v>0</v>
      </c>
      <c r="DC453">
        <v>291</v>
      </c>
      <c r="DD453">
        <v>0</v>
      </c>
      <c r="DE453">
        <v>0</v>
      </c>
      <c r="DF453">
        <v>1069</v>
      </c>
      <c r="DG453">
        <v>72</v>
      </c>
      <c r="DH453">
        <v>0</v>
      </c>
      <c r="DI453">
        <v>0</v>
      </c>
      <c r="DJ453">
        <v>0</v>
      </c>
      <c r="DK453">
        <v>0</v>
      </c>
      <c r="DL453">
        <v>4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1145</v>
      </c>
      <c r="DT453">
        <v>1800</v>
      </c>
      <c r="DU453">
        <v>700</v>
      </c>
      <c r="DV453">
        <v>0</v>
      </c>
      <c r="DW453">
        <v>0</v>
      </c>
      <c r="DX453">
        <v>0</v>
      </c>
      <c r="DY453">
        <v>4600</v>
      </c>
      <c r="DZ453">
        <v>3450</v>
      </c>
      <c r="EA453">
        <v>805</v>
      </c>
      <c r="EB453">
        <v>2070</v>
      </c>
      <c r="EC453">
        <v>575</v>
      </c>
      <c r="ED453">
        <v>2875</v>
      </c>
      <c r="EE453">
        <v>8625</v>
      </c>
      <c r="EF453">
        <v>0</v>
      </c>
      <c r="EG453">
        <v>0</v>
      </c>
      <c r="EH453">
        <v>1.5</v>
      </c>
      <c r="EI453">
        <v>8.6</v>
      </c>
      <c r="EJ453">
        <v>2.5</v>
      </c>
      <c r="EK453">
        <v>13.5</v>
      </c>
    </row>
    <row r="454" spans="1:141" x14ac:dyDescent="0.25">
      <c r="A454" t="str">
        <f>[1]ingredient!B455</f>
        <v>Weizen-Vollkorn Fusilli</v>
      </c>
      <c r="B454" t="s">
        <v>215</v>
      </c>
      <c r="C454" s="7">
        <f>_xlfn.XLOOKUP(A454,[1]ingredient!$B$2:$B$521,[1]ingredient!$A$2:$A$521)</f>
        <v>454</v>
      </c>
      <c r="D454">
        <v>335</v>
      </c>
      <c r="E454">
        <v>2.1</v>
      </c>
      <c r="F454">
        <v>12.5</v>
      </c>
      <c r="G454">
        <v>62</v>
      </c>
      <c r="H454">
        <v>12</v>
      </c>
      <c r="I454">
        <v>1</v>
      </c>
      <c r="J454">
        <v>0.01</v>
      </c>
      <c r="K454">
        <v>11</v>
      </c>
      <c r="L454">
        <v>0</v>
      </c>
      <c r="M454">
        <v>0</v>
      </c>
      <c r="N454">
        <v>0</v>
      </c>
      <c r="O454">
        <v>0</v>
      </c>
      <c r="P454">
        <v>670</v>
      </c>
      <c r="Q454">
        <v>110</v>
      </c>
      <c r="R454">
        <v>3100</v>
      </c>
      <c r="S454">
        <v>5333</v>
      </c>
      <c r="T454">
        <v>800</v>
      </c>
      <c r="U454">
        <v>200</v>
      </c>
      <c r="V454">
        <v>1</v>
      </c>
      <c r="W454">
        <v>40</v>
      </c>
      <c r="X454">
        <v>0</v>
      </c>
      <c r="Y454">
        <v>0</v>
      </c>
      <c r="Z454">
        <v>0</v>
      </c>
      <c r="AA454">
        <v>250</v>
      </c>
      <c r="AB454">
        <v>0</v>
      </c>
      <c r="AC454">
        <v>5</v>
      </c>
      <c r="AD454">
        <v>390</v>
      </c>
      <c r="AE454">
        <v>34</v>
      </c>
      <c r="AF454">
        <v>120</v>
      </c>
      <c r="AG454">
        <v>370</v>
      </c>
      <c r="AH454">
        <v>190</v>
      </c>
      <c r="AI454">
        <v>22</v>
      </c>
      <c r="AJ454">
        <v>3900</v>
      </c>
      <c r="AK454">
        <v>3000</v>
      </c>
      <c r="AL454">
        <v>510</v>
      </c>
      <c r="AM454">
        <v>264</v>
      </c>
      <c r="AN454">
        <v>40</v>
      </c>
      <c r="AO454">
        <v>2</v>
      </c>
      <c r="AP454">
        <v>0</v>
      </c>
      <c r="AQ454">
        <v>0</v>
      </c>
      <c r="AR454">
        <v>0</v>
      </c>
      <c r="AS454">
        <v>0</v>
      </c>
      <c r="AT454">
        <v>61</v>
      </c>
      <c r="AU454">
        <v>61</v>
      </c>
      <c r="AV454">
        <v>0</v>
      </c>
      <c r="AW454">
        <v>122</v>
      </c>
      <c r="AX454">
        <v>606</v>
      </c>
      <c r="AY454">
        <v>0</v>
      </c>
      <c r="AZ454">
        <v>0</v>
      </c>
      <c r="BA454">
        <v>606</v>
      </c>
      <c r="BB454">
        <v>364</v>
      </c>
      <c r="BC454">
        <v>0</v>
      </c>
      <c r="BD454">
        <v>0</v>
      </c>
      <c r="BE454">
        <v>59508</v>
      </c>
      <c r="BF454">
        <v>59508</v>
      </c>
      <c r="BG454">
        <f t="shared" si="61"/>
        <v>60.333333333333336</v>
      </c>
      <c r="BH454">
        <v>523</v>
      </c>
      <c r="BI454">
        <v>898</v>
      </c>
      <c r="BJ454">
        <v>362</v>
      </c>
      <c r="BK454">
        <v>201</v>
      </c>
      <c r="BL454">
        <v>268</v>
      </c>
      <c r="BM454">
        <v>616</v>
      </c>
      <c r="BN454">
        <v>402</v>
      </c>
      <c r="BO454">
        <v>389</v>
      </c>
      <c r="BP454">
        <v>134</v>
      </c>
      <c r="BQ454">
        <v>603</v>
      </c>
      <c r="BR454">
        <v>603</v>
      </c>
      <c r="BS454">
        <v>255</v>
      </c>
      <c r="BT454">
        <v>5254</v>
      </c>
      <c r="BU454">
        <v>469</v>
      </c>
      <c r="BV454">
        <v>657</v>
      </c>
      <c r="BW454">
        <v>4059</v>
      </c>
      <c r="BX454">
        <v>616</v>
      </c>
      <c r="BY454">
        <v>1528</v>
      </c>
      <c r="BZ454">
        <v>683</v>
      </c>
      <c r="CA454">
        <v>8012</v>
      </c>
      <c r="CB454">
        <v>80</v>
      </c>
      <c r="CC454">
        <v>33</v>
      </c>
      <c r="CD454">
        <v>72</v>
      </c>
      <c r="CE454">
        <v>1073</v>
      </c>
      <c r="CF454">
        <v>14.9</v>
      </c>
      <c r="CG454">
        <v>0</v>
      </c>
      <c r="CH454">
        <v>0</v>
      </c>
      <c r="CI454">
        <v>0</v>
      </c>
      <c r="CJ454">
        <v>0</v>
      </c>
      <c r="CK454">
        <v>2</v>
      </c>
      <c r="CL454">
        <v>4</v>
      </c>
      <c r="CM454">
        <v>2</v>
      </c>
      <c r="CN454">
        <v>324</v>
      </c>
      <c r="CO454">
        <v>0</v>
      </c>
      <c r="CP454">
        <v>18</v>
      </c>
      <c r="CQ454">
        <v>14</v>
      </c>
      <c r="CR454">
        <v>0</v>
      </c>
      <c r="CS454">
        <v>0</v>
      </c>
      <c r="CT454">
        <v>364</v>
      </c>
      <c r="CU454">
        <v>0</v>
      </c>
      <c r="CV454">
        <v>0</v>
      </c>
      <c r="CW454">
        <v>9</v>
      </c>
      <c r="CX454">
        <v>0</v>
      </c>
      <c r="CY454">
        <v>275</v>
      </c>
      <c r="CZ454">
        <v>7</v>
      </c>
      <c r="DA454">
        <v>0</v>
      </c>
      <c r="DB454">
        <v>0</v>
      </c>
      <c r="DC454">
        <v>291</v>
      </c>
      <c r="DD454">
        <v>0</v>
      </c>
      <c r="DE454">
        <v>0</v>
      </c>
      <c r="DF454">
        <v>1069</v>
      </c>
      <c r="DG454">
        <v>72</v>
      </c>
      <c r="DH454">
        <v>0</v>
      </c>
      <c r="DI454">
        <v>0</v>
      </c>
      <c r="DJ454">
        <v>0</v>
      </c>
      <c r="DK454">
        <v>0</v>
      </c>
      <c r="DL454">
        <v>4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1145</v>
      </c>
      <c r="DT454">
        <v>1800</v>
      </c>
      <c r="DU454">
        <v>700</v>
      </c>
      <c r="DV454">
        <v>0</v>
      </c>
      <c r="DW454">
        <v>0</v>
      </c>
      <c r="DX454">
        <v>0</v>
      </c>
      <c r="DY454">
        <v>4600</v>
      </c>
      <c r="DZ454">
        <v>3450</v>
      </c>
      <c r="EA454">
        <v>805</v>
      </c>
      <c r="EB454">
        <v>2070</v>
      </c>
      <c r="EC454">
        <v>575</v>
      </c>
      <c r="ED454">
        <v>2875</v>
      </c>
      <c r="EE454">
        <v>8625</v>
      </c>
      <c r="EF454">
        <v>0</v>
      </c>
      <c r="EG454">
        <v>0</v>
      </c>
      <c r="EH454">
        <v>1.5</v>
      </c>
      <c r="EI454">
        <v>8.6</v>
      </c>
      <c r="EJ454">
        <v>2.5</v>
      </c>
      <c r="EK454">
        <v>13.5</v>
      </c>
    </row>
    <row r="455" spans="1:141" x14ac:dyDescent="0.25">
      <c r="A455" t="str">
        <f>[1]ingredient!B456</f>
        <v>Weizen-Vollkorn Lasagne</v>
      </c>
      <c r="B455" t="s">
        <v>215</v>
      </c>
      <c r="C455" s="7">
        <f>_xlfn.XLOOKUP(A455,[1]ingredient!$B$2:$B$521,[1]ingredient!$A$2:$A$521)</f>
        <v>455</v>
      </c>
      <c r="D455">
        <v>335</v>
      </c>
      <c r="E455">
        <v>2.1</v>
      </c>
      <c r="F455">
        <v>12.5</v>
      </c>
      <c r="G455">
        <v>62</v>
      </c>
      <c r="H455">
        <v>12</v>
      </c>
      <c r="I455">
        <v>1</v>
      </c>
      <c r="J455">
        <v>0.01</v>
      </c>
      <c r="K455">
        <v>11</v>
      </c>
      <c r="L455">
        <v>0</v>
      </c>
      <c r="M455">
        <v>0</v>
      </c>
      <c r="N455">
        <v>0</v>
      </c>
      <c r="O455">
        <v>0</v>
      </c>
      <c r="P455">
        <v>670</v>
      </c>
      <c r="Q455">
        <v>110</v>
      </c>
      <c r="R455">
        <v>3100</v>
      </c>
      <c r="S455">
        <v>5333</v>
      </c>
      <c r="T455">
        <v>800</v>
      </c>
      <c r="U455">
        <v>200</v>
      </c>
      <c r="V455">
        <v>1</v>
      </c>
      <c r="W455">
        <v>40</v>
      </c>
      <c r="X455">
        <v>0</v>
      </c>
      <c r="Y455">
        <v>0</v>
      </c>
      <c r="Z455">
        <v>0</v>
      </c>
      <c r="AA455">
        <v>250</v>
      </c>
      <c r="AB455">
        <v>0</v>
      </c>
      <c r="AC455">
        <v>5</v>
      </c>
      <c r="AD455">
        <v>390</v>
      </c>
      <c r="AE455">
        <v>34</v>
      </c>
      <c r="AF455">
        <v>120</v>
      </c>
      <c r="AG455">
        <v>370</v>
      </c>
      <c r="AH455">
        <v>190</v>
      </c>
      <c r="AI455">
        <v>22</v>
      </c>
      <c r="AJ455">
        <v>3900</v>
      </c>
      <c r="AK455">
        <v>3000</v>
      </c>
      <c r="AL455">
        <v>510</v>
      </c>
      <c r="AM455">
        <v>264</v>
      </c>
      <c r="AN455">
        <v>40</v>
      </c>
      <c r="AO455">
        <v>2</v>
      </c>
      <c r="AP455">
        <v>0</v>
      </c>
      <c r="AQ455">
        <v>0</v>
      </c>
      <c r="AR455">
        <v>0</v>
      </c>
      <c r="AS455">
        <v>0</v>
      </c>
      <c r="AT455">
        <v>61</v>
      </c>
      <c r="AU455">
        <v>61</v>
      </c>
      <c r="AV455">
        <v>0</v>
      </c>
      <c r="AW455">
        <v>122</v>
      </c>
      <c r="AX455">
        <v>606</v>
      </c>
      <c r="AY455">
        <v>0</v>
      </c>
      <c r="AZ455">
        <v>0</v>
      </c>
      <c r="BA455">
        <v>606</v>
      </c>
      <c r="BB455">
        <v>364</v>
      </c>
      <c r="BC455">
        <v>0</v>
      </c>
      <c r="BD455">
        <v>0</v>
      </c>
      <c r="BE455">
        <v>59508</v>
      </c>
      <c r="BF455">
        <v>59508</v>
      </c>
      <c r="BG455">
        <f t="shared" si="61"/>
        <v>60.333333333333336</v>
      </c>
      <c r="BH455">
        <v>523</v>
      </c>
      <c r="BI455">
        <v>898</v>
      </c>
      <c r="BJ455">
        <v>362</v>
      </c>
      <c r="BK455">
        <v>201</v>
      </c>
      <c r="BL455">
        <v>268</v>
      </c>
      <c r="BM455">
        <v>616</v>
      </c>
      <c r="BN455">
        <v>402</v>
      </c>
      <c r="BO455">
        <v>389</v>
      </c>
      <c r="BP455">
        <v>134</v>
      </c>
      <c r="BQ455">
        <v>603</v>
      </c>
      <c r="BR455">
        <v>603</v>
      </c>
      <c r="BS455">
        <v>255</v>
      </c>
      <c r="BT455">
        <v>5254</v>
      </c>
      <c r="BU455">
        <v>469</v>
      </c>
      <c r="BV455">
        <v>657</v>
      </c>
      <c r="BW455">
        <v>4059</v>
      </c>
      <c r="BX455">
        <v>616</v>
      </c>
      <c r="BY455">
        <v>1528</v>
      </c>
      <c r="BZ455">
        <v>683</v>
      </c>
      <c r="CA455">
        <v>8012</v>
      </c>
      <c r="CB455">
        <v>80</v>
      </c>
      <c r="CC455">
        <v>33</v>
      </c>
      <c r="CD455">
        <v>72</v>
      </c>
      <c r="CE455">
        <v>1073</v>
      </c>
      <c r="CF455">
        <v>14.9</v>
      </c>
      <c r="CG455">
        <v>0</v>
      </c>
      <c r="CH455">
        <v>0</v>
      </c>
      <c r="CI455">
        <v>0</v>
      </c>
      <c r="CJ455">
        <v>0</v>
      </c>
      <c r="CK455">
        <v>2</v>
      </c>
      <c r="CL455">
        <v>4</v>
      </c>
      <c r="CM455">
        <v>2</v>
      </c>
      <c r="CN455">
        <v>324</v>
      </c>
      <c r="CO455">
        <v>0</v>
      </c>
      <c r="CP455">
        <v>18</v>
      </c>
      <c r="CQ455">
        <v>14</v>
      </c>
      <c r="CR455">
        <v>0</v>
      </c>
      <c r="CS455">
        <v>0</v>
      </c>
      <c r="CT455">
        <v>364</v>
      </c>
      <c r="CU455">
        <v>0</v>
      </c>
      <c r="CV455">
        <v>0</v>
      </c>
      <c r="CW455">
        <v>9</v>
      </c>
      <c r="CX455">
        <v>0</v>
      </c>
      <c r="CY455">
        <v>275</v>
      </c>
      <c r="CZ455">
        <v>7</v>
      </c>
      <c r="DA455">
        <v>0</v>
      </c>
      <c r="DB455">
        <v>0</v>
      </c>
      <c r="DC455">
        <v>291</v>
      </c>
      <c r="DD455">
        <v>0</v>
      </c>
      <c r="DE455">
        <v>0</v>
      </c>
      <c r="DF455">
        <v>1069</v>
      </c>
      <c r="DG455">
        <v>72</v>
      </c>
      <c r="DH455">
        <v>0</v>
      </c>
      <c r="DI455">
        <v>0</v>
      </c>
      <c r="DJ455">
        <v>0</v>
      </c>
      <c r="DK455">
        <v>0</v>
      </c>
      <c r="DL455">
        <v>4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1145</v>
      </c>
      <c r="DT455">
        <v>1800</v>
      </c>
      <c r="DU455">
        <v>700</v>
      </c>
      <c r="DV455">
        <v>0</v>
      </c>
      <c r="DW455">
        <v>0</v>
      </c>
      <c r="DX455">
        <v>0</v>
      </c>
      <c r="DY455">
        <v>4600</v>
      </c>
      <c r="DZ455">
        <v>3450</v>
      </c>
      <c r="EA455">
        <v>805</v>
      </c>
      <c r="EB455">
        <v>2070</v>
      </c>
      <c r="EC455">
        <v>575</v>
      </c>
      <c r="ED455">
        <v>2875</v>
      </c>
      <c r="EE455">
        <v>8625</v>
      </c>
      <c r="EF455">
        <v>0</v>
      </c>
      <c r="EG455">
        <v>0</v>
      </c>
      <c r="EH455">
        <v>1.5</v>
      </c>
      <c r="EI455">
        <v>8.6</v>
      </c>
      <c r="EJ455">
        <v>2.5</v>
      </c>
      <c r="EK455">
        <v>13.5</v>
      </c>
    </row>
    <row r="456" spans="1:141" x14ac:dyDescent="0.25">
      <c r="A456" t="str">
        <f>[1]ingredient!B457</f>
        <v>Weizen-Vollkorn Linguine</v>
      </c>
      <c r="B456" t="s">
        <v>215</v>
      </c>
      <c r="C456" s="7">
        <f>_xlfn.XLOOKUP(A456,[1]ingredient!$B$2:$B$521,[1]ingredient!$A$2:$A$521)</f>
        <v>456</v>
      </c>
      <c r="D456">
        <v>335</v>
      </c>
      <c r="E456">
        <v>2.1</v>
      </c>
      <c r="F456">
        <v>12.5</v>
      </c>
      <c r="G456">
        <v>62</v>
      </c>
      <c r="H456">
        <v>12</v>
      </c>
      <c r="I456">
        <v>1</v>
      </c>
      <c r="J456">
        <v>0.01</v>
      </c>
      <c r="K456">
        <v>11</v>
      </c>
      <c r="L456">
        <v>0</v>
      </c>
      <c r="M456">
        <v>0</v>
      </c>
      <c r="N456">
        <v>0</v>
      </c>
      <c r="O456">
        <v>0</v>
      </c>
      <c r="P456">
        <v>670</v>
      </c>
      <c r="Q456">
        <v>110</v>
      </c>
      <c r="R456">
        <v>3100</v>
      </c>
      <c r="S456">
        <v>5333</v>
      </c>
      <c r="T456">
        <v>800</v>
      </c>
      <c r="U456">
        <v>200</v>
      </c>
      <c r="V456">
        <v>1</v>
      </c>
      <c r="W456">
        <v>40</v>
      </c>
      <c r="X456">
        <v>0</v>
      </c>
      <c r="Y456">
        <v>0</v>
      </c>
      <c r="Z456">
        <v>0</v>
      </c>
      <c r="AA456">
        <v>250</v>
      </c>
      <c r="AB456">
        <v>0</v>
      </c>
      <c r="AC456">
        <v>5</v>
      </c>
      <c r="AD456">
        <v>390</v>
      </c>
      <c r="AE456">
        <v>34</v>
      </c>
      <c r="AF456">
        <v>120</v>
      </c>
      <c r="AG456">
        <v>370</v>
      </c>
      <c r="AH456">
        <v>190</v>
      </c>
      <c r="AI456">
        <v>22</v>
      </c>
      <c r="AJ456">
        <v>3900</v>
      </c>
      <c r="AK456">
        <v>3000</v>
      </c>
      <c r="AL456">
        <v>510</v>
      </c>
      <c r="AM456">
        <v>264</v>
      </c>
      <c r="AN456">
        <v>40</v>
      </c>
      <c r="AO456">
        <v>2</v>
      </c>
      <c r="AP456">
        <v>0</v>
      </c>
      <c r="AQ456">
        <v>0</v>
      </c>
      <c r="AR456">
        <v>0</v>
      </c>
      <c r="AS456">
        <v>0</v>
      </c>
      <c r="AT456">
        <v>61</v>
      </c>
      <c r="AU456">
        <v>61</v>
      </c>
      <c r="AV456">
        <v>0</v>
      </c>
      <c r="AW456">
        <v>122</v>
      </c>
      <c r="AX456">
        <v>606</v>
      </c>
      <c r="AY456">
        <v>0</v>
      </c>
      <c r="AZ456">
        <v>0</v>
      </c>
      <c r="BA456">
        <v>606</v>
      </c>
      <c r="BB456">
        <v>364</v>
      </c>
      <c r="BC456">
        <v>0</v>
      </c>
      <c r="BD456">
        <v>0</v>
      </c>
      <c r="BE456">
        <v>59508</v>
      </c>
      <c r="BF456">
        <v>59508</v>
      </c>
      <c r="BG456">
        <f t="shared" si="61"/>
        <v>60.333333333333336</v>
      </c>
      <c r="BH456">
        <v>523</v>
      </c>
      <c r="BI456">
        <v>898</v>
      </c>
      <c r="BJ456">
        <v>362</v>
      </c>
      <c r="BK456">
        <v>201</v>
      </c>
      <c r="BL456">
        <v>268</v>
      </c>
      <c r="BM456">
        <v>616</v>
      </c>
      <c r="BN456">
        <v>402</v>
      </c>
      <c r="BO456">
        <v>389</v>
      </c>
      <c r="BP456">
        <v>134</v>
      </c>
      <c r="BQ456">
        <v>603</v>
      </c>
      <c r="BR456">
        <v>603</v>
      </c>
      <c r="BS456">
        <v>255</v>
      </c>
      <c r="BT456">
        <v>5254</v>
      </c>
      <c r="BU456">
        <v>469</v>
      </c>
      <c r="BV456">
        <v>657</v>
      </c>
      <c r="BW456">
        <v>4059</v>
      </c>
      <c r="BX456">
        <v>616</v>
      </c>
      <c r="BY456">
        <v>1528</v>
      </c>
      <c r="BZ456">
        <v>683</v>
      </c>
      <c r="CA456">
        <v>8012</v>
      </c>
      <c r="CB456">
        <v>80</v>
      </c>
      <c r="CC456">
        <v>33</v>
      </c>
      <c r="CD456">
        <v>72</v>
      </c>
      <c r="CE456">
        <v>1073</v>
      </c>
      <c r="CF456">
        <v>14.9</v>
      </c>
      <c r="CG456">
        <v>0</v>
      </c>
      <c r="CH456">
        <v>0</v>
      </c>
      <c r="CI456">
        <v>0</v>
      </c>
      <c r="CJ456">
        <v>0</v>
      </c>
      <c r="CK456">
        <v>2</v>
      </c>
      <c r="CL456">
        <v>4</v>
      </c>
      <c r="CM456">
        <v>2</v>
      </c>
      <c r="CN456">
        <v>324</v>
      </c>
      <c r="CO456">
        <v>0</v>
      </c>
      <c r="CP456">
        <v>18</v>
      </c>
      <c r="CQ456">
        <v>14</v>
      </c>
      <c r="CR456">
        <v>0</v>
      </c>
      <c r="CS456">
        <v>0</v>
      </c>
      <c r="CT456">
        <v>364</v>
      </c>
      <c r="CU456">
        <v>0</v>
      </c>
      <c r="CV456">
        <v>0</v>
      </c>
      <c r="CW456">
        <v>9</v>
      </c>
      <c r="CX456">
        <v>0</v>
      </c>
      <c r="CY456">
        <v>275</v>
      </c>
      <c r="CZ456">
        <v>7</v>
      </c>
      <c r="DA456">
        <v>0</v>
      </c>
      <c r="DB456">
        <v>0</v>
      </c>
      <c r="DC456">
        <v>291</v>
      </c>
      <c r="DD456">
        <v>0</v>
      </c>
      <c r="DE456">
        <v>0</v>
      </c>
      <c r="DF456">
        <v>1069</v>
      </c>
      <c r="DG456">
        <v>72</v>
      </c>
      <c r="DH456">
        <v>0</v>
      </c>
      <c r="DI456">
        <v>0</v>
      </c>
      <c r="DJ456">
        <v>0</v>
      </c>
      <c r="DK456">
        <v>0</v>
      </c>
      <c r="DL456">
        <v>4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1145</v>
      </c>
      <c r="DT456">
        <v>1800</v>
      </c>
      <c r="DU456">
        <v>700</v>
      </c>
      <c r="DV456">
        <v>0</v>
      </c>
      <c r="DW456">
        <v>0</v>
      </c>
      <c r="DX456">
        <v>0</v>
      </c>
      <c r="DY456">
        <v>4600</v>
      </c>
      <c r="DZ456">
        <v>3450</v>
      </c>
      <c r="EA456">
        <v>805</v>
      </c>
      <c r="EB456">
        <v>2070</v>
      </c>
      <c r="EC456">
        <v>575</v>
      </c>
      <c r="ED456">
        <v>2875</v>
      </c>
      <c r="EE456">
        <v>8625</v>
      </c>
      <c r="EF456">
        <v>0</v>
      </c>
      <c r="EG456">
        <v>0</v>
      </c>
      <c r="EH456">
        <v>1.5</v>
      </c>
      <c r="EI456">
        <v>8.6</v>
      </c>
      <c r="EJ456">
        <v>2.5</v>
      </c>
      <c r="EK456">
        <v>13.5</v>
      </c>
    </row>
    <row r="457" spans="1:141" x14ac:dyDescent="0.25">
      <c r="A457" t="str">
        <f>[1]ingredient!B458</f>
        <v>Weizen-Vollkorn Penne</v>
      </c>
      <c r="B457" t="s">
        <v>215</v>
      </c>
      <c r="C457" s="7">
        <f>_xlfn.XLOOKUP(A457,[1]ingredient!$B$2:$B$521,[1]ingredient!$A$2:$A$521)</f>
        <v>457</v>
      </c>
      <c r="D457">
        <v>335</v>
      </c>
      <c r="E457">
        <v>2.1</v>
      </c>
      <c r="F457">
        <v>12.5</v>
      </c>
      <c r="G457">
        <v>62</v>
      </c>
      <c r="H457">
        <v>12</v>
      </c>
      <c r="I457">
        <v>1</v>
      </c>
      <c r="J457">
        <v>0.01</v>
      </c>
      <c r="K457">
        <v>11</v>
      </c>
      <c r="L457">
        <v>0</v>
      </c>
      <c r="M457">
        <v>0</v>
      </c>
      <c r="N457">
        <v>0</v>
      </c>
      <c r="O457">
        <v>0</v>
      </c>
      <c r="P457">
        <v>670</v>
      </c>
      <c r="Q457">
        <v>110</v>
      </c>
      <c r="R457">
        <v>3100</v>
      </c>
      <c r="S457">
        <v>5333</v>
      </c>
      <c r="T457">
        <v>800</v>
      </c>
      <c r="U457">
        <v>200</v>
      </c>
      <c r="V457">
        <v>1</v>
      </c>
      <c r="W457">
        <v>40</v>
      </c>
      <c r="X457">
        <v>0</v>
      </c>
      <c r="Y457">
        <v>0</v>
      </c>
      <c r="Z457">
        <v>0</v>
      </c>
      <c r="AA457">
        <v>250</v>
      </c>
      <c r="AB457">
        <v>0</v>
      </c>
      <c r="AC457">
        <v>5</v>
      </c>
      <c r="AD457">
        <v>390</v>
      </c>
      <c r="AE457">
        <v>34</v>
      </c>
      <c r="AF457">
        <v>120</v>
      </c>
      <c r="AG457">
        <v>370</v>
      </c>
      <c r="AH457">
        <v>190</v>
      </c>
      <c r="AI457">
        <v>22</v>
      </c>
      <c r="AJ457">
        <v>3900</v>
      </c>
      <c r="AK457">
        <v>3000</v>
      </c>
      <c r="AL457">
        <v>510</v>
      </c>
      <c r="AM457">
        <v>264</v>
      </c>
      <c r="AN457">
        <v>40</v>
      </c>
      <c r="AO457">
        <v>2</v>
      </c>
      <c r="AP457">
        <v>0</v>
      </c>
      <c r="AQ457">
        <v>0</v>
      </c>
      <c r="AR457">
        <v>0</v>
      </c>
      <c r="AS457">
        <v>0</v>
      </c>
      <c r="AT457">
        <v>61</v>
      </c>
      <c r="AU457">
        <v>61</v>
      </c>
      <c r="AV457">
        <v>0</v>
      </c>
      <c r="AW457">
        <v>122</v>
      </c>
      <c r="AX457">
        <v>606</v>
      </c>
      <c r="AY457">
        <v>0</v>
      </c>
      <c r="AZ457">
        <v>0</v>
      </c>
      <c r="BA457">
        <v>606</v>
      </c>
      <c r="BB457">
        <v>364</v>
      </c>
      <c r="BC457">
        <v>0</v>
      </c>
      <c r="BD457">
        <v>0</v>
      </c>
      <c r="BE457">
        <v>59508</v>
      </c>
      <c r="BF457">
        <v>59508</v>
      </c>
      <c r="BG457">
        <f t="shared" si="61"/>
        <v>60.333333333333336</v>
      </c>
      <c r="BH457">
        <v>523</v>
      </c>
      <c r="BI457">
        <v>898</v>
      </c>
      <c r="BJ457">
        <v>362</v>
      </c>
      <c r="BK457">
        <v>201</v>
      </c>
      <c r="BL457">
        <v>268</v>
      </c>
      <c r="BM457">
        <v>616</v>
      </c>
      <c r="BN457">
        <v>402</v>
      </c>
      <c r="BO457">
        <v>389</v>
      </c>
      <c r="BP457">
        <v>134</v>
      </c>
      <c r="BQ457">
        <v>603</v>
      </c>
      <c r="BR457">
        <v>603</v>
      </c>
      <c r="BS457">
        <v>255</v>
      </c>
      <c r="BT457">
        <v>5254</v>
      </c>
      <c r="BU457">
        <v>469</v>
      </c>
      <c r="BV457">
        <v>657</v>
      </c>
      <c r="BW457">
        <v>4059</v>
      </c>
      <c r="BX457">
        <v>616</v>
      </c>
      <c r="BY457">
        <v>1528</v>
      </c>
      <c r="BZ457">
        <v>683</v>
      </c>
      <c r="CA457">
        <v>8012</v>
      </c>
      <c r="CB457">
        <v>80</v>
      </c>
      <c r="CC457">
        <v>33</v>
      </c>
      <c r="CD457">
        <v>72</v>
      </c>
      <c r="CE457">
        <v>1073</v>
      </c>
      <c r="CF457">
        <v>14.9</v>
      </c>
      <c r="CG457">
        <v>0</v>
      </c>
      <c r="CH457">
        <v>0</v>
      </c>
      <c r="CI457">
        <v>0</v>
      </c>
      <c r="CJ457">
        <v>0</v>
      </c>
      <c r="CK457">
        <v>2</v>
      </c>
      <c r="CL457">
        <v>4</v>
      </c>
      <c r="CM457">
        <v>2</v>
      </c>
      <c r="CN457">
        <v>324</v>
      </c>
      <c r="CO457">
        <v>0</v>
      </c>
      <c r="CP457">
        <v>18</v>
      </c>
      <c r="CQ457">
        <v>14</v>
      </c>
      <c r="CR457">
        <v>0</v>
      </c>
      <c r="CS457">
        <v>0</v>
      </c>
      <c r="CT457">
        <v>364</v>
      </c>
      <c r="CU457">
        <v>0</v>
      </c>
      <c r="CV457">
        <v>0</v>
      </c>
      <c r="CW457">
        <v>9</v>
      </c>
      <c r="CX457">
        <v>0</v>
      </c>
      <c r="CY457">
        <v>275</v>
      </c>
      <c r="CZ457">
        <v>7</v>
      </c>
      <c r="DA457">
        <v>0</v>
      </c>
      <c r="DB457">
        <v>0</v>
      </c>
      <c r="DC457">
        <v>291</v>
      </c>
      <c r="DD457">
        <v>0</v>
      </c>
      <c r="DE457">
        <v>0</v>
      </c>
      <c r="DF457">
        <v>1069</v>
      </c>
      <c r="DG457">
        <v>72</v>
      </c>
      <c r="DH457">
        <v>0</v>
      </c>
      <c r="DI457">
        <v>0</v>
      </c>
      <c r="DJ457">
        <v>0</v>
      </c>
      <c r="DK457">
        <v>0</v>
      </c>
      <c r="DL457">
        <v>4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1145</v>
      </c>
      <c r="DT457">
        <v>1800</v>
      </c>
      <c r="DU457">
        <v>700</v>
      </c>
      <c r="DV457">
        <v>0</v>
      </c>
      <c r="DW457">
        <v>0</v>
      </c>
      <c r="DX457">
        <v>0</v>
      </c>
      <c r="DY457">
        <v>4600</v>
      </c>
      <c r="DZ457">
        <v>3450</v>
      </c>
      <c r="EA457">
        <v>805</v>
      </c>
      <c r="EB457">
        <v>2070</v>
      </c>
      <c r="EC457">
        <v>575</v>
      </c>
      <c r="ED457">
        <v>2875</v>
      </c>
      <c r="EE457">
        <v>8625</v>
      </c>
      <c r="EF457">
        <v>0</v>
      </c>
      <c r="EG457">
        <v>0</v>
      </c>
      <c r="EH457">
        <v>1.5</v>
      </c>
      <c r="EI457">
        <v>8.6</v>
      </c>
      <c r="EJ457">
        <v>2.5</v>
      </c>
      <c r="EK457">
        <v>13.5</v>
      </c>
    </row>
    <row r="458" spans="1:141" x14ac:dyDescent="0.25">
      <c r="A458" t="str">
        <f>[1]ingredient!B459</f>
        <v>Weizen-Vollkorn Pipette Rigate</v>
      </c>
      <c r="B458" t="s">
        <v>215</v>
      </c>
      <c r="C458" s="7">
        <f>_xlfn.XLOOKUP(A458,[1]ingredient!$B$2:$B$521,[1]ingredient!$A$2:$A$521)</f>
        <v>458</v>
      </c>
      <c r="D458">
        <v>335</v>
      </c>
      <c r="E458">
        <v>2.1</v>
      </c>
      <c r="F458">
        <v>12.5</v>
      </c>
      <c r="G458">
        <v>62</v>
      </c>
      <c r="H458">
        <v>12</v>
      </c>
      <c r="I458">
        <v>1</v>
      </c>
      <c r="J458">
        <v>0.01</v>
      </c>
      <c r="K458">
        <v>11</v>
      </c>
      <c r="L458">
        <v>0</v>
      </c>
      <c r="M458">
        <v>0</v>
      </c>
      <c r="N458">
        <v>0</v>
      </c>
      <c r="O458">
        <v>0</v>
      </c>
      <c r="P458">
        <v>670</v>
      </c>
      <c r="Q458">
        <v>110</v>
      </c>
      <c r="R458">
        <v>3100</v>
      </c>
      <c r="S458">
        <v>5333</v>
      </c>
      <c r="T458">
        <v>800</v>
      </c>
      <c r="U458">
        <v>200</v>
      </c>
      <c r="V458">
        <v>1</v>
      </c>
      <c r="W458">
        <v>40</v>
      </c>
      <c r="X458">
        <v>0</v>
      </c>
      <c r="Y458">
        <v>0</v>
      </c>
      <c r="Z458">
        <v>0</v>
      </c>
      <c r="AA458">
        <v>250</v>
      </c>
      <c r="AB458">
        <v>0</v>
      </c>
      <c r="AC458">
        <v>5</v>
      </c>
      <c r="AD458">
        <v>390</v>
      </c>
      <c r="AE458">
        <v>34</v>
      </c>
      <c r="AF458">
        <v>120</v>
      </c>
      <c r="AG458">
        <v>370</v>
      </c>
      <c r="AH458">
        <v>190</v>
      </c>
      <c r="AI458">
        <v>22</v>
      </c>
      <c r="AJ458">
        <v>3900</v>
      </c>
      <c r="AK458">
        <v>3000</v>
      </c>
      <c r="AL458">
        <v>510</v>
      </c>
      <c r="AM458">
        <v>264</v>
      </c>
      <c r="AN458">
        <v>40</v>
      </c>
      <c r="AO458">
        <v>2</v>
      </c>
      <c r="AP458">
        <v>0</v>
      </c>
      <c r="AQ458">
        <v>0</v>
      </c>
      <c r="AR458">
        <v>0</v>
      </c>
      <c r="AS458">
        <v>0</v>
      </c>
      <c r="AT458">
        <v>61</v>
      </c>
      <c r="AU458">
        <v>61</v>
      </c>
      <c r="AV458">
        <v>0</v>
      </c>
      <c r="AW458">
        <v>122</v>
      </c>
      <c r="AX458">
        <v>606</v>
      </c>
      <c r="AY458">
        <v>0</v>
      </c>
      <c r="AZ458">
        <v>0</v>
      </c>
      <c r="BA458">
        <v>606</v>
      </c>
      <c r="BB458">
        <v>364</v>
      </c>
      <c r="BC458">
        <v>0</v>
      </c>
      <c r="BD458">
        <v>0</v>
      </c>
      <c r="BE458">
        <v>59508</v>
      </c>
      <c r="BF458">
        <v>59508</v>
      </c>
      <c r="BG458">
        <f t="shared" si="61"/>
        <v>60.333333333333336</v>
      </c>
      <c r="BH458">
        <v>523</v>
      </c>
      <c r="BI458">
        <v>898</v>
      </c>
      <c r="BJ458">
        <v>362</v>
      </c>
      <c r="BK458">
        <v>201</v>
      </c>
      <c r="BL458">
        <v>268</v>
      </c>
      <c r="BM458">
        <v>616</v>
      </c>
      <c r="BN458">
        <v>402</v>
      </c>
      <c r="BO458">
        <v>389</v>
      </c>
      <c r="BP458">
        <v>134</v>
      </c>
      <c r="BQ458">
        <v>603</v>
      </c>
      <c r="BR458">
        <v>603</v>
      </c>
      <c r="BS458">
        <v>255</v>
      </c>
      <c r="BT458">
        <v>5254</v>
      </c>
      <c r="BU458">
        <v>469</v>
      </c>
      <c r="BV458">
        <v>657</v>
      </c>
      <c r="BW458">
        <v>4059</v>
      </c>
      <c r="BX458">
        <v>616</v>
      </c>
      <c r="BY458">
        <v>1528</v>
      </c>
      <c r="BZ458">
        <v>683</v>
      </c>
      <c r="CA458">
        <v>8012</v>
      </c>
      <c r="CB458">
        <v>80</v>
      </c>
      <c r="CC458">
        <v>33</v>
      </c>
      <c r="CD458">
        <v>72</v>
      </c>
      <c r="CE458">
        <v>1073</v>
      </c>
      <c r="CF458">
        <v>14.9</v>
      </c>
      <c r="CG458">
        <v>0</v>
      </c>
      <c r="CH458">
        <v>0</v>
      </c>
      <c r="CI458">
        <v>0</v>
      </c>
      <c r="CJ458">
        <v>0</v>
      </c>
      <c r="CK458">
        <v>2</v>
      </c>
      <c r="CL458">
        <v>4</v>
      </c>
      <c r="CM458">
        <v>2</v>
      </c>
      <c r="CN458">
        <v>324</v>
      </c>
      <c r="CO458">
        <v>0</v>
      </c>
      <c r="CP458">
        <v>18</v>
      </c>
      <c r="CQ458">
        <v>14</v>
      </c>
      <c r="CR458">
        <v>0</v>
      </c>
      <c r="CS458">
        <v>0</v>
      </c>
      <c r="CT458">
        <v>364</v>
      </c>
      <c r="CU458">
        <v>0</v>
      </c>
      <c r="CV458">
        <v>0</v>
      </c>
      <c r="CW458">
        <v>9</v>
      </c>
      <c r="CX458">
        <v>0</v>
      </c>
      <c r="CY458">
        <v>275</v>
      </c>
      <c r="CZ458">
        <v>7</v>
      </c>
      <c r="DA458">
        <v>0</v>
      </c>
      <c r="DB458">
        <v>0</v>
      </c>
      <c r="DC458">
        <v>291</v>
      </c>
      <c r="DD458">
        <v>0</v>
      </c>
      <c r="DE458">
        <v>0</v>
      </c>
      <c r="DF458">
        <v>1069</v>
      </c>
      <c r="DG458">
        <v>72</v>
      </c>
      <c r="DH458">
        <v>0</v>
      </c>
      <c r="DI458">
        <v>0</v>
      </c>
      <c r="DJ458">
        <v>0</v>
      </c>
      <c r="DK458">
        <v>0</v>
      </c>
      <c r="DL458">
        <v>4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1145</v>
      </c>
      <c r="DT458">
        <v>1800</v>
      </c>
      <c r="DU458">
        <v>700</v>
      </c>
      <c r="DV458">
        <v>0</v>
      </c>
      <c r="DW458">
        <v>0</v>
      </c>
      <c r="DX458">
        <v>0</v>
      </c>
      <c r="DY458">
        <v>4600</v>
      </c>
      <c r="DZ458">
        <v>3450</v>
      </c>
      <c r="EA458">
        <v>805</v>
      </c>
      <c r="EB458">
        <v>2070</v>
      </c>
      <c r="EC458">
        <v>575</v>
      </c>
      <c r="ED458">
        <v>2875</v>
      </c>
      <c r="EE458">
        <v>8625</v>
      </c>
      <c r="EF458">
        <v>0</v>
      </c>
      <c r="EG458">
        <v>0</v>
      </c>
      <c r="EH458">
        <v>1.5</v>
      </c>
      <c r="EI458">
        <v>8.6</v>
      </c>
      <c r="EJ458">
        <v>2.5</v>
      </c>
      <c r="EK458">
        <v>13.5</v>
      </c>
    </row>
    <row r="459" spans="1:141" x14ac:dyDescent="0.25">
      <c r="A459" t="str">
        <f>[1]ingredient!B460</f>
        <v>Wirsing</v>
      </c>
      <c r="B459" t="s">
        <v>484</v>
      </c>
      <c r="C459" s="7">
        <f>_xlfn.XLOOKUP(A459,[1]ingredient!$B$2:$B$521,[1]ingredient!$A$2:$A$521)</f>
        <v>459</v>
      </c>
      <c r="D459">
        <v>26</v>
      </c>
      <c r="E459">
        <v>0.4</v>
      </c>
      <c r="F459">
        <v>3</v>
      </c>
      <c r="G459">
        <v>2</v>
      </c>
      <c r="H459">
        <v>3</v>
      </c>
      <c r="I459">
        <v>2</v>
      </c>
      <c r="J459">
        <v>0.03</v>
      </c>
      <c r="K459">
        <v>90</v>
      </c>
      <c r="L459">
        <v>7</v>
      </c>
      <c r="M459">
        <v>3</v>
      </c>
      <c r="N459">
        <v>0</v>
      </c>
      <c r="O459">
        <v>39</v>
      </c>
      <c r="P459">
        <v>59</v>
      </c>
      <c r="Q459">
        <v>64</v>
      </c>
      <c r="R459">
        <v>300</v>
      </c>
      <c r="S459">
        <v>800</v>
      </c>
      <c r="T459">
        <v>210</v>
      </c>
      <c r="U459">
        <v>200</v>
      </c>
      <c r="V459">
        <v>0.1</v>
      </c>
      <c r="W459">
        <v>90</v>
      </c>
      <c r="X459">
        <v>0</v>
      </c>
      <c r="Y459">
        <v>49400</v>
      </c>
      <c r="Z459">
        <v>0</v>
      </c>
      <c r="AA459">
        <v>2500</v>
      </c>
      <c r="AB459">
        <v>100</v>
      </c>
      <c r="AC459">
        <v>9</v>
      </c>
      <c r="AD459">
        <v>252</v>
      </c>
      <c r="AE459">
        <v>47</v>
      </c>
      <c r="AF459">
        <v>12</v>
      </c>
      <c r="AG459">
        <v>56</v>
      </c>
      <c r="AH459">
        <v>88</v>
      </c>
      <c r="AI459">
        <v>22</v>
      </c>
      <c r="AJ459">
        <v>900</v>
      </c>
      <c r="AK459">
        <v>300</v>
      </c>
      <c r="AL459">
        <v>70</v>
      </c>
      <c r="AM459">
        <v>200</v>
      </c>
      <c r="AN459">
        <v>12</v>
      </c>
      <c r="AO459">
        <v>5</v>
      </c>
      <c r="AP459">
        <v>0</v>
      </c>
      <c r="AQ459">
        <v>0</v>
      </c>
      <c r="AR459">
        <v>0</v>
      </c>
      <c r="AS459">
        <v>0</v>
      </c>
      <c r="AT459">
        <v>855</v>
      </c>
      <c r="AU459">
        <v>856</v>
      </c>
      <c r="AV459">
        <v>0</v>
      </c>
      <c r="AW459">
        <v>1711</v>
      </c>
      <c r="AX459">
        <v>603</v>
      </c>
      <c r="AY459">
        <v>0</v>
      </c>
      <c r="AZ459">
        <v>0</v>
      </c>
      <c r="BA459">
        <v>603</v>
      </c>
      <c r="BB459">
        <v>0</v>
      </c>
      <c r="BC459">
        <v>0</v>
      </c>
      <c r="BD459">
        <v>0</v>
      </c>
      <c r="BE459">
        <v>96</v>
      </c>
      <c r="BF459">
        <v>96</v>
      </c>
      <c r="BG459">
        <f t="shared" si="61"/>
        <v>83.606557377049185</v>
      </c>
      <c r="BH459">
        <v>90</v>
      </c>
      <c r="BI459">
        <v>153</v>
      </c>
      <c r="BJ459">
        <v>138</v>
      </c>
      <c r="BK459">
        <v>30</v>
      </c>
      <c r="BL459">
        <v>36</v>
      </c>
      <c r="BM459">
        <v>90</v>
      </c>
      <c r="BN459">
        <v>54</v>
      </c>
      <c r="BO459">
        <v>102</v>
      </c>
      <c r="BP459">
        <v>30</v>
      </c>
      <c r="BQ459">
        <v>120</v>
      </c>
      <c r="BR459">
        <v>225</v>
      </c>
      <c r="BS459">
        <v>60</v>
      </c>
      <c r="BT459">
        <v>1128</v>
      </c>
      <c r="BU459">
        <v>120</v>
      </c>
      <c r="BV459">
        <v>255</v>
      </c>
      <c r="BW459">
        <v>630</v>
      </c>
      <c r="BX459">
        <v>75</v>
      </c>
      <c r="BY459">
        <v>567</v>
      </c>
      <c r="BZ459">
        <v>165</v>
      </c>
      <c r="CA459">
        <v>1812</v>
      </c>
      <c r="CB459">
        <v>40</v>
      </c>
      <c r="CC459">
        <v>17</v>
      </c>
      <c r="CD459">
        <v>127</v>
      </c>
      <c r="CE459">
        <v>98</v>
      </c>
      <c r="CF459">
        <v>0.77</v>
      </c>
      <c r="CG459">
        <v>0</v>
      </c>
      <c r="CH459">
        <v>0</v>
      </c>
      <c r="CI459">
        <v>0</v>
      </c>
      <c r="CJ459">
        <v>0</v>
      </c>
      <c r="CK459">
        <v>2</v>
      </c>
      <c r="CL459">
        <v>2</v>
      </c>
      <c r="CM459">
        <v>0</v>
      </c>
      <c r="CN459">
        <v>53</v>
      </c>
      <c r="CO459">
        <v>0</v>
      </c>
      <c r="CP459">
        <v>4</v>
      </c>
      <c r="CQ459">
        <v>0</v>
      </c>
      <c r="CR459">
        <v>0</v>
      </c>
      <c r="CS459">
        <v>0</v>
      </c>
      <c r="CT459">
        <v>61</v>
      </c>
      <c r="CU459">
        <v>0</v>
      </c>
      <c r="CV459">
        <v>0</v>
      </c>
      <c r="CW459">
        <v>0</v>
      </c>
      <c r="CX459">
        <v>0</v>
      </c>
      <c r="CY459">
        <v>34</v>
      </c>
      <c r="CZ459">
        <v>0</v>
      </c>
      <c r="DA459">
        <v>0</v>
      </c>
      <c r="DB459">
        <v>0</v>
      </c>
      <c r="DC459">
        <v>34</v>
      </c>
      <c r="DD459">
        <v>0</v>
      </c>
      <c r="DE459">
        <v>0</v>
      </c>
      <c r="DF459">
        <v>98</v>
      </c>
      <c r="DG459">
        <v>127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225</v>
      </c>
      <c r="DT459">
        <v>320</v>
      </c>
      <c r="DU459">
        <v>80</v>
      </c>
      <c r="DV459">
        <v>0</v>
      </c>
      <c r="DW459">
        <v>0</v>
      </c>
      <c r="DX459">
        <v>0</v>
      </c>
      <c r="DY459">
        <v>437</v>
      </c>
      <c r="DZ459">
        <v>308</v>
      </c>
      <c r="EA459">
        <v>926</v>
      </c>
      <c r="EB459">
        <v>822</v>
      </c>
      <c r="EC459">
        <v>77</v>
      </c>
      <c r="ED459">
        <v>874</v>
      </c>
      <c r="EE459">
        <v>1696</v>
      </c>
      <c r="EF459">
        <v>0</v>
      </c>
      <c r="EG459">
        <v>0.17</v>
      </c>
      <c r="EH459">
        <v>1.1000000000000001</v>
      </c>
      <c r="EI459">
        <v>1.7</v>
      </c>
      <c r="EJ459">
        <v>0.4</v>
      </c>
      <c r="EK459">
        <v>3.1</v>
      </c>
    </row>
    <row r="460" spans="1:141" x14ac:dyDescent="0.25">
      <c r="A460" t="str">
        <f>[1]ingredient!B461</f>
        <v>Zimtstangen</v>
      </c>
      <c r="B460" t="s">
        <v>485</v>
      </c>
      <c r="C460" s="7">
        <f>_xlfn.XLOOKUP(A460,[1]ingredient!$B$2:$B$521,[1]ingredient!$A$2:$A$521)</f>
        <v>460</v>
      </c>
      <c r="D460">
        <v>233</v>
      </c>
      <c r="E460">
        <v>1</v>
      </c>
      <c r="F460">
        <v>3</v>
      </c>
      <c r="G460">
        <v>27</v>
      </c>
      <c r="H460">
        <v>53</v>
      </c>
      <c r="I460">
        <v>1</v>
      </c>
      <c r="J460">
        <v>0.31</v>
      </c>
      <c r="K460">
        <v>14</v>
      </c>
      <c r="L460">
        <v>0</v>
      </c>
      <c r="M460">
        <v>17</v>
      </c>
      <c r="N460">
        <v>0</v>
      </c>
      <c r="O460">
        <v>200</v>
      </c>
      <c r="P460">
        <v>100</v>
      </c>
      <c r="Q460">
        <v>100</v>
      </c>
      <c r="R460">
        <v>1300</v>
      </c>
      <c r="S460">
        <v>1800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88</v>
      </c>
      <c r="AD460">
        <v>500</v>
      </c>
      <c r="AE460">
        <v>1228</v>
      </c>
      <c r="AF460">
        <v>56</v>
      </c>
      <c r="AG460">
        <v>61</v>
      </c>
      <c r="AH460">
        <v>100</v>
      </c>
      <c r="AI460">
        <v>220</v>
      </c>
      <c r="AJ460">
        <v>38100</v>
      </c>
      <c r="AK460">
        <v>2000</v>
      </c>
      <c r="AL460">
        <v>500</v>
      </c>
      <c r="AM460">
        <v>5700</v>
      </c>
      <c r="AN460">
        <v>0</v>
      </c>
      <c r="AO460">
        <v>5</v>
      </c>
      <c r="AP460">
        <v>0</v>
      </c>
      <c r="AQ460">
        <v>0</v>
      </c>
      <c r="AR460">
        <v>0</v>
      </c>
      <c r="AS460">
        <v>0</v>
      </c>
      <c r="AT460">
        <v>485</v>
      </c>
      <c r="AU460">
        <v>485</v>
      </c>
      <c r="AV460">
        <v>0</v>
      </c>
      <c r="AW460">
        <v>970</v>
      </c>
      <c r="AX460">
        <v>200</v>
      </c>
      <c r="AY460">
        <v>0</v>
      </c>
      <c r="AZ460">
        <v>0</v>
      </c>
      <c r="BA460">
        <v>230</v>
      </c>
      <c r="BB460">
        <v>20000</v>
      </c>
      <c r="BC460">
        <v>0</v>
      </c>
      <c r="BD460">
        <v>0</v>
      </c>
      <c r="BE460">
        <v>5800</v>
      </c>
      <c r="BF460">
        <v>0</v>
      </c>
      <c r="BG460">
        <f t="shared" si="61"/>
        <v>85.507246376811594</v>
      </c>
      <c r="BH460">
        <v>155</v>
      </c>
      <c r="BI460">
        <v>225</v>
      </c>
      <c r="BJ460">
        <v>172</v>
      </c>
      <c r="BK460">
        <v>37</v>
      </c>
      <c r="BL460">
        <v>22</v>
      </c>
      <c r="BM460">
        <v>135</v>
      </c>
      <c r="BN460">
        <v>59</v>
      </c>
      <c r="BO460">
        <v>107</v>
      </c>
      <c r="BP460">
        <v>32</v>
      </c>
      <c r="BQ460">
        <v>220</v>
      </c>
      <c r="BR460">
        <v>129</v>
      </c>
      <c r="BS460">
        <v>91</v>
      </c>
      <c r="BT460">
        <v>1384</v>
      </c>
      <c r="BU460">
        <v>91</v>
      </c>
      <c r="BV460">
        <v>638</v>
      </c>
      <c r="BW460">
        <v>499</v>
      </c>
      <c r="BX460">
        <v>129</v>
      </c>
      <c r="BY460">
        <v>124</v>
      </c>
      <c r="BZ460">
        <v>135</v>
      </c>
      <c r="CA460">
        <v>1616</v>
      </c>
      <c r="CB460">
        <v>41</v>
      </c>
      <c r="CC460">
        <v>17</v>
      </c>
      <c r="CD460">
        <v>0</v>
      </c>
      <c r="CE460">
        <v>100</v>
      </c>
      <c r="CG460">
        <v>0</v>
      </c>
      <c r="CH460">
        <v>0</v>
      </c>
      <c r="CI460">
        <v>0</v>
      </c>
      <c r="CJ460">
        <v>0</v>
      </c>
      <c r="CK460">
        <v>23</v>
      </c>
      <c r="CL460">
        <v>70</v>
      </c>
      <c r="CM460">
        <v>0</v>
      </c>
      <c r="CN460">
        <v>300</v>
      </c>
      <c r="CO460">
        <v>0</v>
      </c>
      <c r="CP460">
        <v>107</v>
      </c>
      <c r="CQ460">
        <v>0</v>
      </c>
      <c r="CR460">
        <v>0</v>
      </c>
      <c r="CS460">
        <v>0</v>
      </c>
      <c r="CT460">
        <v>500</v>
      </c>
      <c r="CU460">
        <v>0</v>
      </c>
      <c r="CV460">
        <v>0</v>
      </c>
      <c r="CW460">
        <v>5</v>
      </c>
      <c r="CX460">
        <v>0</v>
      </c>
      <c r="CY460">
        <v>78</v>
      </c>
      <c r="CZ460">
        <v>0</v>
      </c>
      <c r="DA460">
        <v>0</v>
      </c>
      <c r="DB460">
        <v>0</v>
      </c>
      <c r="DC460">
        <v>100</v>
      </c>
      <c r="DD460">
        <v>0</v>
      </c>
      <c r="DE460">
        <v>0</v>
      </c>
      <c r="DF460">
        <v>100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100</v>
      </c>
      <c r="DT460">
        <v>676</v>
      </c>
      <c r="DU460">
        <v>124</v>
      </c>
      <c r="DV460">
        <v>0</v>
      </c>
      <c r="DW460">
        <v>0</v>
      </c>
      <c r="DX460">
        <v>0</v>
      </c>
      <c r="DY460">
        <v>7951</v>
      </c>
      <c r="DZ460">
        <v>7951</v>
      </c>
      <c r="EA460">
        <v>14309</v>
      </c>
      <c r="EB460">
        <v>21198</v>
      </c>
      <c r="EC460">
        <v>1591</v>
      </c>
      <c r="ED460">
        <v>13251</v>
      </c>
      <c r="EE460">
        <v>39749</v>
      </c>
      <c r="EF460">
        <v>0</v>
      </c>
      <c r="EG460">
        <v>0</v>
      </c>
      <c r="EH460">
        <v>2.2999999999999998</v>
      </c>
      <c r="EI460">
        <v>39.700000000000003</v>
      </c>
      <c r="EJ460">
        <v>0.8</v>
      </c>
      <c r="EK460">
        <v>3.1</v>
      </c>
    </row>
    <row r="461" spans="1:141" x14ac:dyDescent="0.25">
      <c r="A461" t="str">
        <f>[1]ingredient!B462</f>
        <v>Zimt, gemahlen</v>
      </c>
      <c r="B461" t="s">
        <v>485</v>
      </c>
      <c r="C461" s="7">
        <f>_xlfn.XLOOKUP(A461,[1]ingredient!$B$2:$B$521,[1]ingredient!$A$2:$A$521)</f>
        <v>461</v>
      </c>
      <c r="D461">
        <v>233</v>
      </c>
      <c r="E461">
        <v>1</v>
      </c>
      <c r="F461">
        <v>3</v>
      </c>
      <c r="G461">
        <v>27</v>
      </c>
      <c r="H461">
        <v>53</v>
      </c>
      <c r="I461">
        <v>1</v>
      </c>
      <c r="J461">
        <v>0.31</v>
      </c>
      <c r="K461">
        <v>14</v>
      </c>
      <c r="L461">
        <v>0</v>
      </c>
      <c r="M461">
        <v>17</v>
      </c>
      <c r="N461">
        <v>0</v>
      </c>
      <c r="O461">
        <v>200</v>
      </c>
      <c r="P461">
        <v>100</v>
      </c>
      <c r="Q461">
        <v>100</v>
      </c>
      <c r="R461">
        <v>1300</v>
      </c>
      <c r="S461">
        <v>1800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88</v>
      </c>
      <c r="AD461">
        <v>500</v>
      </c>
      <c r="AE461">
        <v>1228</v>
      </c>
      <c r="AF461">
        <v>56</v>
      </c>
      <c r="AG461">
        <v>61</v>
      </c>
      <c r="AH461">
        <v>100</v>
      </c>
      <c r="AI461">
        <v>220</v>
      </c>
      <c r="AJ461">
        <v>38100</v>
      </c>
      <c r="AK461">
        <v>2000</v>
      </c>
      <c r="AL461">
        <v>500</v>
      </c>
      <c r="AM461">
        <v>5700</v>
      </c>
      <c r="AN461">
        <v>0</v>
      </c>
      <c r="AO461">
        <v>5</v>
      </c>
      <c r="AP461">
        <v>0</v>
      </c>
      <c r="AQ461">
        <v>0</v>
      </c>
      <c r="AR461">
        <v>0</v>
      </c>
      <c r="AS461">
        <v>0</v>
      </c>
      <c r="AT461">
        <v>485</v>
      </c>
      <c r="AU461">
        <v>485</v>
      </c>
      <c r="AV461">
        <v>0</v>
      </c>
      <c r="AW461">
        <v>970</v>
      </c>
      <c r="AX461">
        <v>200</v>
      </c>
      <c r="AY461">
        <v>0</v>
      </c>
      <c r="AZ461">
        <v>0</v>
      </c>
      <c r="BA461">
        <v>230</v>
      </c>
      <c r="BB461">
        <v>20000</v>
      </c>
      <c r="BC461">
        <v>0</v>
      </c>
      <c r="BD461">
        <v>0</v>
      </c>
      <c r="BE461">
        <v>5800</v>
      </c>
      <c r="BF461">
        <v>0</v>
      </c>
      <c r="BG461">
        <f t="shared" si="61"/>
        <v>85.507246376811594</v>
      </c>
      <c r="BH461">
        <v>155</v>
      </c>
      <c r="BI461">
        <v>225</v>
      </c>
      <c r="BJ461">
        <v>172</v>
      </c>
      <c r="BK461">
        <v>37</v>
      </c>
      <c r="BL461">
        <v>22</v>
      </c>
      <c r="BM461">
        <v>135</v>
      </c>
      <c r="BN461">
        <v>59</v>
      </c>
      <c r="BO461">
        <v>107</v>
      </c>
      <c r="BP461">
        <v>32</v>
      </c>
      <c r="BQ461">
        <v>220</v>
      </c>
      <c r="BR461">
        <v>129</v>
      </c>
      <c r="BS461">
        <v>91</v>
      </c>
      <c r="BT461">
        <v>1384</v>
      </c>
      <c r="BU461">
        <v>91</v>
      </c>
      <c r="BV461">
        <v>638</v>
      </c>
      <c r="BW461">
        <v>499</v>
      </c>
      <c r="BX461">
        <v>129</v>
      </c>
      <c r="BY461">
        <v>124</v>
      </c>
      <c r="BZ461">
        <v>135</v>
      </c>
      <c r="CA461">
        <v>1616</v>
      </c>
      <c r="CB461">
        <v>41</v>
      </c>
      <c r="CC461">
        <v>17</v>
      </c>
      <c r="CD461">
        <v>0</v>
      </c>
      <c r="CE461">
        <v>100</v>
      </c>
      <c r="CG461">
        <v>0</v>
      </c>
      <c r="CH461">
        <v>0</v>
      </c>
      <c r="CI461">
        <v>0</v>
      </c>
      <c r="CJ461">
        <v>0</v>
      </c>
      <c r="CK461">
        <v>23</v>
      </c>
      <c r="CL461">
        <v>70</v>
      </c>
      <c r="CM461">
        <v>0</v>
      </c>
      <c r="CN461">
        <v>300</v>
      </c>
      <c r="CO461">
        <v>0</v>
      </c>
      <c r="CP461">
        <v>107</v>
      </c>
      <c r="CQ461">
        <v>0</v>
      </c>
      <c r="CR461">
        <v>0</v>
      </c>
      <c r="CS461">
        <v>0</v>
      </c>
      <c r="CT461">
        <v>500</v>
      </c>
      <c r="CU461">
        <v>0</v>
      </c>
      <c r="CV461">
        <v>0</v>
      </c>
      <c r="CW461">
        <v>5</v>
      </c>
      <c r="CX461">
        <v>0</v>
      </c>
      <c r="CY461">
        <v>78</v>
      </c>
      <c r="CZ461">
        <v>0</v>
      </c>
      <c r="DA461">
        <v>0</v>
      </c>
      <c r="DB461">
        <v>0</v>
      </c>
      <c r="DC461">
        <v>100</v>
      </c>
      <c r="DD461">
        <v>0</v>
      </c>
      <c r="DE461">
        <v>0</v>
      </c>
      <c r="DF461">
        <v>100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100</v>
      </c>
      <c r="DT461">
        <v>676</v>
      </c>
      <c r="DU461">
        <v>124</v>
      </c>
      <c r="DV461">
        <v>0</v>
      </c>
      <c r="DW461">
        <v>0</v>
      </c>
      <c r="DX461">
        <v>0</v>
      </c>
      <c r="DY461">
        <v>7951</v>
      </c>
      <c r="DZ461">
        <v>7951</v>
      </c>
      <c r="EA461">
        <v>14309</v>
      </c>
      <c r="EB461">
        <v>21198</v>
      </c>
      <c r="EC461">
        <v>1591</v>
      </c>
      <c r="ED461">
        <v>13251</v>
      </c>
      <c r="EE461">
        <v>39749</v>
      </c>
      <c r="EF461">
        <v>0</v>
      </c>
      <c r="EG461">
        <v>0</v>
      </c>
      <c r="EH461">
        <v>2.2999999999999998</v>
      </c>
      <c r="EI461">
        <v>39.700000000000003</v>
      </c>
      <c r="EJ461">
        <v>0.8</v>
      </c>
      <c r="EK461">
        <v>3.1</v>
      </c>
    </row>
    <row r="462" spans="1:141" x14ac:dyDescent="0.25">
      <c r="A462" t="str">
        <f>[1]ingredient!B463</f>
        <v>Zitrone</v>
      </c>
      <c r="B462" t="s">
        <v>486</v>
      </c>
      <c r="C462" s="7">
        <f>_xlfn.XLOOKUP(A462,[1]ingredient!$B$2:$B$521,[1]ingredient!$A$2:$A$521)</f>
        <v>462</v>
      </c>
      <c r="D462">
        <v>56</v>
      </c>
      <c r="E462">
        <v>1</v>
      </c>
      <c r="F462">
        <v>1</v>
      </c>
      <c r="G462">
        <v>8</v>
      </c>
      <c r="H462">
        <v>1</v>
      </c>
      <c r="I462">
        <v>8</v>
      </c>
      <c r="J462">
        <v>0.01</v>
      </c>
      <c r="K462">
        <v>84</v>
      </c>
      <c r="L462">
        <v>3</v>
      </c>
      <c r="M462">
        <v>1</v>
      </c>
      <c r="N462">
        <v>0</v>
      </c>
      <c r="O462">
        <v>15</v>
      </c>
      <c r="P462">
        <v>51</v>
      </c>
      <c r="Q462">
        <v>20</v>
      </c>
      <c r="R462">
        <v>170</v>
      </c>
      <c r="S462">
        <v>237</v>
      </c>
      <c r="T462">
        <v>270</v>
      </c>
      <c r="U462">
        <v>60</v>
      </c>
      <c r="V462">
        <v>1</v>
      </c>
      <c r="W462">
        <v>6</v>
      </c>
      <c r="X462">
        <v>0</v>
      </c>
      <c r="Y462">
        <v>53000</v>
      </c>
      <c r="Z462">
        <v>0</v>
      </c>
      <c r="AA462">
        <v>400</v>
      </c>
      <c r="AB462">
        <v>3</v>
      </c>
      <c r="AC462">
        <v>3</v>
      </c>
      <c r="AD462">
        <v>149</v>
      </c>
      <c r="AE462">
        <v>11</v>
      </c>
      <c r="AF462">
        <v>28</v>
      </c>
      <c r="AG462">
        <v>16</v>
      </c>
      <c r="AH462">
        <v>12</v>
      </c>
      <c r="AI462">
        <v>5</v>
      </c>
      <c r="AJ462">
        <v>450</v>
      </c>
      <c r="AK462">
        <v>120</v>
      </c>
      <c r="AL462">
        <v>350</v>
      </c>
      <c r="AM462">
        <v>30</v>
      </c>
      <c r="AN462">
        <v>10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3580</v>
      </c>
      <c r="AU462">
        <v>3450</v>
      </c>
      <c r="AV462">
        <v>0</v>
      </c>
      <c r="AW462">
        <v>7030</v>
      </c>
      <c r="AX462">
        <v>1050</v>
      </c>
      <c r="AY462">
        <v>0</v>
      </c>
      <c r="AZ462">
        <v>0</v>
      </c>
      <c r="BA462">
        <v>1050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f t="shared" si="61"/>
        <v>29.508196721311474</v>
      </c>
      <c r="BH462">
        <v>19</v>
      </c>
      <c r="BI462">
        <v>18</v>
      </c>
      <c r="BJ462">
        <v>35</v>
      </c>
      <c r="BK462">
        <v>10</v>
      </c>
      <c r="BL462">
        <v>9</v>
      </c>
      <c r="BM462">
        <v>25</v>
      </c>
      <c r="BN462">
        <v>14</v>
      </c>
      <c r="BO462">
        <v>10</v>
      </c>
      <c r="BP462">
        <v>4</v>
      </c>
      <c r="BQ462">
        <v>25</v>
      </c>
      <c r="BR462">
        <v>42</v>
      </c>
      <c r="BS462">
        <v>10</v>
      </c>
      <c r="BT462">
        <v>221</v>
      </c>
      <c r="BU462">
        <v>41</v>
      </c>
      <c r="BV462">
        <v>96</v>
      </c>
      <c r="BW462">
        <v>80</v>
      </c>
      <c r="BX462">
        <v>67</v>
      </c>
      <c r="BY462">
        <v>37</v>
      </c>
      <c r="BZ462">
        <v>19</v>
      </c>
      <c r="CA462">
        <v>340</v>
      </c>
      <c r="CB462">
        <v>20</v>
      </c>
      <c r="CC462">
        <v>8</v>
      </c>
      <c r="CD462">
        <v>90</v>
      </c>
      <c r="CE462">
        <v>220</v>
      </c>
      <c r="CF462">
        <v>2.44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3</v>
      </c>
      <c r="CM462">
        <v>0</v>
      </c>
      <c r="CN462">
        <v>122</v>
      </c>
      <c r="CO462">
        <v>0</v>
      </c>
      <c r="CP462">
        <v>7</v>
      </c>
      <c r="CQ462">
        <v>0</v>
      </c>
      <c r="CR462">
        <v>0</v>
      </c>
      <c r="CS462">
        <v>0</v>
      </c>
      <c r="CT462">
        <v>132</v>
      </c>
      <c r="CU462">
        <v>0</v>
      </c>
      <c r="CV462">
        <v>0</v>
      </c>
      <c r="CW462">
        <v>3</v>
      </c>
      <c r="CX462">
        <v>0</v>
      </c>
      <c r="CY462">
        <v>35</v>
      </c>
      <c r="CZ462">
        <v>0</v>
      </c>
      <c r="DA462">
        <v>0</v>
      </c>
      <c r="DB462">
        <v>0</v>
      </c>
      <c r="DC462">
        <v>38</v>
      </c>
      <c r="DD462">
        <v>0</v>
      </c>
      <c r="DE462">
        <v>0</v>
      </c>
      <c r="DF462">
        <v>220</v>
      </c>
      <c r="DG462">
        <v>90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310</v>
      </c>
      <c r="DT462">
        <v>480</v>
      </c>
      <c r="DU462">
        <v>120</v>
      </c>
      <c r="DV462">
        <v>0</v>
      </c>
      <c r="DW462">
        <v>0</v>
      </c>
      <c r="DX462">
        <v>0</v>
      </c>
      <c r="DY462">
        <v>195</v>
      </c>
      <c r="DZ462">
        <v>130</v>
      </c>
      <c r="EA462">
        <v>195</v>
      </c>
      <c r="EB462">
        <v>650</v>
      </c>
      <c r="EC462">
        <v>130</v>
      </c>
      <c r="ED462">
        <v>377</v>
      </c>
      <c r="EE462">
        <v>923</v>
      </c>
      <c r="EF462">
        <v>0</v>
      </c>
      <c r="EG462">
        <v>5</v>
      </c>
      <c r="EH462">
        <v>0.5</v>
      </c>
      <c r="EI462">
        <v>0.9</v>
      </c>
      <c r="EJ462">
        <v>0.6</v>
      </c>
      <c r="EK462">
        <v>0.6</v>
      </c>
    </row>
    <row r="463" spans="1:141" x14ac:dyDescent="0.25">
      <c r="A463" t="str">
        <f>[1]ingredient!B464</f>
        <v>Zitronengras</v>
      </c>
      <c r="B463" t="s">
        <v>487</v>
      </c>
      <c r="C463" s="7">
        <f>_xlfn.XLOOKUP(A463,[1]ingredient!$B$2:$B$521,[1]ingredient!$A$2:$A$521)</f>
        <v>463</v>
      </c>
      <c r="D463">
        <v>75</v>
      </c>
      <c r="E463">
        <v>1</v>
      </c>
      <c r="F463">
        <v>2</v>
      </c>
      <c r="G463">
        <v>5</v>
      </c>
      <c r="H463">
        <v>20</v>
      </c>
      <c r="I463">
        <v>0.31</v>
      </c>
      <c r="J463">
        <v>0.03</v>
      </c>
      <c r="K463">
        <v>70</v>
      </c>
      <c r="L463">
        <v>0</v>
      </c>
      <c r="M463">
        <v>0</v>
      </c>
      <c r="N463">
        <v>0</v>
      </c>
      <c r="O463">
        <v>0</v>
      </c>
      <c r="P463">
        <v>100</v>
      </c>
      <c r="Q463">
        <v>100</v>
      </c>
      <c r="R463">
        <v>1100</v>
      </c>
      <c r="S463">
        <v>1400</v>
      </c>
      <c r="T463">
        <v>0</v>
      </c>
      <c r="U463">
        <v>100</v>
      </c>
      <c r="V463">
        <v>2</v>
      </c>
      <c r="W463">
        <v>75</v>
      </c>
      <c r="X463">
        <v>0</v>
      </c>
      <c r="Y463">
        <v>2600</v>
      </c>
      <c r="Z463">
        <v>0</v>
      </c>
      <c r="AA463">
        <v>0</v>
      </c>
      <c r="AB463">
        <v>200</v>
      </c>
      <c r="AC463">
        <v>6</v>
      </c>
      <c r="AD463">
        <v>723</v>
      </c>
      <c r="AE463">
        <v>65</v>
      </c>
      <c r="AF463">
        <v>60</v>
      </c>
      <c r="AG463">
        <v>101</v>
      </c>
      <c r="AH463">
        <v>58</v>
      </c>
      <c r="AI463">
        <v>24</v>
      </c>
      <c r="AJ463">
        <v>8200</v>
      </c>
      <c r="AK463">
        <v>2200</v>
      </c>
      <c r="AL463">
        <v>300</v>
      </c>
      <c r="AM463">
        <v>5200</v>
      </c>
      <c r="AN463">
        <v>0</v>
      </c>
      <c r="AO463">
        <v>1</v>
      </c>
      <c r="AP463">
        <v>500</v>
      </c>
      <c r="AQ463">
        <v>0</v>
      </c>
      <c r="AR463">
        <v>0</v>
      </c>
      <c r="AS463">
        <v>500</v>
      </c>
      <c r="AT463">
        <v>109</v>
      </c>
      <c r="AU463">
        <v>130</v>
      </c>
      <c r="AV463">
        <v>0</v>
      </c>
      <c r="AW463">
        <v>239</v>
      </c>
      <c r="AX463">
        <v>100</v>
      </c>
      <c r="AY463">
        <v>0</v>
      </c>
      <c r="AZ463">
        <v>0</v>
      </c>
      <c r="BA463">
        <v>71</v>
      </c>
      <c r="BB463">
        <v>4500</v>
      </c>
      <c r="BC463">
        <v>720</v>
      </c>
      <c r="BD463">
        <v>0</v>
      </c>
      <c r="BE463">
        <v>0</v>
      </c>
      <c r="BF463">
        <v>0</v>
      </c>
      <c r="BG463">
        <f t="shared" si="61"/>
        <v>102.17391304347827</v>
      </c>
      <c r="BH463">
        <v>76</v>
      </c>
      <c r="BI463">
        <v>130</v>
      </c>
      <c r="BJ463">
        <v>128</v>
      </c>
      <c r="BK463">
        <v>30</v>
      </c>
      <c r="BL463">
        <v>17</v>
      </c>
      <c r="BM463">
        <v>71</v>
      </c>
      <c r="BN463">
        <v>45</v>
      </c>
      <c r="BO463">
        <v>85</v>
      </c>
      <c r="BP463">
        <v>18</v>
      </c>
      <c r="BQ463">
        <v>93</v>
      </c>
      <c r="BR463">
        <v>127</v>
      </c>
      <c r="BS463">
        <v>40</v>
      </c>
      <c r="BT463">
        <v>861</v>
      </c>
      <c r="BU463">
        <v>109</v>
      </c>
      <c r="BV463">
        <v>199</v>
      </c>
      <c r="BW463">
        <v>398</v>
      </c>
      <c r="BX463">
        <v>84</v>
      </c>
      <c r="BY463">
        <v>78</v>
      </c>
      <c r="BZ463">
        <v>92</v>
      </c>
      <c r="CA463">
        <v>959</v>
      </c>
      <c r="CB463">
        <v>40</v>
      </c>
      <c r="CC463">
        <v>13</v>
      </c>
      <c r="CD463">
        <v>100</v>
      </c>
      <c r="CE463">
        <v>100</v>
      </c>
      <c r="CF463">
        <v>1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113</v>
      </c>
      <c r="CO463">
        <v>0</v>
      </c>
      <c r="CP463">
        <v>6</v>
      </c>
      <c r="CQ463">
        <v>0</v>
      </c>
      <c r="CR463">
        <v>0</v>
      </c>
      <c r="CS463">
        <v>0</v>
      </c>
      <c r="CT463">
        <v>100</v>
      </c>
      <c r="CU463">
        <v>0</v>
      </c>
      <c r="CV463">
        <v>0</v>
      </c>
      <c r="CW463">
        <v>0</v>
      </c>
      <c r="CX463">
        <v>0</v>
      </c>
      <c r="CY463">
        <v>54</v>
      </c>
      <c r="CZ463">
        <v>0</v>
      </c>
      <c r="DA463">
        <v>0</v>
      </c>
      <c r="DB463">
        <v>0</v>
      </c>
      <c r="DC463">
        <v>100</v>
      </c>
      <c r="DD463">
        <v>0</v>
      </c>
      <c r="DE463">
        <v>0</v>
      </c>
      <c r="DF463">
        <v>100</v>
      </c>
      <c r="DG463">
        <v>100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200</v>
      </c>
      <c r="DT463">
        <v>343</v>
      </c>
      <c r="DU463">
        <v>150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10000</v>
      </c>
      <c r="EE463">
        <v>10000</v>
      </c>
      <c r="EF463">
        <v>0</v>
      </c>
      <c r="EG463">
        <v>500</v>
      </c>
      <c r="EH463">
        <v>1.1000000000000001</v>
      </c>
      <c r="EI463">
        <v>10</v>
      </c>
      <c r="EJ463">
        <v>0.5</v>
      </c>
      <c r="EK463">
        <v>1.9</v>
      </c>
    </row>
    <row r="464" spans="1:141" x14ac:dyDescent="0.25">
      <c r="A464" t="str">
        <f>[1]ingredient!B465</f>
        <v>Zitronenmelisse</v>
      </c>
      <c r="B464" t="s">
        <v>488</v>
      </c>
      <c r="C464" s="7">
        <f>_xlfn.XLOOKUP(A464,[1]ingredient!$B$2:$B$521,[1]ingredient!$A$2:$A$521)</f>
        <v>464</v>
      </c>
      <c r="D464">
        <v>42</v>
      </c>
      <c r="E464">
        <v>1</v>
      </c>
      <c r="F464">
        <v>4</v>
      </c>
      <c r="G464">
        <v>5</v>
      </c>
      <c r="H464">
        <v>3</v>
      </c>
      <c r="I464">
        <v>5</v>
      </c>
      <c r="J464">
        <v>0.09</v>
      </c>
      <c r="K464">
        <v>86</v>
      </c>
      <c r="L464">
        <v>667</v>
      </c>
      <c r="M464">
        <v>333</v>
      </c>
      <c r="N464">
        <v>0</v>
      </c>
      <c r="O464">
        <v>4000</v>
      </c>
      <c r="P464">
        <v>80</v>
      </c>
      <c r="Q464">
        <v>150</v>
      </c>
      <c r="R464">
        <v>1100</v>
      </c>
      <c r="S464">
        <v>1683</v>
      </c>
      <c r="T464">
        <v>190</v>
      </c>
      <c r="U464">
        <v>50</v>
      </c>
      <c r="V464">
        <v>2</v>
      </c>
      <c r="W464">
        <v>30</v>
      </c>
      <c r="X464">
        <v>0</v>
      </c>
      <c r="Y464">
        <v>45000</v>
      </c>
      <c r="Z464">
        <v>0</v>
      </c>
      <c r="AA464">
        <v>1000</v>
      </c>
      <c r="AB464">
        <v>300</v>
      </c>
      <c r="AC464">
        <v>20</v>
      </c>
      <c r="AD464">
        <v>400</v>
      </c>
      <c r="AE464">
        <v>150</v>
      </c>
      <c r="AF464">
        <v>30</v>
      </c>
      <c r="AG464">
        <v>50</v>
      </c>
      <c r="AH464">
        <v>80</v>
      </c>
      <c r="AI464">
        <v>70</v>
      </c>
      <c r="AJ464">
        <v>2000</v>
      </c>
      <c r="AK464">
        <v>1200</v>
      </c>
      <c r="AL464">
        <v>120</v>
      </c>
      <c r="AM464">
        <v>500</v>
      </c>
      <c r="AN464">
        <v>50</v>
      </c>
      <c r="AO464">
        <v>4</v>
      </c>
      <c r="AP464">
        <v>0</v>
      </c>
      <c r="AQ464">
        <v>0</v>
      </c>
      <c r="AR464">
        <v>0</v>
      </c>
      <c r="AS464">
        <v>0</v>
      </c>
      <c r="AT464">
        <v>2000</v>
      </c>
      <c r="AU464">
        <v>2000</v>
      </c>
      <c r="AV464">
        <v>0</v>
      </c>
      <c r="AW464">
        <v>4000</v>
      </c>
      <c r="AX464">
        <v>950</v>
      </c>
      <c r="AY464">
        <v>0</v>
      </c>
      <c r="AZ464">
        <v>0</v>
      </c>
      <c r="BA464">
        <v>950</v>
      </c>
      <c r="BB464">
        <v>0</v>
      </c>
      <c r="BC464">
        <v>0</v>
      </c>
      <c r="BD464">
        <v>0</v>
      </c>
      <c r="BE464">
        <v>50</v>
      </c>
      <c r="BF464">
        <v>50</v>
      </c>
      <c r="BG464">
        <f t="shared" si="61"/>
        <v>82.8125</v>
      </c>
      <c r="BH464">
        <v>140</v>
      </c>
      <c r="BI464">
        <v>210</v>
      </c>
      <c r="BJ464">
        <v>175</v>
      </c>
      <c r="BK464">
        <v>42</v>
      </c>
      <c r="BL464">
        <v>35</v>
      </c>
      <c r="BM464">
        <v>105</v>
      </c>
      <c r="BN464">
        <v>70</v>
      </c>
      <c r="BO464">
        <v>123</v>
      </c>
      <c r="BP464">
        <v>35</v>
      </c>
      <c r="BQ464">
        <v>140</v>
      </c>
      <c r="BR464">
        <v>140</v>
      </c>
      <c r="BS464">
        <v>53</v>
      </c>
      <c r="BT464">
        <v>1268</v>
      </c>
      <c r="BU464">
        <v>175</v>
      </c>
      <c r="BV464">
        <v>350</v>
      </c>
      <c r="BW464">
        <v>525</v>
      </c>
      <c r="BX464">
        <v>98</v>
      </c>
      <c r="BY464">
        <v>140</v>
      </c>
      <c r="BZ464">
        <v>105</v>
      </c>
      <c r="CA464">
        <v>1393</v>
      </c>
      <c r="CB464">
        <v>15</v>
      </c>
      <c r="CC464">
        <v>6</v>
      </c>
      <c r="CD464">
        <v>192</v>
      </c>
      <c r="CE464">
        <v>256</v>
      </c>
      <c r="CF464">
        <v>1.33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3</v>
      </c>
      <c r="CM464">
        <v>0</v>
      </c>
      <c r="CN464">
        <v>125</v>
      </c>
      <c r="CO464">
        <v>0</v>
      </c>
      <c r="CP464">
        <v>19</v>
      </c>
      <c r="CQ464">
        <v>0</v>
      </c>
      <c r="CR464">
        <v>0</v>
      </c>
      <c r="CS464">
        <v>0</v>
      </c>
      <c r="CT464">
        <v>147</v>
      </c>
      <c r="CU464">
        <v>0</v>
      </c>
      <c r="CV464">
        <v>0</v>
      </c>
      <c r="CW464">
        <v>6</v>
      </c>
      <c r="CX464">
        <v>0</v>
      </c>
      <c r="CY464">
        <v>38</v>
      </c>
      <c r="CZ464">
        <v>0</v>
      </c>
      <c r="DA464">
        <v>0</v>
      </c>
      <c r="DB464">
        <v>0</v>
      </c>
      <c r="DC464">
        <v>44</v>
      </c>
      <c r="DD464">
        <v>0</v>
      </c>
      <c r="DE464">
        <v>0</v>
      </c>
      <c r="DF464">
        <v>256</v>
      </c>
      <c r="DG464">
        <v>192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448</v>
      </c>
      <c r="DT464">
        <v>639</v>
      </c>
      <c r="DU464">
        <v>160</v>
      </c>
      <c r="DV464">
        <v>0</v>
      </c>
      <c r="DW464">
        <v>0</v>
      </c>
      <c r="DX464">
        <v>0</v>
      </c>
      <c r="DY464">
        <v>450</v>
      </c>
      <c r="DZ464">
        <v>600</v>
      </c>
      <c r="EA464">
        <v>810</v>
      </c>
      <c r="EB464">
        <v>1050</v>
      </c>
      <c r="EC464">
        <v>90</v>
      </c>
      <c r="ED464">
        <v>900</v>
      </c>
      <c r="EE464">
        <v>2100</v>
      </c>
      <c r="EF464">
        <v>0</v>
      </c>
      <c r="EG464">
        <v>0.25</v>
      </c>
      <c r="EH464">
        <v>1</v>
      </c>
      <c r="EI464">
        <v>2.1</v>
      </c>
      <c r="EJ464">
        <v>0.8</v>
      </c>
      <c r="EK464">
        <v>2.7</v>
      </c>
    </row>
    <row r="465" spans="1:141" x14ac:dyDescent="0.25">
      <c r="A465" t="str">
        <f>[1]ingredient!B466</f>
        <v>Zitronenmelisse, getrocknet</v>
      </c>
      <c r="B465" t="s">
        <v>489</v>
      </c>
      <c r="C465" s="7">
        <f>_xlfn.XLOOKUP(A465,[1]ingredient!$B$2:$B$521,[1]ingredient!$A$2:$A$521)</f>
        <v>465</v>
      </c>
      <c r="D465">
        <v>294</v>
      </c>
      <c r="E465">
        <v>6</v>
      </c>
      <c r="F465">
        <v>25</v>
      </c>
      <c r="G465">
        <v>34</v>
      </c>
      <c r="H465">
        <v>21</v>
      </c>
      <c r="I465">
        <v>33</v>
      </c>
      <c r="J465">
        <v>1</v>
      </c>
      <c r="K465">
        <v>6</v>
      </c>
      <c r="L465">
        <v>4273</v>
      </c>
      <c r="M465">
        <v>2137</v>
      </c>
      <c r="N465">
        <v>0</v>
      </c>
      <c r="O465">
        <v>25638</v>
      </c>
      <c r="P465">
        <v>483</v>
      </c>
      <c r="Q465">
        <v>1015</v>
      </c>
      <c r="R465">
        <v>7444</v>
      </c>
      <c r="S465">
        <v>11577</v>
      </c>
      <c r="T465">
        <v>1221</v>
      </c>
      <c r="U465">
        <v>341</v>
      </c>
      <c r="V465">
        <v>14</v>
      </c>
      <c r="W465">
        <v>213</v>
      </c>
      <c r="X465">
        <v>0</v>
      </c>
      <c r="Y465">
        <v>176242</v>
      </c>
      <c r="Z465">
        <v>0</v>
      </c>
      <c r="AA465">
        <v>6408</v>
      </c>
      <c r="AB465">
        <v>2136</v>
      </c>
      <c r="AC465">
        <v>121</v>
      </c>
      <c r="AD465">
        <v>2420</v>
      </c>
      <c r="AE465">
        <v>958</v>
      </c>
      <c r="AF465">
        <v>192</v>
      </c>
      <c r="AG465">
        <v>319</v>
      </c>
      <c r="AH465">
        <v>511</v>
      </c>
      <c r="AI465">
        <v>447</v>
      </c>
      <c r="AJ465">
        <v>12106</v>
      </c>
      <c r="AK465">
        <v>7692</v>
      </c>
      <c r="AL465">
        <v>766</v>
      </c>
      <c r="AM465">
        <v>3207</v>
      </c>
      <c r="AN465">
        <v>319</v>
      </c>
      <c r="AO465">
        <v>28</v>
      </c>
      <c r="AP465">
        <v>0</v>
      </c>
      <c r="AQ465">
        <v>0</v>
      </c>
      <c r="AR465">
        <v>0</v>
      </c>
      <c r="AS465">
        <v>0</v>
      </c>
      <c r="AT465">
        <v>13525</v>
      </c>
      <c r="AU465">
        <v>13531</v>
      </c>
      <c r="AV465">
        <v>0</v>
      </c>
      <c r="AW465">
        <v>27056</v>
      </c>
      <c r="AX465">
        <v>6429</v>
      </c>
      <c r="AY465">
        <v>0</v>
      </c>
      <c r="AZ465">
        <v>0</v>
      </c>
      <c r="BA465">
        <v>6429</v>
      </c>
      <c r="BB465">
        <v>0</v>
      </c>
      <c r="BC465">
        <v>0</v>
      </c>
      <c r="BD465">
        <v>0</v>
      </c>
      <c r="BE465">
        <v>341</v>
      </c>
      <c r="BF465">
        <v>341</v>
      </c>
      <c r="BG465">
        <f t="shared" si="61"/>
        <v>94</v>
      </c>
      <c r="BH465">
        <v>993</v>
      </c>
      <c r="BI465">
        <v>1497</v>
      </c>
      <c r="BJ465">
        <v>1249</v>
      </c>
      <c r="BK465">
        <v>298</v>
      </c>
      <c r="BL465">
        <v>248</v>
      </c>
      <c r="BM465">
        <v>745</v>
      </c>
      <c r="BN465">
        <v>497</v>
      </c>
      <c r="BO465">
        <v>873</v>
      </c>
      <c r="BP465">
        <v>248</v>
      </c>
      <c r="BQ465">
        <v>993</v>
      </c>
      <c r="BR465">
        <v>993</v>
      </c>
      <c r="BS465">
        <v>376</v>
      </c>
      <c r="BT465">
        <v>9010</v>
      </c>
      <c r="BU465">
        <v>1249</v>
      </c>
      <c r="BV465">
        <v>2491</v>
      </c>
      <c r="BW465">
        <v>3763</v>
      </c>
      <c r="BX465">
        <v>695</v>
      </c>
      <c r="BY465">
        <v>993</v>
      </c>
      <c r="BZ465">
        <v>745</v>
      </c>
      <c r="CA465">
        <v>9936</v>
      </c>
      <c r="CB465">
        <v>106</v>
      </c>
      <c r="CC465">
        <v>44</v>
      </c>
      <c r="CD465">
        <v>1370</v>
      </c>
      <c r="CE465">
        <v>1823</v>
      </c>
      <c r="CF465">
        <v>1.33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21</v>
      </c>
      <c r="CM465">
        <v>0</v>
      </c>
      <c r="CN465">
        <v>887</v>
      </c>
      <c r="CO465">
        <v>0</v>
      </c>
      <c r="CP465">
        <v>135</v>
      </c>
      <c r="CQ465">
        <v>0</v>
      </c>
      <c r="CR465">
        <v>0</v>
      </c>
      <c r="CS465">
        <v>0</v>
      </c>
      <c r="CT465">
        <v>1043</v>
      </c>
      <c r="CU465">
        <v>0</v>
      </c>
      <c r="CV465">
        <v>0</v>
      </c>
      <c r="CW465">
        <v>43</v>
      </c>
      <c r="CX465">
        <v>0</v>
      </c>
      <c r="CY465">
        <v>270</v>
      </c>
      <c r="CZ465">
        <v>0</v>
      </c>
      <c r="DA465">
        <v>0</v>
      </c>
      <c r="DB465">
        <v>0</v>
      </c>
      <c r="DC465">
        <v>313</v>
      </c>
      <c r="DD465">
        <v>0</v>
      </c>
      <c r="DE465">
        <v>0</v>
      </c>
      <c r="DF465">
        <v>1823</v>
      </c>
      <c r="DG465">
        <v>1370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3193</v>
      </c>
      <c r="DT465">
        <v>4549</v>
      </c>
      <c r="DU465">
        <v>1142</v>
      </c>
      <c r="DV465">
        <v>0</v>
      </c>
      <c r="DW465">
        <v>0</v>
      </c>
      <c r="DX465">
        <v>0</v>
      </c>
      <c r="DY465">
        <v>3207</v>
      </c>
      <c r="DZ465">
        <v>4272</v>
      </c>
      <c r="EA465">
        <v>5769</v>
      </c>
      <c r="EB465">
        <v>7479</v>
      </c>
      <c r="EC465">
        <v>639</v>
      </c>
      <c r="ED465">
        <v>6408</v>
      </c>
      <c r="EE465">
        <v>14951</v>
      </c>
      <c r="EF465">
        <v>0</v>
      </c>
      <c r="EG465">
        <v>2</v>
      </c>
      <c r="EH465">
        <v>6.4</v>
      </c>
      <c r="EI465">
        <v>15</v>
      </c>
      <c r="EJ465">
        <v>5.7</v>
      </c>
      <c r="EK465">
        <v>19.3</v>
      </c>
    </row>
    <row r="466" spans="1:141" x14ac:dyDescent="0.25">
      <c r="A466" t="str">
        <f>[1]ingredient!B467</f>
        <v>Zucchini gelb</v>
      </c>
      <c r="B466" t="s">
        <v>490</v>
      </c>
      <c r="C466" s="7">
        <f>_xlfn.XLOOKUP(A466,[1]ingredient!$B$2:$B$521,[1]ingredient!$A$2:$A$521)</f>
        <v>466</v>
      </c>
      <c r="D466">
        <v>21</v>
      </c>
      <c r="E466">
        <v>0.28999999999999998</v>
      </c>
      <c r="F466">
        <v>2</v>
      </c>
      <c r="G466">
        <v>2</v>
      </c>
      <c r="H466">
        <v>1</v>
      </c>
      <c r="I466">
        <v>2</v>
      </c>
      <c r="J466">
        <v>0.03</v>
      </c>
      <c r="K466">
        <v>93</v>
      </c>
      <c r="L466">
        <v>30</v>
      </c>
      <c r="M466">
        <v>15</v>
      </c>
      <c r="N466">
        <v>0</v>
      </c>
      <c r="O466">
        <v>180</v>
      </c>
      <c r="P466">
        <v>211</v>
      </c>
      <c r="Q466">
        <v>73</v>
      </c>
      <c r="R466">
        <v>400</v>
      </c>
      <c r="S466">
        <v>917</v>
      </c>
      <c r="T466">
        <v>80</v>
      </c>
      <c r="U466">
        <v>119</v>
      </c>
      <c r="V466">
        <v>2</v>
      </c>
      <c r="W466">
        <v>10</v>
      </c>
      <c r="X466">
        <v>0</v>
      </c>
      <c r="Y466">
        <v>17600</v>
      </c>
      <c r="Z466">
        <v>0</v>
      </c>
      <c r="AA466">
        <v>500</v>
      </c>
      <c r="AB466">
        <v>11</v>
      </c>
      <c r="AC466">
        <v>3</v>
      </c>
      <c r="AD466">
        <v>177</v>
      </c>
      <c r="AE466">
        <v>25</v>
      </c>
      <c r="AF466">
        <v>18</v>
      </c>
      <c r="AG466">
        <v>29</v>
      </c>
      <c r="AH466">
        <v>25</v>
      </c>
      <c r="AI466">
        <v>24</v>
      </c>
      <c r="AJ466">
        <v>1019</v>
      </c>
      <c r="AK466">
        <v>248</v>
      </c>
      <c r="AL466">
        <v>45</v>
      </c>
      <c r="AM466">
        <v>125</v>
      </c>
      <c r="AN466">
        <v>20</v>
      </c>
      <c r="AO466">
        <v>2</v>
      </c>
      <c r="AP466">
        <v>14</v>
      </c>
      <c r="AQ466">
        <v>0</v>
      </c>
      <c r="AR466">
        <v>9</v>
      </c>
      <c r="AS466">
        <v>23</v>
      </c>
      <c r="AT466">
        <v>1019</v>
      </c>
      <c r="AU466">
        <v>1136</v>
      </c>
      <c r="AV466">
        <v>0</v>
      </c>
      <c r="AW466">
        <v>2155</v>
      </c>
      <c r="AX466">
        <v>101</v>
      </c>
      <c r="AY466">
        <v>0</v>
      </c>
      <c r="AZ466">
        <v>0</v>
      </c>
      <c r="BA466">
        <v>101</v>
      </c>
      <c r="BB466">
        <v>0</v>
      </c>
      <c r="BC466">
        <v>0</v>
      </c>
      <c r="BD466">
        <v>0</v>
      </c>
      <c r="BE466">
        <v>451</v>
      </c>
      <c r="BF466">
        <v>451</v>
      </c>
      <c r="BG466">
        <f t="shared" si="61"/>
        <v>113.04347826086956</v>
      </c>
      <c r="BH466">
        <v>99</v>
      </c>
      <c r="BI466">
        <v>144</v>
      </c>
      <c r="BJ466">
        <v>133</v>
      </c>
      <c r="BK466">
        <v>31</v>
      </c>
      <c r="BL466">
        <v>21</v>
      </c>
      <c r="BM466">
        <v>83</v>
      </c>
      <c r="BN466">
        <v>68</v>
      </c>
      <c r="BO466">
        <v>65</v>
      </c>
      <c r="BP466">
        <v>31</v>
      </c>
      <c r="BQ466">
        <v>101</v>
      </c>
      <c r="BR466">
        <v>109</v>
      </c>
      <c r="BS466">
        <v>45</v>
      </c>
      <c r="BT466">
        <v>930</v>
      </c>
      <c r="BU466">
        <v>117</v>
      </c>
      <c r="BV466">
        <v>313</v>
      </c>
      <c r="BW466">
        <v>401</v>
      </c>
      <c r="BX466">
        <v>83</v>
      </c>
      <c r="BY466">
        <v>76</v>
      </c>
      <c r="BZ466">
        <v>112</v>
      </c>
      <c r="CA466">
        <v>1102</v>
      </c>
      <c r="CB466">
        <v>24</v>
      </c>
      <c r="CC466">
        <v>8</v>
      </c>
      <c r="CD466">
        <v>87</v>
      </c>
      <c r="CE466">
        <v>52</v>
      </c>
      <c r="CF466">
        <v>0.6</v>
      </c>
      <c r="CG466">
        <v>0</v>
      </c>
      <c r="CH466">
        <v>0</v>
      </c>
      <c r="CI466">
        <v>0</v>
      </c>
      <c r="CJ466">
        <v>0</v>
      </c>
      <c r="CK466">
        <v>2</v>
      </c>
      <c r="CL466">
        <v>1</v>
      </c>
      <c r="CM466">
        <v>0</v>
      </c>
      <c r="CN466">
        <v>59</v>
      </c>
      <c r="CO466">
        <v>0</v>
      </c>
      <c r="CP466">
        <v>7</v>
      </c>
      <c r="CQ466">
        <v>0</v>
      </c>
      <c r="CR466">
        <v>0</v>
      </c>
      <c r="CS466">
        <v>0</v>
      </c>
      <c r="CT466">
        <v>69</v>
      </c>
      <c r="CU466">
        <v>0</v>
      </c>
      <c r="CV466">
        <v>0</v>
      </c>
      <c r="CW466">
        <v>2</v>
      </c>
      <c r="CX466">
        <v>0</v>
      </c>
      <c r="CY466">
        <v>24</v>
      </c>
      <c r="CZ466">
        <v>0</v>
      </c>
      <c r="DA466">
        <v>0</v>
      </c>
      <c r="DB466">
        <v>0</v>
      </c>
      <c r="DC466">
        <v>26</v>
      </c>
      <c r="DD466">
        <v>0</v>
      </c>
      <c r="DE466">
        <v>0</v>
      </c>
      <c r="DF466">
        <v>52</v>
      </c>
      <c r="DG466">
        <v>87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139</v>
      </c>
      <c r="DT466">
        <v>234</v>
      </c>
      <c r="DU466">
        <v>57</v>
      </c>
      <c r="DV466">
        <v>0</v>
      </c>
      <c r="DW466">
        <v>0</v>
      </c>
      <c r="DX466">
        <v>0</v>
      </c>
      <c r="DY466">
        <v>88</v>
      </c>
      <c r="DZ466">
        <v>176</v>
      </c>
      <c r="EA466">
        <v>385</v>
      </c>
      <c r="EB466">
        <v>363</v>
      </c>
      <c r="EC466">
        <v>88</v>
      </c>
      <c r="ED466">
        <v>260</v>
      </c>
      <c r="EE466">
        <v>820</v>
      </c>
      <c r="EF466">
        <v>0</v>
      </c>
      <c r="EG466">
        <v>0.25</v>
      </c>
      <c r="EH466">
        <v>0.6</v>
      </c>
      <c r="EI466">
        <v>0.8</v>
      </c>
      <c r="EJ466">
        <v>0.3</v>
      </c>
      <c r="EK466">
        <v>2.1</v>
      </c>
    </row>
    <row r="467" spans="1:141" x14ac:dyDescent="0.25">
      <c r="A467" t="str">
        <f>[1]ingredient!B468</f>
        <v>Zucchini grün</v>
      </c>
      <c r="B467" t="s">
        <v>490</v>
      </c>
      <c r="C467" s="7">
        <f>_xlfn.XLOOKUP(A467,[1]ingredient!$B$2:$B$521,[1]ingredient!$A$2:$A$521)</f>
        <v>467</v>
      </c>
      <c r="D467">
        <v>21</v>
      </c>
      <c r="E467">
        <v>0.28999999999999998</v>
      </c>
      <c r="F467">
        <v>2</v>
      </c>
      <c r="G467">
        <v>2</v>
      </c>
      <c r="H467">
        <v>1</v>
      </c>
      <c r="I467">
        <v>2</v>
      </c>
      <c r="J467">
        <v>0.03</v>
      </c>
      <c r="K467">
        <v>93</v>
      </c>
      <c r="L467">
        <v>30</v>
      </c>
      <c r="M467">
        <v>15</v>
      </c>
      <c r="N467">
        <v>0</v>
      </c>
      <c r="O467">
        <v>180</v>
      </c>
      <c r="P467">
        <v>211</v>
      </c>
      <c r="Q467">
        <v>73</v>
      </c>
      <c r="R467">
        <v>400</v>
      </c>
      <c r="S467">
        <v>917</v>
      </c>
      <c r="T467">
        <v>80</v>
      </c>
      <c r="U467">
        <v>119</v>
      </c>
      <c r="V467">
        <v>2</v>
      </c>
      <c r="W467">
        <v>10</v>
      </c>
      <c r="X467">
        <v>0</v>
      </c>
      <c r="Y467">
        <v>17600</v>
      </c>
      <c r="Z467">
        <v>0</v>
      </c>
      <c r="AA467">
        <v>500</v>
      </c>
      <c r="AB467">
        <v>11</v>
      </c>
      <c r="AC467">
        <v>3</v>
      </c>
      <c r="AD467">
        <v>177</v>
      </c>
      <c r="AE467">
        <v>25</v>
      </c>
      <c r="AF467">
        <v>18</v>
      </c>
      <c r="AG467">
        <v>29</v>
      </c>
      <c r="AH467">
        <v>25</v>
      </c>
      <c r="AI467">
        <v>24</v>
      </c>
      <c r="AJ467">
        <v>1019</v>
      </c>
      <c r="AK467">
        <v>248</v>
      </c>
      <c r="AL467">
        <v>45</v>
      </c>
      <c r="AM467">
        <v>125</v>
      </c>
      <c r="AN467">
        <v>20</v>
      </c>
      <c r="AO467">
        <v>2</v>
      </c>
      <c r="AP467">
        <v>14</v>
      </c>
      <c r="AQ467">
        <v>0</v>
      </c>
      <c r="AR467">
        <v>9</v>
      </c>
      <c r="AS467">
        <v>23</v>
      </c>
      <c r="AT467">
        <v>1019</v>
      </c>
      <c r="AU467">
        <v>1136</v>
      </c>
      <c r="AV467">
        <v>0</v>
      </c>
      <c r="AW467">
        <v>2155</v>
      </c>
      <c r="AX467">
        <v>101</v>
      </c>
      <c r="AY467">
        <v>0</v>
      </c>
      <c r="AZ467">
        <v>0</v>
      </c>
      <c r="BA467">
        <v>101</v>
      </c>
      <c r="BB467">
        <v>0</v>
      </c>
      <c r="BC467">
        <v>0</v>
      </c>
      <c r="BD467">
        <v>0</v>
      </c>
      <c r="BE467">
        <v>451</v>
      </c>
      <c r="BF467">
        <v>451</v>
      </c>
      <c r="BG467">
        <f t="shared" si="61"/>
        <v>113.04347826086956</v>
      </c>
      <c r="BH467">
        <v>99</v>
      </c>
      <c r="BI467">
        <v>144</v>
      </c>
      <c r="BJ467">
        <v>133</v>
      </c>
      <c r="BK467">
        <v>31</v>
      </c>
      <c r="BL467">
        <v>21</v>
      </c>
      <c r="BM467">
        <v>83</v>
      </c>
      <c r="BN467">
        <v>68</v>
      </c>
      <c r="BO467">
        <v>65</v>
      </c>
      <c r="BP467">
        <v>31</v>
      </c>
      <c r="BQ467">
        <v>101</v>
      </c>
      <c r="BR467">
        <v>109</v>
      </c>
      <c r="BS467">
        <v>45</v>
      </c>
      <c r="BT467">
        <v>930</v>
      </c>
      <c r="BU467">
        <v>117</v>
      </c>
      <c r="BV467">
        <v>313</v>
      </c>
      <c r="BW467">
        <v>401</v>
      </c>
      <c r="BX467">
        <v>83</v>
      </c>
      <c r="BY467">
        <v>76</v>
      </c>
      <c r="BZ467">
        <v>112</v>
      </c>
      <c r="CA467">
        <v>1102</v>
      </c>
      <c r="CB467">
        <v>24</v>
      </c>
      <c r="CC467">
        <v>8</v>
      </c>
      <c r="CD467">
        <v>87</v>
      </c>
      <c r="CE467">
        <v>52</v>
      </c>
      <c r="CF467">
        <v>0.6</v>
      </c>
      <c r="CG467">
        <v>0</v>
      </c>
      <c r="CH467">
        <v>0</v>
      </c>
      <c r="CI467">
        <v>0</v>
      </c>
      <c r="CJ467">
        <v>0</v>
      </c>
      <c r="CK467">
        <v>2</v>
      </c>
      <c r="CL467">
        <v>1</v>
      </c>
      <c r="CM467">
        <v>0</v>
      </c>
      <c r="CN467">
        <v>59</v>
      </c>
      <c r="CO467">
        <v>0</v>
      </c>
      <c r="CP467">
        <v>7</v>
      </c>
      <c r="CQ467">
        <v>0</v>
      </c>
      <c r="CR467">
        <v>0</v>
      </c>
      <c r="CS467">
        <v>0</v>
      </c>
      <c r="CT467">
        <v>69</v>
      </c>
      <c r="CU467">
        <v>0</v>
      </c>
      <c r="CV467">
        <v>0</v>
      </c>
      <c r="CW467">
        <v>2</v>
      </c>
      <c r="CX467">
        <v>0</v>
      </c>
      <c r="CY467">
        <v>24</v>
      </c>
      <c r="CZ467">
        <v>0</v>
      </c>
      <c r="DA467">
        <v>0</v>
      </c>
      <c r="DB467">
        <v>0</v>
      </c>
      <c r="DC467">
        <v>26</v>
      </c>
      <c r="DD467">
        <v>0</v>
      </c>
      <c r="DE467">
        <v>0</v>
      </c>
      <c r="DF467">
        <v>52</v>
      </c>
      <c r="DG467">
        <v>87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139</v>
      </c>
      <c r="DT467">
        <v>234</v>
      </c>
      <c r="DU467">
        <v>57</v>
      </c>
      <c r="DV467">
        <v>0</v>
      </c>
      <c r="DW467">
        <v>0</v>
      </c>
      <c r="DX467">
        <v>0</v>
      </c>
      <c r="DY467">
        <v>88</v>
      </c>
      <c r="DZ467">
        <v>176</v>
      </c>
      <c r="EA467">
        <v>385</v>
      </c>
      <c r="EB467">
        <v>363</v>
      </c>
      <c r="EC467">
        <v>88</v>
      </c>
      <c r="ED467">
        <v>260</v>
      </c>
      <c r="EE467">
        <v>820</v>
      </c>
      <c r="EF467">
        <v>0</v>
      </c>
      <c r="EG467">
        <v>0.25</v>
      </c>
      <c r="EH467">
        <v>0.6</v>
      </c>
      <c r="EI467">
        <v>0.8</v>
      </c>
      <c r="EJ467">
        <v>0.3</v>
      </c>
      <c r="EK467">
        <v>2.1</v>
      </c>
    </row>
    <row r="468" spans="1:141" x14ac:dyDescent="0.25">
      <c r="A468" t="str">
        <f>[1]ingredient!B469</f>
        <v>Zucchini rund</v>
      </c>
      <c r="B468" t="s">
        <v>490</v>
      </c>
      <c r="C468" s="7">
        <f>_xlfn.XLOOKUP(A468,[1]ingredient!$B$2:$B$521,[1]ingredient!$A$2:$A$521)</f>
        <v>468</v>
      </c>
      <c r="D468">
        <v>21</v>
      </c>
      <c r="E468">
        <v>0.28999999999999998</v>
      </c>
      <c r="F468">
        <v>2</v>
      </c>
      <c r="G468">
        <v>2</v>
      </c>
      <c r="H468">
        <v>1</v>
      </c>
      <c r="I468">
        <v>2</v>
      </c>
      <c r="J468">
        <v>0.03</v>
      </c>
      <c r="K468">
        <v>93</v>
      </c>
      <c r="L468">
        <v>30</v>
      </c>
      <c r="M468">
        <v>15</v>
      </c>
      <c r="N468">
        <v>0</v>
      </c>
      <c r="O468">
        <v>180</v>
      </c>
      <c r="P468">
        <v>211</v>
      </c>
      <c r="Q468">
        <v>73</v>
      </c>
      <c r="R468">
        <v>400</v>
      </c>
      <c r="S468">
        <v>917</v>
      </c>
      <c r="T468">
        <v>80</v>
      </c>
      <c r="U468">
        <v>119</v>
      </c>
      <c r="V468">
        <v>2</v>
      </c>
      <c r="W468">
        <v>10</v>
      </c>
      <c r="X468">
        <v>0</v>
      </c>
      <c r="Y468">
        <v>17600</v>
      </c>
      <c r="Z468">
        <v>0</v>
      </c>
      <c r="AA468">
        <v>500</v>
      </c>
      <c r="AB468">
        <v>11</v>
      </c>
      <c r="AC468">
        <v>3</v>
      </c>
      <c r="AD468">
        <v>177</v>
      </c>
      <c r="AE468">
        <v>25</v>
      </c>
      <c r="AF468">
        <v>18</v>
      </c>
      <c r="AG468">
        <v>29</v>
      </c>
      <c r="AH468">
        <v>25</v>
      </c>
      <c r="AI468">
        <v>24</v>
      </c>
      <c r="AJ468">
        <v>1019</v>
      </c>
      <c r="AK468">
        <v>248</v>
      </c>
      <c r="AL468">
        <v>45</v>
      </c>
      <c r="AM468">
        <v>125</v>
      </c>
      <c r="AN468">
        <v>20</v>
      </c>
      <c r="AO468">
        <v>2</v>
      </c>
      <c r="AP468">
        <v>14</v>
      </c>
      <c r="AQ468">
        <v>0</v>
      </c>
      <c r="AR468">
        <v>9</v>
      </c>
      <c r="AS468">
        <v>23</v>
      </c>
      <c r="AT468">
        <v>1019</v>
      </c>
      <c r="AU468">
        <v>1136</v>
      </c>
      <c r="AV468">
        <v>0</v>
      </c>
      <c r="AW468">
        <v>2155</v>
      </c>
      <c r="AX468">
        <v>101</v>
      </c>
      <c r="AY468">
        <v>0</v>
      </c>
      <c r="AZ468">
        <v>0</v>
      </c>
      <c r="BA468">
        <v>101</v>
      </c>
      <c r="BB468">
        <v>0</v>
      </c>
      <c r="BC468">
        <v>0</v>
      </c>
      <c r="BD468">
        <v>0</v>
      </c>
      <c r="BE468">
        <v>451</v>
      </c>
      <c r="BF468">
        <v>451</v>
      </c>
      <c r="BG468">
        <f t="shared" si="61"/>
        <v>113.04347826086956</v>
      </c>
      <c r="BH468">
        <v>99</v>
      </c>
      <c r="BI468">
        <v>144</v>
      </c>
      <c r="BJ468">
        <v>133</v>
      </c>
      <c r="BK468">
        <v>31</v>
      </c>
      <c r="BL468">
        <v>21</v>
      </c>
      <c r="BM468">
        <v>83</v>
      </c>
      <c r="BN468">
        <v>68</v>
      </c>
      <c r="BO468">
        <v>65</v>
      </c>
      <c r="BP468">
        <v>31</v>
      </c>
      <c r="BQ468">
        <v>101</v>
      </c>
      <c r="BR468">
        <v>109</v>
      </c>
      <c r="BS468">
        <v>45</v>
      </c>
      <c r="BT468">
        <v>930</v>
      </c>
      <c r="BU468">
        <v>117</v>
      </c>
      <c r="BV468">
        <v>313</v>
      </c>
      <c r="BW468">
        <v>401</v>
      </c>
      <c r="BX468">
        <v>83</v>
      </c>
      <c r="BY468">
        <v>76</v>
      </c>
      <c r="BZ468">
        <v>112</v>
      </c>
      <c r="CA468">
        <v>1102</v>
      </c>
      <c r="CB468">
        <v>24</v>
      </c>
      <c r="CC468">
        <v>8</v>
      </c>
      <c r="CD468">
        <v>87</v>
      </c>
      <c r="CE468">
        <v>52</v>
      </c>
      <c r="CF468">
        <v>0.6</v>
      </c>
      <c r="CG468">
        <v>0</v>
      </c>
      <c r="CH468">
        <v>0</v>
      </c>
      <c r="CI468">
        <v>0</v>
      </c>
      <c r="CJ468">
        <v>0</v>
      </c>
      <c r="CK468">
        <v>2</v>
      </c>
      <c r="CL468">
        <v>1</v>
      </c>
      <c r="CM468">
        <v>0</v>
      </c>
      <c r="CN468">
        <v>59</v>
      </c>
      <c r="CO468">
        <v>0</v>
      </c>
      <c r="CP468">
        <v>7</v>
      </c>
      <c r="CQ468">
        <v>0</v>
      </c>
      <c r="CR468">
        <v>0</v>
      </c>
      <c r="CS468">
        <v>0</v>
      </c>
      <c r="CT468">
        <v>69</v>
      </c>
      <c r="CU468">
        <v>0</v>
      </c>
      <c r="CV468">
        <v>0</v>
      </c>
      <c r="CW468">
        <v>2</v>
      </c>
      <c r="CX468">
        <v>0</v>
      </c>
      <c r="CY468">
        <v>24</v>
      </c>
      <c r="CZ468">
        <v>0</v>
      </c>
      <c r="DA468">
        <v>0</v>
      </c>
      <c r="DB468">
        <v>0</v>
      </c>
      <c r="DC468">
        <v>26</v>
      </c>
      <c r="DD468">
        <v>0</v>
      </c>
      <c r="DE468">
        <v>0</v>
      </c>
      <c r="DF468">
        <v>52</v>
      </c>
      <c r="DG468">
        <v>87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139</v>
      </c>
      <c r="DT468">
        <v>234</v>
      </c>
      <c r="DU468">
        <v>57</v>
      </c>
      <c r="DV468">
        <v>0</v>
      </c>
      <c r="DW468">
        <v>0</v>
      </c>
      <c r="DX468">
        <v>0</v>
      </c>
      <c r="DY468">
        <v>88</v>
      </c>
      <c r="DZ468">
        <v>176</v>
      </c>
      <c r="EA468">
        <v>385</v>
      </c>
      <c r="EB468">
        <v>363</v>
      </c>
      <c r="EC468">
        <v>88</v>
      </c>
      <c r="ED468">
        <v>260</v>
      </c>
      <c r="EE468">
        <v>820</v>
      </c>
      <c r="EF468">
        <v>0</v>
      </c>
      <c r="EG468">
        <v>0.25</v>
      </c>
      <c r="EH468">
        <v>0.6</v>
      </c>
      <c r="EI468">
        <v>0.8</v>
      </c>
      <c r="EJ468">
        <v>0.3</v>
      </c>
      <c r="EK468">
        <v>2.1</v>
      </c>
    </row>
    <row r="469" spans="1:141" x14ac:dyDescent="0.25">
      <c r="A469" t="str">
        <f>[1]ingredient!B470</f>
        <v>Zucker</v>
      </c>
      <c r="B469" t="s">
        <v>491</v>
      </c>
      <c r="C469" s="7">
        <f>_xlfn.XLOOKUP(A469,[1]ingredient!$B$2:$B$521,[1]ingredient!$A$2:$A$521)</f>
        <v>469</v>
      </c>
      <c r="D469">
        <v>405</v>
      </c>
      <c r="E469">
        <v>0</v>
      </c>
      <c r="F469">
        <v>0</v>
      </c>
      <c r="G469">
        <v>100</v>
      </c>
      <c r="H469">
        <v>0</v>
      </c>
      <c r="I469">
        <v>100</v>
      </c>
      <c r="J469">
        <v>0</v>
      </c>
      <c r="K469">
        <v>0.12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2</v>
      </c>
      <c r="AE469">
        <v>1</v>
      </c>
      <c r="AF469">
        <v>0</v>
      </c>
      <c r="AG469">
        <v>0</v>
      </c>
      <c r="AH469">
        <v>0</v>
      </c>
      <c r="AI469">
        <v>2</v>
      </c>
      <c r="AJ469">
        <v>290</v>
      </c>
      <c r="AK469">
        <v>20</v>
      </c>
      <c r="AL469">
        <v>15</v>
      </c>
      <c r="AM469">
        <v>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99800</v>
      </c>
      <c r="AY469">
        <v>0</v>
      </c>
      <c r="AZ469">
        <v>0</v>
      </c>
      <c r="BA469">
        <v>99800</v>
      </c>
      <c r="BB469">
        <v>0</v>
      </c>
      <c r="BC469">
        <v>40</v>
      </c>
      <c r="BD469">
        <v>0</v>
      </c>
      <c r="BE469">
        <v>0</v>
      </c>
      <c r="BF469">
        <v>0</v>
      </c>
      <c r="BG469" t="str">
        <f t="shared" si="61"/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</row>
    <row r="470" spans="1:141" x14ac:dyDescent="0.25">
      <c r="A470" t="str">
        <f>[1]ingredient!B471</f>
        <v>Zwetschgen</v>
      </c>
      <c r="B470" t="s">
        <v>492</v>
      </c>
      <c r="C470" s="7">
        <f>_xlfn.XLOOKUP(A470,[1]ingredient!$B$2:$B$521,[1]ingredient!$A$2:$A$521)</f>
        <v>470</v>
      </c>
      <c r="D470">
        <v>43</v>
      </c>
      <c r="E470">
        <v>0.1</v>
      </c>
      <c r="F470">
        <v>1</v>
      </c>
      <c r="G470">
        <v>9</v>
      </c>
      <c r="H470">
        <v>2</v>
      </c>
      <c r="I470">
        <v>9</v>
      </c>
      <c r="J470">
        <v>0</v>
      </c>
      <c r="K470">
        <v>86</v>
      </c>
      <c r="L470">
        <v>49</v>
      </c>
      <c r="M470">
        <v>25</v>
      </c>
      <c r="N470">
        <v>0</v>
      </c>
      <c r="O470">
        <v>295</v>
      </c>
      <c r="P470">
        <v>50</v>
      </c>
      <c r="Q470">
        <v>30</v>
      </c>
      <c r="R470">
        <v>400</v>
      </c>
      <c r="S470">
        <v>400</v>
      </c>
      <c r="T470">
        <v>150</v>
      </c>
      <c r="U470">
        <v>50</v>
      </c>
      <c r="V470">
        <v>0.1</v>
      </c>
      <c r="W470">
        <v>3</v>
      </c>
      <c r="X470">
        <v>0</v>
      </c>
      <c r="Y470">
        <v>4000</v>
      </c>
      <c r="Z470">
        <v>0</v>
      </c>
      <c r="AA470">
        <v>610</v>
      </c>
      <c r="AB470">
        <v>10</v>
      </c>
      <c r="AC470">
        <v>2</v>
      </c>
      <c r="AD470">
        <v>240</v>
      </c>
      <c r="AE470">
        <v>13</v>
      </c>
      <c r="AF470">
        <v>8</v>
      </c>
      <c r="AG470">
        <v>23</v>
      </c>
      <c r="AH470">
        <v>5</v>
      </c>
      <c r="AI470">
        <v>1</v>
      </c>
      <c r="AJ470">
        <v>400</v>
      </c>
      <c r="AK470">
        <v>100</v>
      </c>
      <c r="AL470">
        <v>100</v>
      </c>
      <c r="AM470">
        <v>100</v>
      </c>
      <c r="AN470">
        <v>2</v>
      </c>
      <c r="AO470">
        <v>0.1</v>
      </c>
      <c r="AP470">
        <v>0</v>
      </c>
      <c r="AQ470">
        <v>0</v>
      </c>
      <c r="AR470">
        <v>0</v>
      </c>
      <c r="AS470">
        <v>0</v>
      </c>
      <c r="AT470">
        <v>4303</v>
      </c>
      <c r="AU470">
        <v>1998</v>
      </c>
      <c r="AV470">
        <v>0</v>
      </c>
      <c r="AW470">
        <v>6301</v>
      </c>
      <c r="AX470">
        <v>2499</v>
      </c>
      <c r="AY470">
        <v>0</v>
      </c>
      <c r="AZ470">
        <v>0</v>
      </c>
      <c r="BA470">
        <v>2499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f t="shared" si="61"/>
        <v>0</v>
      </c>
      <c r="BH470">
        <v>12</v>
      </c>
      <c r="BI470">
        <v>16</v>
      </c>
      <c r="BJ470">
        <v>13</v>
      </c>
      <c r="BK470">
        <v>5</v>
      </c>
      <c r="BL470">
        <v>3</v>
      </c>
      <c r="BM470">
        <v>13</v>
      </c>
      <c r="BN470">
        <v>5</v>
      </c>
      <c r="BO470">
        <v>12</v>
      </c>
      <c r="BP470">
        <v>0</v>
      </c>
      <c r="BQ470">
        <v>14</v>
      </c>
      <c r="BR470">
        <v>10</v>
      </c>
      <c r="BS470">
        <v>10</v>
      </c>
      <c r="BT470">
        <v>113</v>
      </c>
      <c r="BU470">
        <v>22</v>
      </c>
      <c r="BV470">
        <v>189</v>
      </c>
      <c r="BW470">
        <v>28</v>
      </c>
      <c r="BX470">
        <v>9</v>
      </c>
      <c r="BY470">
        <v>26</v>
      </c>
      <c r="BZ470">
        <v>15</v>
      </c>
      <c r="CA470">
        <v>289</v>
      </c>
      <c r="CB470">
        <v>20</v>
      </c>
      <c r="CC470">
        <v>8</v>
      </c>
      <c r="CD470">
        <v>18</v>
      </c>
      <c r="CE470">
        <v>32</v>
      </c>
      <c r="CF470">
        <v>1.78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14</v>
      </c>
      <c r="CO470">
        <v>0</v>
      </c>
      <c r="CP470">
        <v>3</v>
      </c>
      <c r="CQ470">
        <v>0</v>
      </c>
      <c r="CR470">
        <v>0</v>
      </c>
      <c r="CS470">
        <v>0</v>
      </c>
      <c r="CT470">
        <v>17</v>
      </c>
      <c r="CU470">
        <v>0</v>
      </c>
      <c r="CV470">
        <v>0</v>
      </c>
      <c r="CW470">
        <v>1</v>
      </c>
      <c r="CX470">
        <v>0</v>
      </c>
      <c r="CY470">
        <v>12</v>
      </c>
      <c r="CZ470">
        <v>0</v>
      </c>
      <c r="DA470">
        <v>0</v>
      </c>
      <c r="DB470">
        <v>0</v>
      </c>
      <c r="DC470">
        <v>13</v>
      </c>
      <c r="DD470">
        <v>0</v>
      </c>
      <c r="DE470">
        <v>0</v>
      </c>
      <c r="DF470">
        <v>32</v>
      </c>
      <c r="DG470">
        <v>18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50</v>
      </c>
      <c r="DT470">
        <v>80</v>
      </c>
      <c r="DU470">
        <v>20</v>
      </c>
      <c r="DV470">
        <v>0</v>
      </c>
      <c r="DW470">
        <v>0</v>
      </c>
      <c r="DX470">
        <v>0</v>
      </c>
      <c r="DY470">
        <v>230</v>
      </c>
      <c r="DZ470">
        <v>191</v>
      </c>
      <c r="EA470">
        <v>1106</v>
      </c>
      <c r="EB470">
        <v>336</v>
      </c>
      <c r="EC470">
        <v>437</v>
      </c>
      <c r="ED470">
        <v>975</v>
      </c>
      <c r="EE470">
        <v>1325</v>
      </c>
      <c r="EF470">
        <v>0</v>
      </c>
      <c r="EG470">
        <v>1</v>
      </c>
      <c r="EH470">
        <v>0.5</v>
      </c>
      <c r="EI470">
        <v>1.3</v>
      </c>
      <c r="EJ470">
        <v>0.1</v>
      </c>
      <c r="EK470">
        <v>0.5</v>
      </c>
    </row>
    <row r="471" spans="1:141" x14ac:dyDescent="0.25">
      <c r="A471" t="str">
        <f>[1]ingredient!B472</f>
        <v>Zwiebeln gelb</v>
      </c>
      <c r="B471" t="s">
        <v>493</v>
      </c>
      <c r="C471" s="7">
        <f>_xlfn.XLOOKUP(A471,[1]ingredient!$B$2:$B$521,[1]ingredient!$A$2:$A$521)</f>
        <v>471</v>
      </c>
      <c r="D471">
        <v>28</v>
      </c>
      <c r="E471">
        <v>0.25</v>
      </c>
      <c r="F471">
        <v>1</v>
      </c>
      <c r="G471">
        <v>5</v>
      </c>
      <c r="H471">
        <v>1</v>
      </c>
      <c r="I471">
        <v>5</v>
      </c>
      <c r="J471">
        <v>0.02</v>
      </c>
      <c r="K471">
        <v>92</v>
      </c>
      <c r="L471">
        <v>1</v>
      </c>
      <c r="M471">
        <v>1</v>
      </c>
      <c r="N471">
        <v>0</v>
      </c>
      <c r="O471">
        <v>7</v>
      </c>
      <c r="P471">
        <v>36</v>
      </c>
      <c r="Q471">
        <v>20</v>
      </c>
      <c r="R471">
        <v>200</v>
      </c>
      <c r="S471">
        <v>517</v>
      </c>
      <c r="T471">
        <v>170</v>
      </c>
      <c r="U471">
        <v>156</v>
      </c>
      <c r="V471">
        <v>4</v>
      </c>
      <c r="W471">
        <v>11</v>
      </c>
      <c r="X471">
        <v>0</v>
      </c>
      <c r="Y471">
        <v>7400</v>
      </c>
      <c r="Z471">
        <v>0</v>
      </c>
      <c r="AA471">
        <v>67</v>
      </c>
      <c r="AB471">
        <v>1</v>
      </c>
      <c r="AC471">
        <v>3</v>
      </c>
      <c r="AD471">
        <v>162</v>
      </c>
      <c r="AE471">
        <v>22</v>
      </c>
      <c r="AF471">
        <v>10</v>
      </c>
      <c r="AG471">
        <v>33</v>
      </c>
      <c r="AH471">
        <v>51</v>
      </c>
      <c r="AI471">
        <v>19</v>
      </c>
      <c r="AJ471">
        <v>221</v>
      </c>
      <c r="AK471">
        <v>184</v>
      </c>
      <c r="AL471">
        <v>44</v>
      </c>
      <c r="AM471">
        <v>126</v>
      </c>
      <c r="AN471">
        <v>42</v>
      </c>
      <c r="AO471">
        <v>2</v>
      </c>
      <c r="AP471">
        <v>0</v>
      </c>
      <c r="AQ471">
        <v>0</v>
      </c>
      <c r="AR471">
        <v>0</v>
      </c>
      <c r="AS471">
        <v>0</v>
      </c>
      <c r="AT471">
        <v>1658</v>
      </c>
      <c r="AU471">
        <v>1357</v>
      </c>
      <c r="AV471">
        <v>0</v>
      </c>
      <c r="AW471">
        <v>3015</v>
      </c>
      <c r="AX471">
        <v>1906</v>
      </c>
      <c r="AY471">
        <v>0</v>
      </c>
      <c r="AZ471">
        <v>0</v>
      </c>
      <c r="BA471">
        <v>1906</v>
      </c>
      <c r="BB471">
        <v>1132</v>
      </c>
      <c r="BC471">
        <v>0</v>
      </c>
      <c r="BD471">
        <v>0</v>
      </c>
      <c r="BE471">
        <v>0</v>
      </c>
      <c r="BF471">
        <v>0</v>
      </c>
      <c r="BG471">
        <f t="shared" ref="BG471:BG473" si="74">IF($F471=0,"0",MIN(
BH471/(30*$F471),
BI471/(61*$F471),
BJ471/(48*$F471),
(BK471+BL471)/(23*$F471),
(BM471+BN471)/(41*$F471),
BO471/(25*$F471),
BP471/(6.6*$F471),
BQ471/(40*$F471),
BS471/(16*$F471)
)*100)</f>
        <v>54.098360655737707</v>
      </c>
      <c r="BH471">
        <v>19</v>
      </c>
      <c r="BI471">
        <v>33</v>
      </c>
      <c r="BJ471">
        <v>57</v>
      </c>
      <c r="BK471">
        <v>12</v>
      </c>
      <c r="BL471">
        <v>29</v>
      </c>
      <c r="BM471">
        <v>35</v>
      </c>
      <c r="BN471">
        <v>41</v>
      </c>
      <c r="BO471">
        <v>20</v>
      </c>
      <c r="BP471">
        <v>19</v>
      </c>
      <c r="BQ471">
        <v>28</v>
      </c>
      <c r="BR471">
        <v>160</v>
      </c>
      <c r="BS471">
        <v>13</v>
      </c>
      <c r="BT471">
        <v>466</v>
      </c>
      <c r="BU471">
        <v>46</v>
      </c>
      <c r="BV471">
        <v>91</v>
      </c>
      <c r="BW471">
        <v>260</v>
      </c>
      <c r="BX471">
        <v>69</v>
      </c>
      <c r="BY471">
        <v>51</v>
      </c>
      <c r="BZ471">
        <v>47</v>
      </c>
      <c r="CA471">
        <v>564</v>
      </c>
      <c r="CB471">
        <v>13</v>
      </c>
      <c r="CC471">
        <v>5</v>
      </c>
      <c r="CD471">
        <v>13</v>
      </c>
      <c r="CE471">
        <v>93</v>
      </c>
      <c r="CF471">
        <v>7.15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1</v>
      </c>
      <c r="CM471">
        <v>0</v>
      </c>
      <c r="CN471">
        <v>67</v>
      </c>
      <c r="CO471">
        <v>0</v>
      </c>
      <c r="CP471">
        <v>27</v>
      </c>
      <c r="CQ471">
        <v>0</v>
      </c>
      <c r="CR471">
        <v>0</v>
      </c>
      <c r="CS471">
        <v>0</v>
      </c>
      <c r="CT471">
        <v>95</v>
      </c>
      <c r="CU471">
        <v>0</v>
      </c>
      <c r="CV471">
        <v>0</v>
      </c>
      <c r="CW471">
        <v>0</v>
      </c>
      <c r="CX471">
        <v>0</v>
      </c>
      <c r="CY471">
        <v>32</v>
      </c>
      <c r="CZ471">
        <v>0</v>
      </c>
      <c r="DA471">
        <v>0</v>
      </c>
      <c r="DB471">
        <v>0</v>
      </c>
      <c r="DC471">
        <v>32</v>
      </c>
      <c r="DD471">
        <v>0</v>
      </c>
      <c r="DE471">
        <v>0</v>
      </c>
      <c r="DF471">
        <v>93</v>
      </c>
      <c r="DG471">
        <v>13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106</v>
      </c>
      <c r="DT471">
        <v>233</v>
      </c>
      <c r="DU471">
        <v>50</v>
      </c>
      <c r="DV471">
        <v>0</v>
      </c>
      <c r="DW471">
        <v>0</v>
      </c>
      <c r="DX471">
        <v>0</v>
      </c>
      <c r="DY471">
        <v>70</v>
      </c>
      <c r="DZ471">
        <v>504</v>
      </c>
      <c r="EA471">
        <v>392</v>
      </c>
      <c r="EB471">
        <v>510</v>
      </c>
      <c r="EC471">
        <v>70</v>
      </c>
      <c r="ED471">
        <v>290</v>
      </c>
      <c r="EE471">
        <v>1520</v>
      </c>
      <c r="EF471">
        <v>0</v>
      </c>
      <c r="EG471">
        <v>0.21</v>
      </c>
      <c r="EH471">
        <v>0.5</v>
      </c>
      <c r="EI471">
        <v>1.5</v>
      </c>
      <c r="EJ471">
        <v>0.3</v>
      </c>
      <c r="EK471">
        <v>1.1000000000000001</v>
      </c>
    </row>
    <row r="472" spans="1:141" x14ac:dyDescent="0.25">
      <c r="A472" t="str">
        <f>[1]ingredient!B473</f>
        <v>Zwiebeln rot</v>
      </c>
      <c r="B472" t="s">
        <v>493</v>
      </c>
      <c r="C472" s="7">
        <f>_xlfn.XLOOKUP(A472,[1]ingredient!$B$2:$B$521,[1]ingredient!$A$2:$A$521)</f>
        <v>472</v>
      </c>
      <c r="D472">
        <v>28</v>
      </c>
      <c r="E472">
        <v>0.25</v>
      </c>
      <c r="F472">
        <v>1</v>
      </c>
      <c r="G472">
        <v>5</v>
      </c>
      <c r="H472">
        <v>1</v>
      </c>
      <c r="I472">
        <v>5</v>
      </c>
      <c r="J472">
        <v>0.02</v>
      </c>
      <c r="K472">
        <v>92</v>
      </c>
      <c r="L472">
        <v>1</v>
      </c>
      <c r="M472">
        <v>1</v>
      </c>
      <c r="N472">
        <v>0</v>
      </c>
      <c r="O472">
        <v>7</v>
      </c>
      <c r="P472">
        <v>36</v>
      </c>
      <c r="Q472">
        <v>20</v>
      </c>
      <c r="R472">
        <v>200</v>
      </c>
      <c r="S472">
        <v>517</v>
      </c>
      <c r="T472">
        <v>170</v>
      </c>
      <c r="U472">
        <v>156</v>
      </c>
      <c r="V472">
        <v>4</v>
      </c>
      <c r="W472">
        <v>11</v>
      </c>
      <c r="X472">
        <v>0</v>
      </c>
      <c r="Y472">
        <v>7400</v>
      </c>
      <c r="Z472">
        <v>0</v>
      </c>
      <c r="AA472">
        <v>67</v>
      </c>
      <c r="AB472">
        <v>1</v>
      </c>
      <c r="AC472">
        <v>3</v>
      </c>
      <c r="AD472">
        <v>162</v>
      </c>
      <c r="AE472">
        <v>22</v>
      </c>
      <c r="AF472">
        <v>10</v>
      </c>
      <c r="AG472">
        <v>33</v>
      </c>
      <c r="AH472">
        <v>51</v>
      </c>
      <c r="AI472">
        <v>19</v>
      </c>
      <c r="AJ472">
        <v>221</v>
      </c>
      <c r="AK472">
        <v>184</v>
      </c>
      <c r="AL472">
        <v>44</v>
      </c>
      <c r="AM472">
        <v>126</v>
      </c>
      <c r="AN472">
        <v>42</v>
      </c>
      <c r="AO472">
        <v>2</v>
      </c>
      <c r="AP472">
        <v>0</v>
      </c>
      <c r="AQ472">
        <v>0</v>
      </c>
      <c r="AR472">
        <v>0</v>
      </c>
      <c r="AS472">
        <v>0</v>
      </c>
      <c r="AT472">
        <v>1658</v>
      </c>
      <c r="AU472">
        <v>1357</v>
      </c>
      <c r="AV472">
        <v>0</v>
      </c>
      <c r="AW472">
        <v>3015</v>
      </c>
      <c r="AX472">
        <v>1906</v>
      </c>
      <c r="AY472">
        <v>0</v>
      </c>
      <c r="AZ472">
        <v>0</v>
      </c>
      <c r="BA472">
        <v>1906</v>
      </c>
      <c r="BB472">
        <v>1132</v>
      </c>
      <c r="BC472">
        <v>0</v>
      </c>
      <c r="BD472">
        <v>0</v>
      </c>
      <c r="BE472">
        <v>0</v>
      </c>
      <c r="BF472">
        <v>0</v>
      </c>
      <c r="BG472">
        <f t="shared" si="74"/>
        <v>54.098360655737707</v>
      </c>
      <c r="BH472">
        <v>19</v>
      </c>
      <c r="BI472">
        <v>33</v>
      </c>
      <c r="BJ472">
        <v>57</v>
      </c>
      <c r="BK472">
        <v>12</v>
      </c>
      <c r="BL472">
        <v>29</v>
      </c>
      <c r="BM472">
        <v>35</v>
      </c>
      <c r="BN472">
        <v>41</v>
      </c>
      <c r="BO472">
        <v>20</v>
      </c>
      <c r="BP472">
        <v>19</v>
      </c>
      <c r="BQ472">
        <v>28</v>
      </c>
      <c r="BR472">
        <v>160</v>
      </c>
      <c r="BS472">
        <v>13</v>
      </c>
      <c r="BT472">
        <v>466</v>
      </c>
      <c r="BU472">
        <v>46</v>
      </c>
      <c r="BV472">
        <v>91</v>
      </c>
      <c r="BW472">
        <v>260</v>
      </c>
      <c r="BX472">
        <v>69</v>
      </c>
      <c r="BY472">
        <v>51</v>
      </c>
      <c r="BZ472">
        <v>47</v>
      </c>
      <c r="CA472">
        <v>564</v>
      </c>
      <c r="CB472">
        <v>13</v>
      </c>
      <c r="CC472">
        <v>5</v>
      </c>
      <c r="CD472">
        <v>13</v>
      </c>
      <c r="CE472">
        <v>93</v>
      </c>
      <c r="CF472">
        <v>7.15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1</v>
      </c>
      <c r="CM472">
        <v>0</v>
      </c>
      <c r="CN472">
        <v>67</v>
      </c>
      <c r="CO472">
        <v>0</v>
      </c>
      <c r="CP472">
        <v>27</v>
      </c>
      <c r="CQ472">
        <v>0</v>
      </c>
      <c r="CR472">
        <v>0</v>
      </c>
      <c r="CS472">
        <v>0</v>
      </c>
      <c r="CT472">
        <v>95</v>
      </c>
      <c r="CU472">
        <v>0</v>
      </c>
      <c r="CV472">
        <v>0</v>
      </c>
      <c r="CW472">
        <v>0</v>
      </c>
      <c r="CX472">
        <v>0</v>
      </c>
      <c r="CY472">
        <v>32</v>
      </c>
      <c r="CZ472">
        <v>0</v>
      </c>
      <c r="DA472">
        <v>0</v>
      </c>
      <c r="DB472">
        <v>0</v>
      </c>
      <c r="DC472">
        <v>32</v>
      </c>
      <c r="DD472">
        <v>0</v>
      </c>
      <c r="DE472">
        <v>0</v>
      </c>
      <c r="DF472">
        <v>93</v>
      </c>
      <c r="DG472">
        <v>13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106</v>
      </c>
      <c r="DT472">
        <v>233</v>
      </c>
      <c r="DU472">
        <v>50</v>
      </c>
      <c r="DV472">
        <v>0</v>
      </c>
      <c r="DW472">
        <v>0</v>
      </c>
      <c r="DX472">
        <v>0</v>
      </c>
      <c r="DY472">
        <v>70</v>
      </c>
      <c r="DZ472">
        <v>504</v>
      </c>
      <c r="EA472">
        <v>392</v>
      </c>
      <c r="EB472">
        <v>510</v>
      </c>
      <c r="EC472">
        <v>70</v>
      </c>
      <c r="ED472">
        <v>290</v>
      </c>
      <c r="EE472">
        <v>1520</v>
      </c>
      <c r="EF472">
        <v>0</v>
      </c>
      <c r="EG472">
        <v>0.21</v>
      </c>
      <c r="EH472">
        <v>0.5</v>
      </c>
      <c r="EI472">
        <v>1.5</v>
      </c>
      <c r="EJ472">
        <v>0.3</v>
      </c>
      <c r="EK472">
        <v>1.1000000000000001</v>
      </c>
    </row>
    <row r="473" spans="1:141" x14ac:dyDescent="0.25">
      <c r="A473" t="str">
        <f>[1]ingredient!B474</f>
        <v>Zwiebelpulver</v>
      </c>
      <c r="B473" t="s">
        <v>494</v>
      </c>
      <c r="C473" s="7">
        <f>_xlfn.XLOOKUP(A473,[1]ingredient!$B$2:$B$521,[1]ingredient!$A$2:$A$521)</f>
        <v>473</v>
      </c>
      <c r="D473">
        <v>313</v>
      </c>
      <c r="E473">
        <v>3</v>
      </c>
      <c r="F473">
        <v>14</v>
      </c>
      <c r="G473">
        <v>55</v>
      </c>
      <c r="H473">
        <v>16</v>
      </c>
      <c r="I473">
        <v>45</v>
      </c>
      <c r="J473">
        <v>0.25</v>
      </c>
      <c r="K473">
        <v>4</v>
      </c>
      <c r="L473">
        <v>12</v>
      </c>
      <c r="M473">
        <v>4</v>
      </c>
      <c r="N473">
        <v>0</v>
      </c>
      <c r="O473">
        <v>47</v>
      </c>
      <c r="P473">
        <v>363</v>
      </c>
      <c r="Q473">
        <v>222</v>
      </c>
      <c r="R473">
        <v>2002</v>
      </c>
      <c r="S473">
        <v>6302</v>
      </c>
      <c r="T473">
        <v>1592</v>
      </c>
      <c r="U473">
        <v>1463</v>
      </c>
      <c r="V473">
        <v>42</v>
      </c>
      <c r="W473">
        <v>70</v>
      </c>
      <c r="X473">
        <v>0</v>
      </c>
      <c r="Y473">
        <v>34759</v>
      </c>
      <c r="Z473">
        <v>0</v>
      </c>
      <c r="AA473">
        <v>702</v>
      </c>
      <c r="AB473">
        <v>12</v>
      </c>
      <c r="AC473">
        <v>35</v>
      </c>
      <c r="AD473">
        <v>1616</v>
      </c>
      <c r="AE473">
        <v>222</v>
      </c>
      <c r="AF473">
        <v>105</v>
      </c>
      <c r="AG473">
        <v>351</v>
      </c>
      <c r="AH473">
        <v>539</v>
      </c>
      <c r="AI473">
        <v>211</v>
      </c>
      <c r="AJ473">
        <v>2201</v>
      </c>
      <c r="AK473">
        <v>1943</v>
      </c>
      <c r="AL473">
        <v>468</v>
      </c>
      <c r="AM473">
        <v>1335</v>
      </c>
      <c r="AN473">
        <v>445</v>
      </c>
      <c r="AO473">
        <v>19</v>
      </c>
      <c r="AP473">
        <v>0</v>
      </c>
      <c r="AQ473">
        <v>0</v>
      </c>
      <c r="AR473">
        <v>0</v>
      </c>
      <c r="AS473">
        <v>0</v>
      </c>
      <c r="AT473">
        <v>15045</v>
      </c>
      <c r="AU473">
        <v>12304</v>
      </c>
      <c r="AV473">
        <v>0</v>
      </c>
      <c r="AW473">
        <v>27349</v>
      </c>
      <c r="AX473">
        <v>17280</v>
      </c>
      <c r="AY473">
        <v>0</v>
      </c>
      <c r="AZ473">
        <v>0</v>
      </c>
      <c r="BA473">
        <v>17280</v>
      </c>
      <c r="BB473">
        <v>10267</v>
      </c>
      <c r="BC473">
        <v>0</v>
      </c>
      <c r="BD473">
        <v>0</v>
      </c>
      <c r="BE473">
        <v>0</v>
      </c>
      <c r="BF473">
        <v>0</v>
      </c>
      <c r="BG473">
        <f t="shared" si="74"/>
        <v>52.107728337236537</v>
      </c>
      <c r="BH473">
        <v>258</v>
      </c>
      <c r="BI473">
        <v>445</v>
      </c>
      <c r="BJ473">
        <v>761</v>
      </c>
      <c r="BK473">
        <v>164</v>
      </c>
      <c r="BL473">
        <v>386</v>
      </c>
      <c r="BM473">
        <v>468</v>
      </c>
      <c r="BN473">
        <v>550</v>
      </c>
      <c r="BO473">
        <v>269</v>
      </c>
      <c r="BP473">
        <v>258</v>
      </c>
      <c r="BQ473">
        <v>375</v>
      </c>
      <c r="BR473">
        <v>2142</v>
      </c>
      <c r="BS473">
        <v>176</v>
      </c>
      <c r="BT473">
        <v>6252</v>
      </c>
      <c r="BU473">
        <v>620</v>
      </c>
      <c r="BV473">
        <v>1218</v>
      </c>
      <c r="BW473">
        <v>3500</v>
      </c>
      <c r="BX473">
        <v>925</v>
      </c>
      <c r="BY473">
        <v>679</v>
      </c>
      <c r="BZ473">
        <v>632</v>
      </c>
      <c r="CA473">
        <v>7574</v>
      </c>
      <c r="CB473">
        <v>152</v>
      </c>
      <c r="CC473">
        <v>63</v>
      </c>
      <c r="CD473">
        <v>140</v>
      </c>
      <c r="CE473">
        <v>972</v>
      </c>
      <c r="CF473">
        <v>6.94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12</v>
      </c>
      <c r="CM473">
        <v>0</v>
      </c>
      <c r="CN473">
        <v>691</v>
      </c>
      <c r="CO473">
        <v>0</v>
      </c>
      <c r="CP473">
        <v>281</v>
      </c>
      <c r="CQ473">
        <v>0</v>
      </c>
      <c r="CR473">
        <v>0</v>
      </c>
      <c r="CS473">
        <v>0</v>
      </c>
      <c r="CT473">
        <v>984</v>
      </c>
      <c r="CU473">
        <v>0</v>
      </c>
      <c r="CV473">
        <v>0</v>
      </c>
      <c r="CW473">
        <v>0</v>
      </c>
      <c r="CX473">
        <v>0</v>
      </c>
      <c r="CY473">
        <v>328</v>
      </c>
      <c r="CZ473">
        <v>0</v>
      </c>
      <c r="DA473">
        <v>0</v>
      </c>
      <c r="DB473">
        <v>0</v>
      </c>
      <c r="DC473">
        <v>328</v>
      </c>
      <c r="DD473">
        <v>0</v>
      </c>
      <c r="DE473">
        <v>0</v>
      </c>
      <c r="DF473">
        <v>972</v>
      </c>
      <c r="DG473">
        <v>140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1112</v>
      </c>
      <c r="DT473">
        <v>2424</v>
      </c>
      <c r="DU473">
        <v>515</v>
      </c>
      <c r="DV473">
        <v>0</v>
      </c>
      <c r="DW473">
        <v>0</v>
      </c>
      <c r="DX473">
        <v>0</v>
      </c>
      <c r="DY473">
        <v>738</v>
      </c>
      <c r="DZ473">
        <v>5366</v>
      </c>
      <c r="EA473">
        <v>4171</v>
      </c>
      <c r="EB473">
        <v>5424</v>
      </c>
      <c r="EC473">
        <v>738</v>
      </c>
      <c r="ED473">
        <v>3407</v>
      </c>
      <c r="EE473">
        <v>17854</v>
      </c>
      <c r="EF473">
        <v>0</v>
      </c>
      <c r="EG473">
        <v>2</v>
      </c>
      <c r="EH473">
        <v>5.4</v>
      </c>
      <c r="EI473">
        <v>17.899999999999999</v>
      </c>
      <c r="EJ473">
        <v>2.9</v>
      </c>
      <c r="EK473">
        <v>14.3</v>
      </c>
    </row>
    <row r="474" spans="1:141" x14ac:dyDescent="0.25">
      <c r="C474" s="7"/>
      <c r="D474"/>
    </row>
  </sheetData>
  <hyperlinks>
    <hyperlink ref="DY1" r:id="rId1" display="https://www.naehrwertrechner.de/info/post/uber-poly-pentosen" xr:uid="{70B45242-C90F-41FE-A394-8A3AB3EC7D38}"/>
    <hyperlink ref="B68" r:id="rId2" xr:uid="{E763D417-675F-4F2B-B1EC-C20D3628ACA9}"/>
    <hyperlink ref="B108" r:id="rId3" xr:uid="{0D228BCB-AFBC-4F8D-B0BE-8ABE8921A360}"/>
    <hyperlink ref="B13" r:id="rId4" xr:uid="{EA06593A-DA8B-4723-8AC7-510C7A0EDD4D}"/>
    <hyperlink ref="B26" r:id="rId5" xr:uid="{3A4CCC8E-0953-44B3-BDC5-63591EB614D9}"/>
    <hyperlink ref="B47" r:id="rId6" xr:uid="{58F553AE-F057-4857-B158-F4E5D4ED73C1}"/>
    <hyperlink ref="B40" r:id="rId7" xr:uid="{E51E3484-4C67-4B0A-A336-2ACD62C56B22}"/>
    <hyperlink ref="B399" r:id="rId8" xr:uid="{331A06A2-3773-4A6E-A5D4-F99845E4D9FF}"/>
    <hyperlink ref="B397" r:id="rId9" xr:uid="{0747EA7C-C443-4ED5-BBD3-A4288C895F2E}"/>
    <hyperlink ref="B396" r:id="rId10" xr:uid="{DE2F6272-C1C1-47C8-AFC3-C1AEAB3AA8F8}"/>
    <hyperlink ref="B398" r:id="rId11" xr:uid="{69E3F1C5-F842-4597-BFE7-56418AAB4A1A}"/>
    <hyperlink ref="B316" r:id="rId12" xr:uid="{3E3F60F1-D4B1-4AF0-A46B-059574182EEF}"/>
    <hyperlink ref="B309" r:id="rId13" xr:uid="{863B8BC5-DAE5-4283-8791-C7C1F2035961}"/>
    <hyperlink ref="B308" r:id="rId14" xr:uid="{86116FD0-7932-4B86-9503-EC8CD4792066}"/>
    <hyperlink ref="B321" r:id="rId15" xr:uid="{16078F2C-31CE-4E4B-B43E-5FD418BC47E3}"/>
    <hyperlink ref="B351" r:id="rId16" xr:uid="{9A4BED68-6406-4F3D-BDE6-3849CA5748FD}"/>
    <hyperlink ref="B360" r:id="rId17" xr:uid="{20D47C71-B7D8-40DC-9FCC-FB00D9026CE5}"/>
  </hyperlinks>
  <pageMargins left="0.7" right="0.7" top="0.75" bottom="0.75" header="0.3" footer="0.3"/>
  <legacy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Strecker</dc:creator>
  <cp:lastModifiedBy>Benedikt Strecker</cp:lastModifiedBy>
  <dcterms:created xsi:type="dcterms:W3CDTF">2015-06-05T18:19:34Z</dcterms:created>
  <dcterms:modified xsi:type="dcterms:W3CDTF">2025-10-30T22:24:09Z</dcterms:modified>
</cp:coreProperties>
</file>