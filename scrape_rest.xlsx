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externalLinks/externalLink1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name="Tabelle1" sheetId="1" state="visible" r:id="rId1"/>
  </sheets>
  <externalReferences>
    <externalReference r:id="rId2"/>
  </externalReferences>
  <definedNames/>
  <calcPr calcId="19102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family val="2"/>
      <color theme="10"/>
      <sz val="11"/>
      <u val="single"/>
      <scheme val="minor"/>
    </font>
    <font>
      <name val="Calibri"/>
      <family val="2"/>
      <sz val="11"/>
      <scheme val="minor"/>
    </font>
    <font>
      <name val="Segoe UI"/>
      <charset val="1"/>
      <color indexed="81"/>
      <sz val="9"/>
    </font>
  </fonts>
  <fills count="5">
    <fill>
      <patternFill/>
    </fill>
    <fill>
      <patternFill patternType="gray125"/>
    </fill>
    <fill>
      <patternFill patternType="solid">
        <fgColor rgb="FF00B0F0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00C6EFCE"/>
        <bgColor rgb="00C6EFCE"/>
      </patternFill>
    </fill>
  </fills>
  <borders count="9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</borders>
  <cellStyleXfs count="2">
    <xf numFmtId="0" fontId="0" fillId="0" borderId="0"/>
    <xf numFmtId="0" fontId="1" fillId="0" borderId="0"/>
  </cellStyleXfs>
  <cellXfs count="16">
    <xf numFmtId="0" fontId="0" fillId="0" borderId="0" pivotButton="0" quotePrefix="0" xfId="0"/>
    <xf numFmtId="0" fontId="0" fillId="0" borderId="1" pivotButton="0" quotePrefix="0" xfId="0"/>
    <xf numFmtId="0" fontId="0" fillId="0" borderId="2" pivotButton="0" quotePrefix="0" xfId="0"/>
    <xf numFmtId="0" fontId="0" fillId="0" borderId="3" pivotButton="0" quotePrefix="0" xfId="0"/>
    <xf numFmtId="0" fontId="0" fillId="0" borderId="4" pivotButton="0" quotePrefix="0" xfId="0"/>
    <xf numFmtId="0" fontId="0" fillId="0" borderId="5" pivotButton="0" quotePrefix="0" xfId="0"/>
    <xf numFmtId="0" fontId="0" fillId="0" borderId="6" pivotButton="0" quotePrefix="0" xfId="0"/>
    <xf numFmtId="0" fontId="0" fillId="0" borderId="7" pivotButton="0" quotePrefix="0" xfId="0"/>
    <xf numFmtId="0" fontId="1" fillId="0" borderId="0" pivotButton="0" quotePrefix="0" xfId="1"/>
    <xf numFmtId="0" fontId="0" fillId="2" borderId="0" pivotButton="0" quotePrefix="0" xfId="0"/>
    <xf numFmtId="2" fontId="0" fillId="0" borderId="0" pivotButton="0" quotePrefix="0" xfId="0"/>
    <xf numFmtId="0" fontId="1" fillId="0" borderId="0" pivotButton="0" quotePrefix="0" xfId="1"/>
    <xf numFmtId="0" fontId="0" fillId="3" borderId="0" pivotButton="0" quotePrefix="0" xfId="0"/>
    <xf numFmtId="0" fontId="2" fillId="0" borderId="0" pivotButton="0" quotePrefix="0" xfId="0"/>
    <xf numFmtId="0" fontId="0" fillId="0" borderId="8" pivotButton="0" quotePrefix="0" xfId="0"/>
    <xf numFmtId="0" fontId="0" fillId="4" borderId="0" pivotButton="0" quotePrefix="0" xfId="0"/>
  </cellXfs>
  <cellStyles count="2">
    <cellStyle name="Standard" xfId="0" builtinId="0"/>
    <cellStyle name="Link" xfId="1" builtinId="8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externalLink" Target="/xl/externalLinks/externalLink1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omments/comment1.xml><?xml version="1.0" encoding="utf-8"?>
<comments xmlns="http://schemas.openxmlformats.org/spreadsheetml/2006/main">
  <authors>
    <author>tc={86A6DA90-4B5E-4400-B848-AE5D083133F6}</author>
    <author>tc={CC9519B8-DBBB-4F6B-9684-24D7E44A2BDE}</author>
    <author>tc={04E42D63-1346-48C1-8D5C-3E6A19476FCC}</author>
    <author>tc={AA2F0A11-7B5E-49C8-9F59-CCDE0CF36F72}</author>
    <author>tc={B70700EC-6B1D-4C67-832A-3E5D092A2ED4}</author>
    <author>tc={7EAF722B-154E-46D9-B100-52B29AA69024}</author>
    <author>tc={037849D0-8D3E-4D53-8EAF-0D0CA6B77849}</author>
    <author>tc={100C0FFA-B736-459F-81C1-FDFDF5C75279}</author>
    <author>tc={E9BB9BC7-CC05-4FB9-8169-24ACF0E44881}</author>
    <author>tc={EB0CE81A-D592-4BB1-9C06-F9D540619CA6}</author>
    <author>tc={D6E78CD1-D618-4167-80ED-AB665E302FFA}</author>
    <author>tc={C2FE99A0-F549-49E9-BC0D-42BB2D24CF3C}</author>
    <author>tc={009746BF-86FA-44B9-9815-C258B361D8A5}</author>
    <author>tc={A40811A3-A58F-4136-B9EF-FEE940FC27D9}</author>
    <author>tc={A5746A41-857C-47F9-BBD4-00E2F648065E}</author>
    <author>tc={C786E7D0-C66C-4780-900F-9FE3E1987C53}</author>
    <author>tc={8F925C79-0D10-4280-805F-3EB297055BB6}</author>
    <author>tc={55AE96A8-4A51-4BB0-8F23-C20CE263AF35}</author>
    <author>tc={CF3489D4-B8D4-40E7-B38E-B5965FB34790}</author>
  </authors>
  <commentList>
    <comment ref="B88" authorId="0" shapeId="0">
      <text>
        <t>[Kommentarthread]
Ihre Version von Excel gestattet Ihnen das Lesen dieses Kommentarthreads. Jegliche Bearbeitungen daran werden jedoch entfernt, wenn die Datei in einer neueren Version von Excel geöffnet wird. Weitere Informationen: https://go.microsoft.com/fwlink/?linkid=870924.
Kommentar:
    Check makros</t>
      </text>
    </comment>
    <comment ref="B89" authorId="1" shapeId="0">
      <text>
        <t>[Kommentarthread]
Ihre Version von Excel gestattet Ihnen das Lesen dieses Kommentarthreads. Jegliche Bearbeitungen daran werden jedoch entfernt, wenn die Datei in einer neueren Version von Excel geöffnet wird. Weitere Informationen: https://go.microsoft.com/fwlink/?linkid=870924.
Kommentar:
    Check makros</t>
      </text>
    </comment>
    <comment ref="B90" authorId="2" shapeId="0">
      <text>
        <t>[Kommentarthread]
Ihre Version von Excel gestattet Ihnen das Lesen dieses Kommentarthreads. Jegliche Bearbeitungen daran werden jedoch entfernt, wenn die Datei in einer neueren Version von Excel geöffnet wird. Weitere Informationen: https://go.microsoft.com/fwlink/?linkid=870924.
Kommentar:
    Check makros</t>
      </text>
    </comment>
    <comment ref="B91" authorId="3" shapeId="0">
      <text>
        <t>[Kommentarthread]
Ihre Version von Excel gestattet Ihnen das Lesen dieses Kommentarthreads. Jegliche Bearbeitungen daran werden jedoch entfernt, wenn die Datei in einer neueren Version von Excel geöffnet wird. Weitere Informationen: https://go.microsoft.com/fwlink/?linkid=870924.
Kommentar:
    Check makros</t>
      </text>
    </comment>
    <comment ref="B92" authorId="4" shapeId="0">
      <text>
        <t>[Kommentarthread]
Ihre Version von Excel gestattet Ihnen das Lesen dieses Kommentarthreads. Jegliche Bearbeitungen daran werden jedoch entfernt, wenn die Datei in einer neueren Version von Excel geöffnet wird. Weitere Informationen: https://go.microsoft.com/fwlink/?linkid=870924.
Kommentar:
    Check makros</t>
      </text>
    </comment>
    <comment ref="B93" authorId="5" shapeId="0">
      <text>
        <t>[Kommentarthread]
Ihre Version von Excel gestattet Ihnen das Lesen dieses Kommentarthreads. Jegliche Bearbeitungen daran werden jedoch entfernt, wenn die Datei in einer neueren Version von Excel geöffnet wird. Weitere Informationen: https://go.microsoft.com/fwlink/?linkid=870924.
Kommentar:
    Check makros</t>
      </text>
    </comment>
    <comment ref="B96" authorId="6" shapeId="0">
      <text>
        <t>[Kommentarthread]
Ihre Version von Excel gestattet Ihnen das Lesen dieses Kommentarthreads. Jegliche Bearbeitungen daran werden jedoch entfernt, wenn die Datei in einer neueren Version von Excel geöffnet wird. Weitere Informationen: https://go.microsoft.com/fwlink/?linkid=870924.
Kommentar:
    Eigl. mehl</t>
      </text>
    </comment>
    <comment ref="B99" authorId="7" shapeId="0">
      <text>
        <t>[Kommentarthread]
Ihre Version von Excel gestattet Ihnen das Lesen dieses Kommentarthreads. Jegliche Bearbeitungen daran werden jedoch entfernt, wenn die Datei in einer neueren Version von Excel geöffnet wird. Weitere Informationen: https://go.microsoft.com/fwlink/?linkid=870924.
Kommentar:
    Check makros</t>
      </text>
    </comment>
    <comment ref="B100" authorId="8" shapeId="0">
      <text>
        <t>[Kommentarthread]
Ihre Version von Excel gestattet Ihnen das Lesen dieses Kommentarthreads. Jegliche Bearbeitungen daran werden jedoch entfernt, wenn die Datei in einer neueren Version von Excel geöffnet wird. Weitere Informationen: https://go.microsoft.com/fwlink/?linkid=870924.
Kommentar:
    Check makros</t>
      </text>
    </comment>
    <comment ref="B109" authorId="9" shapeId="0">
      <text>
        <t xml:space="preserve">[Kommentarthread]
Ihre Version von Excel gestattet Ihnen das Lesen dieses Kommentarthreads. Jegliche Bearbeitungen daran werden jedoch entfernt, wenn die Datei in einer neueren Version von Excel geöffnet wird. Weitere Informationen: https://go.microsoft.com/fwlink/?linkid=870924.
Kommentar:
    So wenig kalorien?
</t>
      </text>
    </comment>
    <comment ref="B112" authorId="10" shapeId="0">
      <text>
        <t xml:space="preserve">[Kommentarthread]
Ihre Version von Excel gestattet Ihnen das Lesen dieses Kommentarthreads. Jegliche Bearbeitungen daran werden jedoch entfernt, wenn die Datei in einer neueren Version von Excel geöffnet wird. Weitere Informationen: https://go.microsoft.com/fwlink/?linkid=870924.
Kommentar:
    Eigl. Mehl
</t>
      </text>
    </comment>
    <comment ref="B167" authorId="11" shapeId="0">
      <text>
        <t>[Kommentarthread]
Ihre Version von Excel gestattet Ihnen das Lesen dieses Kommentarthreads. Jegliche Bearbeitungen daran werden jedoch entfernt, wenn die Datei in einer neueren Version von Excel geöffnet wird. Weitere Informationen: https://go.microsoft.com/fwlink/?linkid=870924.
Kommentar:
    „Kräutermischung“</t>
      </text>
    </comment>
    <comment ref="B194" authorId="12" shapeId="0">
      <text>
        <t xml:space="preserve">[Kommentarthread]
Ihre Version von Excel gestattet Ihnen das Lesen dieses Kommentarthreads. Jegliche Bearbeitungen daran werden jedoch entfernt, wenn die Datei in einer neueren Version von Excel geöffnet wird. Weitere Informationen: https://go.microsoft.com/fwlink/?linkid=870924.
Kommentar:
    Eigl mirabelle
</t>
      </text>
    </comment>
    <comment ref="B215" authorId="13" shapeId="0">
      <text>
        <t xml:space="preserve">[Kommentarthread]
Ihre Version von Excel gestattet Ihnen das Lesen dieses Kommentarthreads. Jegliche Bearbeitungen daran werden jedoch entfernt, wenn die Datei in einer neueren Version von Excel geöffnet wird. Weitere Informationen: https://go.microsoft.com/fwlink/?linkid=870924.
Kommentar:
    Eigl gartenkresse
</t>
      </text>
    </comment>
    <comment ref="B239" authorId="14" shapeId="0">
      <text>
        <t>[Kommentarthread]
Ihre Version von Excel gestattet Ihnen das Lesen dieses Kommentarthreads. Jegliche Bearbeitungen daran werden jedoch entfernt, wenn die Datei in einer neueren Version von Excel geöffnet wird. Weitere Informationen: https://go.microsoft.com/fwlink/?linkid=870924.
Kommentar:
    Hier gesalzen</t>
      </text>
    </comment>
    <comment ref="B240" authorId="15" shapeId="0">
      <text>
        <t xml:space="preserve">[Kommentarthread]
Ihre Version von Excel gestattet Ihnen das Lesen dieses Kommentarthreads. Jegliche Bearbeitungen daran werden jedoch entfernt, wenn die Datei in einer neueren Version von Excel geöffnet wird. Weitere Informationen: https://go.microsoft.com/fwlink/?linkid=870924.
Kommentar:
    Hier gesalzen
</t>
      </text>
    </comment>
    <comment ref="B251" authorId="16" shapeId="0">
      <text>
        <t>[Kommentarthread]
Ihre Version von Excel gestattet Ihnen das Lesen dieses Kommentarthreads. Jegliche Bearbeitungen daran werden jedoch entfernt, wenn die Datei in einer neueren Version von Excel geöffnet wird. Weitere Informationen: https://go.microsoft.com/fwlink/?linkid=870924.
Kommentar:
    Pilze frisch (allg)</t>
      </text>
    </comment>
    <comment ref="B375" authorId="17" shapeId="0">
      <text>
        <t>[Kommentarthread]
Ihre Version von Excel gestattet Ihnen das Lesen dieses Kommentarthreads. Jegliche Bearbeitungen daran werden jedoch entfernt, wenn die Datei in einer neueren Version von Excel geöffnet wird. Weitere Informationen: https://go.microsoft.com/fwlink/?linkid=870924.
Kommentar:
    "andere Hülsenfrucht gekeimt"</t>
      </text>
    </comment>
    <comment ref="B410" authorId="18" shapeId="0">
      <text>
        <t xml:space="preserve">[Kommentarthread]
Ihre Version von Excel gestattet Ihnen das Lesen dieses Kommentarthreads. Jegliche Bearbeitungen daran werden jedoch entfernt, wenn die Datei in einer neueren Version von Excel geöffnet wird. Weitere Informationen: https://go.microsoft.com/fwlink/?linkid=870924.
Kommentar:
    Eigl mehl
</t>
      </text>
    </comment>
  </commentList>
</comments>
</file>

<file path=xl/externalLinks/_rels/externalLink1.xml.rels><Relationships xmlns="http://schemas.openxmlformats.org/package/2006/relationships"><Relationship Type="http://schemas.openxmlformats.org/officeDocument/2006/relationships/externalLinkPath" Target="https://d.docs.live.net/789990992945b7b1/03%20Kochen/App/Database_%20V0.1.xlsx" TargetMode="External" Id="rId2" /></Relationships>
</file>

<file path=xl/externalLinks/externalLink1.xml><?xml version="1.0" encoding="utf-8"?>
<externalLink xmlns:r="http://schemas.openxmlformats.org/officeDocument/2006/relationships" xmlns="http://schemas.openxmlformats.org/spreadsheetml/2006/main">
  <externalBook r:id="rId1">
    <sheetNames>
      <sheetName val="Übersicht"/>
      <sheetName val="month"/>
      <sheetName val="nutrients"/>
      <sheetName val="ingredient"/>
      <sheetName val="ingredient_nutrients_extr"/>
      <sheetName val="ingredient_nutrient_conv"/>
      <sheetName val="unit"/>
      <sheetName val="ingredient_unit_extr"/>
      <sheetName val="ingredient_unit"/>
      <sheetName val="ingredient_properties"/>
      <sheetName val="ingredient_seasonality"/>
      <sheetName val="ingredient_seasonality_conv"/>
      <sheetName val="seasonality"/>
      <sheetName val="recipe"/>
      <sheetName val="recipe_category"/>
      <sheetName val="recipe_ingredients_extr"/>
      <sheetName val="recipe_ingredients_conv"/>
      <sheetName val="steps"/>
      <sheetName val="recipe_steps"/>
      <sheetName val="tags"/>
      <sheetName val="countries"/>
      <sheetName val="tag_categorie"/>
      <sheetName val="recipe_tags_extr"/>
      <sheetName val="recipe_tags_conv"/>
      <sheetName val="recipe_properties"/>
      <sheetName val="recipe_recipe_properties_extr"/>
      <sheetName val="recipe_recipe_properties_conv"/>
    </sheetNames>
    <sheetDataSet>
      <sheetData sheetId="0"/>
      <sheetData sheetId="1"/>
      <sheetData sheetId="2"/>
      <sheetData sheetId="3">
        <row r="2">
          <cell r="A2">
            <v>1</v>
          </cell>
          <cell r="B2" t="str">
            <v>Ackerbohnen</v>
          </cell>
        </row>
        <row r="3">
          <cell r="A3">
            <v>2</v>
          </cell>
          <cell r="B3" t="str">
            <v>Ackerbohnen, gefroren</v>
          </cell>
        </row>
        <row r="4">
          <cell r="A4">
            <v>3</v>
          </cell>
          <cell r="B4" t="str">
            <v>Alfala-Sprossen</v>
          </cell>
        </row>
        <row r="5">
          <cell r="A5">
            <v>4</v>
          </cell>
          <cell r="B5" t="str">
            <v>Amaranth</v>
          </cell>
        </row>
        <row r="6">
          <cell r="A6">
            <v>5</v>
          </cell>
          <cell r="B6" t="str">
            <v>Ananas</v>
          </cell>
        </row>
        <row r="7">
          <cell r="A7">
            <v>6</v>
          </cell>
          <cell r="B7" t="str">
            <v>Anis</v>
          </cell>
        </row>
        <row r="8">
          <cell r="A8">
            <v>7</v>
          </cell>
          <cell r="B8" t="str">
            <v>Äpfel</v>
          </cell>
        </row>
        <row r="9">
          <cell r="A9">
            <v>8</v>
          </cell>
          <cell r="B9" t="str">
            <v>Apfel-Essig</v>
          </cell>
        </row>
        <row r="10">
          <cell r="A10">
            <v>9</v>
          </cell>
          <cell r="B10" t="str">
            <v>Aprikosen</v>
          </cell>
        </row>
        <row r="11">
          <cell r="A11">
            <v>10</v>
          </cell>
          <cell r="B11" t="str">
            <v>Artischoken</v>
          </cell>
        </row>
        <row r="12">
          <cell r="A12">
            <v>11</v>
          </cell>
          <cell r="B12" t="str">
            <v>Auberginen</v>
          </cell>
        </row>
        <row r="13">
          <cell r="A13">
            <v>12</v>
          </cell>
          <cell r="B13" t="str">
            <v>Auberginen weiß</v>
          </cell>
        </row>
        <row r="14">
          <cell r="A14">
            <v>13</v>
          </cell>
          <cell r="B14" t="str">
            <v>Augenbohnen</v>
          </cell>
        </row>
        <row r="15">
          <cell r="A15">
            <v>14</v>
          </cell>
          <cell r="B15" t="str">
            <v>Austernpilze</v>
          </cell>
        </row>
        <row r="16">
          <cell r="A16">
            <v>15</v>
          </cell>
          <cell r="B16" t="str">
            <v>Avocado</v>
          </cell>
        </row>
        <row r="17">
          <cell r="A17">
            <v>16</v>
          </cell>
          <cell r="B17" t="str">
            <v>Azuki-Bohnen</v>
          </cell>
        </row>
        <row r="18">
          <cell r="A18">
            <v>17</v>
          </cell>
          <cell r="B18" t="str">
            <v>Baby-Mangold</v>
          </cell>
        </row>
        <row r="19">
          <cell r="A19">
            <v>18</v>
          </cell>
          <cell r="B19" t="str">
            <v>Baby-Spinat</v>
          </cell>
        </row>
        <row r="20">
          <cell r="A20">
            <v>19</v>
          </cell>
          <cell r="B20" t="str">
            <v>Backpulver</v>
          </cell>
        </row>
        <row r="21">
          <cell r="A21">
            <v>20</v>
          </cell>
          <cell r="B21" t="str">
            <v>Baharat</v>
          </cell>
        </row>
        <row r="22">
          <cell r="A22">
            <v>21</v>
          </cell>
          <cell r="B22" t="str">
            <v>Balsamico-Essig</v>
          </cell>
        </row>
        <row r="23">
          <cell r="A23">
            <v>22</v>
          </cell>
          <cell r="B23" t="str">
            <v>Bananen</v>
          </cell>
        </row>
        <row r="24">
          <cell r="A24">
            <v>23</v>
          </cell>
          <cell r="B24" t="str">
            <v>Bärlauch</v>
          </cell>
        </row>
        <row r="25">
          <cell r="A25">
            <v>24</v>
          </cell>
          <cell r="B25" t="str">
            <v>Basilikum</v>
          </cell>
        </row>
        <row r="26">
          <cell r="A26">
            <v>25</v>
          </cell>
          <cell r="B26" t="str">
            <v>Basilikum, getrocknet</v>
          </cell>
        </row>
        <row r="27">
          <cell r="A27">
            <v>26</v>
          </cell>
          <cell r="B27" t="str">
            <v>Batavia-Salat</v>
          </cell>
        </row>
        <row r="28">
          <cell r="A28">
            <v>27</v>
          </cell>
          <cell r="B28" t="str">
            <v>Beeren</v>
          </cell>
        </row>
        <row r="29">
          <cell r="A29">
            <v>28</v>
          </cell>
          <cell r="B29" t="str">
            <v>Beeren, gefroren</v>
          </cell>
        </row>
        <row r="30">
          <cell r="A30">
            <v>29</v>
          </cell>
          <cell r="B30" t="str">
            <v>Belugalinsen</v>
          </cell>
        </row>
        <row r="31">
          <cell r="A31">
            <v>30</v>
          </cell>
          <cell r="B31" t="str">
            <v>Birnen</v>
          </cell>
        </row>
        <row r="32">
          <cell r="A32">
            <v>31</v>
          </cell>
          <cell r="B32" t="str">
            <v>Blattkohl</v>
          </cell>
        </row>
        <row r="33">
          <cell r="A33">
            <v>32</v>
          </cell>
          <cell r="B33" t="str">
            <v>Blattsalat</v>
          </cell>
        </row>
        <row r="34">
          <cell r="A34">
            <v>33</v>
          </cell>
          <cell r="B34" t="str">
            <v>Blumenkohl</v>
          </cell>
        </row>
        <row r="35">
          <cell r="A35">
            <v>34</v>
          </cell>
          <cell r="B35" t="str">
            <v>Blumenkohl gelb</v>
          </cell>
        </row>
        <row r="36">
          <cell r="A36">
            <v>35</v>
          </cell>
          <cell r="B36" t="str">
            <v>Blumenkohl grün</v>
          </cell>
        </row>
        <row r="37">
          <cell r="A37">
            <v>36</v>
          </cell>
          <cell r="B37" t="str">
            <v>Blumenkohl violett</v>
          </cell>
        </row>
        <row r="38">
          <cell r="A38">
            <v>37</v>
          </cell>
          <cell r="B38" t="str">
            <v>Blumenkohl, gefroren</v>
          </cell>
        </row>
        <row r="39">
          <cell r="A39">
            <v>38</v>
          </cell>
          <cell r="B39" t="str">
            <v>Blutorangen</v>
          </cell>
        </row>
        <row r="40">
          <cell r="A40">
            <v>39</v>
          </cell>
          <cell r="B40" t="str">
            <v>Bohnenkraut</v>
          </cell>
        </row>
        <row r="41">
          <cell r="A41">
            <v>40</v>
          </cell>
          <cell r="B41" t="str">
            <v>Bratpaprika</v>
          </cell>
        </row>
        <row r="42">
          <cell r="A42">
            <v>41</v>
          </cell>
          <cell r="B42" t="str">
            <v>Braunhirse</v>
          </cell>
        </row>
        <row r="43">
          <cell r="A43">
            <v>42</v>
          </cell>
          <cell r="B43" t="str">
            <v>Brechbohnen, gefroren</v>
          </cell>
        </row>
        <row r="44">
          <cell r="A44">
            <v>43</v>
          </cell>
          <cell r="B44" t="str">
            <v>Brokkoli</v>
          </cell>
        </row>
        <row r="45">
          <cell r="A45">
            <v>44</v>
          </cell>
          <cell r="B45" t="str">
            <v>Brokkoli, gefroren</v>
          </cell>
        </row>
        <row r="46">
          <cell r="A46">
            <v>45</v>
          </cell>
          <cell r="B46" t="str">
            <v>Brokkoli-Sprossen</v>
          </cell>
        </row>
        <row r="47">
          <cell r="A47">
            <v>46</v>
          </cell>
          <cell r="B47" t="str">
            <v>Brombeeren</v>
          </cell>
        </row>
        <row r="48">
          <cell r="A48">
            <v>47</v>
          </cell>
          <cell r="B48" t="str">
            <v>Brunnenkresse</v>
          </cell>
        </row>
        <row r="49">
          <cell r="A49">
            <v>48</v>
          </cell>
          <cell r="B49" t="str">
            <v>Buchweizen</v>
          </cell>
        </row>
        <row r="50">
          <cell r="A50">
            <v>49</v>
          </cell>
          <cell r="B50" t="str">
            <v>Buchweizenflocken</v>
          </cell>
        </row>
        <row r="51">
          <cell r="A51">
            <v>50</v>
          </cell>
          <cell r="B51" t="str">
            <v>Buchweizenmehl</v>
          </cell>
        </row>
        <row r="52">
          <cell r="A52">
            <v>51</v>
          </cell>
          <cell r="B52" t="str">
            <v>Buchweizen-Spaghetti</v>
          </cell>
        </row>
        <row r="53">
          <cell r="A53">
            <v>52</v>
          </cell>
          <cell r="B53" t="str">
            <v>Buchweizen-Sprossen</v>
          </cell>
        </row>
        <row r="54">
          <cell r="A54">
            <v>53</v>
          </cell>
          <cell r="B54" t="str">
            <v>Bulgur</v>
          </cell>
        </row>
        <row r="55">
          <cell r="A55">
            <v>54</v>
          </cell>
          <cell r="B55" t="str">
            <v>Buschbohnen</v>
          </cell>
        </row>
        <row r="56">
          <cell r="A56">
            <v>55</v>
          </cell>
          <cell r="B56" t="str">
            <v>Buschbohnen borlotto</v>
          </cell>
        </row>
        <row r="57">
          <cell r="A57">
            <v>56</v>
          </cell>
          <cell r="B57" t="str">
            <v>Buschbohnen gelb</v>
          </cell>
        </row>
        <row r="58">
          <cell r="A58">
            <v>57</v>
          </cell>
          <cell r="B58" t="str">
            <v>Buschbohnen violett</v>
          </cell>
        </row>
        <row r="59">
          <cell r="A59">
            <v>58</v>
          </cell>
          <cell r="B59" t="str">
            <v>Cannellinibohnen</v>
          </cell>
        </row>
        <row r="60">
          <cell r="A60">
            <v>59</v>
          </cell>
          <cell r="B60" t="str">
            <v>Cashewkerne</v>
          </cell>
        </row>
        <row r="61">
          <cell r="A61">
            <v>60</v>
          </cell>
          <cell r="B61" t="str">
            <v>Cashewmilch</v>
          </cell>
        </row>
        <row r="62">
          <cell r="A62">
            <v>61</v>
          </cell>
          <cell r="B62" t="str">
            <v>Cashewmus</v>
          </cell>
        </row>
        <row r="63">
          <cell r="A63">
            <v>62</v>
          </cell>
          <cell r="B63" t="str">
            <v>Cayennepfeffer</v>
          </cell>
        </row>
        <row r="64">
          <cell r="A64">
            <v>63</v>
          </cell>
          <cell r="B64" t="str">
            <v>Champignons braun</v>
          </cell>
        </row>
        <row r="65">
          <cell r="A65">
            <v>64</v>
          </cell>
          <cell r="B65" t="str">
            <v>Champignons weiß</v>
          </cell>
        </row>
        <row r="66">
          <cell r="A66">
            <v>65</v>
          </cell>
          <cell r="B66" t="str">
            <v>Chana-Dal</v>
          </cell>
        </row>
        <row r="67">
          <cell r="A67">
            <v>66</v>
          </cell>
          <cell r="B67" t="str">
            <v>Cherimoya</v>
          </cell>
        </row>
        <row r="68">
          <cell r="A68">
            <v>67</v>
          </cell>
          <cell r="B68" t="str">
            <v>Chiasamen</v>
          </cell>
        </row>
        <row r="69">
          <cell r="A69">
            <v>68</v>
          </cell>
          <cell r="B69" t="str">
            <v>Chicoree</v>
          </cell>
        </row>
        <row r="70">
          <cell r="A70">
            <v>69</v>
          </cell>
          <cell r="B70" t="str">
            <v>Chili</v>
          </cell>
        </row>
        <row r="71">
          <cell r="A71">
            <v>70</v>
          </cell>
          <cell r="B71" t="str">
            <v>Chiliflocken</v>
          </cell>
        </row>
        <row r="72">
          <cell r="A72">
            <v>71</v>
          </cell>
          <cell r="B72" t="str">
            <v>Chilischoten</v>
          </cell>
        </row>
        <row r="73">
          <cell r="A73">
            <v>72</v>
          </cell>
          <cell r="B73" t="str">
            <v>Chinakohl</v>
          </cell>
        </row>
        <row r="74">
          <cell r="A74">
            <v>73</v>
          </cell>
          <cell r="B74" t="str">
            <v>Chinakohl violett</v>
          </cell>
        </row>
        <row r="75">
          <cell r="A75">
            <v>74</v>
          </cell>
          <cell r="B75" t="str">
            <v>Clementinen</v>
          </cell>
        </row>
        <row r="76">
          <cell r="A76">
            <v>75</v>
          </cell>
          <cell r="B76" t="str">
            <v>Couscous</v>
          </cell>
        </row>
        <row r="77">
          <cell r="A77">
            <v>76</v>
          </cell>
          <cell r="B77" t="str">
            <v>Cranberries</v>
          </cell>
        </row>
        <row r="78">
          <cell r="A78">
            <v>77</v>
          </cell>
          <cell r="B78" t="str">
            <v>Curry</v>
          </cell>
        </row>
        <row r="79">
          <cell r="A79">
            <v>78</v>
          </cell>
          <cell r="B79" t="str">
            <v>Curry rot</v>
          </cell>
        </row>
        <row r="80">
          <cell r="A80">
            <v>79</v>
          </cell>
          <cell r="B80" t="str">
            <v>Datteln, getrocknet</v>
          </cell>
        </row>
        <row r="81">
          <cell r="A81">
            <v>80</v>
          </cell>
          <cell r="B81" t="str">
            <v>Dill</v>
          </cell>
        </row>
        <row r="82">
          <cell r="A82">
            <v>81</v>
          </cell>
          <cell r="B82" t="str">
            <v>Dill, getrocknet</v>
          </cell>
        </row>
        <row r="83">
          <cell r="A83">
            <v>82</v>
          </cell>
          <cell r="B83" t="str">
            <v>Dinkel</v>
          </cell>
        </row>
        <row r="84">
          <cell r="A84">
            <v>83</v>
          </cell>
          <cell r="B84" t="str">
            <v>Dinkelflocken</v>
          </cell>
        </row>
        <row r="85">
          <cell r="A85">
            <v>84</v>
          </cell>
          <cell r="B85" t="str">
            <v>Dinkelmehl</v>
          </cell>
        </row>
        <row r="86">
          <cell r="A86">
            <v>85</v>
          </cell>
          <cell r="B86" t="str">
            <v>Dinkelmilch</v>
          </cell>
        </row>
        <row r="87">
          <cell r="A87">
            <v>86</v>
          </cell>
          <cell r="B87" t="str">
            <v>Dinkel-Vollkorn Bandnudeln</v>
          </cell>
        </row>
        <row r="88">
          <cell r="A88">
            <v>87</v>
          </cell>
          <cell r="B88" t="str">
            <v>Dinkel-Vollkorn Farfalle</v>
          </cell>
        </row>
        <row r="89">
          <cell r="A89">
            <v>88</v>
          </cell>
          <cell r="B89" t="str">
            <v>Dinkel-Vollkorn Fusilli</v>
          </cell>
        </row>
        <row r="90">
          <cell r="A90">
            <v>89</v>
          </cell>
          <cell r="B90" t="str">
            <v>Dinkel-Vollkorn Linguine</v>
          </cell>
        </row>
        <row r="91">
          <cell r="A91">
            <v>90</v>
          </cell>
          <cell r="B91" t="str">
            <v>Dinkel-Vollkorn Penne</v>
          </cell>
        </row>
        <row r="92">
          <cell r="A92">
            <v>91</v>
          </cell>
          <cell r="B92" t="str">
            <v>Dinkel-Vollkorn Pipette Rigate</v>
          </cell>
        </row>
        <row r="93">
          <cell r="A93">
            <v>92</v>
          </cell>
          <cell r="B93" t="str">
            <v>Drachenfrucht</v>
          </cell>
        </row>
        <row r="94">
          <cell r="A94">
            <v>93</v>
          </cell>
          <cell r="B94" t="str">
            <v>Edamame</v>
          </cell>
        </row>
        <row r="95">
          <cell r="A95">
            <v>94</v>
          </cell>
          <cell r="B95" t="str">
            <v>Einkorn</v>
          </cell>
        </row>
        <row r="96">
          <cell r="A96">
            <v>95</v>
          </cell>
          <cell r="B96" t="str">
            <v>Eisbergsalat</v>
          </cell>
        </row>
        <row r="97">
          <cell r="A97">
            <v>96</v>
          </cell>
          <cell r="B97" t="str">
            <v>Emmer</v>
          </cell>
        </row>
        <row r="98">
          <cell r="A98">
            <v>97</v>
          </cell>
          <cell r="B98" t="str">
            <v>Emmer-Vollkorn Fusilli</v>
          </cell>
        </row>
        <row r="99">
          <cell r="A99">
            <v>98</v>
          </cell>
          <cell r="B99" t="str">
            <v>Emmer-Vollkorn Penne</v>
          </cell>
        </row>
        <row r="100">
          <cell r="A100">
            <v>99</v>
          </cell>
          <cell r="B100" t="str">
            <v>Endivien-Salat</v>
          </cell>
        </row>
        <row r="101">
          <cell r="A101">
            <v>100</v>
          </cell>
          <cell r="B101" t="str">
            <v>Enoki</v>
          </cell>
        </row>
        <row r="102">
          <cell r="A102">
            <v>101</v>
          </cell>
          <cell r="B102" t="str">
            <v>Erbsen gelb</v>
          </cell>
        </row>
        <row r="103">
          <cell r="A103">
            <v>102</v>
          </cell>
          <cell r="B103" t="str">
            <v>Erbsen grün</v>
          </cell>
        </row>
        <row r="104">
          <cell r="A104">
            <v>103</v>
          </cell>
          <cell r="B104" t="str">
            <v>Erbsen grün, gefroren</v>
          </cell>
        </row>
        <row r="105">
          <cell r="A105">
            <v>104</v>
          </cell>
          <cell r="B105" t="str">
            <v>Erbsen grün, gekocht</v>
          </cell>
        </row>
        <row r="106">
          <cell r="A106">
            <v>105</v>
          </cell>
          <cell r="B106" t="str">
            <v>Erbsenmilch</v>
          </cell>
        </row>
        <row r="107">
          <cell r="A107">
            <v>106</v>
          </cell>
          <cell r="B107" t="str">
            <v>Erbsennudeln</v>
          </cell>
        </row>
        <row r="108">
          <cell r="A108">
            <v>107</v>
          </cell>
          <cell r="B108" t="str">
            <v>Erbsen-Sprossen</v>
          </cell>
        </row>
        <row r="109">
          <cell r="A109">
            <v>108</v>
          </cell>
          <cell r="B109" t="str">
            <v>Erdbeeren</v>
          </cell>
        </row>
        <row r="110">
          <cell r="A110">
            <v>109</v>
          </cell>
          <cell r="B110" t="str">
            <v>Erdbeeren, gefroren</v>
          </cell>
        </row>
        <row r="111">
          <cell r="A111">
            <v>110</v>
          </cell>
          <cell r="B111" t="str">
            <v>Erdmandeln</v>
          </cell>
        </row>
        <row r="112">
          <cell r="A112">
            <v>111</v>
          </cell>
          <cell r="B112" t="str">
            <v>Erdnüsse</v>
          </cell>
        </row>
        <row r="113">
          <cell r="A113">
            <v>112</v>
          </cell>
          <cell r="B113" t="str">
            <v>Erdnussmus</v>
          </cell>
        </row>
        <row r="114">
          <cell r="A114">
            <v>113</v>
          </cell>
          <cell r="B114" t="str">
            <v>Estragon</v>
          </cell>
        </row>
        <row r="115">
          <cell r="A115">
            <v>114</v>
          </cell>
          <cell r="B115" t="str">
            <v>Estragon, getrocknet</v>
          </cell>
        </row>
        <row r="116">
          <cell r="A116">
            <v>115</v>
          </cell>
          <cell r="B116" t="str">
            <v>Feigen</v>
          </cell>
        </row>
        <row r="117">
          <cell r="A117">
            <v>116</v>
          </cell>
          <cell r="B117" t="str">
            <v>Feldsalat</v>
          </cell>
        </row>
        <row r="118">
          <cell r="A118">
            <v>117</v>
          </cell>
          <cell r="B118" t="str">
            <v>Felsenbirnen</v>
          </cell>
        </row>
        <row r="119">
          <cell r="A119">
            <v>118</v>
          </cell>
          <cell r="B119" t="str">
            <v>Fenchel</v>
          </cell>
        </row>
        <row r="120">
          <cell r="A120">
            <v>119</v>
          </cell>
          <cell r="B120" t="str">
            <v>Fenchelsamen</v>
          </cell>
        </row>
        <row r="121">
          <cell r="A121">
            <v>120</v>
          </cell>
          <cell r="B121" t="str">
            <v>Flohsamenschalen</v>
          </cell>
        </row>
        <row r="122">
          <cell r="A122">
            <v>121</v>
          </cell>
          <cell r="B122" t="str">
            <v>Frisee-Salat</v>
          </cell>
        </row>
        <row r="123">
          <cell r="A123">
            <v>122</v>
          </cell>
          <cell r="B123" t="str">
            <v>Frühlingszwiebeln</v>
          </cell>
        </row>
        <row r="124">
          <cell r="A124">
            <v>123</v>
          </cell>
          <cell r="B124" t="str">
            <v>Garam Massala</v>
          </cell>
        </row>
        <row r="125">
          <cell r="A125">
            <v>124</v>
          </cell>
          <cell r="B125" t="str">
            <v>Gelbe Beete</v>
          </cell>
        </row>
        <row r="126">
          <cell r="A126">
            <v>125</v>
          </cell>
          <cell r="B126" t="str">
            <v>Gelbe Linsennudeln</v>
          </cell>
        </row>
        <row r="127">
          <cell r="A127">
            <v>126</v>
          </cell>
          <cell r="B127" t="str">
            <v>Gerste</v>
          </cell>
        </row>
        <row r="128">
          <cell r="A128">
            <v>127</v>
          </cell>
          <cell r="B128" t="str">
            <v>Gerstenflocken</v>
          </cell>
        </row>
        <row r="129">
          <cell r="A129">
            <v>128</v>
          </cell>
          <cell r="B129" t="str">
            <v>Gewürzgurken</v>
          </cell>
        </row>
        <row r="130">
          <cell r="A130">
            <v>129</v>
          </cell>
          <cell r="B130" t="str">
            <v>Goji-Beeren, getrocknet</v>
          </cell>
        </row>
        <row r="131">
          <cell r="A131">
            <v>130</v>
          </cell>
          <cell r="B131" t="str">
            <v>Granatapfel</v>
          </cell>
        </row>
        <row r="132">
          <cell r="A132">
            <v>131</v>
          </cell>
          <cell r="B132" t="str">
            <v>Grapefruit rot</v>
          </cell>
        </row>
        <row r="133">
          <cell r="A133">
            <v>132</v>
          </cell>
          <cell r="B133" t="str">
            <v>Grapefruit weiß</v>
          </cell>
        </row>
        <row r="134">
          <cell r="A134">
            <v>133</v>
          </cell>
          <cell r="B134" t="str">
            <v>Grünkern</v>
          </cell>
        </row>
        <row r="135">
          <cell r="A135">
            <v>134</v>
          </cell>
          <cell r="B135" t="str">
            <v>Grünkernflocken</v>
          </cell>
        </row>
        <row r="136">
          <cell r="A136">
            <v>135</v>
          </cell>
          <cell r="B136" t="str">
            <v>Grünkohl</v>
          </cell>
        </row>
        <row r="137">
          <cell r="A137">
            <v>136</v>
          </cell>
          <cell r="B137" t="str">
            <v>Grünkohl rot</v>
          </cell>
        </row>
        <row r="138">
          <cell r="A138">
            <v>137</v>
          </cell>
          <cell r="B138" t="str">
            <v>Grünkohl, gefroren</v>
          </cell>
        </row>
        <row r="139">
          <cell r="A139">
            <v>138</v>
          </cell>
          <cell r="B139" t="str">
            <v>Grünkohl-Sprossen</v>
          </cell>
        </row>
        <row r="140">
          <cell r="A140">
            <v>139</v>
          </cell>
          <cell r="B140" t="str">
            <v>Guaven</v>
          </cell>
        </row>
        <row r="141">
          <cell r="A141">
            <v>140</v>
          </cell>
          <cell r="B141" t="str">
            <v>Gurken</v>
          </cell>
        </row>
        <row r="142">
          <cell r="A142">
            <v>141</v>
          </cell>
          <cell r="B142" t="str">
            <v>Gyrosgewürz</v>
          </cell>
        </row>
        <row r="143">
          <cell r="A143">
            <v>142</v>
          </cell>
          <cell r="B143" t="str">
            <v>Hafer</v>
          </cell>
        </row>
        <row r="144">
          <cell r="A144">
            <v>143</v>
          </cell>
          <cell r="B144" t="str">
            <v>Haferflocken</v>
          </cell>
        </row>
        <row r="145">
          <cell r="A145">
            <v>144</v>
          </cell>
          <cell r="B145" t="str">
            <v>Haferjoghurt</v>
          </cell>
        </row>
        <row r="146">
          <cell r="A146">
            <v>145</v>
          </cell>
          <cell r="B146" t="str">
            <v>Haferkleie</v>
          </cell>
        </row>
        <row r="147">
          <cell r="A147">
            <v>146</v>
          </cell>
          <cell r="B147" t="str">
            <v>Hafermehl</v>
          </cell>
        </row>
        <row r="148">
          <cell r="A148">
            <v>147</v>
          </cell>
          <cell r="B148" t="str">
            <v>Hafermilch</v>
          </cell>
        </row>
        <row r="149">
          <cell r="A149">
            <v>148</v>
          </cell>
          <cell r="B149" t="str">
            <v>Hanfmilch</v>
          </cell>
        </row>
        <row r="150">
          <cell r="A150">
            <v>149</v>
          </cell>
          <cell r="B150" t="str">
            <v>Hanfsamen</v>
          </cell>
        </row>
        <row r="151">
          <cell r="A151">
            <v>150</v>
          </cell>
          <cell r="B151" t="str">
            <v>Harissa</v>
          </cell>
        </row>
        <row r="152">
          <cell r="A152">
            <v>151</v>
          </cell>
          <cell r="B152" t="str">
            <v>Hartweizengrieß</v>
          </cell>
        </row>
        <row r="153">
          <cell r="A153">
            <v>152</v>
          </cell>
          <cell r="B153" t="str">
            <v>Haselnusskerne</v>
          </cell>
        </row>
        <row r="154">
          <cell r="A154">
            <v>153</v>
          </cell>
          <cell r="B154" t="str">
            <v>Haselnussmilch</v>
          </cell>
        </row>
        <row r="155">
          <cell r="A155">
            <v>154</v>
          </cell>
          <cell r="B155" t="str">
            <v>Haselnussmus</v>
          </cell>
        </row>
        <row r="156">
          <cell r="A156">
            <v>155</v>
          </cell>
          <cell r="B156" t="str">
            <v>Hefe</v>
          </cell>
        </row>
        <row r="157">
          <cell r="A157">
            <v>156</v>
          </cell>
          <cell r="B157" t="str">
            <v>Hefeflocken</v>
          </cell>
        </row>
        <row r="158">
          <cell r="A158">
            <v>157</v>
          </cell>
          <cell r="B158" t="str">
            <v>Heidelbeeren</v>
          </cell>
        </row>
        <row r="159">
          <cell r="A159">
            <v>158</v>
          </cell>
          <cell r="B159" t="str">
            <v>Heidelbeeren, gefroren</v>
          </cell>
        </row>
        <row r="160">
          <cell r="A160">
            <v>159</v>
          </cell>
          <cell r="B160" t="str">
            <v>Himbeeren</v>
          </cell>
        </row>
        <row r="161">
          <cell r="A161">
            <v>160</v>
          </cell>
          <cell r="B161" t="str">
            <v>Himbeeren, gefroren</v>
          </cell>
        </row>
        <row r="162">
          <cell r="A162">
            <v>161</v>
          </cell>
          <cell r="B162" t="str">
            <v>Hirse</v>
          </cell>
        </row>
        <row r="163">
          <cell r="A163">
            <v>162</v>
          </cell>
          <cell r="B163" t="str">
            <v>Honigmelone</v>
          </cell>
        </row>
        <row r="164">
          <cell r="A164">
            <v>163</v>
          </cell>
          <cell r="B164" t="str">
            <v>Ingwer</v>
          </cell>
        </row>
        <row r="165">
          <cell r="A165">
            <v>164</v>
          </cell>
          <cell r="B165" t="str">
            <v>Ingwer, gemahlen</v>
          </cell>
        </row>
        <row r="166">
          <cell r="A166">
            <v>165</v>
          </cell>
          <cell r="B166" t="str">
            <v>Italienische Kräuter</v>
          </cell>
        </row>
        <row r="167">
          <cell r="A167">
            <v>166</v>
          </cell>
          <cell r="B167" t="str">
            <v>Jalapenos</v>
          </cell>
        </row>
        <row r="168">
          <cell r="A168">
            <v>167</v>
          </cell>
          <cell r="B168" t="str">
            <v>Johannisbeeren rot</v>
          </cell>
        </row>
        <row r="169">
          <cell r="A169">
            <v>168</v>
          </cell>
          <cell r="B169" t="str">
            <v>Johannisbeeren rot, gefroren</v>
          </cell>
        </row>
        <row r="170">
          <cell r="A170">
            <v>169</v>
          </cell>
          <cell r="B170" t="str">
            <v>Johannisbeeren schwarz</v>
          </cell>
        </row>
        <row r="171">
          <cell r="A171">
            <v>170</v>
          </cell>
          <cell r="B171" t="str">
            <v>Johannisbeeren schwarz, gefroren</v>
          </cell>
        </row>
        <row r="172">
          <cell r="A172">
            <v>171</v>
          </cell>
          <cell r="B172" t="str">
            <v>Jostabeeren</v>
          </cell>
        </row>
        <row r="173">
          <cell r="A173">
            <v>172</v>
          </cell>
          <cell r="B173" t="str">
            <v>Kakaopulver, stark entölt</v>
          </cell>
        </row>
        <row r="174">
          <cell r="A174">
            <v>173</v>
          </cell>
          <cell r="B174" t="str">
            <v>Kaki</v>
          </cell>
        </row>
        <row r="175">
          <cell r="A175">
            <v>174</v>
          </cell>
          <cell r="B175" t="str">
            <v>Kamut</v>
          </cell>
        </row>
        <row r="176">
          <cell r="A176">
            <v>175</v>
          </cell>
          <cell r="B176" t="str">
            <v>Kardamon</v>
          </cell>
        </row>
        <row r="177">
          <cell r="A177">
            <v>176</v>
          </cell>
          <cell r="B177" t="str">
            <v>Kartoffeln</v>
          </cell>
        </row>
        <row r="178">
          <cell r="A178">
            <v>177</v>
          </cell>
          <cell r="B178" t="str">
            <v>Kartoffeln rot</v>
          </cell>
        </row>
        <row r="179">
          <cell r="A179">
            <v>178</v>
          </cell>
          <cell r="B179" t="str">
            <v>Kartoffeln violett</v>
          </cell>
        </row>
        <row r="180">
          <cell r="A180">
            <v>179</v>
          </cell>
          <cell r="B180" t="str">
            <v>Kerbel</v>
          </cell>
        </row>
        <row r="181">
          <cell r="A181">
            <v>180</v>
          </cell>
          <cell r="B181" t="str">
            <v>Kerbel, getrocknet</v>
          </cell>
        </row>
        <row r="182">
          <cell r="A182">
            <v>181</v>
          </cell>
          <cell r="B182" t="str">
            <v>Kichererbsen</v>
          </cell>
        </row>
        <row r="183">
          <cell r="A183">
            <v>182</v>
          </cell>
          <cell r="B183" t="str">
            <v>Kichererbsen, gekocht</v>
          </cell>
        </row>
        <row r="184">
          <cell r="A184">
            <v>183</v>
          </cell>
          <cell r="B184" t="str">
            <v>Kichererbsenmehl</v>
          </cell>
        </row>
        <row r="185">
          <cell r="A185">
            <v>184</v>
          </cell>
          <cell r="B185" t="str">
            <v>Kichererbsennudeln</v>
          </cell>
        </row>
        <row r="186">
          <cell r="A186">
            <v>185</v>
          </cell>
          <cell r="B186" t="str">
            <v>Kichererbsen-Sprossen</v>
          </cell>
        </row>
        <row r="187">
          <cell r="A187">
            <v>186</v>
          </cell>
          <cell r="B187" t="str">
            <v>Kichererbsenwaffeln</v>
          </cell>
        </row>
        <row r="188">
          <cell r="A188">
            <v>187</v>
          </cell>
          <cell r="B188" t="str">
            <v>Kidneybohnen</v>
          </cell>
        </row>
        <row r="189">
          <cell r="A189">
            <v>188</v>
          </cell>
          <cell r="B189" t="str">
            <v>Kidneybohnen, gekocht</v>
          </cell>
        </row>
        <row r="190">
          <cell r="A190">
            <v>189</v>
          </cell>
          <cell r="B190" t="str">
            <v>Kimchi</v>
          </cell>
        </row>
        <row r="191">
          <cell r="A191">
            <v>190</v>
          </cell>
          <cell r="B191" t="str">
            <v>Kirschen</v>
          </cell>
        </row>
        <row r="192">
          <cell r="A192">
            <v>191</v>
          </cell>
          <cell r="B192" t="str">
            <v>Kirschen, gefroren</v>
          </cell>
        </row>
        <row r="193">
          <cell r="A193">
            <v>192</v>
          </cell>
          <cell r="B193" t="str">
            <v>Kirschpflaumen</v>
          </cell>
        </row>
        <row r="194">
          <cell r="A194">
            <v>193</v>
          </cell>
          <cell r="B194" t="str">
            <v>Kiwi gold</v>
          </cell>
        </row>
        <row r="195">
          <cell r="A195">
            <v>194</v>
          </cell>
          <cell r="B195" t="str">
            <v>Kiwi grün</v>
          </cell>
        </row>
        <row r="196">
          <cell r="A196">
            <v>195</v>
          </cell>
          <cell r="B196" t="str">
            <v>Knoblauch</v>
          </cell>
        </row>
        <row r="197">
          <cell r="A197">
            <v>196</v>
          </cell>
          <cell r="B197" t="str">
            <v>Knoblauchpulver</v>
          </cell>
        </row>
        <row r="198">
          <cell r="A198">
            <v>197</v>
          </cell>
          <cell r="B198" t="str">
            <v>Knollensellerie</v>
          </cell>
        </row>
        <row r="199">
          <cell r="A199">
            <v>198</v>
          </cell>
          <cell r="B199" t="str">
            <v>Kohlrabi</v>
          </cell>
        </row>
        <row r="200">
          <cell r="A200">
            <v>199</v>
          </cell>
          <cell r="B200" t="str">
            <v>Kohlrabi violett</v>
          </cell>
        </row>
        <row r="201">
          <cell r="A201">
            <v>200</v>
          </cell>
          <cell r="B201" t="str">
            <v>Kokosjoghurt</v>
          </cell>
        </row>
        <row r="202">
          <cell r="A202">
            <v>201</v>
          </cell>
          <cell r="B202" t="str">
            <v>Kokosmilch</v>
          </cell>
        </row>
        <row r="203">
          <cell r="A203">
            <v>202</v>
          </cell>
          <cell r="B203" t="str">
            <v>Kokosmus</v>
          </cell>
        </row>
        <row r="204">
          <cell r="A204">
            <v>203</v>
          </cell>
          <cell r="B204" t="str">
            <v>Kokosnüsse</v>
          </cell>
        </row>
        <row r="205">
          <cell r="A205">
            <v>204</v>
          </cell>
          <cell r="B205" t="str">
            <v>Kokosraspeln</v>
          </cell>
        </row>
        <row r="206">
          <cell r="A206">
            <v>205</v>
          </cell>
          <cell r="B206" t="str">
            <v>Kombuflocken</v>
          </cell>
        </row>
        <row r="207">
          <cell r="A207">
            <v>206</v>
          </cell>
          <cell r="B207" t="str">
            <v>Kopfsalat</v>
          </cell>
        </row>
        <row r="208">
          <cell r="A208">
            <v>207</v>
          </cell>
          <cell r="B208" t="str">
            <v>Koriander</v>
          </cell>
        </row>
        <row r="209">
          <cell r="A209">
            <v>208</v>
          </cell>
          <cell r="B209" t="str">
            <v>Koriander, gemahlen</v>
          </cell>
        </row>
        <row r="210">
          <cell r="A210">
            <v>209</v>
          </cell>
          <cell r="B210" t="str">
            <v>Koriandersamen</v>
          </cell>
        </row>
        <row r="211">
          <cell r="A211">
            <v>210</v>
          </cell>
          <cell r="B211" t="str">
            <v>Korianderkraut, getrocknet</v>
          </cell>
        </row>
        <row r="212">
          <cell r="A212">
            <v>211</v>
          </cell>
          <cell r="B212" t="str">
            <v>Kräuter der Provence</v>
          </cell>
        </row>
        <row r="213">
          <cell r="A213">
            <v>212</v>
          </cell>
          <cell r="B213" t="str">
            <v>Kräuterseitlinge</v>
          </cell>
        </row>
        <row r="214">
          <cell r="A214">
            <v>213</v>
          </cell>
          <cell r="B214" t="str">
            <v>Kresse-Sprossen</v>
          </cell>
        </row>
        <row r="215">
          <cell r="A215">
            <v>214</v>
          </cell>
          <cell r="B215" t="str">
            <v>Kreuzkümmel</v>
          </cell>
        </row>
        <row r="216">
          <cell r="A216">
            <v>215</v>
          </cell>
          <cell r="B216" t="str">
            <v>Kreuzkümmel, gemahlen</v>
          </cell>
        </row>
        <row r="217">
          <cell r="A217">
            <v>216</v>
          </cell>
          <cell r="B217" t="str">
            <v>Kümmel</v>
          </cell>
        </row>
        <row r="218">
          <cell r="A218">
            <v>217</v>
          </cell>
          <cell r="B218" t="str">
            <v>Kürbis, Butternut</v>
          </cell>
        </row>
        <row r="219">
          <cell r="A219">
            <v>218</v>
          </cell>
          <cell r="B219" t="str">
            <v>Kürbis, Hokkaido</v>
          </cell>
        </row>
        <row r="220">
          <cell r="A220">
            <v>219</v>
          </cell>
          <cell r="B220" t="str">
            <v>Kürbis, Muskat</v>
          </cell>
        </row>
        <row r="221">
          <cell r="A221">
            <v>220</v>
          </cell>
          <cell r="B221" t="str">
            <v>Kürbis, Spaghetti</v>
          </cell>
        </row>
        <row r="222">
          <cell r="A222">
            <v>221</v>
          </cell>
          <cell r="B222" t="str">
            <v>Kürbisgewürz</v>
          </cell>
        </row>
        <row r="223">
          <cell r="A223">
            <v>222</v>
          </cell>
          <cell r="B223" t="str">
            <v>Kürbiskerne</v>
          </cell>
        </row>
        <row r="224">
          <cell r="A224">
            <v>223</v>
          </cell>
          <cell r="B224" t="str">
            <v>Kurkuma</v>
          </cell>
        </row>
        <row r="225">
          <cell r="A225">
            <v>224</v>
          </cell>
          <cell r="B225" t="str">
            <v>Kurkuma, ganz</v>
          </cell>
        </row>
        <row r="226">
          <cell r="A226">
            <v>225</v>
          </cell>
          <cell r="B226" t="str">
            <v>Lauch</v>
          </cell>
        </row>
        <row r="227">
          <cell r="A227">
            <v>226</v>
          </cell>
          <cell r="B227" t="str">
            <v>Lavendel</v>
          </cell>
        </row>
        <row r="228">
          <cell r="A228">
            <v>227</v>
          </cell>
          <cell r="B228" t="str">
            <v>Leinöl</v>
          </cell>
        </row>
        <row r="229">
          <cell r="A229">
            <v>228</v>
          </cell>
          <cell r="B229" t="str">
            <v>Leinsamen</v>
          </cell>
        </row>
        <row r="230">
          <cell r="A230">
            <v>229</v>
          </cell>
          <cell r="B230" t="str">
            <v>Leinsamen-Sprossen</v>
          </cell>
        </row>
        <row r="231">
          <cell r="A231">
            <v>230</v>
          </cell>
          <cell r="B231" t="str">
            <v>Liebstöckel</v>
          </cell>
        </row>
        <row r="232">
          <cell r="A232">
            <v>231</v>
          </cell>
          <cell r="B232" t="str">
            <v>Liebstöckel, getrocknet</v>
          </cell>
        </row>
        <row r="233">
          <cell r="A233">
            <v>232</v>
          </cell>
          <cell r="B233" t="str">
            <v>Limetten</v>
          </cell>
        </row>
        <row r="234">
          <cell r="A234">
            <v>233</v>
          </cell>
          <cell r="B234" t="str">
            <v>Linsen braun</v>
          </cell>
        </row>
        <row r="235">
          <cell r="A235">
            <v>234</v>
          </cell>
          <cell r="B235" t="str">
            <v>Linsen gelb</v>
          </cell>
        </row>
        <row r="236">
          <cell r="A236">
            <v>235</v>
          </cell>
          <cell r="B236" t="str">
            <v>Linsen grün</v>
          </cell>
        </row>
        <row r="237">
          <cell r="A237">
            <v>236</v>
          </cell>
          <cell r="B237" t="str">
            <v>Linsen rot</v>
          </cell>
        </row>
        <row r="238">
          <cell r="A238">
            <v>237</v>
          </cell>
          <cell r="B238" t="str">
            <v>Linsen-Sprossen</v>
          </cell>
        </row>
        <row r="239">
          <cell r="A239">
            <v>238</v>
          </cell>
          <cell r="B239" t="str">
            <v>Linsenwaffeln</v>
          </cell>
        </row>
        <row r="240">
          <cell r="A240">
            <v>239</v>
          </cell>
          <cell r="B240" t="str">
            <v>Lorbeerblätter</v>
          </cell>
        </row>
        <row r="241">
          <cell r="A241">
            <v>240</v>
          </cell>
          <cell r="B241" t="str">
            <v>Löwenzahn</v>
          </cell>
        </row>
        <row r="242">
          <cell r="A242">
            <v>241</v>
          </cell>
          <cell r="B242" t="str">
            <v>Lupinenkerne</v>
          </cell>
        </row>
        <row r="243">
          <cell r="A243">
            <v>242</v>
          </cell>
          <cell r="B243" t="str">
            <v>Lupinenkerne, gekocht</v>
          </cell>
        </row>
        <row r="244">
          <cell r="A244">
            <v>243</v>
          </cell>
          <cell r="B244" t="str">
            <v>Lupinenmilch</v>
          </cell>
        </row>
        <row r="245">
          <cell r="A245">
            <v>244</v>
          </cell>
          <cell r="B245" t="str">
            <v>Lupinenschrot</v>
          </cell>
        </row>
        <row r="246">
          <cell r="A246">
            <v>245</v>
          </cell>
          <cell r="B246" t="str">
            <v>Macadamiennüsse</v>
          </cell>
        </row>
        <row r="247">
          <cell r="A247">
            <v>246</v>
          </cell>
          <cell r="B247" t="str">
            <v>Mais</v>
          </cell>
        </row>
        <row r="248">
          <cell r="A248">
            <v>247</v>
          </cell>
          <cell r="B248" t="str">
            <v>Mais, gekocht</v>
          </cell>
        </row>
        <row r="249">
          <cell r="A249">
            <v>248</v>
          </cell>
          <cell r="B249" t="str">
            <v>Maisgrieß</v>
          </cell>
        </row>
        <row r="250">
          <cell r="A250">
            <v>249</v>
          </cell>
          <cell r="B250" t="str">
            <v>Maiswaffeln</v>
          </cell>
        </row>
        <row r="251">
          <cell r="A251">
            <v>250</v>
          </cell>
          <cell r="B251" t="str">
            <v>Maitake</v>
          </cell>
        </row>
        <row r="252">
          <cell r="A252">
            <v>251</v>
          </cell>
          <cell r="B252" t="str">
            <v>Majoran</v>
          </cell>
        </row>
        <row r="253">
          <cell r="A253">
            <v>252</v>
          </cell>
          <cell r="B253" t="str">
            <v>Majoran, getrocknet</v>
          </cell>
        </row>
        <row r="254">
          <cell r="A254">
            <v>253</v>
          </cell>
          <cell r="B254" t="str">
            <v>Mandarinen</v>
          </cell>
        </row>
        <row r="255">
          <cell r="A255">
            <v>254</v>
          </cell>
          <cell r="B255" t="str">
            <v>Mandeljoghurt</v>
          </cell>
        </row>
        <row r="256">
          <cell r="A256">
            <v>255</v>
          </cell>
          <cell r="B256" t="str">
            <v>Mandelmilch</v>
          </cell>
        </row>
        <row r="257">
          <cell r="A257">
            <v>256</v>
          </cell>
          <cell r="B257" t="str">
            <v>Mandelmus braun</v>
          </cell>
        </row>
        <row r="258">
          <cell r="A258">
            <v>257</v>
          </cell>
          <cell r="B258" t="str">
            <v>Mandelmus weiß</v>
          </cell>
        </row>
        <row r="259">
          <cell r="A259">
            <v>258</v>
          </cell>
          <cell r="B259" t="str">
            <v>Mandeln</v>
          </cell>
        </row>
        <row r="260">
          <cell r="A260">
            <v>259</v>
          </cell>
          <cell r="B260" t="str">
            <v>Mango</v>
          </cell>
        </row>
        <row r="261">
          <cell r="A261">
            <v>260</v>
          </cell>
          <cell r="B261" t="str">
            <v>Mango, gefroren</v>
          </cell>
        </row>
        <row r="262">
          <cell r="A262">
            <v>261</v>
          </cell>
          <cell r="B262" t="str">
            <v>Mango, getrocknet</v>
          </cell>
        </row>
        <row r="263">
          <cell r="A263">
            <v>262</v>
          </cell>
          <cell r="B263" t="str">
            <v>Mangold</v>
          </cell>
        </row>
        <row r="264">
          <cell r="A264">
            <v>263</v>
          </cell>
          <cell r="B264" t="str">
            <v>Maronen</v>
          </cell>
        </row>
        <row r="265">
          <cell r="A265">
            <v>264</v>
          </cell>
          <cell r="B265" t="str">
            <v>Maulbeeren</v>
          </cell>
        </row>
        <row r="266">
          <cell r="A266">
            <v>265</v>
          </cell>
          <cell r="B266" t="str">
            <v>Minze</v>
          </cell>
        </row>
        <row r="267">
          <cell r="A267">
            <v>266</v>
          </cell>
          <cell r="B267" t="str">
            <v>Mirabellen</v>
          </cell>
        </row>
        <row r="268">
          <cell r="A268">
            <v>267</v>
          </cell>
          <cell r="B268" t="str">
            <v>Möhren gelb</v>
          </cell>
        </row>
        <row r="269">
          <cell r="A269">
            <v>268</v>
          </cell>
          <cell r="B269" t="str">
            <v>Möhren orange</v>
          </cell>
        </row>
        <row r="270">
          <cell r="A270">
            <v>269</v>
          </cell>
          <cell r="B270" t="str">
            <v>Möhren rot</v>
          </cell>
        </row>
        <row r="271">
          <cell r="A271">
            <v>270</v>
          </cell>
          <cell r="B271" t="str">
            <v>Möhren violett</v>
          </cell>
        </row>
        <row r="272">
          <cell r="A272">
            <v>271</v>
          </cell>
          <cell r="B272" t="str">
            <v>Mugi Miso</v>
          </cell>
        </row>
        <row r="273">
          <cell r="A273">
            <v>272</v>
          </cell>
          <cell r="B273" t="str">
            <v>Mungbohnen</v>
          </cell>
        </row>
        <row r="274">
          <cell r="A274">
            <v>273</v>
          </cell>
          <cell r="B274" t="str">
            <v>Mungbohnen-Sprossen</v>
          </cell>
        </row>
        <row r="275">
          <cell r="A275">
            <v>274</v>
          </cell>
          <cell r="B275" t="str">
            <v>Mung-Dal</v>
          </cell>
        </row>
        <row r="276">
          <cell r="A276">
            <v>275</v>
          </cell>
          <cell r="B276" t="str">
            <v>Muskatnuss</v>
          </cell>
        </row>
        <row r="277">
          <cell r="A277">
            <v>276</v>
          </cell>
          <cell r="B277" t="str">
            <v>Naturreis</v>
          </cell>
        </row>
        <row r="278">
          <cell r="A278">
            <v>277</v>
          </cell>
          <cell r="B278" t="str">
            <v>Natur-Tofu</v>
          </cell>
        </row>
        <row r="279">
          <cell r="A279">
            <v>278</v>
          </cell>
          <cell r="B279" t="str">
            <v>Nektarinen</v>
          </cell>
        </row>
        <row r="280">
          <cell r="A280">
            <v>279</v>
          </cell>
          <cell r="B280" t="str">
            <v>Nelken</v>
          </cell>
        </row>
        <row r="281">
          <cell r="A281">
            <v>280</v>
          </cell>
          <cell r="B281" t="str">
            <v>Norialgen-Blätter</v>
          </cell>
        </row>
        <row r="282">
          <cell r="A282">
            <v>281</v>
          </cell>
          <cell r="B282" t="str">
            <v>Noriflocken</v>
          </cell>
        </row>
        <row r="283">
          <cell r="A283">
            <v>282</v>
          </cell>
          <cell r="B283" t="str">
            <v>Nussmus</v>
          </cell>
        </row>
        <row r="284">
          <cell r="A284">
            <v>283</v>
          </cell>
          <cell r="B284" t="str">
            <v>Ochsenherztomaten</v>
          </cell>
        </row>
        <row r="285">
          <cell r="A285">
            <v>284</v>
          </cell>
          <cell r="B285" t="str">
            <v>Okra</v>
          </cell>
        </row>
        <row r="286">
          <cell r="A286">
            <v>285</v>
          </cell>
          <cell r="B286" t="str">
            <v>Oliven</v>
          </cell>
        </row>
        <row r="287">
          <cell r="A287">
            <v>286</v>
          </cell>
          <cell r="B287" t="str">
            <v>Olivenöl</v>
          </cell>
        </row>
        <row r="288">
          <cell r="A288">
            <v>287</v>
          </cell>
          <cell r="B288" t="str">
            <v>Orangen</v>
          </cell>
        </row>
        <row r="289">
          <cell r="A289">
            <v>288</v>
          </cell>
          <cell r="B289" t="str">
            <v>Oregano</v>
          </cell>
        </row>
        <row r="290">
          <cell r="A290">
            <v>289</v>
          </cell>
          <cell r="B290" t="str">
            <v>Oregano, getrocknet</v>
          </cell>
        </row>
        <row r="291">
          <cell r="A291">
            <v>290</v>
          </cell>
          <cell r="B291" t="str">
            <v>Oyster Sauce</v>
          </cell>
        </row>
        <row r="292">
          <cell r="A292">
            <v>291</v>
          </cell>
          <cell r="B292" t="str">
            <v>Pak-Choi</v>
          </cell>
        </row>
        <row r="293">
          <cell r="A293">
            <v>292</v>
          </cell>
          <cell r="B293" t="str">
            <v>Papaya</v>
          </cell>
        </row>
        <row r="294">
          <cell r="A294">
            <v>293</v>
          </cell>
          <cell r="B294" t="str">
            <v>Paprika edelsüß</v>
          </cell>
        </row>
        <row r="295">
          <cell r="A295">
            <v>294</v>
          </cell>
          <cell r="B295" t="str">
            <v>Paprika gelb</v>
          </cell>
        </row>
        <row r="296">
          <cell r="A296">
            <v>295</v>
          </cell>
          <cell r="B296" t="str">
            <v>Paprika geräuchert</v>
          </cell>
        </row>
        <row r="297">
          <cell r="A297">
            <v>296</v>
          </cell>
          <cell r="B297" t="str">
            <v>Paprika grün</v>
          </cell>
        </row>
        <row r="298">
          <cell r="A298">
            <v>297</v>
          </cell>
          <cell r="B298" t="str">
            <v>Paprika orange</v>
          </cell>
        </row>
        <row r="299">
          <cell r="A299">
            <v>298</v>
          </cell>
          <cell r="B299" t="str">
            <v>Paprika rosenscharf</v>
          </cell>
        </row>
        <row r="300">
          <cell r="A300">
            <v>299</v>
          </cell>
          <cell r="B300" t="str">
            <v>Paprika rot</v>
          </cell>
        </row>
        <row r="301">
          <cell r="A301">
            <v>300</v>
          </cell>
          <cell r="B301" t="str">
            <v>Paranüsse</v>
          </cell>
        </row>
        <row r="302">
          <cell r="A302">
            <v>301</v>
          </cell>
          <cell r="B302" t="str">
            <v>Passionsfrüchte</v>
          </cell>
        </row>
        <row r="303">
          <cell r="A303">
            <v>302</v>
          </cell>
          <cell r="B303" t="str">
            <v>Pastinaken</v>
          </cell>
        </row>
        <row r="304">
          <cell r="A304">
            <v>303</v>
          </cell>
          <cell r="B304" t="str">
            <v>Pekannüsse</v>
          </cell>
        </row>
        <row r="305">
          <cell r="A305">
            <v>304</v>
          </cell>
          <cell r="B305" t="str">
            <v>Petersilie</v>
          </cell>
        </row>
        <row r="306">
          <cell r="A306">
            <v>305</v>
          </cell>
          <cell r="B306" t="str">
            <v>Petersilie, getrocknet</v>
          </cell>
        </row>
        <row r="307">
          <cell r="A307">
            <v>306</v>
          </cell>
          <cell r="B307" t="str">
            <v>Pfeffer</v>
          </cell>
        </row>
        <row r="308">
          <cell r="A308">
            <v>307</v>
          </cell>
          <cell r="B308" t="str">
            <v>Pfeffer rot</v>
          </cell>
        </row>
        <row r="309">
          <cell r="A309">
            <v>308</v>
          </cell>
          <cell r="B309" t="str">
            <v>Pfeffer weiß</v>
          </cell>
        </row>
        <row r="310">
          <cell r="A310">
            <v>309</v>
          </cell>
          <cell r="B310" t="str">
            <v>Pfefferminze</v>
          </cell>
        </row>
        <row r="311">
          <cell r="A311">
            <v>310</v>
          </cell>
          <cell r="B311" t="str">
            <v>Pfifferlinge</v>
          </cell>
        </row>
        <row r="312">
          <cell r="A312">
            <v>311</v>
          </cell>
          <cell r="B312" t="str">
            <v>Pfirsich</v>
          </cell>
        </row>
        <row r="313">
          <cell r="A313">
            <v>312</v>
          </cell>
          <cell r="B313" t="str">
            <v>Pflaumen</v>
          </cell>
        </row>
        <row r="314">
          <cell r="A314">
            <v>313</v>
          </cell>
          <cell r="B314" t="str">
            <v>Physalis</v>
          </cell>
        </row>
        <row r="315">
          <cell r="A315">
            <v>314</v>
          </cell>
          <cell r="B315" t="str">
            <v>Pilze</v>
          </cell>
        </row>
        <row r="316">
          <cell r="A316">
            <v>315</v>
          </cell>
          <cell r="B316" t="str">
            <v>Piment</v>
          </cell>
        </row>
        <row r="317">
          <cell r="A317">
            <v>316</v>
          </cell>
          <cell r="B317" t="str">
            <v>Pinienkerne</v>
          </cell>
        </row>
        <row r="318">
          <cell r="A318">
            <v>317</v>
          </cell>
          <cell r="B318" t="str">
            <v>Pintobohnen</v>
          </cell>
        </row>
        <row r="319">
          <cell r="A319">
            <v>318</v>
          </cell>
          <cell r="B319" t="str">
            <v>Pistazien</v>
          </cell>
        </row>
        <row r="320">
          <cell r="A320">
            <v>319</v>
          </cell>
          <cell r="B320" t="str">
            <v>Pistazienmus</v>
          </cell>
        </row>
        <row r="321">
          <cell r="A321">
            <v>320</v>
          </cell>
          <cell r="B321" t="str">
            <v>Portulak</v>
          </cell>
        </row>
        <row r="322">
          <cell r="A322">
            <v>321</v>
          </cell>
          <cell r="B322" t="str">
            <v>Puy-Linsen</v>
          </cell>
        </row>
        <row r="323">
          <cell r="A323">
            <v>322</v>
          </cell>
          <cell r="B323" t="str">
            <v>Quinoa</v>
          </cell>
        </row>
        <row r="324">
          <cell r="A324">
            <v>323</v>
          </cell>
          <cell r="B324" t="str">
            <v>Quinoa rot</v>
          </cell>
        </row>
        <row r="325">
          <cell r="A325">
            <v>324</v>
          </cell>
          <cell r="B325" t="str">
            <v>Quinoa schwarz</v>
          </cell>
        </row>
        <row r="326">
          <cell r="A326">
            <v>325</v>
          </cell>
          <cell r="B326" t="str">
            <v>Quinoa weiß</v>
          </cell>
        </row>
        <row r="327">
          <cell r="A327">
            <v>326</v>
          </cell>
          <cell r="B327" t="str">
            <v>Quinoa-Sprossen</v>
          </cell>
        </row>
        <row r="328">
          <cell r="A328">
            <v>327</v>
          </cell>
          <cell r="B328" t="str">
            <v>Radicchio</v>
          </cell>
        </row>
        <row r="329">
          <cell r="A329">
            <v>328</v>
          </cell>
          <cell r="B329" t="str">
            <v>Radieschen</v>
          </cell>
        </row>
        <row r="330">
          <cell r="A330">
            <v>329</v>
          </cell>
          <cell r="B330" t="str">
            <v>Radieschen-Sprossen</v>
          </cell>
        </row>
        <row r="331">
          <cell r="A331">
            <v>330</v>
          </cell>
          <cell r="B331" t="str">
            <v>Rapsöl</v>
          </cell>
        </row>
        <row r="332">
          <cell r="A332">
            <v>331</v>
          </cell>
          <cell r="B332" t="str">
            <v>Ras el Hanout</v>
          </cell>
        </row>
        <row r="333">
          <cell r="A333">
            <v>332</v>
          </cell>
          <cell r="B333" t="str">
            <v>Räucher-Tofu</v>
          </cell>
        </row>
        <row r="334">
          <cell r="A334">
            <v>333</v>
          </cell>
          <cell r="B334" t="str">
            <v>Reis schwarz</v>
          </cell>
        </row>
        <row r="335">
          <cell r="A335">
            <v>334</v>
          </cell>
          <cell r="B335" t="str">
            <v>Reis-Essig</v>
          </cell>
        </row>
        <row r="336">
          <cell r="A336">
            <v>335</v>
          </cell>
          <cell r="B336" t="str">
            <v>Reismilch</v>
          </cell>
        </row>
        <row r="337">
          <cell r="A337">
            <v>336</v>
          </cell>
          <cell r="B337" t="str">
            <v>Reispapier</v>
          </cell>
        </row>
        <row r="338">
          <cell r="A338">
            <v>337</v>
          </cell>
          <cell r="B338" t="str">
            <v>Rettich</v>
          </cell>
        </row>
        <row r="339">
          <cell r="A339">
            <v>338</v>
          </cell>
          <cell r="B339" t="str">
            <v>Rhabarber</v>
          </cell>
        </row>
        <row r="340">
          <cell r="A340">
            <v>339</v>
          </cell>
          <cell r="B340" t="str">
            <v>Riesenchampignons</v>
          </cell>
        </row>
        <row r="341">
          <cell r="A341">
            <v>340</v>
          </cell>
          <cell r="B341" t="str">
            <v>Ringelbeete</v>
          </cell>
        </row>
        <row r="342">
          <cell r="A342">
            <v>341</v>
          </cell>
          <cell r="B342" t="str">
            <v>Roggen</v>
          </cell>
        </row>
        <row r="343">
          <cell r="A343">
            <v>342</v>
          </cell>
          <cell r="B343" t="str">
            <v>Roggenflocken</v>
          </cell>
        </row>
        <row r="344">
          <cell r="A344">
            <v>343</v>
          </cell>
          <cell r="B344" t="str">
            <v>Roggenmehl</v>
          </cell>
        </row>
        <row r="345">
          <cell r="A345">
            <v>344</v>
          </cell>
          <cell r="B345" t="str">
            <v>Roggenmilch</v>
          </cell>
        </row>
        <row r="346">
          <cell r="A346">
            <v>345</v>
          </cell>
          <cell r="B346" t="str">
            <v>Romanasalat</v>
          </cell>
        </row>
        <row r="347">
          <cell r="A347">
            <v>346</v>
          </cell>
          <cell r="B347" t="str">
            <v>Roma-Tomaten</v>
          </cell>
        </row>
        <row r="348">
          <cell r="A348">
            <v>347</v>
          </cell>
          <cell r="B348" t="str">
            <v>Romanesco</v>
          </cell>
        </row>
        <row r="349">
          <cell r="A349">
            <v>348</v>
          </cell>
          <cell r="B349" t="str">
            <v>Rosenkohl</v>
          </cell>
        </row>
        <row r="350">
          <cell r="A350">
            <v>349</v>
          </cell>
          <cell r="B350" t="str">
            <v>Rosenkohl rot</v>
          </cell>
        </row>
        <row r="351">
          <cell r="A351">
            <v>350</v>
          </cell>
          <cell r="B351" t="str">
            <v>Rosenkohl, gefroren</v>
          </cell>
        </row>
        <row r="352">
          <cell r="A352">
            <v>351</v>
          </cell>
          <cell r="B352" t="str">
            <v>Rosmarin</v>
          </cell>
        </row>
        <row r="353">
          <cell r="A353">
            <v>352</v>
          </cell>
          <cell r="B353" t="str">
            <v>Rosmarin, getrocknet</v>
          </cell>
        </row>
        <row r="354">
          <cell r="A354">
            <v>353</v>
          </cell>
          <cell r="B354" t="str">
            <v>Rote Beete</v>
          </cell>
        </row>
        <row r="355">
          <cell r="A355">
            <v>354</v>
          </cell>
          <cell r="B355" t="str">
            <v>Rote Linsennudeln</v>
          </cell>
        </row>
        <row r="356">
          <cell r="A356">
            <v>355</v>
          </cell>
          <cell r="B356" t="str">
            <v>Rotkohl</v>
          </cell>
        </row>
        <row r="357">
          <cell r="A357">
            <v>356</v>
          </cell>
          <cell r="B357" t="str">
            <v>Rucola</v>
          </cell>
        </row>
        <row r="358">
          <cell r="A358">
            <v>357</v>
          </cell>
          <cell r="B358" t="str">
            <v>Rucola-Sprossen</v>
          </cell>
        </row>
        <row r="359">
          <cell r="A359">
            <v>358</v>
          </cell>
          <cell r="B359" t="str">
            <v>Safran</v>
          </cell>
        </row>
        <row r="360">
          <cell r="A360">
            <v>359</v>
          </cell>
          <cell r="B360" t="str">
            <v>Salbei</v>
          </cell>
        </row>
        <row r="361">
          <cell r="A361">
            <v>360</v>
          </cell>
          <cell r="B361" t="str">
            <v>Salbei, getrocknet</v>
          </cell>
        </row>
        <row r="362">
          <cell r="A362">
            <v>361</v>
          </cell>
          <cell r="B362" t="str">
            <v>Salz, jodiert</v>
          </cell>
        </row>
        <row r="363">
          <cell r="A363">
            <v>362</v>
          </cell>
          <cell r="B363" t="str">
            <v>Sambal Oelek</v>
          </cell>
        </row>
        <row r="364">
          <cell r="A364">
            <v>363</v>
          </cell>
          <cell r="B364" t="str">
            <v>Sauerkraut</v>
          </cell>
        </row>
        <row r="365">
          <cell r="A365">
            <v>364</v>
          </cell>
          <cell r="B365" t="str">
            <v>Schnittlauch</v>
          </cell>
        </row>
        <row r="366">
          <cell r="A366">
            <v>365</v>
          </cell>
          <cell r="B366" t="str">
            <v>Schwarze Bohnen</v>
          </cell>
        </row>
        <row r="367">
          <cell r="A367">
            <v>366</v>
          </cell>
          <cell r="B367" t="str">
            <v>Schwarze Bohnen, gekocht</v>
          </cell>
        </row>
        <row r="368">
          <cell r="A368">
            <v>367</v>
          </cell>
          <cell r="B368" t="str">
            <v>Schwarzkohl</v>
          </cell>
        </row>
        <row r="369">
          <cell r="A369">
            <v>368</v>
          </cell>
          <cell r="B369" t="str">
            <v>Schwarzwurzel</v>
          </cell>
        </row>
        <row r="370">
          <cell r="A370">
            <v>369</v>
          </cell>
          <cell r="B370" t="str">
            <v>Seiden-Tofu</v>
          </cell>
        </row>
        <row r="371">
          <cell r="A371">
            <v>370</v>
          </cell>
          <cell r="B371" t="str">
            <v>Seitan</v>
          </cell>
        </row>
        <row r="372">
          <cell r="A372">
            <v>371</v>
          </cell>
          <cell r="B372" t="str">
            <v>Selleriesamen</v>
          </cell>
        </row>
        <row r="373">
          <cell r="A373">
            <v>372</v>
          </cell>
          <cell r="B373" t="str">
            <v>Senf</v>
          </cell>
        </row>
        <row r="374">
          <cell r="A374">
            <v>373</v>
          </cell>
          <cell r="B374" t="str">
            <v>Senfkörner</v>
          </cell>
        </row>
        <row r="375">
          <cell r="A375">
            <v>374</v>
          </cell>
          <cell r="B375" t="str">
            <v>Senf-Sprossen</v>
          </cell>
        </row>
        <row r="376">
          <cell r="A376">
            <v>375</v>
          </cell>
          <cell r="B376" t="str">
            <v>Sesamkerne</v>
          </cell>
        </row>
        <row r="377">
          <cell r="A377">
            <v>376</v>
          </cell>
          <cell r="B377" t="str">
            <v>Shiitake</v>
          </cell>
        </row>
        <row r="378">
          <cell r="A378">
            <v>377</v>
          </cell>
          <cell r="B378" t="str">
            <v>Shiro Miso</v>
          </cell>
        </row>
        <row r="379">
          <cell r="A379">
            <v>378</v>
          </cell>
          <cell r="B379" t="str">
            <v>Shoyu</v>
          </cell>
        </row>
        <row r="380">
          <cell r="A380">
            <v>379</v>
          </cell>
          <cell r="B380" t="str">
            <v>Sojabohnen</v>
          </cell>
        </row>
        <row r="381">
          <cell r="A381">
            <v>380</v>
          </cell>
          <cell r="B381" t="str">
            <v>Sojabohnen-Sprossen</v>
          </cell>
        </row>
        <row r="382">
          <cell r="A382">
            <v>381</v>
          </cell>
          <cell r="B382" t="str">
            <v>Sojaflocken</v>
          </cell>
        </row>
        <row r="383">
          <cell r="A383">
            <v>382</v>
          </cell>
          <cell r="B383" t="str">
            <v>Sojajoghurt</v>
          </cell>
        </row>
        <row r="384">
          <cell r="A384">
            <v>383</v>
          </cell>
          <cell r="B384" t="str">
            <v>Sojamehl</v>
          </cell>
        </row>
        <row r="385">
          <cell r="A385">
            <v>384</v>
          </cell>
          <cell r="B385" t="str">
            <v>Sojamilch</v>
          </cell>
        </row>
        <row r="386">
          <cell r="A386">
            <v>385</v>
          </cell>
          <cell r="B386" t="str">
            <v>Sojasoße</v>
          </cell>
        </row>
        <row r="387">
          <cell r="A387">
            <v>386</v>
          </cell>
          <cell r="B387" t="str">
            <v>Sonnenblumenkerne</v>
          </cell>
        </row>
        <row r="388">
          <cell r="A388">
            <v>387</v>
          </cell>
          <cell r="B388" t="str">
            <v>Sonnenblumenkerne-Sprossen</v>
          </cell>
        </row>
        <row r="389">
          <cell r="A389">
            <v>388</v>
          </cell>
          <cell r="B389" t="str">
            <v>Spargel grün</v>
          </cell>
        </row>
        <row r="390">
          <cell r="A390">
            <v>389</v>
          </cell>
          <cell r="B390" t="str">
            <v>Spargel weiß</v>
          </cell>
        </row>
        <row r="391">
          <cell r="A391">
            <v>390</v>
          </cell>
          <cell r="B391" t="str">
            <v>Spekulatius</v>
          </cell>
        </row>
        <row r="392">
          <cell r="A392">
            <v>391</v>
          </cell>
          <cell r="B392" t="str">
            <v>Spinat</v>
          </cell>
        </row>
        <row r="393">
          <cell r="A393">
            <v>392</v>
          </cell>
          <cell r="B393" t="str">
            <v>Spinat, gefroren</v>
          </cell>
        </row>
        <row r="394">
          <cell r="A394">
            <v>393</v>
          </cell>
          <cell r="B394" t="str">
            <v>Spirulina-Pulver</v>
          </cell>
        </row>
        <row r="395">
          <cell r="A395">
            <v>394</v>
          </cell>
          <cell r="B395" t="str">
            <v>Spitzkohl</v>
          </cell>
        </row>
        <row r="396">
          <cell r="A396">
            <v>395</v>
          </cell>
          <cell r="B396" t="str">
            <v>Spitzpaprika gelb</v>
          </cell>
        </row>
        <row r="397">
          <cell r="A397">
            <v>396</v>
          </cell>
          <cell r="B397" t="str">
            <v>Spitzpaprika grün</v>
          </cell>
        </row>
        <row r="398">
          <cell r="A398">
            <v>397</v>
          </cell>
          <cell r="B398" t="str">
            <v>Spitzpaprika orange</v>
          </cell>
        </row>
        <row r="399">
          <cell r="A399">
            <v>398</v>
          </cell>
          <cell r="B399" t="str">
            <v>Spitzpaprika rot</v>
          </cell>
        </row>
        <row r="400">
          <cell r="A400">
            <v>399</v>
          </cell>
          <cell r="B400" t="str">
            <v>Stachelbeeren</v>
          </cell>
        </row>
        <row r="401">
          <cell r="A401">
            <v>400</v>
          </cell>
          <cell r="B401" t="str">
            <v>Stangensellerie</v>
          </cell>
        </row>
        <row r="402">
          <cell r="A402">
            <v>401</v>
          </cell>
          <cell r="B402" t="str">
            <v>Steinpilz</v>
          </cell>
        </row>
        <row r="403">
          <cell r="A403">
            <v>402</v>
          </cell>
          <cell r="B403" t="str">
            <v>Sternanis</v>
          </cell>
        </row>
        <row r="404">
          <cell r="A404">
            <v>403</v>
          </cell>
          <cell r="B404" t="str">
            <v>Süßkartoffeln orange</v>
          </cell>
        </row>
        <row r="405">
          <cell r="A405">
            <v>404</v>
          </cell>
          <cell r="B405" t="str">
            <v>Süßkartoffeln violett</v>
          </cell>
        </row>
        <row r="406">
          <cell r="A406">
            <v>405</v>
          </cell>
          <cell r="B406" t="str">
            <v>Szechuanpfeffer</v>
          </cell>
        </row>
        <row r="407">
          <cell r="A407">
            <v>406</v>
          </cell>
          <cell r="B407" t="str">
            <v>Tabasco</v>
          </cell>
        </row>
        <row r="408">
          <cell r="A408">
            <v>407</v>
          </cell>
          <cell r="B408" t="str">
            <v>Tahini</v>
          </cell>
        </row>
        <row r="409">
          <cell r="A409">
            <v>408</v>
          </cell>
          <cell r="B409" t="str">
            <v>Tamari</v>
          </cell>
        </row>
        <row r="410">
          <cell r="A410">
            <v>409</v>
          </cell>
          <cell r="B410" t="str">
            <v>Teff</v>
          </cell>
        </row>
        <row r="411">
          <cell r="A411">
            <v>410</v>
          </cell>
          <cell r="B411" t="str">
            <v>Teller-Pfirsich</v>
          </cell>
        </row>
        <row r="412">
          <cell r="A412">
            <v>411</v>
          </cell>
          <cell r="B412" t="str">
            <v>Tempeh</v>
          </cell>
        </row>
        <row r="413">
          <cell r="A413">
            <v>412</v>
          </cell>
          <cell r="B413" t="str">
            <v>Teriyaki Sauce</v>
          </cell>
        </row>
        <row r="414">
          <cell r="A414">
            <v>413</v>
          </cell>
          <cell r="B414" t="str">
            <v>Thymian</v>
          </cell>
        </row>
        <row r="415">
          <cell r="A415">
            <v>414</v>
          </cell>
          <cell r="B415" t="str">
            <v>Thymian, getrocknet</v>
          </cell>
        </row>
        <row r="416">
          <cell r="A416">
            <v>415</v>
          </cell>
          <cell r="B416" t="str">
            <v>Tomaten</v>
          </cell>
        </row>
        <row r="417">
          <cell r="A417">
            <v>416</v>
          </cell>
          <cell r="B417" t="str">
            <v>Cherry-Tomaten</v>
          </cell>
        </row>
        <row r="418">
          <cell r="A418">
            <v>417</v>
          </cell>
          <cell r="B418" t="str">
            <v>Tomaten gelb</v>
          </cell>
        </row>
        <row r="419">
          <cell r="A419">
            <v>418</v>
          </cell>
          <cell r="B419" t="str">
            <v>Tomaten Passata</v>
          </cell>
        </row>
        <row r="420">
          <cell r="A420">
            <v>419</v>
          </cell>
          <cell r="B420" t="str">
            <v>Tomaten schwarz</v>
          </cell>
        </row>
        <row r="421">
          <cell r="A421">
            <v>420</v>
          </cell>
          <cell r="B421" t="str">
            <v>Tomaten, getrocknet</v>
          </cell>
        </row>
        <row r="422">
          <cell r="A422">
            <v>421</v>
          </cell>
          <cell r="B422" t="str">
            <v>Tomatenmark</v>
          </cell>
        </row>
        <row r="423">
          <cell r="A423">
            <v>422</v>
          </cell>
          <cell r="B423" t="str">
            <v>Tomatenstücke</v>
          </cell>
        </row>
        <row r="424">
          <cell r="A424">
            <v>423</v>
          </cell>
          <cell r="B424" t="str">
            <v>Tonkabohne</v>
          </cell>
        </row>
        <row r="425">
          <cell r="A425">
            <v>424</v>
          </cell>
          <cell r="B425" t="str">
            <v>Topinambur</v>
          </cell>
        </row>
        <row r="426">
          <cell r="A426">
            <v>425</v>
          </cell>
          <cell r="B426" t="str">
            <v>Trauben grün</v>
          </cell>
        </row>
        <row r="427">
          <cell r="A427">
            <v>426</v>
          </cell>
          <cell r="B427" t="str">
            <v>Trauben rot</v>
          </cell>
        </row>
        <row r="428">
          <cell r="A428">
            <v>427</v>
          </cell>
          <cell r="B428" t="str">
            <v>Trüffel</v>
          </cell>
        </row>
        <row r="429">
          <cell r="A429">
            <v>428</v>
          </cell>
          <cell r="B429" t="str">
            <v>Vanille</v>
          </cell>
        </row>
        <row r="430">
          <cell r="A430">
            <v>429</v>
          </cell>
          <cell r="B430" t="str">
            <v>Vollkorn-Bandnudeln</v>
          </cell>
        </row>
        <row r="431">
          <cell r="A431">
            <v>430</v>
          </cell>
          <cell r="B431" t="str">
            <v>Vollkorn-Brötchen</v>
          </cell>
        </row>
        <row r="432">
          <cell r="A432">
            <v>431</v>
          </cell>
          <cell r="B432" t="str">
            <v>Vollkorn-Fadennudeln</v>
          </cell>
        </row>
        <row r="433">
          <cell r="A433">
            <v>432</v>
          </cell>
          <cell r="B433" t="str">
            <v>Vollkornflocken</v>
          </cell>
        </row>
        <row r="434">
          <cell r="A434">
            <v>433</v>
          </cell>
          <cell r="B434" t="str">
            <v>Vollkorngetreide</v>
          </cell>
        </row>
        <row r="435">
          <cell r="A435">
            <v>434</v>
          </cell>
          <cell r="B435" t="str">
            <v>Vollkornmehl</v>
          </cell>
        </row>
        <row r="436">
          <cell r="A436">
            <v>435</v>
          </cell>
          <cell r="B436" t="str">
            <v>Vollkornnudeln</v>
          </cell>
        </row>
        <row r="437">
          <cell r="A437">
            <v>436</v>
          </cell>
          <cell r="B437" t="str">
            <v>Vollkorn-Spaghetti</v>
          </cell>
        </row>
        <row r="438">
          <cell r="A438">
            <v>437</v>
          </cell>
          <cell r="B438" t="str">
            <v>Vollkorn-Wraps</v>
          </cell>
        </row>
        <row r="439">
          <cell r="A439">
            <v>438</v>
          </cell>
          <cell r="B439" t="str">
            <v>Wacholderbeeren</v>
          </cell>
        </row>
        <row r="440">
          <cell r="A440">
            <v>439</v>
          </cell>
          <cell r="B440" t="str">
            <v>Wakame</v>
          </cell>
        </row>
        <row r="441">
          <cell r="A441">
            <v>440</v>
          </cell>
          <cell r="B441" t="str">
            <v>Walnusskerne</v>
          </cell>
        </row>
        <row r="442">
          <cell r="A442">
            <v>441</v>
          </cell>
          <cell r="B442" t="str">
            <v>Wasabi</v>
          </cell>
        </row>
        <row r="443">
          <cell r="A443">
            <v>442</v>
          </cell>
          <cell r="B443" t="str">
            <v>Wasser</v>
          </cell>
        </row>
        <row r="444">
          <cell r="A444">
            <v>443</v>
          </cell>
          <cell r="B444" t="str">
            <v>Wassermelone</v>
          </cell>
        </row>
        <row r="445">
          <cell r="A445">
            <v>444</v>
          </cell>
          <cell r="B445" t="str">
            <v>Weiße Beete</v>
          </cell>
        </row>
        <row r="446">
          <cell r="A446">
            <v>445</v>
          </cell>
          <cell r="B446" t="str">
            <v>Weiße Bohnen</v>
          </cell>
        </row>
        <row r="447">
          <cell r="A447">
            <v>446</v>
          </cell>
          <cell r="B447" t="str">
            <v>Weiße Bohnen, gekocht</v>
          </cell>
        </row>
        <row r="448">
          <cell r="A448">
            <v>447</v>
          </cell>
          <cell r="B448" t="str">
            <v>Weißkohl</v>
          </cell>
        </row>
        <row r="449">
          <cell r="A449">
            <v>448</v>
          </cell>
          <cell r="B449" t="str">
            <v>Weizen</v>
          </cell>
        </row>
        <row r="450">
          <cell r="A450">
            <v>449</v>
          </cell>
          <cell r="B450" t="str">
            <v>Weizenflocken</v>
          </cell>
        </row>
        <row r="451">
          <cell r="A451">
            <v>450</v>
          </cell>
          <cell r="B451" t="str">
            <v>Weizenkeime</v>
          </cell>
        </row>
        <row r="452">
          <cell r="A452">
            <v>451</v>
          </cell>
          <cell r="B452" t="str">
            <v>Weizenmehl</v>
          </cell>
        </row>
        <row r="453">
          <cell r="A453">
            <v>452</v>
          </cell>
          <cell r="B453" t="str">
            <v>Weizen-Sprossen</v>
          </cell>
        </row>
        <row r="454">
          <cell r="A454">
            <v>453</v>
          </cell>
          <cell r="B454" t="str">
            <v>Weizen-Vollkorn Farfalle</v>
          </cell>
        </row>
        <row r="455">
          <cell r="A455">
            <v>454</v>
          </cell>
          <cell r="B455" t="str">
            <v>Weizen-Vollkorn Fusilli</v>
          </cell>
        </row>
        <row r="456">
          <cell r="A456">
            <v>455</v>
          </cell>
          <cell r="B456" t="str">
            <v>Weizen-Vollkorn Lasagne</v>
          </cell>
        </row>
        <row r="457">
          <cell r="A457">
            <v>456</v>
          </cell>
          <cell r="B457" t="str">
            <v>Weizen-Vollkorn Linguine</v>
          </cell>
        </row>
        <row r="458">
          <cell r="A458">
            <v>457</v>
          </cell>
          <cell r="B458" t="str">
            <v>Weizen-Vollkorn Penne</v>
          </cell>
        </row>
        <row r="459">
          <cell r="A459">
            <v>458</v>
          </cell>
          <cell r="B459" t="str">
            <v>Weizen-Vollkorn Pipette Rigate</v>
          </cell>
        </row>
        <row r="460">
          <cell r="A460">
            <v>459</v>
          </cell>
          <cell r="B460" t="str">
            <v>Wirsing</v>
          </cell>
        </row>
        <row r="461">
          <cell r="A461">
            <v>460</v>
          </cell>
          <cell r="B461" t="str">
            <v>Zimtstangen</v>
          </cell>
        </row>
        <row r="462">
          <cell r="A462">
            <v>461</v>
          </cell>
          <cell r="B462" t="str">
            <v>Zimt, gemahlen</v>
          </cell>
        </row>
        <row r="463">
          <cell r="A463">
            <v>462</v>
          </cell>
          <cell r="B463" t="str">
            <v>Zitrone</v>
          </cell>
        </row>
        <row r="464">
          <cell r="A464">
            <v>463</v>
          </cell>
          <cell r="B464" t="str">
            <v>Zitronengras</v>
          </cell>
        </row>
        <row r="465">
          <cell r="A465">
            <v>464</v>
          </cell>
          <cell r="B465" t="str">
            <v>Zitronenmelisse</v>
          </cell>
        </row>
        <row r="466">
          <cell r="A466">
            <v>465</v>
          </cell>
          <cell r="B466" t="str">
            <v>Zitronenmelisse, getrocknet</v>
          </cell>
        </row>
        <row r="467">
          <cell r="A467">
            <v>466</v>
          </cell>
          <cell r="B467" t="str">
            <v>Zucchini gelb</v>
          </cell>
        </row>
        <row r="468">
          <cell r="A468">
            <v>467</v>
          </cell>
          <cell r="B468" t="str">
            <v>Zucchini grün</v>
          </cell>
        </row>
        <row r="469">
          <cell r="A469">
            <v>468</v>
          </cell>
          <cell r="B469" t="str">
            <v>Zucchini rund</v>
          </cell>
        </row>
        <row r="470">
          <cell r="A470">
            <v>469</v>
          </cell>
          <cell r="B470" t="str">
            <v>Zucker</v>
          </cell>
        </row>
        <row r="471">
          <cell r="A471">
            <v>470</v>
          </cell>
          <cell r="B471" t="str">
            <v>Zwetschgen</v>
          </cell>
        </row>
        <row r="472">
          <cell r="A472">
            <v>471</v>
          </cell>
          <cell r="B472" t="str">
            <v>Zwiebeln gelb</v>
          </cell>
        </row>
        <row r="473">
          <cell r="A473">
            <v>472</v>
          </cell>
          <cell r="B473" t="str">
            <v>Zwiebeln rot</v>
          </cell>
        </row>
        <row r="474">
          <cell r="A474">
            <v>473</v>
          </cell>
          <cell r="B474" t="str">
            <v>Zwiebelpulver</v>
          </cell>
        </row>
        <row r="477">
          <cell r="B477">
            <v>473</v>
          </cell>
        </row>
      </sheetData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hyperlink" Target="https://www.naehrwertrechner.de/info/post/uber-poly-pentosen" TargetMode="External" Id="rId1" /><Relationship Type="http://schemas.openxmlformats.org/officeDocument/2006/relationships/hyperlink" Target="https://www.naehrwertrechner.de/naehrwerte/G410111/Artischocken+frisch/?menge=100" TargetMode="External" Id="rId2" /><Relationship Type="http://schemas.openxmlformats.org/officeDocument/2006/relationships/hyperlink" Target="https://www.naehrwertrechner.de/naehrwerte/G492100/B%C3%A4rlauch+roh/?menge=100" TargetMode="External" Id="rId3" /><Relationship Type="http://schemas.openxmlformats.org/officeDocument/2006/relationships/hyperlink" Target="https://www.naehrwertrechner.de/naehrwerte/G311200/Blumenkohl+tiefgefroren/?menge=100" TargetMode="External" Id="rId4" /><Relationship Type="http://schemas.openxmlformats.org/officeDocument/2006/relationships/hyperlink" Target="https://www.naehrwertrechner.de/naehrwerte/G311200/Blumenkohl+tiefgefroren/?menge=100" TargetMode="External" Id="rId5" /><Relationship Type="http://schemas.openxmlformats.org/officeDocument/2006/relationships/hyperlink" Target="https://www.naehrwertrechner.de/naehrwerte/F524111/Cherimoya+frisch/?menge=100" TargetMode="External" Id="rId6" /><Relationship Type="http://schemas.openxmlformats.org/officeDocument/2006/relationships/hyperlink" Target="https://www.naehrwertrechner.de/naehrwerte/G760500/Erbsen+gr%C3%BCn+Pulver/?menge=100" TargetMode="External" Id="rId7" /><Relationship Type="http://schemas.openxmlformats.org/officeDocument/2006/relationships/hyperlink" Target="https://www.naehrwertrechner.de/naehrwerte/R258211/Pfeffer+wei%C3%9F/?menge=100" TargetMode="External" Id="rId8" /><Relationship Type="http://schemas.openxmlformats.org/officeDocument/2006/relationships/hyperlink" Target="https://www.naehrwertrechner.de/naehrwerte/R258211/Pfeffer+wei%C3%9F/?menge=100" TargetMode="External" Id="rId9" /><Relationship Type="http://schemas.openxmlformats.org/officeDocument/2006/relationships/hyperlink" Target="https://www.naehrwertrechner.de/naehrwerte/R257011/Piment/?menge=100" TargetMode="External" Id="rId10" /><Relationship Type="http://schemas.openxmlformats.org/officeDocument/2006/relationships/hyperlink" Target="https://www.naehrwertrechner.de/naehrwerte/G460111/Portulak+frisch/?menge=100" TargetMode="External" Id="rId11" /><Relationship Type="http://schemas.openxmlformats.org/officeDocument/2006/relationships/hyperlink" Target="https://www.naehrwertrechner.de/naehrwerte/G332211/Rosenkohl+tiefgefroren/?menge=100" TargetMode="External" Id="rId12" /><Relationship Type="http://schemas.openxmlformats.org/officeDocument/2006/relationships/hyperlink" Target="https://www.naehrwertrechner.de/naehrwerte/G079111/Salbei+frisch/?menge=100" TargetMode="External" Id="rId13" /><Relationship Type="http://schemas.openxmlformats.org/officeDocument/2006/relationships/hyperlink" Target="https://www.naehrwertrechner.de/naehrwerte/G542111-1/Spitzpaprika+gelb+frisch/?menge=100" TargetMode="External" Id="rId14" /><Relationship Type="http://schemas.openxmlformats.org/officeDocument/2006/relationships/hyperlink" Target="https://www.naehrwertrechner.de/naehrwerte/G541111-1/Spitzpaprika+gr%C3%BCn+frisch/?menge=100" TargetMode="External" Id="rId15" /><Relationship Type="http://schemas.openxmlformats.org/officeDocument/2006/relationships/hyperlink" Target="https://www.naehrwertrechner.de/naehrwerte/G542111-1/Spitzpaprika+gelb+frisch/?menge=100" TargetMode="External" Id="rId16" /><Relationship Type="http://schemas.openxmlformats.org/officeDocument/2006/relationships/hyperlink" Target="https://www.naehrwertrechner.de/naehrwerte/G543111-1/Spitzpaprika+rot+frisch/?menge=100" TargetMode="External" Id="rId17" /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K474"/>
  <sheetViews>
    <sheetView tabSelected="1" workbookViewId="0">
      <selection activeCell="G18" sqref="G18"/>
    </sheetView>
  </sheetViews>
  <sheetFormatPr baseColWidth="10" defaultColWidth="10.7109375" defaultRowHeight="15" outlineLevelRow="1"/>
  <cols>
    <col outlineLevel="1" width="30.85546875" customWidth="1" min="1" max="1"/>
    <col outlineLevel="1" width="28.7109375" customWidth="1" min="2" max="2"/>
    <col width="20.7109375" bestFit="1" customWidth="1" style="14" min="3" max="3"/>
    <col width="12.5703125" bestFit="1" customWidth="1" style="14" min="4" max="4"/>
    <col width="11.5703125" bestFit="1" customWidth="1" min="5" max="10"/>
    <col width="12.5703125" bestFit="1" customWidth="1" min="11" max="12"/>
    <col width="11.5703125" bestFit="1" customWidth="1" min="13" max="14"/>
    <col width="13.5703125" bestFit="1" customWidth="1" min="15" max="15"/>
    <col width="12.5703125" bestFit="1" customWidth="1" min="16" max="17"/>
    <col width="13.5703125" bestFit="1" customWidth="1" min="18" max="20"/>
    <col width="12.5703125" bestFit="1" customWidth="1" min="21" max="21"/>
    <col width="11.5703125" bestFit="1" customWidth="1" min="22" max="22"/>
    <col width="12.5703125" bestFit="1" customWidth="1" min="23" max="23"/>
    <col width="11.5703125" bestFit="1" customWidth="1" min="24" max="24"/>
    <col width="15.5703125" bestFit="1" customWidth="1" min="25" max="25"/>
    <col width="11.5703125" bestFit="1" customWidth="1" min="26" max="26"/>
    <col width="13.5703125" bestFit="1" customWidth="1" min="27" max="27"/>
    <col width="11.5703125" bestFit="1" customWidth="1" min="28" max="29"/>
    <col width="13.5703125" bestFit="1" customWidth="1" min="30" max="30"/>
    <col width="12.5703125" bestFit="1" customWidth="1" min="31" max="35"/>
    <col width="13.5703125" bestFit="1" customWidth="1" min="36" max="39"/>
    <col width="12.5703125" bestFit="1" customWidth="1" min="40" max="40"/>
    <col width="11.5703125" bestFit="1" customWidth="1" min="41" max="42"/>
    <col width="13.5703125" bestFit="1" customWidth="1" min="43" max="43"/>
    <col width="11.5703125" bestFit="1" customWidth="1" min="44" max="44"/>
    <col width="13.5703125" bestFit="1" customWidth="1" min="45" max="45"/>
    <col width="14.5703125" bestFit="1" customWidth="1" min="46" max="47"/>
    <col width="11.5703125" bestFit="1" customWidth="1" min="48" max="48"/>
    <col width="14.5703125" bestFit="1" customWidth="1" min="49" max="49"/>
    <col width="24.7109375" bestFit="1" customWidth="1" min="50" max="50"/>
    <col width="11.5703125" bestFit="1" customWidth="1" min="51" max="52"/>
    <col width="13.5703125" bestFit="1" customWidth="1" min="53" max="53"/>
    <col width="11.5703125" bestFit="1" customWidth="1" min="54" max="56"/>
    <col width="12.42578125" bestFit="1" customWidth="1" min="57" max="58"/>
    <col width="11.5703125" bestFit="1" customWidth="1" min="59" max="59"/>
    <col width="12.5703125" bestFit="1" customWidth="1" min="60" max="63"/>
    <col width="11.5703125" bestFit="1" customWidth="1" min="64" max="64"/>
    <col width="12.5703125" bestFit="1" customWidth="1" min="65" max="71"/>
    <col width="29.7109375" bestFit="1" customWidth="1" min="72" max="72"/>
    <col width="12.5703125" bestFit="1" customWidth="1" min="73" max="73"/>
    <col width="13.5703125" bestFit="1" customWidth="1" min="74" max="75"/>
    <col width="12.5703125" bestFit="1" customWidth="1" min="76" max="78"/>
    <col width="13.5703125" bestFit="1" customWidth="1" min="79" max="79"/>
    <col width="12.5703125" bestFit="1" customWidth="1" min="80" max="80"/>
    <col width="11.5703125" bestFit="1" customWidth="1" min="81" max="81"/>
    <col width="13.5703125" bestFit="1" customWidth="1" min="82" max="83"/>
    <col width="11.5703125" bestFit="1" customWidth="1" min="84" max="91"/>
    <col width="12.5703125" bestFit="1" customWidth="1" min="92" max="92"/>
    <col width="11.5703125" bestFit="1" customWidth="1" min="93" max="97"/>
    <col width="12.5703125" bestFit="1" customWidth="1" min="98" max="98"/>
    <col width="11.5703125" bestFit="1" customWidth="1" min="99" max="102"/>
    <col width="12.5703125" bestFit="1" customWidth="1" min="103" max="103"/>
    <col width="11.5703125" bestFit="1" customWidth="1" min="104" max="106"/>
    <col width="12.5703125" bestFit="1" customWidth="1" min="107" max="107"/>
    <col width="11.5703125" bestFit="1" customWidth="1" min="108" max="109"/>
    <col width="13.5703125" bestFit="1" customWidth="1" min="110" max="111"/>
    <col width="11.5703125" bestFit="1" customWidth="1" min="112" max="122"/>
    <col width="13.5703125" bestFit="1" customWidth="1" min="123" max="124"/>
    <col width="12.5703125" bestFit="1" customWidth="1" min="125" max="125"/>
    <col width="11.5703125" bestFit="1" customWidth="1" min="126" max="128"/>
    <col width="13.5703125" bestFit="1" customWidth="1" min="129" max="131"/>
    <col width="14.5703125" bestFit="1" customWidth="1" min="132" max="135"/>
    <col width="11.5703125" bestFit="1" customWidth="1" min="136" max="141"/>
  </cols>
  <sheetData>
    <row r="1" outlineLevel="1">
      <c r="A1" s="1" t="n"/>
      <c r="B1" s="2" t="n"/>
      <c r="C1" s="3" t="inlineStr">
        <is>
          <t>nutrients</t>
        </is>
      </c>
      <c r="D1" t="inlineStr">
        <is>
          <t>Energie (kcal)</t>
        </is>
      </c>
      <c r="E1" t="inlineStr">
        <is>
          <t>Fett</t>
        </is>
      </c>
      <c r="F1" t="inlineStr">
        <is>
          <t>Eiweiß</t>
        </is>
      </c>
      <c r="G1" t="inlineStr">
        <is>
          <t>Kohlenhydrate</t>
        </is>
      </c>
      <c r="H1" t="inlineStr">
        <is>
          <t>Ballaststoffe</t>
        </is>
      </c>
      <c r="I1" t="inlineStr">
        <is>
          <t>Zucker</t>
        </is>
      </c>
      <c r="J1" t="inlineStr">
        <is>
          <t>Salz</t>
        </is>
      </c>
      <c r="K1" t="inlineStr">
        <is>
          <t>Wasser</t>
        </is>
      </c>
      <c r="L1" t="inlineStr">
        <is>
          <t>Vitamin A Retinoläquivalent</t>
        </is>
      </c>
      <c r="M1" t="inlineStr">
        <is>
          <t>Vitamin A Retinolaktivitätsäquivalent</t>
        </is>
      </c>
      <c r="N1" t="inlineStr">
        <is>
          <t>Retinol</t>
        </is>
      </c>
      <c r="O1" t="inlineStr">
        <is>
          <t>Beta-Carotin</t>
        </is>
      </c>
      <c r="P1" t="inlineStr">
        <is>
          <t>Vitamin B1 Thiamin</t>
        </is>
      </c>
      <c r="Q1" t="inlineStr">
        <is>
          <t>Vitamin B2 Riboflavin</t>
        </is>
      </c>
      <c r="R1" t="inlineStr">
        <is>
          <t>Vitamin B3 Niacin, Nicotinsäure</t>
        </is>
      </c>
      <c r="S1" t="inlineStr">
        <is>
          <t>Vitamin B3 Niacinäquivalent</t>
        </is>
      </c>
      <c r="T1" t="inlineStr">
        <is>
          <t>Vitamin B5 Pantothensäure</t>
        </is>
      </c>
      <c r="U1" t="inlineStr">
        <is>
          <t>Vitamin B6 Pyridoxin</t>
        </is>
      </c>
      <c r="V1" t="inlineStr">
        <is>
          <t>Vitamin B7 Biotin (Vitamin H)</t>
        </is>
      </c>
      <c r="W1" t="inlineStr">
        <is>
          <t>Vitamin B9 gesamte Folsäure</t>
        </is>
      </c>
      <c r="X1" t="inlineStr">
        <is>
          <t>Vitamin B12 Cobalamin</t>
        </is>
      </c>
      <c r="Y1" t="inlineStr">
        <is>
          <t>Vitamin C Ascorbinsäure</t>
        </is>
      </c>
      <c r="Z1" t="inlineStr">
        <is>
          <t>Vitamin D Calciferole</t>
        </is>
      </c>
      <c r="AA1" t="inlineStr">
        <is>
          <t>Vitamin E</t>
        </is>
      </c>
      <c r="AB1" t="inlineStr">
        <is>
          <t>Vitamin K</t>
        </is>
      </c>
      <c r="AC1" t="inlineStr">
        <is>
          <t>Natrium</t>
        </is>
      </c>
      <c r="AD1" t="inlineStr">
        <is>
          <t>Kalium</t>
        </is>
      </c>
      <c r="AE1" t="inlineStr">
        <is>
          <t>Calcium</t>
        </is>
      </c>
      <c r="AF1" t="inlineStr">
        <is>
          <t>Magnesium</t>
        </is>
      </c>
      <c r="AG1" t="inlineStr">
        <is>
          <t>Phosphor</t>
        </is>
      </c>
      <c r="AH1" t="inlineStr">
        <is>
          <t>Schwefel</t>
        </is>
      </c>
      <c r="AI1" t="inlineStr">
        <is>
          <t>Chlorid</t>
        </is>
      </c>
      <c r="AJ1" t="inlineStr">
        <is>
          <t>Eisen</t>
        </is>
      </c>
      <c r="AK1" t="inlineStr">
        <is>
          <t>Zink</t>
        </is>
      </c>
      <c r="AL1" t="inlineStr">
        <is>
          <t>Kupfer</t>
        </is>
      </c>
      <c r="AM1" t="inlineStr">
        <is>
          <t>Mangan</t>
        </is>
      </c>
      <c r="AN1" t="inlineStr">
        <is>
          <t>Fluorid</t>
        </is>
      </c>
      <c r="AO1" t="inlineStr">
        <is>
          <t>Iodid</t>
        </is>
      </c>
      <c r="AP1" t="inlineStr">
        <is>
          <t>Mannit</t>
        </is>
      </c>
      <c r="AQ1" t="inlineStr">
        <is>
          <t>Sorbit</t>
        </is>
      </c>
      <c r="AR1" t="inlineStr">
        <is>
          <t>Xylit</t>
        </is>
      </c>
      <c r="AS1" t="inlineStr">
        <is>
          <t>Summe Zuckeralkohole</t>
        </is>
      </c>
      <c r="AT1" t="inlineStr">
        <is>
          <t>Glucose (Traubenzucker)</t>
        </is>
      </c>
      <c r="AU1" t="inlineStr">
        <is>
          <t>Fructose (Fruchtzucker)</t>
        </is>
      </c>
      <c r="AV1" t="inlineStr">
        <is>
          <t>Galactose (Schleimzucker)</t>
        </is>
      </c>
      <c r="AW1" t="inlineStr">
        <is>
          <t>Monosaccharide (1 M)</t>
        </is>
      </c>
      <c r="AX1" t="inlineStr">
        <is>
          <t>Saccharose (Rübenbenzucker)</t>
        </is>
      </c>
      <c r="AY1" t="inlineStr">
        <is>
          <t>Maltose (Malzzucker)</t>
        </is>
      </c>
      <c r="AZ1" t="inlineStr">
        <is>
          <t>Lactose (Milchzucker)</t>
        </is>
      </c>
      <c r="BA1" t="inlineStr">
        <is>
          <t>Disaccharide (2 M)</t>
        </is>
      </c>
      <c r="BB1" t="inlineStr">
        <is>
          <t>Oligosaccharide, resorbierbar (3 - 9 M)</t>
        </is>
      </c>
      <c r="BC1" t="inlineStr">
        <is>
          <t>Oligosaccharide, nicht resorbierbar</t>
        </is>
      </c>
      <c r="BD1" t="inlineStr">
        <is>
          <t>Glykogen (tierische Stärke)</t>
        </is>
      </c>
      <c r="BE1" t="inlineStr">
        <is>
          <t>Stärke</t>
        </is>
      </c>
      <c r="BF1" t="inlineStr">
        <is>
          <t>Polysaccharide (&gt; 9 M)</t>
        </is>
      </c>
      <c r="BG1" t="inlineStr">
        <is>
          <t>Chemical Score</t>
        </is>
      </c>
      <c r="BH1" t="inlineStr">
        <is>
          <t>Isoleucin</t>
        </is>
      </c>
      <c r="BI1" t="inlineStr">
        <is>
          <t>Leucin</t>
        </is>
      </c>
      <c r="BJ1" t="inlineStr">
        <is>
          <t>Lysin</t>
        </is>
      </c>
      <c r="BK1" t="inlineStr">
        <is>
          <t>Methionin</t>
        </is>
      </c>
      <c r="BL1" t="inlineStr">
        <is>
          <t>Cystein</t>
        </is>
      </c>
      <c r="BM1" t="inlineStr">
        <is>
          <t>Phenylalanin</t>
        </is>
      </c>
      <c r="BN1" t="inlineStr">
        <is>
          <t>Tyrosin</t>
        </is>
      </c>
      <c r="BO1" t="inlineStr">
        <is>
          <t>Threonin</t>
        </is>
      </c>
      <c r="BP1" t="inlineStr">
        <is>
          <t>Tryptophan</t>
        </is>
      </c>
      <c r="BQ1" t="inlineStr">
        <is>
          <t>Valin</t>
        </is>
      </c>
      <c r="BR1" t="inlineStr">
        <is>
          <t>Arginin</t>
        </is>
      </c>
      <c r="BS1" t="inlineStr">
        <is>
          <t>Histidin</t>
        </is>
      </c>
      <c r="BT1" t="inlineStr">
        <is>
          <t>Essentielle Aminosäuren</t>
        </is>
      </c>
      <c r="BU1" t="inlineStr">
        <is>
          <t>Alanin</t>
        </is>
      </c>
      <c r="BV1" t="inlineStr">
        <is>
          <t>Asparaginsäure</t>
        </is>
      </c>
      <c r="BW1" t="inlineStr">
        <is>
          <t>Glutaminsäure</t>
        </is>
      </c>
      <c r="BX1" t="inlineStr">
        <is>
          <t>Glycin</t>
        </is>
      </c>
      <c r="BY1" t="inlineStr">
        <is>
          <t>Prolin</t>
        </is>
      </c>
      <c r="BZ1" t="inlineStr">
        <is>
          <t>Serin</t>
        </is>
      </c>
      <c r="CA1" t="inlineStr">
        <is>
          <t>Nichtessentielle Aminosäuren</t>
        </is>
      </c>
      <c r="CB1" t="inlineStr">
        <is>
          <t>Harnsäure</t>
        </is>
      </c>
      <c r="CC1" t="inlineStr">
        <is>
          <t>Purin</t>
        </is>
      </c>
      <c r="CD1" t="inlineStr">
        <is>
          <t>Omega 3 Fettsäuren</t>
        </is>
      </c>
      <c r="CE1" t="inlineStr">
        <is>
          <t>Omega 6 Fettsäuren</t>
        </is>
      </c>
      <c r="CF1" t="inlineStr">
        <is>
          <t>Omega 6:3 Verhältnis</t>
        </is>
      </c>
      <c r="CG1" t="inlineStr">
        <is>
          <t>Butansäure / Buttersäure</t>
        </is>
      </c>
      <c r="CH1" t="inlineStr">
        <is>
          <t>Hexansäure / Capronsäure</t>
        </is>
      </c>
      <c r="CI1" t="inlineStr">
        <is>
          <t>Octansäure / Caprylsäure</t>
        </is>
      </c>
      <c r="CJ1" t="inlineStr">
        <is>
          <t>Decansäure / Caprinsäure</t>
        </is>
      </c>
      <c r="CK1" t="inlineStr">
        <is>
          <t>Dodecansäure / Laurinsäure</t>
        </is>
      </c>
      <c r="CL1" t="inlineStr">
        <is>
          <t>Tetradecansäure / Myristinsäure</t>
        </is>
      </c>
      <c r="CM1" t="inlineStr">
        <is>
          <t>Pentadecansäure</t>
        </is>
      </c>
      <c r="CN1" t="inlineStr">
        <is>
          <t>Hexadecansäure / Palmitinsäure</t>
        </is>
      </c>
      <c r="CO1" t="inlineStr">
        <is>
          <t>Heptadecansäure</t>
        </is>
      </c>
      <c r="CP1" t="inlineStr">
        <is>
          <t>Octadecansäure / Stearinsäure</t>
        </is>
      </c>
      <c r="CQ1" t="inlineStr">
        <is>
          <t>Eicosansäure / Arachinsäure</t>
        </is>
      </c>
      <c r="CR1" t="inlineStr">
        <is>
          <t>Decosansäure / Behensäure</t>
        </is>
      </c>
      <c r="CS1" t="inlineStr">
        <is>
          <t>Tetracosansäure / Lignocerinsäure</t>
        </is>
      </c>
      <c r="CT1" t="inlineStr">
        <is>
          <t>Gesättigte Fettsäuren</t>
        </is>
      </c>
      <c r="CU1" t="inlineStr">
        <is>
          <t>Tetradecensäure</t>
        </is>
      </c>
      <c r="CV1" t="inlineStr">
        <is>
          <t>Pentadecensäure</t>
        </is>
      </c>
      <c r="CW1" t="inlineStr">
        <is>
          <t>Hexadecensäure / Palmitoleinsäure</t>
        </is>
      </c>
      <c r="CX1" t="inlineStr">
        <is>
          <t>Heptadecensäure</t>
        </is>
      </c>
      <c r="CY1" t="inlineStr">
        <is>
          <t>Octadecensäure / Ölsäure Omega 9</t>
        </is>
      </c>
      <c r="CZ1" t="inlineStr">
        <is>
          <t>Eicosensäure</t>
        </is>
      </c>
      <c r="DA1" t="inlineStr">
        <is>
          <t>Decosensäure / Erucasäure Omega 9</t>
        </is>
      </c>
      <c r="DB1" t="inlineStr">
        <is>
          <t>Tetracosensäure / Nervonsäure Omega 9</t>
        </is>
      </c>
      <c r="DC1" t="inlineStr">
        <is>
          <t>Einfach ungesättigte Fettsäuren</t>
        </is>
      </c>
      <c r="DD1" t="inlineStr">
        <is>
          <t>Hexadecadiensäure</t>
        </is>
      </c>
      <c r="DE1" t="inlineStr">
        <is>
          <t>Hexadecatetraensäure</t>
        </is>
      </c>
      <c r="DF1" t="inlineStr">
        <is>
          <t>Octadecadiensäure / Linolsäure Omega 6</t>
        </is>
      </c>
      <c r="DG1" t="inlineStr">
        <is>
          <t>ALA - Linolensäure Omega 3</t>
        </is>
      </c>
      <c r="DH1" t="inlineStr">
        <is>
          <t>Stearidonsäure Omega 3</t>
        </is>
      </c>
      <c r="DI1" t="inlineStr">
        <is>
          <t>Nonadecatriensäure</t>
        </is>
      </c>
      <c r="DJ1" t="inlineStr">
        <is>
          <t>Eicosadiensäure Omega 6</t>
        </is>
      </c>
      <c r="DK1" t="inlineStr">
        <is>
          <t>Eicosatriensäure Omega 6</t>
        </is>
      </c>
      <c r="DL1" t="inlineStr">
        <is>
          <t>Eicosatetraensäure / Arachidonsäure Omega 6</t>
        </is>
      </c>
      <c r="DM1" t="inlineStr">
        <is>
          <t>EPA - Eicosapentaensäure Omega 3</t>
        </is>
      </c>
      <c r="DN1" t="inlineStr">
        <is>
          <t>Docosadiensäure</t>
        </is>
      </c>
      <c r="DO1" t="inlineStr">
        <is>
          <t>Docosatriensäure</t>
        </is>
      </c>
      <c r="DP1" t="inlineStr">
        <is>
          <t>Docosatetraensäure</t>
        </is>
      </c>
      <c r="DQ1" t="inlineStr">
        <is>
          <t>Docosapentaensäure Omega 3</t>
        </is>
      </c>
      <c r="DR1" t="inlineStr">
        <is>
          <t>DHA - Docosahexaensäure Omega 3</t>
        </is>
      </c>
      <c r="DS1" t="inlineStr">
        <is>
          <t>Mehrfach ungesättigte Fettsäuren</t>
        </is>
      </c>
      <c r="DT1" t="inlineStr">
        <is>
          <t>Langkettige Fettsäuren</t>
        </is>
      </c>
      <c r="DU1" t="inlineStr">
        <is>
          <t>Glycerin und Lipoide</t>
        </is>
      </c>
      <c r="DV1" t="inlineStr">
        <is>
          <t>Cholesterin</t>
        </is>
      </c>
      <c r="DW1" t="inlineStr">
        <is>
          <t>Kurzkettige Fettsäuren</t>
        </is>
      </c>
      <c r="DX1" t="inlineStr">
        <is>
          <t>Mittelkettige Fettsäuren</t>
        </is>
      </c>
      <c r="DY1" t="inlineStr">
        <is>
          <t>Poly-Pentosen</t>
        </is>
      </c>
      <c r="DZ1" t="inlineStr">
        <is>
          <t>Poly-Hexosen</t>
        </is>
      </c>
      <c r="EA1" t="inlineStr">
        <is>
          <t>Poly-Uronsäure</t>
        </is>
      </c>
      <c r="EB1" t="inlineStr">
        <is>
          <t>Cellulose</t>
        </is>
      </c>
      <c r="EC1" t="inlineStr">
        <is>
          <t>Lignin</t>
        </is>
      </c>
      <c r="ED1" t="inlineStr">
        <is>
          <t>Wasserlösliche Ballaststoffe</t>
        </is>
      </c>
      <c r="EE1" t="inlineStr">
        <is>
          <t>Wasserunlösliche Ballaststoffe</t>
        </is>
      </c>
      <c r="EF1" t="inlineStr">
        <is>
          <t>Alkohol</t>
        </is>
      </c>
      <c r="EG1" t="inlineStr">
        <is>
          <t>Säuren (organisch)</t>
        </is>
      </c>
      <c r="EH1" t="inlineStr">
        <is>
          <t>Rohasche</t>
        </is>
      </c>
      <c r="EI1" t="inlineStr">
        <is>
          <t>Rohfaser</t>
        </is>
      </c>
      <c r="EJ1" t="inlineStr">
        <is>
          <t>Rohfett</t>
        </is>
      </c>
      <c r="EK1" t="inlineStr">
        <is>
          <t>Rohprotein</t>
        </is>
      </c>
    </row>
    <row r="2" outlineLevel="1" customFormat="1" s="5">
      <c r="A2" s="4" t="n"/>
      <c r="C2" s="6" t="inlineStr">
        <is>
          <t>unit_code</t>
        </is>
      </c>
      <c r="D2" s="5" t="inlineStr">
        <is>
          <t>kcal</t>
        </is>
      </c>
      <c r="E2" s="5" t="inlineStr">
        <is>
          <t>g</t>
        </is>
      </c>
      <c r="F2" s="5" t="inlineStr">
        <is>
          <t>g</t>
        </is>
      </c>
      <c r="G2" s="5" t="inlineStr">
        <is>
          <t>g</t>
        </is>
      </c>
      <c r="H2" s="5" t="inlineStr">
        <is>
          <t>g</t>
        </is>
      </c>
      <c r="I2" s="5" t="inlineStr">
        <is>
          <t>g</t>
        </is>
      </c>
      <c r="J2" s="5" t="inlineStr">
        <is>
          <t>g</t>
        </is>
      </c>
      <c r="K2" s="5" t="inlineStr">
        <is>
          <t>g</t>
        </is>
      </c>
      <c r="L2" s="5" t="inlineStr">
        <is>
          <t>ug</t>
        </is>
      </c>
      <c r="M2" s="5" t="inlineStr">
        <is>
          <t>ug</t>
        </is>
      </c>
      <c r="N2" s="5" t="inlineStr">
        <is>
          <t>ug</t>
        </is>
      </c>
      <c r="O2" s="5" t="inlineStr">
        <is>
          <t>ug</t>
        </is>
      </c>
      <c r="P2" s="5" t="inlineStr">
        <is>
          <t>ug</t>
        </is>
      </c>
      <c r="Q2" s="5" t="inlineStr">
        <is>
          <t>ug</t>
        </is>
      </c>
      <c r="R2" s="5" t="inlineStr">
        <is>
          <t>ug</t>
        </is>
      </c>
      <c r="S2" s="5" t="inlineStr">
        <is>
          <t>ug</t>
        </is>
      </c>
      <c r="T2" s="5" t="inlineStr">
        <is>
          <t>ug</t>
        </is>
      </c>
      <c r="U2" s="5" t="inlineStr">
        <is>
          <t>ug</t>
        </is>
      </c>
      <c r="V2" s="5" t="inlineStr">
        <is>
          <t>ug</t>
        </is>
      </c>
      <c r="W2" s="5" t="inlineStr">
        <is>
          <t>ug</t>
        </is>
      </c>
      <c r="X2" s="5" t="inlineStr">
        <is>
          <t>ug</t>
        </is>
      </c>
      <c r="Y2" s="5" t="inlineStr">
        <is>
          <t>ug</t>
        </is>
      </c>
      <c r="Z2" s="5" t="inlineStr">
        <is>
          <t>ug</t>
        </is>
      </c>
      <c r="AA2" s="5" t="inlineStr">
        <is>
          <t>ug</t>
        </is>
      </c>
      <c r="AB2" s="5" t="inlineStr">
        <is>
          <t>ug</t>
        </is>
      </c>
      <c r="AC2" s="5" t="inlineStr">
        <is>
          <t>mg</t>
        </is>
      </c>
      <c r="AD2" s="5" t="inlineStr">
        <is>
          <t>mg</t>
        </is>
      </c>
      <c r="AE2" s="5" t="inlineStr">
        <is>
          <t>mg</t>
        </is>
      </c>
      <c r="AF2" s="5" t="inlineStr">
        <is>
          <t>mg</t>
        </is>
      </c>
      <c r="AG2" s="5" t="inlineStr">
        <is>
          <t>mg</t>
        </is>
      </c>
      <c r="AH2" s="5" t="inlineStr">
        <is>
          <t>mg</t>
        </is>
      </c>
      <c r="AI2" s="5" t="inlineStr">
        <is>
          <t>mg</t>
        </is>
      </c>
      <c r="AJ2" s="5" t="inlineStr">
        <is>
          <t>ug</t>
        </is>
      </c>
      <c r="AK2" s="5" t="inlineStr">
        <is>
          <t>ug</t>
        </is>
      </c>
      <c r="AL2" s="5" t="inlineStr">
        <is>
          <t>ug</t>
        </is>
      </c>
      <c r="AM2" s="5" t="inlineStr">
        <is>
          <t>ug</t>
        </is>
      </c>
      <c r="AN2" s="5" t="inlineStr">
        <is>
          <t>ug</t>
        </is>
      </c>
      <c r="AO2" s="5" t="inlineStr">
        <is>
          <t>ug</t>
        </is>
      </c>
      <c r="AP2" s="5" t="inlineStr">
        <is>
          <t>mg</t>
        </is>
      </c>
      <c r="AQ2" s="5" t="inlineStr">
        <is>
          <t>mg</t>
        </is>
      </c>
      <c r="AR2" s="5" t="inlineStr">
        <is>
          <t>mg</t>
        </is>
      </c>
      <c r="AS2" s="5" t="inlineStr">
        <is>
          <t>mg</t>
        </is>
      </c>
      <c r="AT2" s="5" t="inlineStr">
        <is>
          <t>mg</t>
        </is>
      </c>
      <c r="AU2" s="5" t="inlineStr">
        <is>
          <t>mg</t>
        </is>
      </c>
      <c r="AV2" s="5" t="inlineStr">
        <is>
          <t>mg</t>
        </is>
      </c>
      <c r="AW2" s="5" t="inlineStr">
        <is>
          <t>mg</t>
        </is>
      </c>
      <c r="AX2" s="5" t="inlineStr">
        <is>
          <t>mg</t>
        </is>
      </c>
      <c r="AY2" s="5" t="inlineStr">
        <is>
          <t>mg</t>
        </is>
      </c>
      <c r="AZ2" s="5" t="inlineStr">
        <is>
          <t>mg</t>
        </is>
      </c>
      <c r="BA2" s="5" t="inlineStr">
        <is>
          <t>mg</t>
        </is>
      </c>
      <c r="BB2" s="5" t="inlineStr">
        <is>
          <t>mg</t>
        </is>
      </c>
      <c r="BC2" s="5" t="inlineStr">
        <is>
          <t>mg</t>
        </is>
      </c>
      <c r="BD2" s="5" t="inlineStr">
        <is>
          <t>mg</t>
        </is>
      </c>
      <c r="BE2" s="5" t="inlineStr">
        <is>
          <t>mg</t>
        </is>
      </c>
      <c r="BF2" s="5" t="inlineStr">
        <is>
          <t>mg</t>
        </is>
      </c>
      <c r="BH2" s="5" t="inlineStr">
        <is>
          <t>mg</t>
        </is>
      </c>
      <c r="BI2" s="5" t="inlineStr">
        <is>
          <t>mg</t>
        </is>
      </c>
      <c r="BJ2" s="5" t="inlineStr">
        <is>
          <t>mg</t>
        </is>
      </c>
      <c r="BK2" s="5" t="inlineStr">
        <is>
          <t>mg</t>
        </is>
      </c>
      <c r="BL2" s="5" t="inlineStr">
        <is>
          <t>mg</t>
        </is>
      </c>
      <c r="BM2" s="5" t="inlineStr">
        <is>
          <t>mg</t>
        </is>
      </c>
      <c r="BN2" s="5" t="inlineStr">
        <is>
          <t>mg</t>
        </is>
      </c>
      <c r="BO2" s="5" t="inlineStr">
        <is>
          <t>mg</t>
        </is>
      </c>
      <c r="BP2" s="5" t="inlineStr">
        <is>
          <t>mg</t>
        </is>
      </c>
      <c r="BQ2" s="5" t="inlineStr">
        <is>
          <t>mg</t>
        </is>
      </c>
      <c r="BR2" s="5" t="inlineStr">
        <is>
          <t>mg</t>
        </is>
      </c>
      <c r="BS2" s="5" t="inlineStr">
        <is>
          <t>mg</t>
        </is>
      </c>
      <c r="BT2" s="5" t="inlineStr">
        <is>
          <t>mg</t>
        </is>
      </c>
      <c r="BU2" s="5" t="inlineStr">
        <is>
          <t>mg</t>
        </is>
      </c>
      <c r="BV2" s="5" t="inlineStr">
        <is>
          <t>mg</t>
        </is>
      </c>
      <c r="BW2" s="5" t="inlineStr">
        <is>
          <t>mg</t>
        </is>
      </c>
      <c r="BX2" s="5" t="inlineStr">
        <is>
          <t>mg</t>
        </is>
      </c>
      <c r="BY2" s="5" t="inlineStr">
        <is>
          <t>mg</t>
        </is>
      </c>
      <c r="BZ2" s="5" t="inlineStr">
        <is>
          <t>mg</t>
        </is>
      </c>
      <c r="CA2" s="5" t="inlineStr">
        <is>
          <t>mg</t>
        </is>
      </c>
      <c r="CB2" s="5" t="inlineStr">
        <is>
          <t>mg</t>
        </is>
      </c>
      <c r="CC2" s="5" t="inlineStr">
        <is>
          <t>mg</t>
        </is>
      </c>
      <c r="CD2" s="5" t="inlineStr">
        <is>
          <t>mg</t>
        </is>
      </c>
      <c r="CE2" s="5" t="inlineStr">
        <is>
          <t>mg</t>
        </is>
      </c>
      <c r="CF2" s="5" t="inlineStr">
        <is>
          <t>mg</t>
        </is>
      </c>
      <c r="CG2" s="5" t="inlineStr">
        <is>
          <t>mg</t>
        </is>
      </c>
      <c r="CH2" s="5" t="inlineStr">
        <is>
          <t>mg</t>
        </is>
      </c>
      <c r="CI2" s="5" t="inlineStr">
        <is>
          <t>mg</t>
        </is>
      </c>
      <c r="CJ2" s="5" t="inlineStr">
        <is>
          <t>mg</t>
        </is>
      </c>
      <c r="CK2" s="5" t="inlineStr">
        <is>
          <t>mg</t>
        </is>
      </c>
      <c r="CL2" s="5" t="inlineStr">
        <is>
          <t>mg</t>
        </is>
      </c>
      <c r="CM2" s="5" t="inlineStr">
        <is>
          <t>mg</t>
        </is>
      </c>
      <c r="CN2" s="5" t="inlineStr">
        <is>
          <t>mg</t>
        </is>
      </c>
      <c r="CO2" s="5" t="inlineStr">
        <is>
          <t>mg</t>
        </is>
      </c>
      <c r="CP2" s="5" t="inlineStr">
        <is>
          <t>mg</t>
        </is>
      </c>
      <c r="CQ2" s="5" t="inlineStr">
        <is>
          <t>mg</t>
        </is>
      </c>
      <c r="CR2" s="5" t="inlineStr">
        <is>
          <t>mg</t>
        </is>
      </c>
      <c r="CS2" s="5" t="inlineStr">
        <is>
          <t>mg</t>
        </is>
      </c>
      <c r="CT2" s="5" t="inlineStr">
        <is>
          <t>mg</t>
        </is>
      </c>
      <c r="CU2" s="5" t="inlineStr">
        <is>
          <t>mg</t>
        </is>
      </c>
      <c r="CV2" s="5" t="inlineStr">
        <is>
          <t>mg</t>
        </is>
      </c>
      <c r="CW2" s="5" t="inlineStr">
        <is>
          <t>mg</t>
        </is>
      </c>
      <c r="CX2" s="5" t="inlineStr">
        <is>
          <t>mg</t>
        </is>
      </c>
      <c r="CY2" s="5" t="inlineStr">
        <is>
          <t>mg</t>
        </is>
      </c>
      <c r="CZ2" s="5" t="inlineStr">
        <is>
          <t>mg</t>
        </is>
      </c>
      <c r="DA2" s="5" t="inlineStr">
        <is>
          <t>mg</t>
        </is>
      </c>
      <c r="DB2" s="5" t="inlineStr">
        <is>
          <t>mg</t>
        </is>
      </c>
      <c r="DC2" s="5" t="inlineStr">
        <is>
          <t>mg</t>
        </is>
      </c>
      <c r="DD2" s="5" t="inlineStr">
        <is>
          <t>mg</t>
        </is>
      </c>
      <c r="DE2" s="5" t="inlineStr">
        <is>
          <t>mg</t>
        </is>
      </c>
      <c r="DF2" s="5" t="inlineStr">
        <is>
          <t>mg</t>
        </is>
      </c>
      <c r="DG2" s="5" t="inlineStr">
        <is>
          <t>mg</t>
        </is>
      </c>
      <c r="DH2" s="5" t="inlineStr">
        <is>
          <t>mg</t>
        </is>
      </c>
      <c r="DI2" s="5" t="inlineStr">
        <is>
          <t>mg</t>
        </is>
      </c>
      <c r="DJ2" s="5" t="inlineStr">
        <is>
          <t>mg</t>
        </is>
      </c>
      <c r="DK2" s="5" t="inlineStr">
        <is>
          <t>mg</t>
        </is>
      </c>
      <c r="DL2" s="5" t="inlineStr">
        <is>
          <t>mg</t>
        </is>
      </c>
      <c r="DM2" s="5" t="inlineStr">
        <is>
          <t>mg</t>
        </is>
      </c>
      <c r="DN2" s="5" t="inlineStr">
        <is>
          <t>mg</t>
        </is>
      </c>
      <c r="DO2" s="5" t="inlineStr">
        <is>
          <t>mg</t>
        </is>
      </c>
      <c r="DP2" s="5" t="inlineStr">
        <is>
          <t>mg</t>
        </is>
      </c>
      <c r="DQ2" s="5" t="inlineStr">
        <is>
          <t>mg</t>
        </is>
      </c>
      <c r="DR2" s="5" t="inlineStr">
        <is>
          <t>mg</t>
        </is>
      </c>
      <c r="DS2" s="5" t="inlineStr">
        <is>
          <t>mg</t>
        </is>
      </c>
      <c r="DT2" s="5" t="inlineStr">
        <is>
          <t>mg</t>
        </is>
      </c>
      <c r="DU2" s="5" t="inlineStr">
        <is>
          <t>mg</t>
        </is>
      </c>
      <c r="DV2" s="5" t="inlineStr">
        <is>
          <t>mg</t>
        </is>
      </c>
      <c r="DW2" s="5" t="inlineStr">
        <is>
          <t>mg</t>
        </is>
      </c>
      <c r="DX2" s="5" t="inlineStr">
        <is>
          <t>mg</t>
        </is>
      </c>
      <c r="DY2" s="5" t="inlineStr">
        <is>
          <t>mg</t>
        </is>
      </c>
      <c r="DZ2" s="5" t="inlineStr">
        <is>
          <t>mg</t>
        </is>
      </c>
      <c r="EA2" s="5" t="inlineStr">
        <is>
          <t>mg</t>
        </is>
      </c>
      <c r="EB2" s="5" t="inlineStr">
        <is>
          <t>mg</t>
        </is>
      </c>
      <c r="EC2" s="5" t="inlineStr">
        <is>
          <t>mg</t>
        </is>
      </c>
      <c r="ED2" s="5" t="inlineStr">
        <is>
          <t>mg</t>
        </is>
      </c>
      <c r="EE2" s="5" t="inlineStr">
        <is>
          <t>mg</t>
        </is>
      </c>
      <c r="EF2" s="5" t="inlineStr">
        <is>
          <t>g</t>
        </is>
      </c>
      <c r="EG2" s="5" t="inlineStr">
        <is>
          <t>g</t>
        </is>
      </c>
      <c r="EH2" s="5" t="inlineStr">
        <is>
          <t>g</t>
        </is>
      </c>
      <c r="EI2" s="5" t="inlineStr">
        <is>
          <t>g</t>
        </is>
      </c>
      <c r="EJ2" s="5" t="inlineStr">
        <is>
          <t>g</t>
        </is>
      </c>
      <c r="EK2" s="5" t="inlineStr">
        <is>
          <t>g</t>
        </is>
      </c>
    </row>
    <row r="3" customFormat="1" s="5">
      <c r="A3" s="4" t="inlineStr">
        <is>
          <t>ingredients</t>
        </is>
      </c>
      <c r="B3" s="5" t="inlineStr">
        <is>
          <t>Link nährwertrechner.de</t>
        </is>
      </c>
      <c r="C3" s="6" t="inlineStr">
        <is>
          <t>id's</t>
        </is>
      </c>
      <c r="D3" s="5" t="n">
        <v>1</v>
      </c>
      <c r="E3" s="5" t="n">
        <v>2</v>
      </c>
      <c r="F3" s="5" t="n">
        <v>3</v>
      </c>
      <c r="G3" s="4" t="n">
        <v>4</v>
      </c>
      <c r="H3" s="5" t="n">
        <v>5</v>
      </c>
      <c r="I3" s="5" t="n">
        <v>6</v>
      </c>
      <c r="J3" s="4" t="n">
        <v>7</v>
      </c>
      <c r="K3" s="5" t="n">
        <v>8</v>
      </c>
      <c r="L3" s="5" t="n">
        <v>9</v>
      </c>
      <c r="M3" s="4" t="n">
        <v>10</v>
      </c>
      <c r="N3" s="5" t="n">
        <v>11</v>
      </c>
      <c r="O3" s="5" t="n">
        <v>12</v>
      </c>
      <c r="P3" s="4" t="n">
        <v>13</v>
      </c>
      <c r="Q3" s="5" t="n">
        <v>14</v>
      </c>
      <c r="R3" s="5" t="n">
        <v>15</v>
      </c>
      <c r="S3" s="4" t="n">
        <v>16</v>
      </c>
      <c r="T3" s="5" t="n">
        <v>17</v>
      </c>
      <c r="U3" s="5" t="n">
        <v>18</v>
      </c>
      <c r="V3" s="4" t="n">
        <v>19</v>
      </c>
      <c r="W3" s="5" t="n">
        <v>20</v>
      </c>
      <c r="X3" s="5" t="n">
        <v>21</v>
      </c>
      <c r="Y3" s="4" t="n">
        <v>22</v>
      </c>
      <c r="Z3" s="5" t="n">
        <v>23</v>
      </c>
      <c r="AA3" s="5" t="n">
        <v>24</v>
      </c>
      <c r="AB3" s="4" t="n">
        <v>25</v>
      </c>
      <c r="AC3" s="5" t="n">
        <v>26</v>
      </c>
      <c r="AD3" s="5" t="n">
        <v>27</v>
      </c>
      <c r="AE3" s="4" t="n">
        <v>28</v>
      </c>
      <c r="AF3" s="5" t="n">
        <v>29</v>
      </c>
      <c r="AG3" s="5" t="n">
        <v>30</v>
      </c>
      <c r="AH3" s="4" t="n">
        <v>31</v>
      </c>
      <c r="AI3" s="5" t="n">
        <v>32</v>
      </c>
      <c r="AJ3" s="5" t="n">
        <v>33</v>
      </c>
      <c r="AK3" s="4" t="n">
        <v>34</v>
      </c>
      <c r="AL3" s="5" t="n">
        <v>35</v>
      </c>
      <c r="AM3" s="5" t="n">
        <v>36</v>
      </c>
      <c r="AN3" s="4" t="n">
        <v>37</v>
      </c>
      <c r="AO3" s="5" t="n">
        <v>38</v>
      </c>
      <c r="AP3" s="5" t="n">
        <v>39</v>
      </c>
      <c r="AQ3" s="4" t="n">
        <v>40</v>
      </c>
      <c r="AR3" s="5" t="n">
        <v>41</v>
      </c>
      <c r="AS3" s="5" t="n">
        <v>42</v>
      </c>
      <c r="AT3" s="4" t="n">
        <v>43</v>
      </c>
      <c r="AU3" s="5" t="n">
        <v>44</v>
      </c>
      <c r="AV3" s="5" t="n">
        <v>45</v>
      </c>
      <c r="AW3" s="4" t="n">
        <v>46</v>
      </c>
      <c r="AX3" s="5" t="n">
        <v>47</v>
      </c>
      <c r="AY3" s="5" t="n">
        <v>48</v>
      </c>
      <c r="AZ3" s="4" t="n">
        <v>49</v>
      </c>
      <c r="BA3" s="5" t="n">
        <v>50</v>
      </c>
      <c r="BB3" s="5" t="n">
        <v>51</v>
      </c>
      <c r="BC3" s="4" t="n">
        <v>52</v>
      </c>
      <c r="BD3" s="5" t="n">
        <v>53</v>
      </c>
      <c r="BE3" s="5" t="n">
        <v>54</v>
      </c>
      <c r="BF3" s="4" t="n">
        <v>55</v>
      </c>
      <c r="BG3" s="5" t="n">
        <v>56</v>
      </c>
      <c r="BH3" s="5" t="n">
        <v>57</v>
      </c>
      <c r="BI3" s="4" t="n">
        <v>58</v>
      </c>
      <c r="BJ3" s="5" t="n">
        <v>59</v>
      </c>
      <c r="BK3" s="5" t="n">
        <v>60</v>
      </c>
      <c r="BL3" s="4" t="n">
        <v>61</v>
      </c>
      <c r="BM3" s="5" t="n">
        <v>62</v>
      </c>
      <c r="BN3" s="5" t="n">
        <v>63</v>
      </c>
      <c r="BO3" s="4" t="n">
        <v>64</v>
      </c>
      <c r="BP3" s="5" t="n">
        <v>65</v>
      </c>
      <c r="BQ3" s="5" t="n">
        <v>66</v>
      </c>
      <c r="BR3" s="4" t="n">
        <v>67</v>
      </c>
      <c r="BS3" s="5" t="n">
        <v>68</v>
      </c>
      <c r="BT3" s="5" t="n">
        <v>69</v>
      </c>
      <c r="BU3" s="4" t="n">
        <v>70</v>
      </c>
      <c r="BV3" s="5" t="n">
        <v>71</v>
      </c>
      <c r="BW3" s="5" t="n">
        <v>72</v>
      </c>
      <c r="BX3" s="4" t="n">
        <v>73</v>
      </c>
      <c r="BY3" s="5" t="n">
        <v>74</v>
      </c>
      <c r="BZ3" s="5" t="n">
        <v>75</v>
      </c>
      <c r="CA3" s="4" t="n">
        <v>76</v>
      </c>
      <c r="CB3" s="5" t="n">
        <v>77</v>
      </c>
      <c r="CC3" s="5" t="n">
        <v>78</v>
      </c>
      <c r="CD3" s="4" t="n">
        <v>79</v>
      </c>
      <c r="CE3" s="5" t="n">
        <v>80</v>
      </c>
      <c r="CF3" s="5" t="n">
        <v>81</v>
      </c>
      <c r="CG3" s="4" t="n">
        <v>82</v>
      </c>
      <c r="CH3" s="5" t="n">
        <v>83</v>
      </c>
      <c r="CI3" s="5" t="n">
        <v>84</v>
      </c>
      <c r="CJ3" s="4" t="n">
        <v>85</v>
      </c>
      <c r="CK3" s="5" t="n">
        <v>86</v>
      </c>
      <c r="CL3" s="5" t="n">
        <v>87</v>
      </c>
      <c r="CM3" s="4" t="n">
        <v>88</v>
      </c>
      <c r="CN3" s="5" t="n">
        <v>89</v>
      </c>
      <c r="CO3" s="5" t="n">
        <v>90</v>
      </c>
      <c r="CP3" s="4" t="n">
        <v>91</v>
      </c>
      <c r="CQ3" s="5" t="n">
        <v>92</v>
      </c>
      <c r="CR3" s="5" t="n">
        <v>93</v>
      </c>
      <c r="CS3" s="4" t="n">
        <v>94</v>
      </c>
      <c r="CT3" s="5" t="n">
        <v>95</v>
      </c>
      <c r="CU3" s="5" t="n">
        <v>96</v>
      </c>
      <c r="CV3" s="4" t="n">
        <v>97</v>
      </c>
      <c r="CW3" s="5" t="n">
        <v>98</v>
      </c>
      <c r="CX3" s="5" t="n">
        <v>99</v>
      </c>
      <c r="CY3" s="4" t="n">
        <v>100</v>
      </c>
      <c r="CZ3" s="5" t="n">
        <v>101</v>
      </c>
      <c r="DA3" s="5" t="n">
        <v>102</v>
      </c>
      <c r="DB3" s="4" t="n">
        <v>103</v>
      </c>
      <c r="DC3" s="5" t="n">
        <v>104</v>
      </c>
      <c r="DD3" s="5" t="n">
        <v>105</v>
      </c>
      <c r="DE3" s="4" t="n">
        <v>106</v>
      </c>
      <c r="DF3" s="5" t="n">
        <v>107</v>
      </c>
      <c r="DG3" s="5" t="n">
        <v>108</v>
      </c>
      <c r="DH3" s="4" t="n">
        <v>109</v>
      </c>
      <c r="DI3" s="5" t="n">
        <v>110</v>
      </c>
      <c r="DJ3" s="5" t="n">
        <v>111</v>
      </c>
      <c r="DK3" s="4" t="n">
        <v>112</v>
      </c>
      <c r="DL3" s="5" t="n">
        <v>113</v>
      </c>
      <c r="DM3" s="5" t="n">
        <v>114</v>
      </c>
      <c r="DN3" s="4" t="n">
        <v>115</v>
      </c>
      <c r="DO3" s="5" t="n">
        <v>116</v>
      </c>
      <c r="DP3" s="5" t="n">
        <v>117</v>
      </c>
      <c r="DQ3" s="4" t="n">
        <v>118</v>
      </c>
      <c r="DR3" s="5" t="n">
        <v>119</v>
      </c>
      <c r="DS3" s="5" t="n">
        <v>120</v>
      </c>
      <c r="DT3" s="4" t="n">
        <v>121</v>
      </c>
      <c r="DU3" s="5" t="n">
        <v>122</v>
      </c>
      <c r="DV3" s="5" t="n">
        <v>123</v>
      </c>
      <c r="DW3" s="4" t="n">
        <v>124</v>
      </c>
      <c r="DX3" s="5" t="n">
        <v>125</v>
      </c>
      <c r="DY3" s="5" t="n">
        <v>126</v>
      </c>
      <c r="DZ3" s="4" t="n">
        <v>127</v>
      </c>
      <c r="EA3" s="5" t="n">
        <v>128</v>
      </c>
      <c r="EB3" s="5" t="n">
        <v>129</v>
      </c>
      <c r="EC3" s="4" t="n">
        <v>130</v>
      </c>
      <c r="ED3" s="5" t="n">
        <v>131</v>
      </c>
      <c r="EE3" s="5" t="n">
        <v>132</v>
      </c>
      <c r="EF3" s="4" t="n">
        <v>133</v>
      </c>
      <c r="EG3" s="5" t="n">
        <v>134</v>
      </c>
      <c r="EH3" s="5" t="n">
        <v>135</v>
      </c>
      <c r="EI3" s="4" t="n">
        <v>136</v>
      </c>
      <c r="EJ3" s="5" t="n">
        <v>137</v>
      </c>
      <c r="EK3" s="5" t="n">
        <v>138</v>
      </c>
    </row>
    <row r="4">
      <c r="A4">
        <f>[1]ingredient!B2</f>
        <v/>
      </c>
      <c r="B4" t="inlineStr">
        <is>
          <t>https://www.naehrwertrechner.de/naehrwerte/G730411/Bohnen+dick+getrocknet/?menge=100</t>
        </is>
      </c>
      <c r="C4" s="7">
        <f>_xlfn.XLOOKUP(A4,[1]ingredient!$B$2:$B$521,[1]ingredient!$A$2:$A$521)</f>
        <v/>
      </c>
      <c r="D4" t="n">
        <v>326</v>
      </c>
      <c r="E4" t="n">
        <v>2</v>
      </c>
      <c r="F4" t="n">
        <v>28</v>
      </c>
      <c r="G4" t="n">
        <v>48</v>
      </c>
      <c r="H4" t="n">
        <v>12</v>
      </c>
      <c r="I4" t="n">
        <v>18</v>
      </c>
      <c r="J4" t="n">
        <v>0.16</v>
      </c>
      <c r="K4" t="n">
        <v>6</v>
      </c>
      <c r="L4" t="n">
        <v>44</v>
      </c>
      <c r="M4" t="n">
        <v>22</v>
      </c>
      <c r="N4" t="n">
        <v>0</v>
      </c>
      <c r="O4" t="n">
        <v>259</v>
      </c>
      <c r="P4" t="n">
        <v>677</v>
      </c>
      <c r="Q4" t="n">
        <v>394</v>
      </c>
      <c r="R4" t="n">
        <v>5456</v>
      </c>
      <c r="S4" t="n">
        <v>9639</v>
      </c>
      <c r="T4" t="n">
        <v>964</v>
      </c>
      <c r="U4" t="n">
        <v>641</v>
      </c>
      <c r="V4" t="n">
        <v>16</v>
      </c>
      <c r="W4" t="n">
        <v>88</v>
      </c>
      <c r="X4" t="n">
        <v>0</v>
      </c>
      <c r="Y4" t="n">
        <v>52943</v>
      </c>
      <c r="Z4" t="n">
        <v>0</v>
      </c>
      <c r="AA4" t="n">
        <v>1083</v>
      </c>
      <c r="AB4" t="n">
        <v>100</v>
      </c>
      <c r="AC4" t="n">
        <v>92</v>
      </c>
      <c r="AD4" t="n">
        <v>1227</v>
      </c>
      <c r="AE4" t="n">
        <v>92</v>
      </c>
      <c r="AF4" t="n">
        <v>135</v>
      </c>
      <c r="AG4" t="n">
        <v>346</v>
      </c>
      <c r="AH4" t="n">
        <v>108</v>
      </c>
      <c r="AI4" t="n">
        <v>72</v>
      </c>
      <c r="AJ4" t="n">
        <v>6818</v>
      </c>
      <c r="AK4" t="n">
        <v>1011</v>
      </c>
      <c r="AL4" t="n">
        <v>362</v>
      </c>
      <c r="AM4" t="n">
        <v>1262</v>
      </c>
      <c r="AN4" t="n">
        <v>44</v>
      </c>
      <c r="AO4" t="n">
        <v>12</v>
      </c>
      <c r="AP4" t="n">
        <v>0</v>
      </c>
      <c r="AQ4" t="n">
        <v>0</v>
      </c>
      <c r="AR4" t="n">
        <v>0</v>
      </c>
      <c r="AS4" t="n">
        <v>0</v>
      </c>
      <c r="AT4" t="n">
        <v>6431</v>
      </c>
      <c r="AU4" t="n">
        <v>8339</v>
      </c>
      <c r="AV4" t="n">
        <v>0</v>
      </c>
      <c r="AW4" t="n">
        <v>14770</v>
      </c>
      <c r="AX4" t="n">
        <v>2859</v>
      </c>
      <c r="AY4" t="n">
        <v>0</v>
      </c>
      <c r="AZ4" t="n">
        <v>0</v>
      </c>
      <c r="BA4" t="n">
        <v>2859</v>
      </c>
      <c r="BB4" t="n">
        <v>9525</v>
      </c>
      <c r="BC4" t="n">
        <v>0</v>
      </c>
      <c r="BD4" t="n">
        <v>0</v>
      </c>
      <c r="BE4" t="n">
        <v>19047</v>
      </c>
      <c r="BF4" t="n">
        <v>19047</v>
      </c>
      <c r="BG4">
        <f>IF($F4=0,"0",MIN(
BH4/(30*$F4),
BI4/(61*$F4),
BJ4/(48*$F4),
(BK4+BL4)/(23*$F4),
(BM4+BN4)/(41*$F4),
BO4/(25*$F4),
BP4/(6.6*$F4),
BQ4/(40*$F4),
BS4/(16*$F4)
)*100)</f>
        <v/>
      </c>
      <c r="BH4" t="n">
        <v>1179</v>
      </c>
      <c r="BI4" t="n">
        <v>2023</v>
      </c>
      <c r="BJ4" t="n">
        <v>1824</v>
      </c>
      <c r="BK4" t="n">
        <v>195</v>
      </c>
      <c r="BL4" t="n">
        <v>283</v>
      </c>
      <c r="BM4" t="n">
        <v>1179</v>
      </c>
      <c r="BN4" t="n">
        <v>928</v>
      </c>
      <c r="BO4" t="n">
        <v>956</v>
      </c>
      <c r="BP4" t="n">
        <v>251</v>
      </c>
      <c r="BQ4" t="n">
        <v>1290</v>
      </c>
      <c r="BR4" t="n">
        <v>2385</v>
      </c>
      <c r="BS4" t="n">
        <v>673</v>
      </c>
      <c r="BT4" t="n">
        <v>13166</v>
      </c>
      <c r="BU4" t="n">
        <v>1151</v>
      </c>
      <c r="BV4" t="n">
        <v>3146</v>
      </c>
      <c r="BW4" t="n">
        <v>4241</v>
      </c>
      <c r="BX4" t="n">
        <v>1151</v>
      </c>
      <c r="BY4" t="n">
        <v>1179</v>
      </c>
      <c r="BZ4" t="n">
        <v>1234</v>
      </c>
      <c r="CA4" t="n">
        <v>12102</v>
      </c>
      <c r="CB4" t="n">
        <v>167</v>
      </c>
      <c r="CC4" t="n">
        <v>70</v>
      </c>
      <c r="CD4" t="n">
        <v>653</v>
      </c>
      <c r="CE4" t="n">
        <v>462</v>
      </c>
      <c r="CF4" t="n">
        <v>0.71</v>
      </c>
      <c r="CG4" t="n">
        <v>0</v>
      </c>
      <c r="CH4" t="n">
        <v>0</v>
      </c>
      <c r="CI4" t="n">
        <v>0</v>
      </c>
      <c r="CJ4" t="n">
        <v>0</v>
      </c>
      <c r="CK4" t="n">
        <v>0</v>
      </c>
      <c r="CL4" t="n">
        <v>0</v>
      </c>
      <c r="CM4" t="n">
        <v>0</v>
      </c>
      <c r="CN4" t="n">
        <v>358</v>
      </c>
      <c r="CO4" t="n">
        <v>0</v>
      </c>
      <c r="CP4" t="n">
        <v>64</v>
      </c>
      <c r="CQ4" t="n">
        <v>0</v>
      </c>
      <c r="CR4" t="n">
        <v>0</v>
      </c>
      <c r="CS4" t="n">
        <v>0</v>
      </c>
      <c r="CT4" t="n">
        <v>422</v>
      </c>
      <c r="CU4" t="n">
        <v>0</v>
      </c>
      <c r="CV4" t="n">
        <v>0</v>
      </c>
      <c r="CW4" t="n">
        <v>8</v>
      </c>
      <c r="CX4" t="n">
        <v>0</v>
      </c>
      <c r="CY4" t="n">
        <v>60</v>
      </c>
      <c r="CZ4" t="n">
        <v>0</v>
      </c>
      <c r="DA4" t="n">
        <v>0</v>
      </c>
      <c r="DB4" t="n">
        <v>0</v>
      </c>
      <c r="DC4" t="n">
        <v>68</v>
      </c>
      <c r="DD4" t="n">
        <v>0</v>
      </c>
      <c r="DE4" t="n">
        <v>0</v>
      </c>
      <c r="DF4" t="n">
        <v>462</v>
      </c>
      <c r="DG4" t="n">
        <v>653</v>
      </c>
      <c r="DH4" t="n">
        <v>0</v>
      </c>
      <c r="DI4" t="n">
        <v>0</v>
      </c>
      <c r="DJ4" t="n">
        <v>0</v>
      </c>
      <c r="DK4" t="n">
        <v>0</v>
      </c>
      <c r="DL4" t="n">
        <v>0</v>
      </c>
      <c r="DM4" t="n">
        <v>0</v>
      </c>
      <c r="DN4" t="n">
        <v>0</v>
      </c>
      <c r="DO4" t="n">
        <v>0</v>
      </c>
      <c r="DP4" t="n">
        <v>0</v>
      </c>
      <c r="DQ4" t="n">
        <v>0</v>
      </c>
      <c r="DR4" t="n">
        <v>0</v>
      </c>
      <c r="DS4" t="n">
        <v>1115</v>
      </c>
      <c r="DT4" t="n">
        <v>1605</v>
      </c>
      <c r="DU4" t="n">
        <v>402</v>
      </c>
      <c r="DV4" t="n">
        <v>0</v>
      </c>
      <c r="DW4" t="n">
        <v>0</v>
      </c>
      <c r="DX4" t="n">
        <v>0</v>
      </c>
      <c r="DY4" t="n">
        <v>1565</v>
      </c>
      <c r="DZ4" t="n">
        <v>4213</v>
      </c>
      <c r="EA4" t="n">
        <v>1565</v>
      </c>
      <c r="EB4" t="n">
        <v>4452</v>
      </c>
      <c r="EC4" t="n">
        <v>239</v>
      </c>
      <c r="ED4" t="n">
        <v>6017</v>
      </c>
      <c r="EE4" t="n">
        <v>6017</v>
      </c>
      <c r="EF4" t="n">
        <v>0</v>
      </c>
      <c r="EG4" t="n">
        <v>1</v>
      </c>
      <c r="EH4" t="n">
        <v>3.2</v>
      </c>
      <c r="EI4" t="n">
        <v>6</v>
      </c>
      <c r="EJ4" t="n">
        <v>2</v>
      </c>
      <c r="EK4" t="n">
        <v>25.8</v>
      </c>
    </row>
    <row r="5">
      <c r="A5">
        <f>[1]ingredient!B3</f>
        <v/>
      </c>
      <c r="B5" t="inlineStr">
        <is>
          <t>https://www.naehrwertrechner.de/naehrwerte/H750211/Bohnen+dick+%28Saubohnen%29+tiefgefroren/?menge=100</t>
        </is>
      </c>
      <c r="C5" s="7">
        <f>_xlfn.XLOOKUP(A5,[1]ingredient!$B$2:$B$521,[1]ingredient!$A$2:$A$521)</f>
        <v/>
      </c>
      <c r="D5" t="n">
        <v>232</v>
      </c>
      <c r="E5" t="n">
        <v>2</v>
      </c>
      <c r="F5" t="n">
        <v>26</v>
      </c>
      <c r="G5" t="n">
        <v>27</v>
      </c>
      <c r="H5" t="n">
        <v>28</v>
      </c>
      <c r="I5" t="n">
        <v>1</v>
      </c>
      <c r="J5" t="n">
        <v>0.08</v>
      </c>
      <c r="K5" t="n">
        <v>11</v>
      </c>
      <c r="L5" t="n">
        <v>6</v>
      </c>
      <c r="M5" t="n">
        <v>3</v>
      </c>
      <c r="N5" t="n">
        <v>0</v>
      </c>
      <c r="O5" t="n">
        <v>38</v>
      </c>
      <c r="P5" t="n">
        <v>334</v>
      </c>
      <c r="Q5" t="n">
        <v>214</v>
      </c>
      <c r="R5" t="n">
        <v>2140</v>
      </c>
      <c r="S5" t="n">
        <v>5657</v>
      </c>
      <c r="T5" t="n">
        <v>699</v>
      </c>
      <c r="U5" t="n">
        <v>324</v>
      </c>
      <c r="V5" t="n">
        <v>7</v>
      </c>
      <c r="W5" t="n">
        <v>73</v>
      </c>
      <c r="X5" t="n">
        <v>0</v>
      </c>
      <c r="Y5" t="n">
        <v>720</v>
      </c>
      <c r="Z5" t="n">
        <v>0</v>
      </c>
      <c r="AA5" t="n">
        <v>181</v>
      </c>
      <c r="AB5" t="n">
        <v>108</v>
      </c>
      <c r="AC5" t="n">
        <v>9</v>
      </c>
      <c r="AD5" t="n">
        <v>954</v>
      </c>
      <c r="AE5" t="n">
        <v>98</v>
      </c>
      <c r="AF5" t="n">
        <v>180</v>
      </c>
      <c r="AG5" t="n">
        <v>412</v>
      </c>
      <c r="AH5" t="n">
        <v>137</v>
      </c>
      <c r="AI5" t="n">
        <v>68</v>
      </c>
      <c r="AJ5" t="n">
        <v>5206</v>
      </c>
      <c r="AK5" t="n">
        <v>3030</v>
      </c>
      <c r="AL5" t="n">
        <v>691</v>
      </c>
      <c r="AM5" t="n">
        <v>1564</v>
      </c>
      <c r="AN5" t="n">
        <v>39</v>
      </c>
      <c r="AO5" t="n">
        <v>14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800</v>
      </c>
      <c r="AY5" t="n">
        <v>0</v>
      </c>
      <c r="AZ5" t="n">
        <v>0</v>
      </c>
      <c r="BA5" t="n">
        <v>800</v>
      </c>
      <c r="BB5" t="n">
        <v>2135</v>
      </c>
      <c r="BC5" t="n">
        <v>3066</v>
      </c>
      <c r="BD5" t="n">
        <v>0</v>
      </c>
      <c r="BE5" t="n">
        <v>23748</v>
      </c>
      <c r="BF5" t="n">
        <v>23748</v>
      </c>
      <c r="BG5">
        <f>IF($F5=0,"0",MIN(
BH5/(30*$F5),
BI5/(61*$F5),
BJ5/(48*$F5),
(BK5+BL5)/(23*$F5),
(BM5+BN5)/(41*$F5),
BO5/(25*$F5),
BP5/(6.6*$F5),
BQ5/(40*$F5),
BS5/(16*$F5)
)*100)</f>
        <v/>
      </c>
      <c r="BH5" t="n">
        <v>1053</v>
      </c>
      <c r="BI5" t="n">
        <v>1842</v>
      </c>
      <c r="BJ5" t="n">
        <v>1684</v>
      </c>
      <c r="BK5" t="n">
        <v>185</v>
      </c>
      <c r="BL5" t="n">
        <v>211</v>
      </c>
      <c r="BM5" t="n">
        <v>1131</v>
      </c>
      <c r="BN5" t="n">
        <v>842</v>
      </c>
      <c r="BO5" t="n">
        <v>894</v>
      </c>
      <c r="BP5" t="n">
        <v>211</v>
      </c>
      <c r="BQ5" t="n">
        <v>1157</v>
      </c>
      <c r="BR5" t="n">
        <v>2316</v>
      </c>
      <c r="BS5" t="n">
        <v>605</v>
      </c>
      <c r="BT5" t="n">
        <v>12131</v>
      </c>
      <c r="BU5" t="n">
        <v>1079</v>
      </c>
      <c r="BV5" t="n">
        <v>2947</v>
      </c>
      <c r="BW5" t="n">
        <v>3947</v>
      </c>
      <c r="BX5" t="n">
        <v>1079</v>
      </c>
      <c r="BY5" t="n">
        <v>1053</v>
      </c>
      <c r="BZ5" t="n">
        <v>1185</v>
      </c>
      <c r="CA5" t="n">
        <v>11290</v>
      </c>
      <c r="CB5" t="n">
        <v>131</v>
      </c>
      <c r="CC5" t="n">
        <v>55</v>
      </c>
      <c r="CD5" t="n">
        <v>56</v>
      </c>
      <c r="CE5" t="n">
        <v>740</v>
      </c>
      <c r="CF5" t="n">
        <v>13.21</v>
      </c>
      <c r="CG5" t="n">
        <v>0</v>
      </c>
      <c r="CH5" t="n">
        <v>0</v>
      </c>
      <c r="CI5" t="n">
        <v>0</v>
      </c>
      <c r="CJ5" t="n">
        <v>0</v>
      </c>
      <c r="CK5" t="n">
        <v>0</v>
      </c>
      <c r="CL5" t="n">
        <v>0</v>
      </c>
      <c r="CM5" t="n">
        <v>0</v>
      </c>
      <c r="CN5" t="n">
        <v>204</v>
      </c>
      <c r="CO5" t="n">
        <v>0</v>
      </c>
      <c r="CP5" t="n">
        <v>33</v>
      </c>
      <c r="CQ5" t="n">
        <v>11</v>
      </c>
      <c r="CR5" t="n">
        <v>0</v>
      </c>
      <c r="CS5" t="n">
        <v>0</v>
      </c>
      <c r="CT5" t="n">
        <v>248</v>
      </c>
      <c r="CU5" t="n">
        <v>0</v>
      </c>
      <c r="CV5" t="n">
        <v>0</v>
      </c>
      <c r="CW5" t="n">
        <v>0</v>
      </c>
      <c r="CX5" t="n">
        <v>0</v>
      </c>
      <c r="CY5" t="n">
        <v>363</v>
      </c>
      <c r="CZ5" t="n">
        <v>0</v>
      </c>
      <c r="DA5" t="n">
        <v>0</v>
      </c>
      <c r="DB5" t="n">
        <v>0</v>
      </c>
      <c r="DC5" t="n">
        <v>363</v>
      </c>
      <c r="DD5" t="n">
        <v>0</v>
      </c>
      <c r="DE5" t="n">
        <v>0</v>
      </c>
      <c r="DF5" t="n">
        <v>740</v>
      </c>
      <c r="DG5" t="n">
        <v>56</v>
      </c>
      <c r="DH5" t="n">
        <v>0</v>
      </c>
      <c r="DI5" t="n">
        <v>0</v>
      </c>
      <c r="DJ5" t="n">
        <v>0</v>
      </c>
      <c r="DK5" t="n">
        <v>0</v>
      </c>
      <c r="DL5" t="n">
        <v>0</v>
      </c>
      <c r="DM5" t="n">
        <v>0</v>
      </c>
      <c r="DN5" t="n">
        <v>0</v>
      </c>
      <c r="DO5" t="n">
        <v>0</v>
      </c>
      <c r="DP5" t="n">
        <v>0</v>
      </c>
      <c r="DQ5" t="n">
        <v>0</v>
      </c>
      <c r="DR5" t="n">
        <v>0</v>
      </c>
      <c r="DS5" t="n">
        <v>796</v>
      </c>
      <c r="DT5" t="n">
        <v>1407</v>
      </c>
      <c r="DU5" t="n">
        <v>408</v>
      </c>
      <c r="DV5" t="n">
        <v>0</v>
      </c>
      <c r="DW5" t="n">
        <v>0</v>
      </c>
      <c r="DX5" t="n">
        <v>0</v>
      </c>
      <c r="DY5" t="n">
        <v>3692</v>
      </c>
      <c r="DZ5" t="n">
        <v>9939</v>
      </c>
      <c r="EA5" t="n">
        <v>3692</v>
      </c>
      <c r="EB5" t="n">
        <v>10505</v>
      </c>
      <c r="EC5" t="n">
        <v>568</v>
      </c>
      <c r="ED5" t="n">
        <v>14198</v>
      </c>
      <c r="EE5" t="n">
        <v>14198</v>
      </c>
      <c r="EF5" t="n">
        <v>0</v>
      </c>
      <c r="EG5" t="n">
        <v>0.3</v>
      </c>
      <c r="EH5" t="n">
        <v>2.8</v>
      </c>
      <c r="EI5" t="n">
        <v>14.2</v>
      </c>
      <c r="EJ5" t="n">
        <v>1.8</v>
      </c>
      <c r="EK5" t="n">
        <v>23.9</v>
      </c>
    </row>
    <row r="6">
      <c r="A6">
        <f>[1]ingredient!B4</f>
        <v/>
      </c>
      <c r="B6" t="inlineStr">
        <is>
          <t>https://www.naehrwertrechner.de/naehrwerte/H640111/Luzernensprossen+%28Alfalfa%29+frisch/?menge=100</t>
        </is>
      </c>
      <c r="C6" s="7">
        <f>_xlfn.XLOOKUP(A6,[1]ingredient!$B$2:$B$521,[1]ingredient!$A$2:$A$521)</f>
        <v/>
      </c>
      <c r="D6" t="n">
        <v>32</v>
      </c>
      <c r="E6" t="n">
        <v>1</v>
      </c>
      <c r="F6" t="n">
        <v>4</v>
      </c>
      <c r="G6" t="n">
        <v>2</v>
      </c>
      <c r="H6" t="n">
        <v>2</v>
      </c>
      <c r="I6" t="n">
        <v>1</v>
      </c>
      <c r="J6" t="n">
        <v>0.02</v>
      </c>
      <c r="K6" t="n">
        <v>91</v>
      </c>
      <c r="L6" t="n">
        <v>16</v>
      </c>
      <c r="M6" t="n">
        <v>8</v>
      </c>
      <c r="N6" t="n">
        <v>0</v>
      </c>
      <c r="O6" t="n">
        <v>96</v>
      </c>
      <c r="P6" t="n">
        <v>76</v>
      </c>
      <c r="Q6" t="n">
        <v>126</v>
      </c>
      <c r="R6" t="n">
        <v>500</v>
      </c>
      <c r="S6" t="n">
        <v>1167</v>
      </c>
      <c r="T6" t="n">
        <v>560</v>
      </c>
      <c r="U6" t="n">
        <v>34</v>
      </c>
      <c r="V6" t="n">
        <v>10</v>
      </c>
      <c r="W6" t="n">
        <v>36</v>
      </c>
      <c r="X6" t="n">
        <v>0</v>
      </c>
      <c r="Y6" t="n">
        <v>8200</v>
      </c>
      <c r="Z6" t="n">
        <v>0</v>
      </c>
      <c r="AA6" t="n">
        <v>90</v>
      </c>
      <c r="AB6" t="n">
        <v>5</v>
      </c>
      <c r="AC6" t="n">
        <v>6</v>
      </c>
      <c r="AD6" t="n">
        <v>79</v>
      </c>
      <c r="AE6" t="n">
        <v>32</v>
      </c>
      <c r="AF6" t="n">
        <v>27</v>
      </c>
      <c r="AG6" t="n">
        <v>70</v>
      </c>
      <c r="AH6" t="n">
        <v>50</v>
      </c>
      <c r="AI6" t="n">
        <v>10</v>
      </c>
      <c r="AJ6" t="n">
        <v>1000</v>
      </c>
      <c r="AK6" t="n">
        <v>920</v>
      </c>
      <c r="AL6" t="n">
        <v>160</v>
      </c>
      <c r="AM6" t="n">
        <v>188</v>
      </c>
      <c r="AN6" t="n">
        <v>4</v>
      </c>
      <c r="AO6" t="n">
        <v>1</v>
      </c>
      <c r="AP6" t="n">
        <v>0</v>
      </c>
      <c r="AQ6" t="n">
        <v>0</v>
      </c>
      <c r="AR6" t="n">
        <v>0</v>
      </c>
      <c r="AS6" t="n">
        <v>0</v>
      </c>
      <c r="AT6" t="n">
        <v>432</v>
      </c>
      <c r="AU6" t="n">
        <v>432</v>
      </c>
      <c r="AV6" t="n">
        <v>0</v>
      </c>
      <c r="AW6" t="n">
        <v>864</v>
      </c>
      <c r="AX6" t="n">
        <v>108</v>
      </c>
      <c r="AY6" t="n">
        <v>0</v>
      </c>
      <c r="AZ6" t="n">
        <v>0</v>
      </c>
      <c r="BA6" t="n">
        <v>108</v>
      </c>
      <c r="BB6" t="n">
        <v>0</v>
      </c>
      <c r="BC6" t="n">
        <v>0</v>
      </c>
      <c r="BD6" t="n">
        <v>0</v>
      </c>
      <c r="BE6" t="n">
        <v>1188</v>
      </c>
      <c r="BF6" t="n">
        <v>1188</v>
      </c>
      <c r="BG6">
        <f>IF($F6=0,"0",MIN(
BH6/(30*$F6),
BI6/(61*$F6),
BJ6/(48*$F6),
(BK6+BL6)/(23*$F6),
(BM6+BN6)/(41*$F6),
BO6/(25*$F6),
BP6/(6.6*$F6),
BQ6/(40*$F6),
BS6/(16*$F6)
)*100)</f>
        <v/>
      </c>
      <c r="BH6" t="n">
        <v>128</v>
      </c>
      <c r="BI6" t="n">
        <v>224</v>
      </c>
      <c r="BJ6" t="n">
        <v>168</v>
      </c>
      <c r="BK6" t="n">
        <v>60</v>
      </c>
      <c r="BL6" t="n">
        <v>80</v>
      </c>
      <c r="BM6" t="n">
        <v>160</v>
      </c>
      <c r="BN6" t="n">
        <v>116</v>
      </c>
      <c r="BO6" t="n">
        <v>148</v>
      </c>
      <c r="BP6" t="n">
        <v>40</v>
      </c>
      <c r="BQ6" t="n">
        <v>172</v>
      </c>
      <c r="BR6" t="n">
        <v>132</v>
      </c>
      <c r="BS6" t="n">
        <v>56</v>
      </c>
      <c r="BT6" t="n">
        <v>1484</v>
      </c>
      <c r="BU6" t="n">
        <v>188</v>
      </c>
      <c r="BV6" t="n">
        <v>436</v>
      </c>
      <c r="BW6" t="n">
        <v>320</v>
      </c>
      <c r="BX6" t="n">
        <v>164</v>
      </c>
      <c r="BY6" t="n">
        <v>252</v>
      </c>
      <c r="BZ6" t="n">
        <v>156</v>
      </c>
      <c r="CA6" t="n">
        <v>1516</v>
      </c>
      <c r="CB6" t="n">
        <v>15</v>
      </c>
      <c r="CC6" t="n">
        <v>6</v>
      </c>
      <c r="CD6" t="n">
        <v>177</v>
      </c>
      <c r="CE6" t="n">
        <v>237</v>
      </c>
      <c r="CF6" t="n">
        <v>1.34</v>
      </c>
      <c r="CG6" t="n">
        <v>0</v>
      </c>
      <c r="CH6" t="n">
        <v>0</v>
      </c>
      <c r="CI6" t="n">
        <v>0</v>
      </c>
      <c r="CJ6" t="n">
        <v>0</v>
      </c>
      <c r="CK6" t="n">
        <v>0</v>
      </c>
      <c r="CL6" t="n">
        <v>2</v>
      </c>
      <c r="CM6" t="n">
        <v>0</v>
      </c>
      <c r="CN6" t="n">
        <v>61</v>
      </c>
      <c r="CO6" t="n">
        <v>0</v>
      </c>
      <c r="CP6" t="n">
        <v>8</v>
      </c>
      <c r="CQ6" t="n">
        <v>0</v>
      </c>
      <c r="CR6" t="n">
        <v>0</v>
      </c>
      <c r="CS6" t="n">
        <v>0</v>
      </c>
      <c r="CT6" t="n">
        <v>71</v>
      </c>
      <c r="CU6" t="n">
        <v>0</v>
      </c>
      <c r="CV6" t="n">
        <v>0</v>
      </c>
      <c r="CW6" t="n">
        <v>0</v>
      </c>
      <c r="CX6" t="n">
        <v>0</v>
      </c>
      <c r="CY6" t="n">
        <v>57</v>
      </c>
      <c r="CZ6" t="n">
        <v>0</v>
      </c>
      <c r="DA6" t="n">
        <v>0</v>
      </c>
      <c r="DB6" t="n">
        <v>0</v>
      </c>
      <c r="DC6" t="n">
        <v>57</v>
      </c>
      <c r="DD6" t="n">
        <v>0</v>
      </c>
      <c r="DE6" t="n">
        <v>0</v>
      </c>
      <c r="DF6" t="n">
        <v>237</v>
      </c>
      <c r="DG6" t="n">
        <v>177</v>
      </c>
      <c r="DH6" t="n">
        <v>0</v>
      </c>
      <c r="DI6" t="n">
        <v>0</v>
      </c>
      <c r="DJ6" t="n">
        <v>0</v>
      </c>
      <c r="DK6" t="n">
        <v>0</v>
      </c>
      <c r="DL6" t="n">
        <v>0</v>
      </c>
      <c r="DM6" t="n">
        <v>0</v>
      </c>
      <c r="DN6" t="n">
        <v>0</v>
      </c>
      <c r="DO6" t="n">
        <v>0</v>
      </c>
      <c r="DP6" t="n">
        <v>0</v>
      </c>
      <c r="DQ6" t="n">
        <v>0</v>
      </c>
      <c r="DR6" t="n">
        <v>0</v>
      </c>
      <c r="DS6" t="n">
        <v>414</v>
      </c>
      <c r="DT6" t="n">
        <v>542</v>
      </c>
      <c r="DU6" t="n">
        <v>158</v>
      </c>
      <c r="DV6" t="n">
        <v>0</v>
      </c>
      <c r="DW6" t="n">
        <v>0</v>
      </c>
      <c r="DX6" t="n">
        <v>0</v>
      </c>
      <c r="DY6" t="n">
        <v>213</v>
      </c>
      <c r="DZ6" t="n">
        <v>574</v>
      </c>
      <c r="EA6" t="n">
        <v>213</v>
      </c>
      <c r="EB6" t="n">
        <v>607</v>
      </c>
      <c r="EC6" t="n">
        <v>33</v>
      </c>
      <c r="ED6" t="n">
        <v>820</v>
      </c>
      <c r="EE6" t="n">
        <v>820</v>
      </c>
      <c r="EF6" t="n">
        <v>0</v>
      </c>
      <c r="EG6" t="n">
        <v>0.25</v>
      </c>
      <c r="EH6" t="n">
        <v>0.4</v>
      </c>
      <c r="EI6" t="n">
        <v>0.8</v>
      </c>
      <c r="EJ6" t="n">
        <v>0.7</v>
      </c>
      <c r="EK6" t="n">
        <v>3</v>
      </c>
    </row>
    <row r="7">
      <c r="A7">
        <f>[1]ingredient!B5</f>
        <v/>
      </c>
      <c r="B7" t="inlineStr">
        <is>
          <t>https://www.naehrwertrechner.de/naehrwerte/C335000/Amaranth+roh/?menge=100</t>
        </is>
      </c>
      <c r="C7" s="7">
        <f>_xlfn.XLOOKUP(A7,[1]ingredient!$B$2:$B$521,[1]ingredient!$A$2:$A$521)</f>
        <v/>
      </c>
      <c r="D7" t="n">
        <v>385</v>
      </c>
      <c r="E7" t="n">
        <v>7</v>
      </c>
      <c r="F7" t="n">
        <v>14</v>
      </c>
      <c r="G7" t="n">
        <v>66</v>
      </c>
      <c r="H7" t="n">
        <v>9</v>
      </c>
      <c r="I7" t="n">
        <v>2</v>
      </c>
      <c r="J7" t="n">
        <v>0.13</v>
      </c>
      <c r="K7" t="n">
        <v>0.2</v>
      </c>
      <c r="L7" t="n">
        <v>0</v>
      </c>
      <c r="M7" t="n">
        <v>0</v>
      </c>
      <c r="N7" t="n">
        <v>0</v>
      </c>
      <c r="O7" t="n">
        <v>0</v>
      </c>
      <c r="P7" t="n">
        <v>80</v>
      </c>
      <c r="Q7" t="n">
        <v>208</v>
      </c>
      <c r="R7" t="n">
        <v>1286</v>
      </c>
      <c r="S7" t="n">
        <v>4303</v>
      </c>
      <c r="T7" t="n">
        <v>1047</v>
      </c>
      <c r="U7" t="n">
        <v>223</v>
      </c>
      <c r="V7" t="n">
        <v>1</v>
      </c>
      <c r="W7" t="n">
        <v>49</v>
      </c>
      <c r="X7" t="n">
        <v>0</v>
      </c>
      <c r="Y7" t="n">
        <v>4200</v>
      </c>
      <c r="Z7" t="n">
        <v>0</v>
      </c>
      <c r="AA7" t="n">
        <v>100</v>
      </c>
      <c r="AB7" t="n">
        <v>1</v>
      </c>
      <c r="AC7" t="n">
        <v>21</v>
      </c>
      <c r="AD7" t="n">
        <v>366</v>
      </c>
      <c r="AE7" t="n">
        <v>214</v>
      </c>
      <c r="AF7" t="n">
        <v>266</v>
      </c>
      <c r="AG7" t="n">
        <v>455</v>
      </c>
      <c r="AH7" t="n">
        <v>140</v>
      </c>
      <c r="AI7" t="n">
        <v>105</v>
      </c>
      <c r="AJ7" t="n">
        <v>7590</v>
      </c>
      <c r="AK7" t="n">
        <v>3180</v>
      </c>
      <c r="AL7" t="n">
        <v>777</v>
      </c>
      <c r="AM7" t="n">
        <v>2260</v>
      </c>
      <c r="AN7" t="n">
        <v>50</v>
      </c>
      <c r="AO7" t="n">
        <v>3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1470</v>
      </c>
      <c r="AY7" t="n">
        <v>200</v>
      </c>
      <c r="AZ7" t="n">
        <v>0</v>
      </c>
      <c r="BA7" t="n">
        <v>1670</v>
      </c>
      <c r="BB7" t="n">
        <v>662</v>
      </c>
      <c r="BC7" t="n">
        <v>330</v>
      </c>
      <c r="BD7" t="n">
        <v>0</v>
      </c>
      <c r="BE7" t="n">
        <v>55100</v>
      </c>
      <c r="BF7" t="n">
        <v>55100</v>
      </c>
      <c r="BG7">
        <f>IF($F7=0,"0",MIN(
BH7/(30*$F7),
BI7/(61*$F7),
BJ7/(48*$F7),
(BK7+BL7)/(23*$F7),
(BM7+BN7)/(41*$F7),
BO7/(25*$F7),
BP7/(6.6*$F7),
BQ7/(40*$F7),
BS7/(16*$F7)
)*100)</f>
        <v/>
      </c>
      <c r="BH7" t="n">
        <v>582</v>
      </c>
      <c r="BI7" t="n">
        <v>879</v>
      </c>
      <c r="BJ7" t="n">
        <v>747</v>
      </c>
      <c r="BK7" t="n">
        <v>226</v>
      </c>
      <c r="BL7" t="n">
        <v>310</v>
      </c>
      <c r="BM7" t="n">
        <v>542</v>
      </c>
      <c r="BN7" t="n">
        <v>329</v>
      </c>
      <c r="BO7" t="n">
        <v>558</v>
      </c>
      <c r="BP7" t="n">
        <v>181</v>
      </c>
      <c r="BQ7" t="n">
        <v>679</v>
      </c>
      <c r="BR7" t="n">
        <v>1060</v>
      </c>
      <c r="BS7" t="n">
        <v>389</v>
      </c>
      <c r="BT7" t="n">
        <v>6482</v>
      </c>
      <c r="BU7" t="n">
        <v>799</v>
      </c>
      <c r="BV7" t="n">
        <v>1261</v>
      </c>
      <c r="BW7" t="n">
        <v>2259</v>
      </c>
      <c r="BX7" t="n">
        <v>1636</v>
      </c>
      <c r="BY7" t="n">
        <v>698</v>
      </c>
      <c r="BZ7" t="n">
        <v>1148</v>
      </c>
      <c r="CA7" t="n">
        <v>7801</v>
      </c>
      <c r="CB7" t="n">
        <v>66</v>
      </c>
      <c r="CC7" t="n">
        <v>28</v>
      </c>
      <c r="CD7" t="n">
        <v>57</v>
      </c>
      <c r="CE7" t="n">
        <v>2834</v>
      </c>
      <c r="CF7" t="n">
        <v>49.72</v>
      </c>
      <c r="CG7" t="n">
        <v>0</v>
      </c>
      <c r="CH7" t="n">
        <v>0</v>
      </c>
      <c r="CI7" t="n">
        <v>0</v>
      </c>
      <c r="CJ7" t="n">
        <v>0</v>
      </c>
      <c r="CK7" t="n">
        <v>0</v>
      </c>
      <c r="CL7" t="n">
        <v>11</v>
      </c>
      <c r="CM7" t="n">
        <v>0</v>
      </c>
      <c r="CN7" t="n">
        <v>1284</v>
      </c>
      <c r="CO7" t="n">
        <v>70</v>
      </c>
      <c r="CP7" t="n">
        <v>220</v>
      </c>
      <c r="CQ7" t="n">
        <v>90</v>
      </c>
      <c r="CR7" t="n">
        <v>0</v>
      </c>
      <c r="CS7" t="n">
        <v>0</v>
      </c>
      <c r="CT7" t="n">
        <v>1675</v>
      </c>
      <c r="CU7" t="n">
        <v>0</v>
      </c>
      <c r="CV7" t="n">
        <v>0</v>
      </c>
      <c r="CW7" t="n">
        <v>28</v>
      </c>
      <c r="CX7" t="n">
        <v>0</v>
      </c>
      <c r="CY7" t="n">
        <v>1433</v>
      </c>
      <c r="CZ7" t="n">
        <v>0</v>
      </c>
      <c r="DA7" t="n">
        <v>0</v>
      </c>
      <c r="DB7" t="n">
        <v>0</v>
      </c>
      <c r="DC7" t="n">
        <v>1461</v>
      </c>
      <c r="DD7" t="n">
        <v>0</v>
      </c>
      <c r="DE7" t="n">
        <v>0</v>
      </c>
      <c r="DF7" t="n">
        <v>2834</v>
      </c>
      <c r="DG7" t="n">
        <v>57</v>
      </c>
      <c r="DH7" t="n">
        <v>0</v>
      </c>
      <c r="DI7" t="n">
        <v>0</v>
      </c>
      <c r="DJ7" t="n">
        <v>0</v>
      </c>
      <c r="DK7" t="n">
        <v>0</v>
      </c>
      <c r="DL7" t="n">
        <v>0</v>
      </c>
      <c r="DM7" t="n">
        <v>0</v>
      </c>
      <c r="DN7" t="n">
        <v>0</v>
      </c>
      <c r="DO7" t="n">
        <v>0</v>
      </c>
      <c r="DP7" t="n">
        <v>0</v>
      </c>
      <c r="DQ7" t="n">
        <v>0</v>
      </c>
      <c r="DR7" t="n">
        <v>0</v>
      </c>
      <c r="DS7" t="n">
        <v>2891</v>
      </c>
      <c r="DT7" t="n">
        <v>6027</v>
      </c>
      <c r="DU7" t="n">
        <v>911</v>
      </c>
      <c r="DV7" t="n">
        <v>0</v>
      </c>
      <c r="DW7" t="n">
        <v>0</v>
      </c>
      <c r="DX7" t="n">
        <v>0</v>
      </c>
      <c r="DY7" t="n">
        <v>1023</v>
      </c>
      <c r="DZ7" t="n">
        <v>4836</v>
      </c>
      <c r="EA7" t="n">
        <v>1488</v>
      </c>
      <c r="EB7" t="n">
        <v>1209</v>
      </c>
      <c r="EC7" t="n">
        <v>744</v>
      </c>
      <c r="ED7" t="n">
        <v>3441</v>
      </c>
      <c r="EE7" t="n">
        <v>5859</v>
      </c>
      <c r="EF7" t="n">
        <v>0</v>
      </c>
      <c r="EG7" t="n">
        <v>0</v>
      </c>
      <c r="EH7" t="n">
        <v>3</v>
      </c>
      <c r="EI7" t="n">
        <v>5.9</v>
      </c>
      <c r="EJ7" t="n">
        <v>6.5</v>
      </c>
      <c r="EK7" t="n">
        <v>14.5</v>
      </c>
    </row>
    <row r="8">
      <c r="A8">
        <f>[1]ingredient!B6</f>
        <v/>
      </c>
      <c r="B8" t="inlineStr">
        <is>
          <t>https://www.naehrwertrechner.de/naehrwerte/F501111/Ananas+frisch/?menge=100</t>
        </is>
      </c>
      <c r="C8" s="7">
        <f>_xlfn.XLOOKUP(A8,[1]ingredient!$B$2:$B$521,[1]ingredient!$A$2:$A$521)</f>
        <v/>
      </c>
      <c r="D8" t="n">
        <v>59</v>
      </c>
      <c r="E8" t="n">
        <v>0.15</v>
      </c>
      <c r="F8" t="n">
        <v>0.46</v>
      </c>
      <c r="G8" t="n">
        <v>13</v>
      </c>
      <c r="H8" t="n">
        <v>1</v>
      </c>
      <c r="I8" t="n">
        <v>13</v>
      </c>
      <c r="J8" t="n">
        <v>0.04</v>
      </c>
      <c r="K8" t="n">
        <v>84</v>
      </c>
      <c r="L8" t="n">
        <v>10</v>
      </c>
      <c r="M8" t="n">
        <v>5</v>
      </c>
      <c r="N8" t="n">
        <v>0</v>
      </c>
      <c r="O8" t="n">
        <v>60</v>
      </c>
      <c r="P8" t="n">
        <v>80</v>
      </c>
      <c r="Q8" t="n">
        <v>30</v>
      </c>
      <c r="R8" t="n">
        <v>220</v>
      </c>
      <c r="S8" t="n">
        <v>320</v>
      </c>
      <c r="T8" t="n">
        <v>180</v>
      </c>
      <c r="U8" t="n">
        <v>75</v>
      </c>
      <c r="V8" t="n">
        <v>1</v>
      </c>
      <c r="W8" t="n">
        <v>4</v>
      </c>
      <c r="X8" t="n">
        <v>0</v>
      </c>
      <c r="Y8" t="n">
        <v>19000</v>
      </c>
      <c r="Z8" t="n">
        <v>0</v>
      </c>
      <c r="AA8" t="n">
        <v>100</v>
      </c>
      <c r="AB8" t="n">
        <v>10</v>
      </c>
      <c r="AC8" t="n">
        <v>2</v>
      </c>
      <c r="AD8" t="n">
        <v>173</v>
      </c>
      <c r="AE8" t="n">
        <v>16</v>
      </c>
      <c r="AF8" t="n">
        <v>17</v>
      </c>
      <c r="AG8" t="n">
        <v>9</v>
      </c>
      <c r="AH8" t="n">
        <v>3</v>
      </c>
      <c r="AI8" t="n">
        <v>39</v>
      </c>
      <c r="AJ8" t="n">
        <v>400</v>
      </c>
      <c r="AK8" t="n">
        <v>260</v>
      </c>
      <c r="AL8" t="n">
        <v>80</v>
      </c>
      <c r="AM8" t="n">
        <v>110</v>
      </c>
      <c r="AN8" t="n">
        <v>14</v>
      </c>
      <c r="AO8" t="n">
        <v>1</v>
      </c>
      <c r="AP8" t="n">
        <v>0</v>
      </c>
      <c r="AQ8" t="n">
        <v>0</v>
      </c>
      <c r="AR8" t="n">
        <v>0</v>
      </c>
      <c r="AS8" t="n">
        <v>0</v>
      </c>
      <c r="AT8" t="n">
        <v>2257</v>
      </c>
      <c r="AU8" t="n">
        <v>2585</v>
      </c>
      <c r="AV8" t="n">
        <v>0</v>
      </c>
      <c r="AW8" t="n">
        <v>4842</v>
      </c>
      <c r="AX8" t="n">
        <v>8278</v>
      </c>
      <c r="AY8" t="n">
        <v>0</v>
      </c>
      <c r="AZ8" t="n">
        <v>0</v>
      </c>
      <c r="BA8" t="n">
        <v>8278</v>
      </c>
      <c r="BB8" t="n">
        <v>0</v>
      </c>
      <c r="BC8" t="n">
        <v>0</v>
      </c>
      <c r="BD8" t="n">
        <v>0</v>
      </c>
      <c r="BE8" t="n">
        <v>0</v>
      </c>
      <c r="BF8" t="n">
        <v>0</v>
      </c>
      <c r="BG8">
        <f>IF($F8=0,"0",MIN(
BH8/(30*$F8),
BI8/(61*$F8),
BJ8/(48*$F8),
(BK8+BL8)/(23*$F8),
(BM8+BN8)/(41*$F8),
BO8/(25*$F8),
BP8/(6.6*$F8),
BQ8/(40*$F8),
BS8/(16*$F8)
)*100)</f>
        <v/>
      </c>
      <c r="BH8" t="n">
        <v>15</v>
      </c>
      <c r="BI8" t="n">
        <v>22</v>
      </c>
      <c r="BJ8" t="n">
        <v>29</v>
      </c>
      <c r="BK8" t="n">
        <v>13</v>
      </c>
      <c r="BL8" t="n">
        <v>2</v>
      </c>
      <c r="BM8" t="n">
        <v>14</v>
      </c>
      <c r="BN8" t="n">
        <v>14</v>
      </c>
      <c r="BO8" t="n">
        <v>14</v>
      </c>
      <c r="BP8" t="n">
        <v>6</v>
      </c>
      <c r="BQ8" t="n">
        <v>19</v>
      </c>
      <c r="BR8" t="n">
        <v>21</v>
      </c>
      <c r="BS8" t="n">
        <v>11</v>
      </c>
      <c r="BT8" t="n">
        <v>180</v>
      </c>
      <c r="BU8" t="n">
        <v>20</v>
      </c>
      <c r="BV8" t="n">
        <v>67</v>
      </c>
      <c r="BW8" t="n">
        <v>53</v>
      </c>
      <c r="BX8" t="n">
        <v>20</v>
      </c>
      <c r="BY8" t="n">
        <v>15</v>
      </c>
      <c r="BZ8" t="n">
        <v>29</v>
      </c>
      <c r="CA8" t="n">
        <v>204</v>
      </c>
      <c r="CB8" t="n">
        <v>20</v>
      </c>
      <c r="CC8" t="n">
        <v>8</v>
      </c>
      <c r="CD8" t="n">
        <v>34</v>
      </c>
      <c r="CE8" t="n">
        <v>44</v>
      </c>
      <c r="CF8" t="n">
        <v>1.29</v>
      </c>
      <c r="CG8" t="n">
        <v>0</v>
      </c>
      <c r="CH8" t="n">
        <v>0</v>
      </c>
      <c r="CI8" t="n">
        <v>0</v>
      </c>
      <c r="CJ8" t="n">
        <v>0</v>
      </c>
      <c r="CK8" t="n">
        <v>0</v>
      </c>
      <c r="CL8" t="n">
        <v>0</v>
      </c>
      <c r="CM8" t="n">
        <v>0</v>
      </c>
      <c r="CN8" t="n">
        <v>9</v>
      </c>
      <c r="CO8" t="n">
        <v>0</v>
      </c>
      <c r="CP8" t="n">
        <v>6</v>
      </c>
      <c r="CQ8" t="n">
        <v>0</v>
      </c>
      <c r="CR8" t="n">
        <v>0</v>
      </c>
      <c r="CS8" t="n">
        <v>0</v>
      </c>
      <c r="CT8" t="n">
        <v>15</v>
      </c>
      <c r="CU8" t="n">
        <v>0</v>
      </c>
      <c r="CV8" t="n">
        <v>0</v>
      </c>
      <c r="CW8" t="n">
        <v>2</v>
      </c>
      <c r="CX8" t="n">
        <v>0</v>
      </c>
      <c r="CY8" t="n">
        <v>25</v>
      </c>
      <c r="CZ8" t="n">
        <v>0</v>
      </c>
      <c r="DA8" t="n">
        <v>0</v>
      </c>
      <c r="DB8" t="n">
        <v>0</v>
      </c>
      <c r="DC8" t="n">
        <v>27</v>
      </c>
      <c r="DD8" t="n">
        <v>0</v>
      </c>
      <c r="DE8" t="n">
        <v>0</v>
      </c>
      <c r="DF8" t="n">
        <v>44</v>
      </c>
      <c r="DG8" t="n">
        <v>34</v>
      </c>
      <c r="DH8" t="n">
        <v>0</v>
      </c>
      <c r="DI8" t="n">
        <v>0</v>
      </c>
      <c r="DJ8" t="n">
        <v>0</v>
      </c>
      <c r="DK8" t="n">
        <v>0</v>
      </c>
      <c r="DL8" t="n">
        <v>0</v>
      </c>
      <c r="DM8" t="n">
        <v>0</v>
      </c>
      <c r="DN8" t="n">
        <v>0</v>
      </c>
      <c r="DO8" t="n">
        <v>0</v>
      </c>
      <c r="DP8" t="n">
        <v>0</v>
      </c>
      <c r="DQ8" t="n">
        <v>0</v>
      </c>
      <c r="DR8" t="n">
        <v>0</v>
      </c>
      <c r="DS8" t="n">
        <v>78</v>
      </c>
      <c r="DT8" t="n">
        <v>120</v>
      </c>
      <c r="DU8" t="n">
        <v>30</v>
      </c>
      <c r="DV8" t="n">
        <v>0</v>
      </c>
      <c r="DW8" t="n">
        <v>0</v>
      </c>
      <c r="DX8" t="n">
        <v>0</v>
      </c>
      <c r="DY8" t="n">
        <v>419</v>
      </c>
      <c r="DZ8" t="n">
        <v>167</v>
      </c>
      <c r="EA8" t="n">
        <v>167</v>
      </c>
      <c r="EB8" t="n">
        <v>538</v>
      </c>
      <c r="EC8" t="n">
        <v>109</v>
      </c>
      <c r="ED8" t="n">
        <v>213</v>
      </c>
      <c r="EE8" t="n">
        <v>1187</v>
      </c>
      <c r="EF8" t="n">
        <v>0</v>
      </c>
      <c r="EG8" t="n">
        <v>1</v>
      </c>
      <c r="EH8" t="n">
        <v>0.4</v>
      </c>
      <c r="EI8" t="n">
        <v>1.2</v>
      </c>
      <c r="EJ8" t="n">
        <v>0.2</v>
      </c>
      <c r="EK8" t="n">
        <v>0.4</v>
      </c>
    </row>
    <row r="9">
      <c r="A9">
        <f>[1]ingredient!B7</f>
        <v/>
      </c>
      <c r="B9" t="inlineStr">
        <is>
          <t>https://www.naehrwertrechner.de/naehrwerte/R253011/Anis+Gew%C3%BCrz/?menge=100</t>
        </is>
      </c>
      <c r="C9" s="7">
        <f>_xlfn.XLOOKUP(A9,[1]ingredient!$B$2:$B$521,[1]ingredient!$A$2:$A$521)</f>
        <v/>
      </c>
      <c r="D9" t="n">
        <v>357</v>
      </c>
      <c r="E9" t="n">
        <v>16</v>
      </c>
      <c r="F9" t="n">
        <v>18</v>
      </c>
      <c r="G9" t="n">
        <v>35</v>
      </c>
      <c r="H9" t="n">
        <v>15</v>
      </c>
      <c r="I9" t="n">
        <v>34</v>
      </c>
      <c r="J9" t="n">
        <v>0.08</v>
      </c>
      <c r="K9" t="n">
        <v>9</v>
      </c>
      <c r="L9" t="n">
        <v>0</v>
      </c>
      <c r="M9" t="n">
        <v>0</v>
      </c>
      <c r="N9" t="n">
        <v>0</v>
      </c>
      <c r="O9" t="n">
        <v>0</v>
      </c>
      <c r="P9" t="n">
        <v>300</v>
      </c>
      <c r="Q9" t="n">
        <v>200</v>
      </c>
      <c r="R9" t="n">
        <v>1000</v>
      </c>
      <c r="S9" t="n">
        <v>3933</v>
      </c>
      <c r="T9" t="n">
        <v>500</v>
      </c>
      <c r="U9" t="n">
        <v>200</v>
      </c>
      <c r="V9" t="n">
        <v>10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16</v>
      </c>
      <c r="AD9" t="n">
        <v>1440</v>
      </c>
      <c r="AE9" t="n">
        <v>650</v>
      </c>
      <c r="AF9" t="n">
        <v>170</v>
      </c>
      <c r="AG9" t="n">
        <v>440</v>
      </c>
      <c r="AH9" t="n">
        <v>100</v>
      </c>
      <c r="AI9" t="n">
        <v>60</v>
      </c>
      <c r="AJ9" t="n">
        <v>37000</v>
      </c>
      <c r="AK9" t="n">
        <v>5300</v>
      </c>
      <c r="AL9" t="n">
        <v>910</v>
      </c>
      <c r="AM9" t="n">
        <v>2300</v>
      </c>
      <c r="AN9" t="n">
        <v>50</v>
      </c>
      <c r="AO9" t="n">
        <v>5</v>
      </c>
      <c r="AP9" t="n">
        <v>0</v>
      </c>
      <c r="AQ9" t="n">
        <v>0</v>
      </c>
      <c r="AR9" t="n">
        <v>0</v>
      </c>
      <c r="AS9" t="n">
        <v>0</v>
      </c>
      <c r="AT9" t="n">
        <v>17700</v>
      </c>
      <c r="AU9" t="n">
        <v>14514</v>
      </c>
      <c r="AV9" t="n">
        <v>0</v>
      </c>
      <c r="AW9" t="n">
        <v>32214</v>
      </c>
      <c r="AX9" t="n">
        <v>1416</v>
      </c>
      <c r="AY9" t="n">
        <v>0</v>
      </c>
      <c r="AZ9" t="n">
        <v>0</v>
      </c>
      <c r="BA9" t="n">
        <v>1416</v>
      </c>
      <c r="BB9" t="n">
        <v>0</v>
      </c>
      <c r="BC9" t="n">
        <v>0</v>
      </c>
      <c r="BD9" t="n">
        <v>0</v>
      </c>
      <c r="BE9" t="n">
        <v>1770</v>
      </c>
      <c r="BF9" t="n">
        <v>1770</v>
      </c>
      <c r="BG9">
        <f>IF($F9=0,"0",MIN(
BH9/(30*$F9),
BI9/(61*$F9),
BJ9/(48*$F9),
(BK9+BL9)/(23*$F9),
(BM9+BN9)/(41*$F9),
BO9/(25*$F9),
BP9/(6.6*$F9),
BQ9/(40*$F9),
BS9/(16*$F9)
)*100)</f>
        <v/>
      </c>
      <c r="BH9" t="n">
        <v>528</v>
      </c>
      <c r="BI9" t="n">
        <v>880</v>
      </c>
      <c r="BJ9" t="n">
        <v>880</v>
      </c>
      <c r="BK9" t="n">
        <v>264</v>
      </c>
      <c r="BL9" t="n">
        <v>176</v>
      </c>
      <c r="BM9" t="n">
        <v>616</v>
      </c>
      <c r="BN9" t="n">
        <v>352</v>
      </c>
      <c r="BO9" t="n">
        <v>440</v>
      </c>
      <c r="BP9" t="n">
        <v>176</v>
      </c>
      <c r="BQ9" t="n">
        <v>704</v>
      </c>
      <c r="BR9" t="n">
        <v>792</v>
      </c>
      <c r="BS9" t="n">
        <v>264</v>
      </c>
      <c r="BT9" t="n">
        <v>6072</v>
      </c>
      <c r="BU9" t="n">
        <v>1056</v>
      </c>
      <c r="BV9" t="n">
        <v>2640</v>
      </c>
      <c r="BW9" t="n">
        <v>2464</v>
      </c>
      <c r="BX9" t="n">
        <v>704</v>
      </c>
      <c r="BY9" t="n">
        <v>616</v>
      </c>
      <c r="BZ9" t="n">
        <v>704</v>
      </c>
      <c r="CA9" t="n">
        <v>8184</v>
      </c>
      <c r="CB9" t="n">
        <v>91</v>
      </c>
      <c r="CC9" t="n">
        <v>38</v>
      </c>
      <c r="CD9" t="n">
        <v>0</v>
      </c>
      <c r="CE9" t="n">
        <v>1562</v>
      </c>
      <c r="CG9" t="n">
        <v>0</v>
      </c>
      <c r="CH9" t="n">
        <v>0</v>
      </c>
      <c r="CI9" t="n">
        <v>0</v>
      </c>
      <c r="CJ9" t="n">
        <v>0</v>
      </c>
      <c r="CK9" t="n">
        <v>0</v>
      </c>
      <c r="CL9" t="n">
        <v>15</v>
      </c>
      <c r="CM9" t="n">
        <v>0</v>
      </c>
      <c r="CN9" t="n">
        <v>759</v>
      </c>
      <c r="CO9" t="n">
        <v>0</v>
      </c>
      <c r="CP9" t="n">
        <v>102</v>
      </c>
      <c r="CQ9" t="n">
        <v>0</v>
      </c>
      <c r="CR9" t="n">
        <v>0</v>
      </c>
      <c r="CS9" t="n">
        <v>0</v>
      </c>
      <c r="CT9" t="n">
        <v>876</v>
      </c>
      <c r="CU9" t="n">
        <v>0</v>
      </c>
      <c r="CV9" t="n">
        <v>0</v>
      </c>
      <c r="CW9" t="n">
        <v>88</v>
      </c>
      <c r="CX9" t="n">
        <v>0</v>
      </c>
      <c r="CY9" t="n">
        <v>12070</v>
      </c>
      <c r="CZ9" t="n">
        <v>0</v>
      </c>
      <c r="DA9" t="n">
        <v>0</v>
      </c>
      <c r="DB9" t="n">
        <v>0</v>
      </c>
      <c r="DC9" t="n">
        <v>12158</v>
      </c>
      <c r="DD9" t="n">
        <v>0</v>
      </c>
      <c r="DE9" t="n">
        <v>0</v>
      </c>
      <c r="DF9" t="n">
        <v>1562</v>
      </c>
      <c r="DG9" t="n">
        <v>0</v>
      </c>
      <c r="DH9" t="n">
        <v>0</v>
      </c>
      <c r="DI9" t="n">
        <v>0</v>
      </c>
      <c r="DJ9" t="n">
        <v>0</v>
      </c>
      <c r="DK9" t="n">
        <v>0</v>
      </c>
      <c r="DL9" t="n">
        <v>0</v>
      </c>
      <c r="DM9" t="n">
        <v>0</v>
      </c>
      <c r="DN9" t="n">
        <v>0</v>
      </c>
      <c r="DO9" t="n">
        <v>0</v>
      </c>
      <c r="DP9" t="n">
        <v>0</v>
      </c>
      <c r="DQ9" t="n">
        <v>0</v>
      </c>
      <c r="DR9" t="n">
        <v>0</v>
      </c>
      <c r="DS9" t="n">
        <v>1562</v>
      </c>
      <c r="DT9" t="n">
        <v>14596</v>
      </c>
      <c r="DU9" t="n">
        <v>1304</v>
      </c>
      <c r="DV9" t="n">
        <v>0</v>
      </c>
      <c r="DW9" t="n">
        <v>0</v>
      </c>
      <c r="DX9" t="n">
        <v>0</v>
      </c>
      <c r="DY9" t="n">
        <v>3212</v>
      </c>
      <c r="DZ9" t="n">
        <v>2628</v>
      </c>
      <c r="EA9" t="n">
        <v>2920</v>
      </c>
      <c r="EB9" t="n">
        <v>2920</v>
      </c>
      <c r="EC9" t="n">
        <v>2920</v>
      </c>
      <c r="ED9" t="n">
        <v>4380</v>
      </c>
      <c r="EE9" t="n">
        <v>10220</v>
      </c>
      <c r="EF9" t="n">
        <v>0</v>
      </c>
      <c r="EG9" t="n">
        <v>1</v>
      </c>
      <c r="EH9" t="n">
        <v>7</v>
      </c>
      <c r="EI9" t="n">
        <v>10.2</v>
      </c>
      <c r="EJ9" t="n">
        <v>15.9</v>
      </c>
      <c r="EK9" t="n">
        <v>14.6</v>
      </c>
    </row>
    <row r="10">
      <c r="A10">
        <f>[1]ingredient!B8</f>
        <v/>
      </c>
      <c r="B10" t="inlineStr">
        <is>
          <t>https://www.naehrwertrechner.de/naehrwerte/F110000/Apfel/?menge=100</t>
        </is>
      </c>
      <c r="C10" s="7">
        <f>_xlfn.XLOOKUP(A10,[1]ingredient!$B$2:$B$521,[1]ingredient!$A$2:$A$521)</f>
        <v/>
      </c>
      <c r="D10" t="n">
        <v>61</v>
      </c>
      <c r="E10" t="n">
        <v>0.05</v>
      </c>
      <c r="F10" t="n">
        <v>0.34</v>
      </c>
      <c r="G10" t="n">
        <v>14</v>
      </c>
      <c r="H10" t="n">
        <v>2</v>
      </c>
      <c r="I10" t="n">
        <v>13</v>
      </c>
      <c r="J10" t="n">
        <v>0</v>
      </c>
      <c r="K10" t="n">
        <v>82</v>
      </c>
      <c r="L10" t="n">
        <v>5</v>
      </c>
      <c r="M10" t="n">
        <v>2</v>
      </c>
      <c r="N10" t="n">
        <v>0</v>
      </c>
      <c r="O10" t="n">
        <v>29</v>
      </c>
      <c r="P10" t="n">
        <v>11</v>
      </c>
      <c r="Q10" t="n">
        <v>9</v>
      </c>
      <c r="R10" t="n">
        <v>300</v>
      </c>
      <c r="S10" t="n">
        <v>350</v>
      </c>
      <c r="T10" t="n">
        <v>100</v>
      </c>
      <c r="U10" t="n">
        <v>43</v>
      </c>
      <c r="V10" t="n">
        <v>5</v>
      </c>
      <c r="W10" t="n">
        <v>5</v>
      </c>
      <c r="X10" t="n">
        <v>0</v>
      </c>
      <c r="Y10" t="n">
        <v>12000</v>
      </c>
      <c r="Z10" t="n">
        <v>0</v>
      </c>
      <c r="AA10" t="n">
        <v>490</v>
      </c>
      <c r="AB10" t="n">
        <v>6</v>
      </c>
      <c r="AC10" t="n">
        <v>1</v>
      </c>
      <c r="AD10" t="n">
        <v>119</v>
      </c>
      <c r="AE10" t="n">
        <v>5</v>
      </c>
      <c r="AF10" t="n">
        <v>5</v>
      </c>
      <c r="AG10" t="n">
        <v>11</v>
      </c>
      <c r="AH10" t="n">
        <v>6</v>
      </c>
      <c r="AI10" t="n">
        <v>2</v>
      </c>
      <c r="AJ10" t="n">
        <v>248</v>
      </c>
      <c r="AK10" t="n">
        <v>38</v>
      </c>
      <c r="AL10" t="n">
        <v>52</v>
      </c>
      <c r="AM10" t="n">
        <v>43</v>
      </c>
      <c r="AN10" t="n">
        <v>9</v>
      </c>
      <c r="AO10" t="n">
        <v>1</v>
      </c>
      <c r="AP10" t="n">
        <v>0</v>
      </c>
      <c r="AQ10" t="n">
        <v>421</v>
      </c>
      <c r="AR10" t="n">
        <v>0</v>
      </c>
      <c r="AS10" t="n">
        <v>421</v>
      </c>
      <c r="AT10" t="n">
        <v>2590</v>
      </c>
      <c r="AU10" t="n">
        <v>7323</v>
      </c>
      <c r="AV10" t="n">
        <v>0</v>
      </c>
      <c r="AW10" t="n">
        <v>9913</v>
      </c>
      <c r="AX10" t="n">
        <v>3250</v>
      </c>
      <c r="AY10" t="n">
        <v>0</v>
      </c>
      <c r="AZ10" t="n">
        <v>0</v>
      </c>
      <c r="BA10" t="n">
        <v>3250</v>
      </c>
      <c r="BB10" t="n">
        <v>0</v>
      </c>
      <c r="BC10" t="n">
        <v>0</v>
      </c>
      <c r="BD10" t="n">
        <v>0</v>
      </c>
      <c r="BE10" t="n">
        <v>766</v>
      </c>
      <c r="BF10" t="n">
        <v>766</v>
      </c>
      <c r="BG10">
        <f>IF($F10=0,"0",MIN(
BH10/(30*$F10),
BI10/(61*$F10),
BJ10/(48*$F10),
(BK10+BL10)/(23*$F10),
(BM10+BN10)/(41*$F10),
BO10/(25*$F10),
BP10/(6.6*$F10),
BQ10/(40*$F10),
BS10/(16*$F10)
)*100)</f>
        <v/>
      </c>
      <c r="BH10" t="n">
        <v>13</v>
      </c>
      <c r="BI10" t="n">
        <v>20</v>
      </c>
      <c r="BJ10" t="n">
        <v>19</v>
      </c>
      <c r="BK10" t="n">
        <v>4</v>
      </c>
      <c r="BL10" t="n">
        <v>1</v>
      </c>
      <c r="BM10" t="n">
        <v>11</v>
      </c>
      <c r="BN10" t="n">
        <v>6</v>
      </c>
      <c r="BO10" t="n">
        <v>10</v>
      </c>
      <c r="BP10" t="n">
        <v>3</v>
      </c>
      <c r="BQ10" t="n">
        <v>15</v>
      </c>
      <c r="BR10" t="n">
        <v>10</v>
      </c>
      <c r="BS10" t="n">
        <v>8</v>
      </c>
      <c r="BT10" t="n">
        <v>120</v>
      </c>
      <c r="BU10" t="n">
        <v>19</v>
      </c>
      <c r="BV10" t="n">
        <v>129</v>
      </c>
      <c r="BW10" t="n">
        <v>32</v>
      </c>
      <c r="BX10" t="n">
        <v>11</v>
      </c>
      <c r="BY10" t="n">
        <v>13</v>
      </c>
      <c r="BZ10" t="n">
        <v>15</v>
      </c>
      <c r="CA10" t="n">
        <v>219</v>
      </c>
      <c r="CB10" t="n">
        <v>14</v>
      </c>
      <c r="CC10" t="n">
        <v>6</v>
      </c>
      <c r="CD10" t="n">
        <v>6</v>
      </c>
      <c r="CE10" t="n">
        <v>20</v>
      </c>
      <c r="CF10" t="n">
        <v>3.33</v>
      </c>
      <c r="CG10" t="n">
        <v>0</v>
      </c>
      <c r="CH10" t="n">
        <v>0</v>
      </c>
      <c r="CI10" t="n">
        <v>0</v>
      </c>
      <c r="CJ10" t="n">
        <v>0</v>
      </c>
      <c r="CK10" t="n">
        <v>1</v>
      </c>
      <c r="CL10" t="n">
        <v>2</v>
      </c>
      <c r="CM10" t="n">
        <v>0</v>
      </c>
      <c r="CN10" t="n">
        <v>12</v>
      </c>
      <c r="CO10" t="n">
        <v>0</v>
      </c>
      <c r="CP10" t="n">
        <v>4</v>
      </c>
      <c r="CQ10" t="n">
        <v>1</v>
      </c>
      <c r="CR10" t="n">
        <v>0</v>
      </c>
      <c r="CS10" t="n">
        <v>0</v>
      </c>
      <c r="CT10" t="n">
        <v>20</v>
      </c>
      <c r="CU10" t="n">
        <v>0</v>
      </c>
      <c r="CV10" t="n">
        <v>0</v>
      </c>
      <c r="CW10" t="n">
        <v>0</v>
      </c>
      <c r="CX10" t="n">
        <v>0</v>
      </c>
      <c r="CY10" t="n">
        <v>2</v>
      </c>
      <c r="CZ10" t="n">
        <v>0</v>
      </c>
      <c r="DA10" t="n">
        <v>0</v>
      </c>
      <c r="DB10" t="n">
        <v>0</v>
      </c>
      <c r="DC10" t="n">
        <v>2</v>
      </c>
      <c r="DD10" t="n">
        <v>0</v>
      </c>
      <c r="DE10" t="n">
        <v>0</v>
      </c>
      <c r="DF10" t="n">
        <v>20</v>
      </c>
      <c r="DG10" t="n">
        <v>4</v>
      </c>
      <c r="DH10" t="n">
        <v>0</v>
      </c>
      <c r="DI10" t="n">
        <v>0</v>
      </c>
      <c r="DJ10" t="n">
        <v>0</v>
      </c>
      <c r="DK10" t="n">
        <v>0</v>
      </c>
      <c r="DL10" t="n">
        <v>0</v>
      </c>
      <c r="DM10" t="n">
        <v>0</v>
      </c>
      <c r="DN10" t="n">
        <v>0</v>
      </c>
      <c r="DO10" t="n">
        <v>0</v>
      </c>
      <c r="DP10" t="n">
        <v>0</v>
      </c>
      <c r="DQ10" t="n">
        <v>0</v>
      </c>
      <c r="DR10" t="n">
        <v>2</v>
      </c>
      <c r="DS10" t="n">
        <v>26</v>
      </c>
      <c r="DT10" t="n">
        <v>48</v>
      </c>
      <c r="DU10" t="n">
        <v>1</v>
      </c>
      <c r="DV10" t="n">
        <v>0</v>
      </c>
      <c r="DW10" t="n">
        <v>0</v>
      </c>
      <c r="DX10" t="n">
        <v>0</v>
      </c>
      <c r="DY10" t="n">
        <v>361</v>
      </c>
      <c r="DZ10" t="n">
        <v>178</v>
      </c>
      <c r="EA10" t="n">
        <v>859</v>
      </c>
      <c r="EB10" t="n">
        <v>602</v>
      </c>
      <c r="EC10" t="n">
        <v>10</v>
      </c>
      <c r="ED10" t="n">
        <v>480</v>
      </c>
      <c r="EE10" t="n">
        <v>1540</v>
      </c>
      <c r="EF10" t="n">
        <v>0</v>
      </c>
      <c r="EG10" t="n">
        <v>0.46</v>
      </c>
      <c r="EH10" t="n">
        <v>0.3</v>
      </c>
      <c r="EI10" t="n">
        <v>1.5</v>
      </c>
      <c r="EJ10" t="n">
        <v>0</v>
      </c>
      <c r="EK10" t="n">
        <v>0.4</v>
      </c>
    </row>
    <row r="11">
      <c r="A11">
        <f>[1]ingredient!B9</f>
        <v/>
      </c>
      <c r="B11" t="inlineStr">
        <is>
          <t>https://www.naehrwertrechner.de/naehrwerte/R123111/Apfelessig/?menge=100</t>
        </is>
      </c>
      <c r="C11" s="7">
        <f>_xlfn.XLOOKUP(A11,[1]ingredient!$B$2:$B$521,[1]ingredient!$A$2:$A$521)</f>
        <v/>
      </c>
      <c r="D11" t="n">
        <v>20</v>
      </c>
      <c r="E11" t="n">
        <v>0</v>
      </c>
      <c r="F11" t="n">
        <v>0.4</v>
      </c>
      <c r="G11" t="n">
        <v>1</v>
      </c>
      <c r="H11" t="n">
        <v>0</v>
      </c>
      <c r="I11" t="n">
        <v>1</v>
      </c>
      <c r="J11" t="n">
        <v>0.05</v>
      </c>
      <c r="K11" t="n">
        <v>94</v>
      </c>
      <c r="L11" t="n">
        <v>2</v>
      </c>
      <c r="M11" t="n">
        <v>1</v>
      </c>
      <c r="N11" t="n">
        <v>0</v>
      </c>
      <c r="O11" t="n">
        <v>9</v>
      </c>
      <c r="P11" t="n">
        <v>0</v>
      </c>
      <c r="Q11" t="n">
        <v>0</v>
      </c>
      <c r="R11" t="n">
        <v>0</v>
      </c>
      <c r="S11" t="n">
        <v>17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1</v>
      </c>
      <c r="AD11" t="n">
        <v>100</v>
      </c>
      <c r="AE11" t="n">
        <v>6</v>
      </c>
      <c r="AF11" t="n">
        <v>20</v>
      </c>
      <c r="AG11" t="n">
        <v>9</v>
      </c>
      <c r="AH11" t="n">
        <v>20</v>
      </c>
      <c r="AI11" t="n">
        <v>45</v>
      </c>
      <c r="AJ11" t="n">
        <v>600</v>
      </c>
      <c r="AK11" t="n">
        <v>200</v>
      </c>
      <c r="AL11" t="n">
        <v>40</v>
      </c>
      <c r="AM11" t="n">
        <v>250</v>
      </c>
      <c r="AN11" t="n">
        <v>20</v>
      </c>
      <c r="AO11" t="n">
        <v>1</v>
      </c>
      <c r="AP11" t="n">
        <v>0</v>
      </c>
      <c r="AQ11" t="n">
        <v>0</v>
      </c>
      <c r="AR11" t="n">
        <v>0</v>
      </c>
      <c r="AS11" t="n">
        <v>0</v>
      </c>
      <c r="AT11" t="n">
        <v>300</v>
      </c>
      <c r="AU11" t="n">
        <v>300</v>
      </c>
      <c r="AV11" t="n">
        <v>0</v>
      </c>
      <c r="AW11" t="n">
        <v>600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>
        <f>IF($F11=0,"0",MIN(
BH11/(30*$F11),
BI11/(61*$F11),
BJ11/(48*$F11),
(BK11+BL11)/(23*$F11),
(BM11+BN11)/(41*$F11),
BO11/(25*$F11),
BP11/(6.6*$F11),
BQ11/(40*$F11),
BS11/(16*$F11)
)*100)</f>
        <v/>
      </c>
      <c r="BH11" t="n">
        <v>6</v>
      </c>
      <c r="BI11" t="n">
        <v>4</v>
      </c>
      <c r="BJ11" t="n">
        <v>9</v>
      </c>
      <c r="BK11" t="n">
        <v>1</v>
      </c>
      <c r="BL11" t="n">
        <v>4</v>
      </c>
      <c r="BM11" t="n">
        <v>4</v>
      </c>
      <c r="BN11" t="n">
        <v>2</v>
      </c>
      <c r="BO11" t="n">
        <v>29</v>
      </c>
      <c r="BP11" t="n">
        <v>1</v>
      </c>
      <c r="BQ11" t="n">
        <v>8</v>
      </c>
      <c r="BR11" t="n">
        <v>18</v>
      </c>
      <c r="BS11" t="n">
        <v>3</v>
      </c>
      <c r="BT11" t="n">
        <v>89</v>
      </c>
      <c r="BU11" t="n">
        <v>8</v>
      </c>
      <c r="BV11" t="n">
        <v>7</v>
      </c>
      <c r="BW11" t="n">
        <v>41</v>
      </c>
      <c r="BX11" t="n">
        <v>6</v>
      </c>
      <c r="BY11" t="n">
        <v>28</v>
      </c>
      <c r="BZ11" t="n">
        <v>10</v>
      </c>
      <c r="CA11" t="n">
        <v>100</v>
      </c>
      <c r="CB11" t="n">
        <v>0</v>
      </c>
      <c r="CC11" t="n">
        <v>0</v>
      </c>
      <c r="CD11" t="n">
        <v>0</v>
      </c>
      <c r="CE11" t="n">
        <v>0</v>
      </c>
      <c r="CF11" t="n">
        <v>1</v>
      </c>
      <c r="CG11" t="n">
        <v>0</v>
      </c>
      <c r="CH11" t="n">
        <v>0</v>
      </c>
      <c r="CI11" t="n">
        <v>0</v>
      </c>
      <c r="CJ11" t="n">
        <v>0</v>
      </c>
      <c r="CK11" t="n">
        <v>0</v>
      </c>
      <c r="CL11" t="n">
        <v>0</v>
      </c>
      <c r="CM11" t="n">
        <v>0</v>
      </c>
      <c r="CN11" t="n">
        <v>0</v>
      </c>
      <c r="CO11" t="n">
        <v>0</v>
      </c>
      <c r="CP11" t="n">
        <v>0</v>
      </c>
      <c r="CQ11" t="n">
        <v>0</v>
      </c>
      <c r="CR11" t="n">
        <v>0</v>
      </c>
      <c r="CS11" t="n">
        <v>0</v>
      </c>
      <c r="CT11" t="n">
        <v>0</v>
      </c>
      <c r="CU11" t="n">
        <v>0</v>
      </c>
      <c r="CV11" t="n">
        <v>0</v>
      </c>
      <c r="CW11" t="n">
        <v>0</v>
      </c>
      <c r="CX11" t="n">
        <v>0</v>
      </c>
      <c r="CY11" t="n">
        <v>0</v>
      </c>
      <c r="CZ11" t="n">
        <v>0</v>
      </c>
      <c r="DA11" t="n">
        <v>0</v>
      </c>
      <c r="DB11" t="n">
        <v>0</v>
      </c>
      <c r="DC11" t="n">
        <v>0</v>
      </c>
      <c r="DD11" t="n">
        <v>0</v>
      </c>
      <c r="DE11" t="n">
        <v>0</v>
      </c>
      <c r="DF11" t="n">
        <v>0</v>
      </c>
      <c r="DG11" t="n">
        <v>0</v>
      </c>
      <c r="DH11" t="n">
        <v>0</v>
      </c>
      <c r="DI11" t="n">
        <v>0</v>
      </c>
      <c r="DJ11" t="n">
        <v>0</v>
      </c>
      <c r="DK11" t="n">
        <v>0</v>
      </c>
      <c r="DL11" t="n">
        <v>0</v>
      </c>
      <c r="DM11" t="n">
        <v>0</v>
      </c>
      <c r="DN11" t="n">
        <v>0</v>
      </c>
      <c r="DO11" t="n">
        <v>0</v>
      </c>
      <c r="DP11" t="n">
        <v>0</v>
      </c>
      <c r="DQ11" t="n">
        <v>0</v>
      </c>
      <c r="DR11" t="n">
        <v>0</v>
      </c>
      <c r="DS11" t="n">
        <v>0</v>
      </c>
      <c r="DT11" t="n">
        <v>0</v>
      </c>
      <c r="DU11" t="n">
        <v>0</v>
      </c>
      <c r="DV11" t="n">
        <v>0</v>
      </c>
      <c r="DW11" t="n">
        <v>0</v>
      </c>
      <c r="DX11" t="n">
        <v>0</v>
      </c>
      <c r="DY11" t="n">
        <v>0</v>
      </c>
      <c r="DZ11" t="n">
        <v>0</v>
      </c>
      <c r="EA11" t="n">
        <v>0</v>
      </c>
      <c r="EB11" t="n">
        <v>0</v>
      </c>
      <c r="EC11" t="n">
        <v>0</v>
      </c>
      <c r="ED11" t="n">
        <v>0</v>
      </c>
      <c r="EE11" t="n">
        <v>0</v>
      </c>
      <c r="EF11" t="n">
        <v>0</v>
      </c>
      <c r="EG11" t="n">
        <v>5</v>
      </c>
      <c r="EH11" t="n">
        <v>0.2</v>
      </c>
      <c r="EI11" t="n">
        <v>0</v>
      </c>
      <c r="EJ11" t="n">
        <v>0</v>
      </c>
      <c r="EK11" t="n">
        <v>0.2</v>
      </c>
    </row>
    <row r="12">
      <c r="A12">
        <f>[1]ingredient!B10</f>
        <v/>
      </c>
      <c r="B12" t="inlineStr">
        <is>
          <t>https://www.naehrwertrechner.de/naehrwerte/F201100/Aprikose+roh/?menge=100</t>
        </is>
      </c>
      <c r="C12" s="7">
        <f>_xlfn.XLOOKUP(A12,[1]ingredient!$B$2:$B$521,[1]ingredient!$A$2:$A$521)</f>
        <v/>
      </c>
      <c r="D12" t="n">
        <v>43</v>
      </c>
      <c r="E12" t="n">
        <v>0.13</v>
      </c>
      <c r="F12" t="n">
        <v>1</v>
      </c>
      <c r="G12" t="n">
        <v>9</v>
      </c>
      <c r="H12" t="n">
        <v>2</v>
      </c>
      <c r="I12" t="n">
        <v>8</v>
      </c>
      <c r="J12" t="n">
        <v>0</v>
      </c>
      <c r="K12" t="n">
        <v>87</v>
      </c>
      <c r="L12" t="n">
        <v>267</v>
      </c>
      <c r="M12" t="n">
        <v>134</v>
      </c>
      <c r="N12" t="n">
        <v>0</v>
      </c>
      <c r="O12" t="n">
        <v>1604</v>
      </c>
      <c r="P12" t="n">
        <v>40</v>
      </c>
      <c r="Q12" t="n">
        <v>53</v>
      </c>
      <c r="R12" t="n">
        <v>770</v>
      </c>
      <c r="S12" t="n">
        <v>953</v>
      </c>
      <c r="T12" t="n">
        <v>290</v>
      </c>
      <c r="U12" t="n">
        <v>70</v>
      </c>
      <c r="V12" t="n">
        <v>1</v>
      </c>
      <c r="W12" t="n">
        <v>4</v>
      </c>
      <c r="X12" t="n">
        <v>0</v>
      </c>
      <c r="Y12" t="n">
        <v>9400</v>
      </c>
      <c r="Z12" t="n">
        <v>0</v>
      </c>
      <c r="AA12" t="n">
        <v>500</v>
      </c>
      <c r="AB12" t="n">
        <v>3</v>
      </c>
      <c r="AC12" t="n">
        <v>2</v>
      </c>
      <c r="AD12" t="n">
        <v>280</v>
      </c>
      <c r="AE12" t="n">
        <v>16</v>
      </c>
      <c r="AF12" t="n">
        <v>9</v>
      </c>
      <c r="AG12" t="n">
        <v>21</v>
      </c>
      <c r="AH12" t="n">
        <v>6</v>
      </c>
      <c r="AI12" t="n">
        <v>1</v>
      </c>
      <c r="AJ12" t="n">
        <v>650</v>
      </c>
      <c r="AK12" t="n">
        <v>102</v>
      </c>
      <c r="AL12" t="n">
        <v>134</v>
      </c>
      <c r="AM12" t="n">
        <v>167</v>
      </c>
      <c r="AN12" t="n">
        <v>10</v>
      </c>
      <c r="AO12" t="n">
        <v>1</v>
      </c>
      <c r="AP12" t="n">
        <v>0</v>
      </c>
      <c r="AQ12" t="n">
        <v>800</v>
      </c>
      <c r="AR12" t="n">
        <v>0</v>
      </c>
      <c r="AS12" t="n">
        <v>800</v>
      </c>
      <c r="AT12" t="n">
        <v>1730</v>
      </c>
      <c r="AU12" t="n">
        <v>870</v>
      </c>
      <c r="AV12" t="n">
        <v>0</v>
      </c>
      <c r="AW12" t="n">
        <v>2600</v>
      </c>
      <c r="AX12" t="n">
        <v>5120</v>
      </c>
      <c r="AY12" t="n">
        <v>0</v>
      </c>
      <c r="AZ12" t="n">
        <v>0</v>
      </c>
      <c r="BA12" t="n">
        <v>5120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>
        <f>IF($F12=0,"0",MIN(
BH12/(30*$F12),
BI12/(61*$F12),
BJ12/(48*$F12),
(BK12+BL12)/(23*$F12),
(BM12+BN12)/(41*$F12),
BO12/(25*$F12),
BP12/(6.6*$F12),
BQ12/(40*$F12),
BS12/(16*$F12)
)*100)</f>
        <v/>
      </c>
      <c r="BH12" t="n">
        <v>29</v>
      </c>
      <c r="BI12" t="n">
        <v>56</v>
      </c>
      <c r="BJ12" t="n">
        <v>69</v>
      </c>
      <c r="BK12" t="n">
        <v>4</v>
      </c>
      <c r="BL12" t="n">
        <v>2</v>
      </c>
      <c r="BM12" t="n">
        <v>37</v>
      </c>
      <c r="BN12" t="n">
        <v>21</v>
      </c>
      <c r="BO12" t="n">
        <v>35</v>
      </c>
      <c r="BP12" t="n">
        <v>11</v>
      </c>
      <c r="BQ12" t="n">
        <v>35</v>
      </c>
      <c r="BR12" t="n">
        <v>32</v>
      </c>
      <c r="BS12" t="n">
        <v>19</v>
      </c>
      <c r="BT12" t="n">
        <v>350</v>
      </c>
      <c r="BU12" t="n">
        <v>49</v>
      </c>
      <c r="BV12" t="n">
        <v>226</v>
      </c>
      <c r="BW12" t="n">
        <v>113</v>
      </c>
      <c r="BX12" t="n">
        <v>29</v>
      </c>
      <c r="BY12" t="n">
        <v>73</v>
      </c>
      <c r="BZ12" t="n">
        <v>59</v>
      </c>
      <c r="CA12" t="n">
        <v>549</v>
      </c>
      <c r="CB12" t="n">
        <v>20</v>
      </c>
      <c r="CC12" t="n">
        <v>8</v>
      </c>
      <c r="CD12" t="n">
        <v>0</v>
      </c>
      <c r="CE12" t="n">
        <v>29</v>
      </c>
      <c r="CG12" t="n">
        <v>0</v>
      </c>
      <c r="CH12" t="n">
        <v>0</v>
      </c>
      <c r="CI12" t="n">
        <v>0</v>
      </c>
      <c r="CJ12" t="n">
        <v>0</v>
      </c>
      <c r="CK12" t="n">
        <v>0</v>
      </c>
      <c r="CL12" t="n">
        <v>0</v>
      </c>
      <c r="CM12" t="n">
        <v>0</v>
      </c>
      <c r="CN12" t="n">
        <v>9</v>
      </c>
      <c r="CO12" t="n">
        <v>0</v>
      </c>
      <c r="CP12" t="n">
        <v>1</v>
      </c>
      <c r="CQ12" t="n">
        <v>0</v>
      </c>
      <c r="CR12" t="n">
        <v>0</v>
      </c>
      <c r="CS12" t="n">
        <v>0</v>
      </c>
      <c r="CT12" t="n">
        <v>10</v>
      </c>
      <c r="CU12" t="n">
        <v>0</v>
      </c>
      <c r="CV12" t="n">
        <v>0</v>
      </c>
      <c r="CW12" t="n">
        <v>64</v>
      </c>
      <c r="CX12" t="n">
        <v>0</v>
      </c>
      <c r="CY12" t="n">
        <v>65</v>
      </c>
      <c r="CZ12" t="n">
        <v>0</v>
      </c>
      <c r="DA12" t="n">
        <v>0</v>
      </c>
      <c r="DB12" t="n">
        <v>0</v>
      </c>
      <c r="DC12" t="n">
        <v>129</v>
      </c>
      <c r="DD12" t="n">
        <v>0</v>
      </c>
      <c r="DE12" t="n">
        <v>0</v>
      </c>
      <c r="DF12" t="n">
        <v>29</v>
      </c>
      <c r="DG12" t="n">
        <v>0</v>
      </c>
      <c r="DH12" t="n">
        <v>0</v>
      </c>
      <c r="DI12" t="n">
        <v>0</v>
      </c>
      <c r="DJ12" t="n">
        <v>0</v>
      </c>
      <c r="DK12" t="n">
        <v>0</v>
      </c>
      <c r="DL12" t="n">
        <v>0</v>
      </c>
      <c r="DM12" t="n">
        <v>0</v>
      </c>
      <c r="DN12" t="n">
        <v>0</v>
      </c>
      <c r="DO12" t="n">
        <v>0</v>
      </c>
      <c r="DP12" t="n">
        <v>0</v>
      </c>
      <c r="DQ12" t="n">
        <v>0</v>
      </c>
      <c r="DR12" t="n">
        <v>0</v>
      </c>
      <c r="DS12" t="n">
        <v>29</v>
      </c>
      <c r="DT12" t="n">
        <v>168</v>
      </c>
      <c r="DU12" t="n">
        <v>26</v>
      </c>
      <c r="DV12" t="n">
        <v>0</v>
      </c>
      <c r="DW12" t="n">
        <v>0</v>
      </c>
      <c r="DX12" t="n">
        <v>0</v>
      </c>
      <c r="DY12" t="n">
        <v>693</v>
      </c>
      <c r="DZ12" t="n">
        <v>77</v>
      </c>
      <c r="EA12" t="n">
        <v>462</v>
      </c>
      <c r="EB12" t="n">
        <v>231</v>
      </c>
      <c r="EC12" t="n">
        <v>77</v>
      </c>
      <c r="ED12" t="n">
        <v>710</v>
      </c>
      <c r="EE12" t="n">
        <v>830</v>
      </c>
      <c r="EF12" t="n">
        <v>0</v>
      </c>
      <c r="EG12" t="n">
        <v>1</v>
      </c>
      <c r="EH12" t="n">
        <v>0.7</v>
      </c>
      <c r="EI12" t="n">
        <v>0.8</v>
      </c>
      <c r="EJ12" t="n">
        <v>0.1</v>
      </c>
      <c r="EK12" t="n">
        <v>1</v>
      </c>
    </row>
    <row r="13">
      <c r="A13">
        <f>[1]ingredient!B11</f>
        <v/>
      </c>
      <c r="B13" s="11" t="inlineStr">
        <is>
          <t>https://www.naehrwertrechner.de/naehrwerte/G410111/Artischocken+frisch/?menge=100</t>
        </is>
      </c>
      <c r="C13" s="7">
        <f>_xlfn.XLOOKUP(A13,[1]ingredient!$B$2:$B$521,[1]ingredient!$A$2:$A$521)</f>
        <v/>
      </c>
      <c r="D13" t="n">
        <v>22</v>
      </c>
      <c r="E13" t="n">
        <v>0.12</v>
      </c>
      <c r="F13" t="n">
        <v>2</v>
      </c>
      <c r="G13" t="n">
        <v>3</v>
      </c>
      <c r="H13" t="n">
        <v>11</v>
      </c>
      <c r="I13" t="n">
        <v>3</v>
      </c>
      <c r="J13" t="n">
        <v>0.09</v>
      </c>
      <c r="K13" t="n">
        <v>83</v>
      </c>
      <c r="L13" t="n">
        <v>17</v>
      </c>
      <c r="M13" t="n">
        <v>8</v>
      </c>
      <c r="N13" t="n">
        <v>0</v>
      </c>
      <c r="O13" t="n">
        <v>100</v>
      </c>
      <c r="P13" t="n">
        <v>140</v>
      </c>
      <c r="Q13" t="n">
        <v>12</v>
      </c>
      <c r="R13" t="n">
        <v>900</v>
      </c>
      <c r="S13" t="n">
        <v>1300</v>
      </c>
      <c r="T13" t="n">
        <v>295</v>
      </c>
      <c r="U13" t="n">
        <v>97</v>
      </c>
      <c r="V13" t="n">
        <v>4</v>
      </c>
      <c r="W13" t="n">
        <v>68</v>
      </c>
      <c r="X13" t="n">
        <v>0</v>
      </c>
      <c r="Y13" t="n">
        <v>8000</v>
      </c>
      <c r="Z13" t="n">
        <v>0</v>
      </c>
      <c r="AA13" t="n">
        <v>190</v>
      </c>
      <c r="AB13" t="n">
        <v>50</v>
      </c>
      <c r="AC13" t="n">
        <v>47</v>
      </c>
      <c r="AD13" t="n">
        <v>350</v>
      </c>
      <c r="AE13" t="n">
        <v>53</v>
      </c>
      <c r="AF13" t="n">
        <v>26</v>
      </c>
      <c r="AG13" t="n">
        <v>130</v>
      </c>
      <c r="AH13" t="n">
        <v>15</v>
      </c>
      <c r="AI13" t="n">
        <v>40</v>
      </c>
      <c r="AJ13" t="n">
        <v>1500</v>
      </c>
      <c r="AK13" t="n">
        <v>60</v>
      </c>
      <c r="AL13" t="n">
        <v>320</v>
      </c>
      <c r="AM13" t="n">
        <v>380</v>
      </c>
      <c r="AN13" t="n">
        <v>50</v>
      </c>
      <c r="AO13" t="n">
        <v>4</v>
      </c>
      <c r="AP13" t="n">
        <v>0</v>
      </c>
      <c r="AQ13" t="n">
        <v>0</v>
      </c>
      <c r="AR13" t="n">
        <v>0</v>
      </c>
      <c r="AS13" t="n">
        <v>0</v>
      </c>
      <c r="AT13" t="n">
        <v>526</v>
      </c>
      <c r="AU13" t="n">
        <v>1499</v>
      </c>
      <c r="AV13" t="n">
        <v>0</v>
      </c>
      <c r="AW13" t="n">
        <v>2025</v>
      </c>
      <c r="AX13" t="n">
        <v>605</v>
      </c>
      <c r="AY13" t="n">
        <v>0</v>
      </c>
      <c r="AZ13" t="n">
        <v>0</v>
      </c>
      <c r="BA13" t="n">
        <v>605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>
        <f>IF($F13=0,"0",MIN(
BH13/(30*$F13),
BI13/(61*$F13),
BJ13/(48*$F13),
(BK13+BL13)/(23*$F13),
(BM13+BN13)/(41*$F13),
BO13/(25*$F13),
BP13/(6.6*$F13),
BQ13/(40*$F13),
BS13/(16*$F13)
)*100)</f>
        <v/>
      </c>
      <c r="BH13" t="n">
        <v>96</v>
      </c>
      <c r="BI13" t="n">
        <v>144</v>
      </c>
      <c r="BJ13" t="n">
        <v>120</v>
      </c>
      <c r="BK13" t="n">
        <v>29</v>
      </c>
      <c r="BL13" t="n">
        <v>24</v>
      </c>
      <c r="BM13" t="n">
        <v>72</v>
      </c>
      <c r="BN13" t="n">
        <v>48</v>
      </c>
      <c r="BO13" t="n">
        <v>84</v>
      </c>
      <c r="BP13" t="n">
        <v>24</v>
      </c>
      <c r="BQ13" t="n">
        <v>96</v>
      </c>
      <c r="BR13" t="n">
        <v>96</v>
      </c>
      <c r="BS13" t="n">
        <v>36</v>
      </c>
      <c r="BT13" t="n">
        <v>869</v>
      </c>
      <c r="BU13" t="n">
        <v>120</v>
      </c>
      <c r="BV13" t="n">
        <v>240</v>
      </c>
      <c r="BW13" t="n">
        <v>360</v>
      </c>
      <c r="BX13" t="n">
        <v>67</v>
      </c>
      <c r="BY13" t="n">
        <v>96</v>
      </c>
      <c r="BZ13" t="n">
        <v>72</v>
      </c>
      <c r="CA13" t="n">
        <v>955</v>
      </c>
      <c r="CB13" t="n">
        <v>50</v>
      </c>
      <c r="CC13" t="n">
        <v>21</v>
      </c>
      <c r="CD13" t="n">
        <v>16</v>
      </c>
      <c r="CE13" t="n">
        <v>42</v>
      </c>
      <c r="CF13" t="n">
        <v>2.63</v>
      </c>
      <c r="CG13" t="n">
        <v>0</v>
      </c>
      <c r="CH13" t="n">
        <v>0</v>
      </c>
      <c r="CI13" t="n">
        <v>0</v>
      </c>
      <c r="CJ13" t="n">
        <v>0</v>
      </c>
      <c r="CK13" t="n">
        <v>2</v>
      </c>
      <c r="CL13" t="n">
        <v>2</v>
      </c>
      <c r="CM13" t="n">
        <v>0</v>
      </c>
      <c r="CN13" t="n">
        <v>27</v>
      </c>
      <c r="CO13" t="n">
        <v>0</v>
      </c>
      <c r="CP13" t="n">
        <v>3</v>
      </c>
      <c r="CQ13" t="n">
        <v>0</v>
      </c>
      <c r="CR13" t="n">
        <v>0</v>
      </c>
      <c r="CS13" t="n">
        <v>0</v>
      </c>
      <c r="CT13" t="n">
        <v>34</v>
      </c>
      <c r="CU13" t="n">
        <v>0</v>
      </c>
      <c r="CV13" t="n">
        <v>0</v>
      </c>
      <c r="CW13" t="n">
        <v>0</v>
      </c>
      <c r="CX13" t="n">
        <v>0</v>
      </c>
      <c r="CY13" t="n">
        <v>4</v>
      </c>
      <c r="CZ13" t="n">
        <v>0</v>
      </c>
      <c r="DA13" t="n">
        <v>0</v>
      </c>
      <c r="DB13" t="n">
        <v>0</v>
      </c>
      <c r="DC13" t="n">
        <v>4</v>
      </c>
      <c r="DD13" t="n">
        <v>0</v>
      </c>
      <c r="DE13" t="n">
        <v>0</v>
      </c>
      <c r="DF13" t="n">
        <v>42</v>
      </c>
      <c r="DG13" t="n">
        <v>16</v>
      </c>
      <c r="DH13" t="n">
        <v>0</v>
      </c>
      <c r="DI13" t="n">
        <v>0</v>
      </c>
      <c r="DJ13" t="n">
        <v>0</v>
      </c>
      <c r="DK13" t="n">
        <v>0</v>
      </c>
      <c r="DL13" t="n">
        <v>0</v>
      </c>
      <c r="DM13" t="n">
        <v>0</v>
      </c>
      <c r="DN13" t="n">
        <v>0</v>
      </c>
      <c r="DO13" t="n">
        <v>0</v>
      </c>
      <c r="DP13" t="n">
        <v>0</v>
      </c>
      <c r="DQ13" t="n">
        <v>0</v>
      </c>
      <c r="DR13" t="n">
        <v>0</v>
      </c>
      <c r="DS13" t="n">
        <v>58</v>
      </c>
      <c r="DT13" t="n">
        <v>96</v>
      </c>
      <c r="DU13" t="n">
        <v>24</v>
      </c>
      <c r="DV13" t="n">
        <v>0</v>
      </c>
      <c r="DW13" t="n">
        <v>0</v>
      </c>
      <c r="DX13" t="n">
        <v>0</v>
      </c>
      <c r="DY13" t="n">
        <v>1619</v>
      </c>
      <c r="DZ13" t="n">
        <v>2158</v>
      </c>
      <c r="EA13" t="n">
        <v>2913</v>
      </c>
      <c r="EB13" t="n">
        <v>3776</v>
      </c>
      <c r="EC13" t="n">
        <v>324</v>
      </c>
      <c r="ED13" t="n">
        <v>3237</v>
      </c>
      <c r="EE13" t="n">
        <v>7553</v>
      </c>
      <c r="EF13" t="n">
        <v>0</v>
      </c>
      <c r="EG13" t="n">
        <v>0.27</v>
      </c>
      <c r="EH13" t="n">
        <v>1.3</v>
      </c>
      <c r="EI13" t="n">
        <v>7.6</v>
      </c>
      <c r="EJ13" t="n">
        <v>0.1</v>
      </c>
      <c r="EK13" t="n">
        <v>2</v>
      </c>
    </row>
    <row r="14">
      <c r="A14">
        <f>[1]ingredient!B12</f>
        <v/>
      </c>
      <c r="B14" t="inlineStr">
        <is>
          <t>https://www.naehrwertrechner.de/naehrwerte/G510111/Aubergine+frisch/?menge=100</t>
        </is>
      </c>
      <c r="C14" s="7">
        <f>_xlfn.XLOOKUP(A14,[1]ingredient!$B$2:$B$521,[1]ingredient!$A$2:$A$521)</f>
        <v/>
      </c>
      <c r="D14" t="n">
        <v>17</v>
      </c>
      <c r="E14" t="n">
        <v>0.18</v>
      </c>
      <c r="F14" t="n">
        <v>1</v>
      </c>
      <c r="G14" t="n">
        <v>2</v>
      </c>
      <c r="H14" t="n">
        <v>3</v>
      </c>
      <c r="I14" t="n">
        <v>2</v>
      </c>
      <c r="J14" t="n">
        <v>0.06</v>
      </c>
      <c r="K14" t="n">
        <v>93</v>
      </c>
      <c r="L14" t="n">
        <v>7</v>
      </c>
      <c r="M14" t="n">
        <v>4</v>
      </c>
      <c r="N14" t="n">
        <v>0</v>
      </c>
      <c r="O14" t="n">
        <v>43</v>
      </c>
      <c r="P14" t="n">
        <v>38</v>
      </c>
      <c r="Q14" t="n">
        <v>44</v>
      </c>
      <c r="R14" t="n">
        <v>600</v>
      </c>
      <c r="S14" t="n">
        <v>783</v>
      </c>
      <c r="T14" t="n">
        <v>230</v>
      </c>
      <c r="U14" t="n">
        <v>80</v>
      </c>
      <c r="V14" t="n">
        <v>1</v>
      </c>
      <c r="W14" t="n">
        <v>31</v>
      </c>
      <c r="X14" t="n">
        <v>0</v>
      </c>
      <c r="Y14" t="n">
        <v>5000</v>
      </c>
      <c r="Z14" t="n">
        <v>0</v>
      </c>
      <c r="AA14" t="n">
        <v>30</v>
      </c>
      <c r="AB14" t="n">
        <v>5</v>
      </c>
      <c r="AC14" t="n">
        <v>3</v>
      </c>
      <c r="AD14" t="n">
        <v>224</v>
      </c>
      <c r="AE14" t="n">
        <v>13</v>
      </c>
      <c r="AF14" t="n">
        <v>11</v>
      </c>
      <c r="AG14" t="n">
        <v>21</v>
      </c>
      <c r="AH14" t="n">
        <v>29</v>
      </c>
      <c r="AI14" t="n">
        <v>55</v>
      </c>
      <c r="AJ14" t="n">
        <v>420</v>
      </c>
      <c r="AK14" t="n">
        <v>280</v>
      </c>
      <c r="AL14" t="n">
        <v>90</v>
      </c>
      <c r="AM14" t="n">
        <v>190</v>
      </c>
      <c r="AN14" t="n">
        <v>20</v>
      </c>
      <c r="AO14" t="n">
        <v>1</v>
      </c>
      <c r="AP14" t="n">
        <v>0</v>
      </c>
      <c r="AQ14" t="n">
        <v>0</v>
      </c>
      <c r="AR14" t="n">
        <v>0</v>
      </c>
      <c r="AS14" t="n">
        <v>0</v>
      </c>
      <c r="AT14" t="n">
        <v>1119</v>
      </c>
      <c r="AU14" t="n">
        <v>1121</v>
      </c>
      <c r="AV14" t="n">
        <v>0</v>
      </c>
      <c r="AW14" t="n">
        <v>2240</v>
      </c>
      <c r="AX14" t="n">
        <v>125</v>
      </c>
      <c r="AY14" t="n">
        <v>0</v>
      </c>
      <c r="AZ14" t="n">
        <v>0</v>
      </c>
      <c r="BA14" t="n">
        <v>125</v>
      </c>
      <c r="BB14" t="n">
        <v>0</v>
      </c>
      <c r="BC14" t="n">
        <v>0</v>
      </c>
      <c r="BD14" t="n">
        <v>0</v>
      </c>
      <c r="BE14" t="n">
        <v>125</v>
      </c>
      <c r="BF14" t="n">
        <v>125</v>
      </c>
      <c r="BG14">
        <f>IF($F14=0,"0",MIN(
BH14/(30*$F14),
BI14/(61*$F14),
BJ14/(48*$F14),
(BK14+BL14)/(23*$F14),
(BM14+BN14)/(41*$F14),
BO14/(25*$F14),
BP14/(6.6*$F14),
BQ14/(40*$F14),
BS14/(16*$F14)
)*100)</f>
        <v/>
      </c>
      <c r="BH14" t="n">
        <v>56</v>
      </c>
      <c r="BI14" t="n">
        <v>77</v>
      </c>
      <c r="BJ14" t="n">
        <v>53</v>
      </c>
      <c r="BK14" t="n">
        <v>11</v>
      </c>
      <c r="BL14" t="n">
        <v>6</v>
      </c>
      <c r="BM14" t="n">
        <v>52</v>
      </c>
      <c r="BN14" t="n">
        <v>40</v>
      </c>
      <c r="BO14" t="n">
        <v>43</v>
      </c>
      <c r="BP14" t="n">
        <v>11</v>
      </c>
      <c r="BQ14" t="n">
        <v>55</v>
      </c>
      <c r="BR14" t="n">
        <v>60</v>
      </c>
      <c r="BS14" t="n">
        <v>25</v>
      </c>
      <c r="BT14" t="n">
        <v>489</v>
      </c>
      <c r="BU14" t="n">
        <v>61</v>
      </c>
      <c r="BV14" t="n">
        <v>186</v>
      </c>
      <c r="BW14" t="n">
        <v>210</v>
      </c>
      <c r="BX14" t="n">
        <v>47</v>
      </c>
      <c r="BY14" t="n">
        <v>51</v>
      </c>
      <c r="BZ14" t="n">
        <v>47</v>
      </c>
      <c r="CA14" t="n">
        <v>602</v>
      </c>
      <c r="CB14" t="n">
        <v>20</v>
      </c>
      <c r="CC14" t="n">
        <v>8</v>
      </c>
      <c r="CD14" t="n">
        <v>14</v>
      </c>
      <c r="CE14" t="n">
        <v>73</v>
      </c>
      <c r="CF14" t="n">
        <v>5.21</v>
      </c>
      <c r="CG14" t="n">
        <v>0</v>
      </c>
      <c r="CH14" t="n">
        <v>0</v>
      </c>
      <c r="CI14" t="n">
        <v>0</v>
      </c>
      <c r="CJ14" t="n">
        <v>0</v>
      </c>
      <c r="CK14" t="n">
        <v>0</v>
      </c>
      <c r="CL14" t="n">
        <v>0</v>
      </c>
      <c r="CM14" t="n">
        <v>0</v>
      </c>
      <c r="CN14" t="n">
        <v>29</v>
      </c>
      <c r="CO14" t="n">
        <v>0</v>
      </c>
      <c r="CP14" t="n">
        <v>10</v>
      </c>
      <c r="CQ14" t="n">
        <v>0</v>
      </c>
      <c r="CR14" t="n">
        <v>0</v>
      </c>
      <c r="CS14" t="n">
        <v>0</v>
      </c>
      <c r="CT14" t="n">
        <v>39</v>
      </c>
      <c r="CU14" t="n">
        <v>0</v>
      </c>
      <c r="CV14" t="n">
        <v>0</v>
      </c>
      <c r="CW14" t="n">
        <v>2</v>
      </c>
      <c r="CX14" t="n">
        <v>0</v>
      </c>
      <c r="CY14" t="n">
        <v>16</v>
      </c>
      <c r="CZ14" t="n">
        <v>0</v>
      </c>
      <c r="DA14" t="n">
        <v>0</v>
      </c>
      <c r="DB14" t="n">
        <v>0</v>
      </c>
      <c r="DC14" t="n">
        <v>18</v>
      </c>
      <c r="DD14" t="n">
        <v>0</v>
      </c>
      <c r="DE14" t="n">
        <v>0</v>
      </c>
      <c r="DF14" t="n">
        <v>73</v>
      </c>
      <c r="DG14" t="n">
        <v>14</v>
      </c>
      <c r="DH14" t="n">
        <v>0</v>
      </c>
      <c r="DI14" t="n">
        <v>0</v>
      </c>
      <c r="DJ14" t="n">
        <v>0</v>
      </c>
      <c r="DK14" t="n">
        <v>0</v>
      </c>
      <c r="DL14" t="n">
        <v>0</v>
      </c>
      <c r="DM14" t="n">
        <v>0</v>
      </c>
      <c r="DN14" t="n">
        <v>0</v>
      </c>
      <c r="DO14" t="n">
        <v>0</v>
      </c>
      <c r="DP14" t="n">
        <v>0</v>
      </c>
      <c r="DQ14" t="n">
        <v>0</v>
      </c>
      <c r="DR14" t="n">
        <v>0</v>
      </c>
      <c r="DS14" t="n">
        <v>87</v>
      </c>
      <c r="DT14" t="n">
        <v>144</v>
      </c>
      <c r="DU14" t="n">
        <v>36</v>
      </c>
      <c r="DV14" t="n">
        <v>0</v>
      </c>
      <c r="DW14" t="n">
        <v>0</v>
      </c>
      <c r="DX14" t="n">
        <v>0</v>
      </c>
      <c r="DY14" t="n">
        <v>423</v>
      </c>
      <c r="DZ14" t="n">
        <v>564</v>
      </c>
      <c r="EA14" t="n">
        <v>761</v>
      </c>
      <c r="EB14" t="n">
        <v>987</v>
      </c>
      <c r="EC14" t="n">
        <v>85</v>
      </c>
      <c r="ED14" t="n">
        <v>846</v>
      </c>
      <c r="EE14" t="n">
        <v>1974</v>
      </c>
      <c r="EF14" t="n">
        <v>0</v>
      </c>
      <c r="EG14" t="n">
        <v>0.18</v>
      </c>
      <c r="EH14" t="n">
        <v>0.5</v>
      </c>
      <c r="EI14" t="n">
        <v>2</v>
      </c>
      <c r="EJ14" t="n">
        <v>0.2</v>
      </c>
      <c r="EK14" t="n">
        <v>1.2</v>
      </c>
    </row>
    <row r="15">
      <c r="A15">
        <f>[1]ingredient!B13</f>
        <v/>
      </c>
      <c r="B15" t="inlineStr">
        <is>
          <t>https://www.naehrwertrechner.de/naehrwerte/G510111/Aubergine+frisch/?menge=100</t>
        </is>
      </c>
      <c r="C15" s="7">
        <f>_xlfn.XLOOKUP(A15,[1]ingredient!$B$2:$B$521,[1]ingredient!$A$2:$A$521)</f>
        <v/>
      </c>
      <c r="D15" t="n">
        <v>17</v>
      </c>
      <c r="E15" t="n">
        <v>0.18</v>
      </c>
      <c r="F15" t="n">
        <v>1</v>
      </c>
      <c r="G15" t="n">
        <v>2</v>
      </c>
      <c r="H15" t="n">
        <v>3</v>
      </c>
      <c r="I15" t="n">
        <v>2</v>
      </c>
      <c r="J15" t="n">
        <v>0.06</v>
      </c>
      <c r="K15" t="n">
        <v>93</v>
      </c>
      <c r="L15" t="n">
        <v>7</v>
      </c>
      <c r="M15" t="n">
        <v>4</v>
      </c>
      <c r="N15" t="n">
        <v>0</v>
      </c>
      <c r="O15" t="n">
        <v>43</v>
      </c>
      <c r="P15" t="n">
        <v>38</v>
      </c>
      <c r="Q15" t="n">
        <v>44</v>
      </c>
      <c r="R15" t="n">
        <v>600</v>
      </c>
      <c r="S15" t="n">
        <v>783</v>
      </c>
      <c r="T15" t="n">
        <v>230</v>
      </c>
      <c r="U15" t="n">
        <v>80</v>
      </c>
      <c r="V15" t="n">
        <v>1</v>
      </c>
      <c r="W15" t="n">
        <v>31</v>
      </c>
      <c r="X15" t="n">
        <v>0</v>
      </c>
      <c r="Y15" t="n">
        <v>5000</v>
      </c>
      <c r="Z15" t="n">
        <v>0</v>
      </c>
      <c r="AA15" t="n">
        <v>30</v>
      </c>
      <c r="AB15" t="n">
        <v>5</v>
      </c>
      <c r="AC15" t="n">
        <v>3</v>
      </c>
      <c r="AD15" t="n">
        <v>224</v>
      </c>
      <c r="AE15" t="n">
        <v>13</v>
      </c>
      <c r="AF15" t="n">
        <v>11</v>
      </c>
      <c r="AG15" t="n">
        <v>21</v>
      </c>
      <c r="AH15" t="n">
        <v>29</v>
      </c>
      <c r="AI15" t="n">
        <v>55</v>
      </c>
      <c r="AJ15" t="n">
        <v>420</v>
      </c>
      <c r="AK15" t="n">
        <v>280</v>
      </c>
      <c r="AL15" t="n">
        <v>90</v>
      </c>
      <c r="AM15" t="n">
        <v>190</v>
      </c>
      <c r="AN15" t="n">
        <v>20</v>
      </c>
      <c r="AO15" t="n">
        <v>1</v>
      </c>
      <c r="AP15" t="n">
        <v>0</v>
      </c>
      <c r="AQ15" t="n">
        <v>0</v>
      </c>
      <c r="AR15" t="n">
        <v>0</v>
      </c>
      <c r="AS15" t="n">
        <v>0</v>
      </c>
      <c r="AT15" t="n">
        <v>1119</v>
      </c>
      <c r="AU15" t="n">
        <v>1121</v>
      </c>
      <c r="AV15" t="n">
        <v>0</v>
      </c>
      <c r="AW15" t="n">
        <v>2240</v>
      </c>
      <c r="AX15" t="n">
        <v>125</v>
      </c>
      <c r="AY15" t="n">
        <v>0</v>
      </c>
      <c r="AZ15" t="n">
        <v>0</v>
      </c>
      <c r="BA15" t="n">
        <v>125</v>
      </c>
      <c r="BB15" t="n">
        <v>0</v>
      </c>
      <c r="BC15" t="n">
        <v>0</v>
      </c>
      <c r="BD15" t="n">
        <v>0</v>
      </c>
      <c r="BE15" t="n">
        <v>125</v>
      </c>
      <c r="BF15" t="n">
        <v>125</v>
      </c>
      <c r="BG15">
        <f>IF($F15=0,"0",MIN(
BH15/(30*$F15),
BI15/(61*$F15),
BJ15/(48*$F15),
(BK15+BL15)/(23*$F15),
(BM15+BN15)/(41*$F15),
BO15/(25*$F15),
BP15/(6.6*$F15),
BQ15/(40*$F15),
BS15/(16*$F15)
)*100)</f>
        <v/>
      </c>
      <c r="BH15" t="n">
        <v>56</v>
      </c>
      <c r="BI15" t="n">
        <v>77</v>
      </c>
      <c r="BJ15" t="n">
        <v>53</v>
      </c>
      <c r="BK15" t="n">
        <v>11</v>
      </c>
      <c r="BL15" t="n">
        <v>6</v>
      </c>
      <c r="BM15" t="n">
        <v>52</v>
      </c>
      <c r="BN15" t="n">
        <v>40</v>
      </c>
      <c r="BO15" t="n">
        <v>43</v>
      </c>
      <c r="BP15" t="n">
        <v>11</v>
      </c>
      <c r="BQ15" t="n">
        <v>55</v>
      </c>
      <c r="BR15" t="n">
        <v>60</v>
      </c>
      <c r="BS15" t="n">
        <v>25</v>
      </c>
      <c r="BT15" t="n">
        <v>489</v>
      </c>
      <c r="BU15" t="n">
        <v>61</v>
      </c>
      <c r="BV15" t="n">
        <v>186</v>
      </c>
      <c r="BW15" t="n">
        <v>210</v>
      </c>
      <c r="BX15" t="n">
        <v>47</v>
      </c>
      <c r="BY15" t="n">
        <v>51</v>
      </c>
      <c r="BZ15" t="n">
        <v>47</v>
      </c>
      <c r="CA15" t="n">
        <v>602</v>
      </c>
      <c r="CB15" t="n">
        <v>20</v>
      </c>
      <c r="CC15" t="n">
        <v>8</v>
      </c>
      <c r="CD15" t="n">
        <v>14</v>
      </c>
      <c r="CE15" t="n">
        <v>73</v>
      </c>
      <c r="CF15" t="n">
        <v>5.21</v>
      </c>
      <c r="CG15" t="n">
        <v>0</v>
      </c>
      <c r="CH15" t="n">
        <v>0</v>
      </c>
      <c r="CI15" t="n">
        <v>0</v>
      </c>
      <c r="CJ15" t="n">
        <v>0</v>
      </c>
      <c r="CK15" t="n">
        <v>0</v>
      </c>
      <c r="CL15" t="n">
        <v>0</v>
      </c>
      <c r="CM15" t="n">
        <v>0</v>
      </c>
      <c r="CN15" t="n">
        <v>29</v>
      </c>
      <c r="CO15" t="n">
        <v>0</v>
      </c>
      <c r="CP15" t="n">
        <v>10</v>
      </c>
      <c r="CQ15" t="n">
        <v>0</v>
      </c>
      <c r="CR15" t="n">
        <v>0</v>
      </c>
      <c r="CS15" t="n">
        <v>0</v>
      </c>
      <c r="CT15" t="n">
        <v>39</v>
      </c>
      <c r="CU15" t="n">
        <v>0</v>
      </c>
      <c r="CV15" t="n">
        <v>0</v>
      </c>
      <c r="CW15" t="n">
        <v>2</v>
      </c>
      <c r="CX15" t="n">
        <v>0</v>
      </c>
      <c r="CY15" t="n">
        <v>16</v>
      </c>
      <c r="CZ15" t="n">
        <v>0</v>
      </c>
      <c r="DA15" t="n">
        <v>0</v>
      </c>
      <c r="DB15" t="n">
        <v>0</v>
      </c>
      <c r="DC15" t="n">
        <v>18</v>
      </c>
      <c r="DD15" t="n">
        <v>0</v>
      </c>
      <c r="DE15" t="n">
        <v>0</v>
      </c>
      <c r="DF15" t="n">
        <v>73</v>
      </c>
      <c r="DG15" t="n">
        <v>14</v>
      </c>
      <c r="DH15" t="n">
        <v>0</v>
      </c>
      <c r="DI15" t="n">
        <v>0</v>
      </c>
      <c r="DJ15" t="n">
        <v>0</v>
      </c>
      <c r="DK15" t="n">
        <v>0</v>
      </c>
      <c r="DL15" t="n">
        <v>0</v>
      </c>
      <c r="DM15" t="n">
        <v>0</v>
      </c>
      <c r="DN15" t="n">
        <v>0</v>
      </c>
      <c r="DO15" t="n">
        <v>0</v>
      </c>
      <c r="DP15" t="n">
        <v>0</v>
      </c>
      <c r="DQ15" t="n">
        <v>0</v>
      </c>
      <c r="DR15" t="n">
        <v>0</v>
      </c>
      <c r="DS15" t="n">
        <v>87</v>
      </c>
      <c r="DT15" t="n">
        <v>144</v>
      </c>
      <c r="DU15" t="n">
        <v>36</v>
      </c>
      <c r="DV15" t="n">
        <v>0</v>
      </c>
      <c r="DW15" t="n">
        <v>0</v>
      </c>
      <c r="DX15" t="n">
        <v>0</v>
      </c>
      <c r="DY15" t="n">
        <v>423</v>
      </c>
      <c r="DZ15" t="n">
        <v>564</v>
      </c>
      <c r="EA15" t="n">
        <v>761</v>
      </c>
      <c r="EB15" t="n">
        <v>987</v>
      </c>
      <c r="EC15" t="n">
        <v>85</v>
      </c>
      <c r="ED15" t="n">
        <v>846</v>
      </c>
      <c r="EE15" t="n">
        <v>1974</v>
      </c>
      <c r="EF15" t="n">
        <v>0</v>
      </c>
      <c r="EG15" t="n">
        <v>0.18</v>
      </c>
      <c r="EH15" t="n">
        <v>0.5</v>
      </c>
      <c r="EI15" t="n">
        <v>2</v>
      </c>
      <c r="EJ15" t="n">
        <v>0.2</v>
      </c>
      <c r="EK15" t="n">
        <v>1.2</v>
      </c>
    </row>
    <row r="16">
      <c r="A16">
        <f>[1]ingredient!B14</f>
        <v/>
      </c>
      <c r="B16" t="inlineStr">
        <is>
          <t>https://www.naehrwertrechner.de/naehrwerte/G701411/Helmbohnen+indisch+getrocknet/?menge=100</t>
        </is>
      </c>
      <c r="C16" s="7">
        <f>_xlfn.XLOOKUP(A16,[1]ingredient!$B$2:$B$521,[1]ingredient!$A$2:$A$521)</f>
        <v/>
      </c>
      <c r="D16" t="n">
        <v>271</v>
      </c>
      <c r="E16" t="n">
        <v>2</v>
      </c>
      <c r="F16" t="n">
        <v>17</v>
      </c>
      <c r="G16" t="n">
        <v>45</v>
      </c>
      <c r="H16" t="n">
        <v>24</v>
      </c>
      <c r="I16" t="n">
        <v>17</v>
      </c>
      <c r="J16" t="n">
        <v>0.14</v>
      </c>
      <c r="K16" t="n">
        <v>6</v>
      </c>
      <c r="L16" t="n">
        <v>229</v>
      </c>
      <c r="M16" t="n">
        <v>115</v>
      </c>
      <c r="N16" t="n">
        <v>0</v>
      </c>
      <c r="O16" t="n">
        <v>1374</v>
      </c>
      <c r="P16" t="n">
        <v>502</v>
      </c>
      <c r="Q16" t="n">
        <v>550</v>
      </c>
      <c r="R16" t="n">
        <v>3486</v>
      </c>
      <c r="S16" t="n">
        <v>6753</v>
      </c>
      <c r="T16" t="n">
        <v>1892</v>
      </c>
      <c r="U16" t="n">
        <v>1264</v>
      </c>
      <c r="V16" t="n">
        <v>31</v>
      </c>
      <c r="W16" t="n">
        <v>173</v>
      </c>
      <c r="X16" t="n">
        <v>0</v>
      </c>
      <c r="Y16" t="n">
        <v>40657</v>
      </c>
      <c r="Z16" t="n">
        <v>0</v>
      </c>
      <c r="AA16" t="n">
        <v>2127</v>
      </c>
      <c r="AB16" t="n">
        <v>196</v>
      </c>
      <c r="AC16" t="n">
        <v>16</v>
      </c>
      <c r="AD16" t="n">
        <v>1688</v>
      </c>
      <c r="AE16" t="n">
        <v>353</v>
      </c>
      <c r="AF16" t="n">
        <v>283</v>
      </c>
      <c r="AG16" t="n">
        <v>345</v>
      </c>
      <c r="AH16" t="n">
        <v>212</v>
      </c>
      <c r="AI16" t="n">
        <v>126</v>
      </c>
      <c r="AJ16" t="n">
        <v>4954</v>
      </c>
      <c r="AK16" t="n">
        <v>1986</v>
      </c>
      <c r="AL16" t="n">
        <v>707</v>
      </c>
      <c r="AM16" t="n">
        <v>2481</v>
      </c>
      <c r="AN16" t="n">
        <v>86</v>
      </c>
      <c r="AO16" t="n">
        <v>24</v>
      </c>
      <c r="AP16" t="n">
        <v>0</v>
      </c>
      <c r="AQ16" t="n">
        <v>0</v>
      </c>
      <c r="AR16" t="n">
        <v>0</v>
      </c>
      <c r="AS16" t="n">
        <v>0</v>
      </c>
      <c r="AT16" t="n">
        <v>6060</v>
      </c>
      <c r="AU16" t="n">
        <v>7858</v>
      </c>
      <c r="AV16" t="n">
        <v>0</v>
      </c>
      <c r="AW16" t="n">
        <v>13918</v>
      </c>
      <c r="AX16" t="n">
        <v>2693</v>
      </c>
      <c r="AY16" t="n">
        <v>0</v>
      </c>
      <c r="AZ16" t="n">
        <v>0</v>
      </c>
      <c r="BA16" t="n">
        <v>2693</v>
      </c>
      <c r="BB16" t="n">
        <v>8981</v>
      </c>
      <c r="BC16" t="n">
        <v>0</v>
      </c>
      <c r="BD16" t="n">
        <v>0</v>
      </c>
      <c r="BE16" t="n">
        <v>17970</v>
      </c>
      <c r="BF16" t="n">
        <v>17970</v>
      </c>
      <c r="BG16">
        <f>IF($F16=0,"0",MIN(
BH16/(30*$F16),
BI16/(61*$F16),
BJ16/(48*$F16),
(BK16+BL16)/(23*$F16),
(BM16+BN16)/(41*$F16),
BO16/(25*$F16),
BP16/(6.6*$F16),
BQ16/(40*$F16),
BS16/(16*$F16)
)*100)</f>
        <v/>
      </c>
      <c r="BH16" t="n">
        <v>1130</v>
      </c>
      <c r="BI16" t="n">
        <v>1723</v>
      </c>
      <c r="BJ16" t="n">
        <v>1130</v>
      </c>
      <c r="BK16" t="n">
        <v>133</v>
      </c>
      <c r="BL16" t="n">
        <v>102</v>
      </c>
      <c r="BM16" t="n">
        <v>345</v>
      </c>
      <c r="BN16" t="n">
        <v>283</v>
      </c>
      <c r="BO16" t="n">
        <v>675</v>
      </c>
      <c r="BP16" t="n">
        <v>196</v>
      </c>
      <c r="BQ16" t="n">
        <v>1209</v>
      </c>
      <c r="BR16" t="n">
        <v>1130</v>
      </c>
      <c r="BS16" t="n">
        <v>675</v>
      </c>
      <c r="BT16" t="n">
        <v>8731</v>
      </c>
      <c r="BU16" t="n">
        <v>840</v>
      </c>
      <c r="BV16" t="n">
        <v>330</v>
      </c>
      <c r="BW16" t="n">
        <v>2002</v>
      </c>
      <c r="BX16" t="n">
        <v>1342</v>
      </c>
      <c r="BY16" t="n">
        <v>659</v>
      </c>
      <c r="BZ16" t="n">
        <v>824</v>
      </c>
      <c r="CA16" t="n">
        <v>5997</v>
      </c>
      <c r="CB16" t="n">
        <v>330</v>
      </c>
      <c r="CC16" t="n">
        <v>138</v>
      </c>
      <c r="CD16" t="n">
        <v>471</v>
      </c>
      <c r="CE16" t="n">
        <v>635</v>
      </c>
      <c r="CF16" t="n">
        <v>1.35</v>
      </c>
      <c r="CG16" t="n">
        <v>0</v>
      </c>
      <c r="CH16" t="n">
        <v>0</v>
      </c>
      <c r="CI16" t="n">
        <v>0</v>
      </c>
      <c r="CJ16" t="n">
        <v>0</v>
      </c>
      <c r="CK16" t="n">
        <v>0</v>
      </c>
      <c r="CL16" t="n">
        <v>8</v>
      </c>
      <c r="CM16" t="n">
        <v>0</v>
      </c>
      <c r="CN16" t="n">
        <v>306</v>
      </c>
      <c r="CO16" t="n">
        <v>0</v>
      </c>
      <c r="CP16" t="n">
        <v>47</v>
      </c>
      <c r="CQ16" t="n">
        <v>0</v>
      </c>
      <c r="CR16" t="n">
        <v>0</v>
      </c>
      <c r="CS16" t="n">
        <v>0</v>
      </c>
      <c r="CT16" t="n">
        <v>361</v>
      </c>
      <c r="CU16" t="n">
        <v>0</v>
      </c>
      <c r="CV16" t="n">
        <v>0</v>
      </c>
      <c r="CW16" t="n">
        <v>16</v>
      </c>
      <c r="CX16" t="n">
        <v>0</v>
      </c>
      <c r="CY16" t="n">
        <v>94</v>
      </c>
      <c r="CZ16" t="n">
        <v>0</v>
      </c>
      <c r="DA16" t="n">
        <v>0</v>
      </c>
      <c r="DB16" t="n">
        <v>0</v>
      </c>
      <c r="DC16" t="n">
        <v>110</v>
      </c>
      <c r="DD16" t="n">
        <v>0</v>
      </c>
      <c r="DE16" t="n">
        <v>0</v>
      </c>
      <c r="DF16" t="n">
        <v>635</v>
      </c>
      <c r="DG16" t="n">
        <v>471</v>
      </c>
      <c r="DH16" t="n">
        <v>0</v>
      </c>
      <c r="DI16" t="n">
        <v>0</v>
      </c>
      <c r="DJ16" t="n">
        <v>0</v>
      </c>
      <c r="DK16" t="n">
        <v>0</v>
      </c>
      <c r="DL16" t="n">
        <v>0</v>
      </c>
      <c r="DM16" t="n">
        <v>0</v>
      </c>
      <c r="DN16" t="n">
        <v>0</v>
      </c>
      <c r="DO16" t="n">
        <v>0</v>
      </c>
      <c r="DP16" t="n">
        <v>0</v>
      </c>
      <c r="DQ16" t="n">
        <v>0</v>
      </c>
      <c r="DR16" t="n">
        <v>0</v>
      </c>
      <c r="DS16" t="n">
        <v>1106</v>
      </c>
      <c r="DT16" t="n">
        <v>1577</v>
      </c>
      <c r="DU16" t="n">
        <v>393</v>
      </c>
      <c r="DV16" t="n">
        <v>0</v>
      </c>
      <c r="DW16" t="n">
        <v>0</v>
      </c>
      <c r="DX16" t="n">
        <v>0</v>
      </c>
      <c r="DY16" t="n">
        <v>3069</v>
      </c>
      <c r="DZ16" t="n">
        <v>8274</v>
      </c>
      <c r="EA16" t="n">
        <v>3069</v>
      </c>
      <c r="EB16" t="n">
        <v>8754</v>
      </c>
      <c r="EC16" t="n">
        <v>471</v>
      </c>
      <c r="ED16" t="n">
        <v>11823</v>
      </c>
      <c r="EE16" t="n">
        <v>11823</v>
      </c>
      <c r="EF16" t="n">
        <v>0</v>
      </c>
      <c r="EG16" t="n">
        <v>2</v>
      </c>
      <c r="EH16" t="n">
        <v>5</v>
      </c>
      <c r="EI16" t="n">
        <v>11.8</v>
      </c>
      <c r="EJ16" t="n">
        <v>2</v>
      </c>
      <c r="EK16" t="n">
        <v>15.8</v>
      </c>
    </row>
    <row r="17">
      <c r="A17">
        <f>[1]ingredient!B15</f>
        <v/>
      </c>
      <c r="B17" t="inlineStr">
        <is>
          <t>https://www.naehrwertrechner.de/naehrwerte/K740100/Austernpilze+roh/?menge=100</t>
        </is>
      </c>
      <c r="C17" s="7">
        <f>_xlfn.XLOOKUP(A17,[1]ingredient!$B$2:$B$521,[1]ingredient!$A$2:$A$521)</f>
        <v/>
      </c>
      <c r="D17" t="n">
        <v>23</v>
      </c>
      <c r="E17" t="n">
        <v>0.22</v>
      </c>
      <c r="F17" t="n">
        <v>3</v>
      </c>
      <c r="G17" t="n">
        <v>3</v>
      </c>
      <c r="H17" t="n">
        <v>6</v>
      </c>
      <c r="I17" t="n">
        <v>1</v>
      </c>
      <c r="J17" t="n">
        <v>0.07000000000000001</v>
      </c>
      <c r="K17" t="n">
        <v>87</v>
      </c>
      <c r="L17" t="n">
        <v>0</v>
      </c>
      <c r="M17" t="n">
        <v>0</v>
      </c>
      <c r="N17" t="n">
        <v>0</v>
      </c>
      <c r="O17" t="n">
        <v>0</v>
      </c>
      <c r="P17" t="n">
        <v>191</v>
      </c>
      <c r="Q17" t="n">
        <v>285</v>
      </c>
      <c r="R17" t="n">
        <v>10000</v>
      </c>
      <c r="S17" t="n">
        <v>10500</v>
      </c>
      <c r="T17" t="n">
        <v>0</v>
      </c>
      <c r="U17" t="n">
        <v>88</v>
      </c>
      <c r="V17" t="n">
        <v>16</v>
      </c>
      <c r="W17" t="n">
        <v>51</v>
      </c>
      <c r="X17" t="n">
        <v>0.1</v>
      </c>
      <c r="Y17" t="n">
        <v>600</v>
      </c>
      <c r="Z17" t="n">
        <v>0.1</v>
      </c>
      <c r="AA17" t="n">
        <v>0</v>
      </c>
      <c r="AB17" t="n">
        <v>0</v>
      </c>
      <c r="AC17" t="n">
        <v>6</v>
      </c>
      <c r="AD17" t="n">
        <v>254</v>
      </c>
      <c r="AE17" t="n">
        <v>12</v>
      </c>
      <c r="AF17" t="n">
        <v>13</v>
      </c>
      <c r="AG17" t="n">
        <v>67</v>
      </c>
      <c r="AH17" t="n">
        <v>34</v>
      </c>
      <c r="AI17" t="n">
        <v>67</v>
      </c>
      <c r="AJ17" t="n">
        <v>1230</v>
      </c>
      <c r="AK17" t="n">
        <v>866</v>
      </c>
      <c r="AL17" t="n">
        <v>118</v>
      </c>
      <c r="AM17" t="n">
        <v>158</v>
      </c>
      <c r="AN17" t="n">
        <v>31</v>
      </c>
      <c r="AO17" t="n">
        <v>3</v>
      </c>
      <c r="AP17" t="n">
        <v>2080</v>
      </c>
      <c r="AQ17" t="n">
        <v>0</v>
      </c>
      <c r="AR17" t="n">
        <v>0</v>
      </c>
      <c r="AS17" t="n">
        <v>2080</v>
      </c>
      <c r="AT17" t="n">
        <v>312</v>
      </c>
      <c r="AU17" t="n">
        <v>130</v>
      </c>
      <c r="AV17" t="n">
        <v>0</v>
      </c>
      <c r="AW17" t="n">
        <v>442</v>
      </c>
      <c r="AX17" t="n">
        <v>78</v>
      </c>
      <c r="AY17" t="n">
        <v>0</v>
      </c>
      <c r="AZ17" t="n">
        <v>0</v>
      </c>
      <c r="BA17" t="n">
        <v>78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>
        <f>IF($F17=0,"0",MIN(
BH17/(30*$F17),
BI17/(61*$F17),
BJ17/(48*$F17),
(BK17+BL17)/(23*$F17),
(BM17+BN17)/(41*$F17),
BO17/(25*$F17),
BP17/(6.6*$F17),
BQ17/(40*$F17),
BS17/(16*$F17)
)*100)</f>
        <v/>
      </c>
      <c r="BH17" t="n">
        <v>110</v>
      </c>
      <c r="BI17" t="n">
        <v>170</v>
      </c>
      <c r="BJ17" t="n">
        <v>150</v>
      </c>
      <c r="BK17" t="n">
        <v>50</v>
      </c>
      <c r="BL17" t="n">
        <v>187</v>
      </c>
      <c r="BM17" t="n">
        <v>100</v>
      </c>
      <c r="BN17" t="n">
        <v>211</v>
      </c>
      <c r="BO17" t="n">
        <v>120</v>
      </c>
      <c r="BP17" t="n">
        <v>30</v>
      </c>
      <c r="BQ17" t="n">
        <v>140</v>
      </c>
      <c r="BR17" t="n">
        <v>234</v>
      </c>
      <c r="BS17" t="n">
        <v>50</v>
      </c>
      <c r="BT17" t="n">
        <v>1552</v>
      </c>
      <c r="BU17" t="n">
        <v>234</v>
      </c>
      <c r="BV17" t="n">
        <v>215</v>
      </c>
      <c r="BW17" t="n">
        <v>323</v>
      </c>
      <c r="BX17" t="n">
        <v>126</v>
      </c>
      <c r="BY17" t="n">
        <v>257</v>
      </c>
      <c r="BZ17" t="n">
        <v>141</v>
      </c>
      <c r="CA17" t="n">
        <v>1296</v>
      </c>
      <c r="CB17" t="n">
        <v>50</v>
      </c>
      <c r="CC17" t="n">
        <v>21</v>
      </c>
      <c r="CD17" t="n">
        <v>98</v>
      </c>
      <c r="CE17" t="n">
        <v>97</v>
      </c>
      <c r="CF17" t="n">
        <v>0.99</v>
      </c>
      <c r="CG17" t="n">
        <v>0</v>
      </c>
      <c r="CH17" t="n">
        <v>0</v>
      </c>
      <c r="CI17" t="n">
        <v>0</v>
      </c>
      <c r="CJ17" t="n">
        <v>0</v>
      </c>
      <c r="CK17" t="n">
        <v>0</v>
      </c>
      <c r="CL17" t="n">
        <v>1</v>
      </c>
      <c r="CM17" t="n">
        <v>0</v>
      </c>
      <c r="CN17" t="n">
        <v>25</v>
      </c>
      <c r="CO17" t="n">
        <v>0</v>
      </c>
      <c r="CP17" t="n">
        <v>5</v>
      </c>
      <c r="CQ17" t="n">
        <v>0</v>
      </c>
      <c r="CR17" t="n">
        <v>0</v>
      </c>
      <c r="CS17" t="n">
        <v>0</v>
      </c>
      <c r="CT17" t="n">
        <v>31</v>
      </c>
      <c r="CU17" t="n">
        <v>0</v>
      </c>
      <c r="CV17" t="n">
        <v>0</v>
      </c>
      <c r="CW17" t="n">
        <v>2</v>
      </c>
      <c r="CX17" t="n">
        <v>0</v>
      </c>
      <c r="CY17" t="n">
        <v>19</v>
      </c>
      <c r="CZ17" t="n">
        <v>0</v>
      </c>
      <c r="DA17" t="n">
        <v>0</v>
      </c>
      <c r="DB17" t="n">
        <v>0</v>
      </c>
      <c r="DC17" t="n">
        <v>21</v>
      </c>
      <c r="DD17" t="n">
        <v>0</v>
      </c>
      <c r="DE17" t="n">
        <v>0</v>
      </c>
      <c r="DF17" t="n">
        <v>97</v>
      </c>
      <c r="DG17" t="n">
        <v>98</v>
      </c>
      <c r="DH17" t="n">
        <v>0</v>
      </c>
      <c r="DI17" t="n">
        <v>0</v>
      </c>
      <c r="DJ17" t="n">
        <v>0</v>
      </c>
      <c r="DK17" t="n">
        <v>0</v>
      </c>
      <c r="DL17" t="n">
        <v>0</v>
      </c>
      <c r="DM17" t="n">
        <v>0</v>
      </c>
      <c r="DN17" t="n">
        <v>0</v>
      </c>
      <c r="DO17" t="n">
        <v>0</v>
      </c>
      <c r="DP17" t="n">
        <v>0</v>
      </c>
      <c r="DQ17" t="n">
        <v>0</v>
      </c>
      <c r="DR17" t="n">
        <v>0</v>
      </c>
      <c r="DS17" t="n">
        <v>195</v>
      </c>
      <c r="DT17" t="n">
        <v>247</v>
      </c>
      <c r="DU17" t="n">
        <v>44</v>
      </c>
      <c r="DV17" t="n">
        <v>0</v>
      </c>
      <c r="DW17" t="n">
        <v>0</v>
      </c>
      <c r="DX17" t="n">
        <v>0</v>
      </c>
      <c r="DY17" t="n">
        <v>0</v>
      </c>
      <c r="DZ17" t="n">
        <v>2398</v>
      </c>
      <c r="EA17" t="n">
        <v>59</v>
      </c>
      <c r="EB17" t="n">
        <v>3334</v>
      </c>
      <c r="EC17" t="n">
        <v>59</v>
      </c>
      <c r="ED17" t="n">
        <v>1112</v>
      </c>
      <c r="EE17" t="n">
        <v>4738</v>
      </c>
      <c r="EF17" t="n">
        <v>0</v>
      </c>
      <c r="EG17" t="n">
        <v>0.13</v>
      </c>
      <c r="EH17" t="n">
        <v>0.8</v>
      </c>
      <c r="EI17" t="n">
        <v>4.7</v>
      </c>
      <c r="EJ17" t="n">
        <v>0.2</v>
      </c>
      <c r="EK17" t="n">
        <v>3</v>
      </c>
    </row>
    <row r="18">
      <c r="A18">
        <f>[1]ingredient!B16</f>
        <v/>
      </c>
      <c r="B18" t="inlineStr">
        <is>
          <t>https://www.naehrwertrechner.de/naehrwerte/F502000/Avocado/?menge=100</t>
        </is>
      </c>
      <c r="C18" s="7">
        <f>_xlfn.XLOOKUP(A18,[1]ingredient!$B$2:$B$521,[1]ingredient!$A$2:$A$521)</f>
        <v/>
      </c>
      <c r="D18" t="n">
        <v>130</v>
      </c>
      <c r="E18" t="n">
        <v>13</v>
      </c>
      <c r="F18" t="n">
        <v>1</v>
      </c>
      <c r="G18" t="n">
        <v>4</v>
      </c>
      <c r="H18" t="n">
        <v>4</v>
      </c>
      <c r="I18" t="n">
        <v>4</v>
      </c>
      <c r="J18" t="n">
        <v>0.01</v>
      </c>
      <c r="K18" t="n">
        <v>77</v>
      </c>
      <c r="L18" t="n">
        <v>19</v>
      </c>
      <c r="M18" t="n">
        <v>9</v>
      </c>
      <c r="N18" t="n">
        <v>0</v>
      </c>
      <c r="O18" t="n">
        <v>112</v>
      </c>
      <c r="P18" t="n">
        <v>70</v>
      </c>
      <c r="Q18" t="n">
        <v>100</v>
      </c>
      <c r="R18" t="n">
        <v>1010</v>
      </c>
      <c r="S18" t="n">
        <v>1010</v>
      </c>
      <c r="T18" t="n">
        <v>0</v>
      </c>
      <c r="U18" t="n">
        <v>270</v>
      </c>
      <c r="V18" t="n">
        <v>0</v>
      </c>
      <c r="W18" t="n">
        <v>20</v>
      </c>
      <c r="X18" t="n">
        <v>0</v>
      </c>
      <c r="Y18" t="n">
        <v>0</v>
      </c>
      <c r="Z18" t="n">
        <v>3</v>
      </c>
      <c r="AA18" t="n">
        <v>2030</v>
      </c>
      <c r="AB18" t="n">
        <v>14</v>
      </c>
      <c r="AC18" t="n">
        <v>0</v>
      </c>
      <c r="AD18" t="n">
        <v>550</v>
      </c>
      <c r="AE18" t="n">
        <v>14</v>
      </c>
      <c r="AF18" t="n">
        <v>25</v>
      </c>
      <c r="AG18" t="n">
        <v>49</v>
      </c>
      <c r="AH18" t="n">
        <v>0</v>
      </c>
      <c r="AI18" t="n">
        <v>12</v>
      </c>
      <c r="AJ18" t="n">
        <v>440</v>
      </c>
      <c r="AK18" t="n">
        <v>644</v>
      </c>
      <c r="AL18" t="n">
        <v>390</v>
      </c>
      <c r="AM18" t="n">
        <v>186</v>
      </c>
      <c r="AN18" t="n">
        <v>51</v>
      </c>
      <c r="AO18" t="n">
        <v>3</v>
      </c>
      <c r="AP18" t="n">
        <v>0</v>
      </c>
      <c r="AQ18" t="n">
        <v>0</v>
      </c>
      <c r="AR18" t="n">
        <v>0</v>
      </c>
      <c r="AS18" t="n">
        <v>0</v>
      </c>
      <c r="AT18" t="n">
        <v>3550</v>
      </c>
      <c r="AU18" t="n">
        <v>0</v>
      </c>
      <c r="AV18" t="n">
        <v>0</v>
      </c>
      <c r="AW18" t="n">
        <v>3550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>
        <f>IF($F18=0,"0",MIN(
BH18/(30*$F18),
BI18/(61*$F18),
BJ18/(48*$F18),
(BK18+BL18)/(23*$F18),
(BM18+BN18)/(41*$F18),
BO18/(25*$F18),
BP18/(6.6*$F18),
BQ18/(40*$F18),
BS18/(16*$F18)
)*100)</f>
        <v/>
      </c>
      <c r="BH18" t="n">
        <v>65</v>
      </c>
      <c r="BI18" t="n">
        <v>117</v>
      </c>
      <c r="BJ18" t="n">
        <v>117</v>
      </c>
      <c r="BK18" t="n">
        <v>0</v>
      </c>
      <c r="BL18" t="n">
        <v>0</v>
      </c>
      <c r="BM18" t="n">
        <v>78</v>
      </c>
      <c r="BN18" t="n">
        <v>0</v>
      </c>
      <c r="BO18" t="n">
        <v>78</v>
      </c>
      <c r="BP18" t="n">
        <v>0</v>
      </c>
      <c r="BQ18" t="n">
        <v>104</v>
      </c>
      <c r="BR18" t="n">
        <v>78</v>
      </c>
      <c r="BS18" t="n">
        <v>0</v>
      </c>
      <c r="BT18" t="n">
        <v>637</v>
      </c>
      <c r="BU18" t="n">
        <v>91</v>
      </c>
      <c r="BV18" t="n">
        <v>183</v>
      </c>
      <c r="BW18" t="n">
        <v>196</v>
      </c>
      <c r="BX18" t="n">
        <v>91</v>
      </c>
      <c r="BY18" t="n">
        <v>78</v>
      </c>
      <c r="BZ18" t="n">
        <v>91</v>
      </c>
      <c r="CA18" t="n">
        <v>730</v>
      </c>
      <c r="CB18" t="n">
        <v>0</v>
      </c>
      <c r="CC18" t="n">
        <v>0</v>
      </c>
      <c r="CD18" t="n">
        <v>111</v>
      </c>
      <c r="CE18" t="n">
        <v>1509</v>
      </c>
      <c r="CF18" t="n">
        <v>13.59</v>
      </c>
      <c r="CG18" t="n">
        <v>4</v>
      </c>
      <c r="CH18" t="n">
        <v>0</v>
      </c>
      <c r="CI18" t="n">
        <v>0</v>
      </c>
      <c r="CJ18" t="n">
        <v>0</v>
      </c>
      <c r="CK18" t="n">
        <v>1</v>
      </c>
      <c r="CL18" t="n">
        <v>6</v>
      </c>
      <c r="CM18" t="n">
        <v>14</v>
      </c>
      <c r="CN18" t="n">
        <v>2627</v>
      </c>
      <c r="CO18" t="n">
        <v>5</v>
      </c>
      <c r="CP18" t="n">
        <v>84</v>
      </c>
      <c r="CQ18" t="n">
        <v>10</v>
      </c>
      <c r="CR18" t="n">
        <v>5</v>
      </c>
      <c r="CS18" t="n">
        <v>9</v>
      </c>
      <c r="CT18" t="n">
        <v>2765</v>
      </c>
      <c r="CU18" t="n">
        <v>0</v>
      </c>
      <c r="CV18" t="n">
        <v>0</v>
      </c>
      <c r="CW18" t="n">
        <v>1145</v>
      </c>
      <c r="CX18" t="n">
        <v>12</v>
      </c>
      <c r="CY18" t="n">
        <v>6930</v>
      </c>
      <c r="CZ18" t="n">
        <v>21</v>
      </c>
      <c r="DA18" t="n">
        <v>0</v>
      </c>
      <c r="DB18" t="n">
        <v>4</v>
      </c>
      <c r="DC18" t="n">
        <v>8112</v>
      </c>
      <c r="DD18" t="n">
        <v>0</v>
      </c>
      <c r="DE18" t="n">
        <v>0</v>
      </c>
      <c r="DF18" t="n">
        <v>1509</v>
      </c>
      <c r="DG18" t="n">
        <v>111</v>
      </c>
      <c r="DH18" t="n">
        <v>0</v>
      </c>
      <c r="DI18" t="n">
        <v>0</v>
      </c>
      <c r="DJ18" t="n">
        <v>0</v>
      </c>
      <c r="DK18" t="n">
        <v>0</v>
      </c>
      <c r="DL18" t="n">
        <v>0</v>
      </c>
      <c r="DM18" t="n">
        <v>0</v>
      </c>
      <c r="DN18" t="n">
        <v>0</v>
      </c>
      <c r="DO18" t="n">
        <v>0</v>
      </c>
      <c r="DP18" t="n">
        <v>0</v>
      </c>
      <c r="DQ18" t="n">
        <v>0</v>
      </c>
      <c r="DR18" t="n">
        <v>0</v>
      </c>
      <c r="DS18" t="n">
        <v>1620</v>
      </c>
      <c r="DT18" t="n">
        <v>12493</v>
      </c>
      <c r="DU18" t="n">
        <v>1</v>
      </c>
      <c r="DV18" t="n">
        <v>0</v>
      </c>
      <c r="DW18" t="n">
        <v>4</v>
      </c>
      <c r="DX18" t="n">
        <v>0</v>
      </c>
      <c r="DY18" t="n">
        <v>0</v>
      </c>
      <c r="DZ18" t="n">
        <v>0</v>
      </c>
      <c r="EA18" t="n">
        <v>0</v>
      </c>
      <c r="EB18" t="n">
        <v>0</v>
      </c>
      <c r="EC18" t="n">
        <v>0</v>
      </c>
      <c r="ED18" t="n">
        <v>0</v>
      </c>
      <c r="EE18" t="n">
        <v>4100</v>
      </c>
      <c r="EF18" t="n">
        <v>0</v>
      </c>
      <c r="EG18" t="n">
        <v>0</v>
      </c>
      <c r="EH18" t="n">
        <v>1.3</v>
      </c>
      <c r="EI18" t="n">
        <v>4.1</v>
      </c>
      <c r="EJ18" t="n">
        <v>12.5</v>
      </c>
      <c r="EK18" t="n">
        <v>1.4</v>
      </c>
    </row>
    <row r="19">
      <c r="A19">
        <f>[1]ingredient!B17</f>
        <v/>
      </c>
      <c r="B19" t="inlineStr">
        <is>
          <t>https://www.naehrwertrechner.de/naehrwerte/H800111/Adzukibohnen/?menge=100</t>
        </is>
      </c>
      <c r="C19" s="7">
        <f>_xlfn.XLOOKUP(A19,[1]ingredient!$B$2:$B$521,[1]ingredient!$A$2:$A$521)</f>
        <v/>
      </c>
      <c r="D19" t="n">
        <v>361</v>
      </c>
      <c r="E19" t="n">
        <v>1</v>
      </c>
      <c r="F19" t="n">
        <v>20</v>
      </c>
      <c r="G19" t="n">
        <v>61</v>
      </c>
      <c r="H19" t="n">
        <v>13</v>
      </c>
      <c r="I19" t="n">
        <v>5</v>
      </c>
      <c r="J19" t="n">
        <v>0.01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500</v>
      </c>
      <c r="Q19" t="n">
        <v>200</v>
      </c>
      <c r="R19" t="n">
        <v>2600</v>
      </c>
      <c r="S19" t="n">
        <v>19300</v>
      </c>
      <c r="T19" t="n">
        <v>1500</v>
      </c>
      <c r="U19" t="n">
        <v>400</v>
      </c>
      <c r="V19" t="n">
        <v>7</v>
      </c>
      <c r="W19" t="n">
        <v>622</v>
      </c>
      <c r="X19" t="n">
        <v>0</v>
      </c>
      <c r="Y19" t="n">
        <v>3000</v>
      </c>
      <c r="Z19" t="n">
        <v>0</v>
      </c>
      <c r="AA19" t="n">
        <v>0</v>
      </c>
      <c r="AB19" t="n">
        <v>130</v>
      </c>
      <c r="AC19" t="n">
        <v>5</v>
      </c>
      <c r="AD19" t="n">
        <v>1254</v>
      </c>
      <c r="AE19" t="n">
        <v>66</v>
      </c>
      <c r="AF19" t="n">
        <v>127</v>
      </c>
      <c r="AG19" t="n">
        <v>381</v>
      </c>
      <c r="AH19" t="n">
        <v>0</v>
      </c>
      <c r="AI19" t="n">
        <v>0</v>
      </c>
      <c r="AJ19" t="n">
        <v>5000</v>
      </c>
      <c r="AK19" t="n">
        <v>5000</v>
      </c>
      <c r="AL19" t="n">
        <v>1100</v>
      </c>
      <c r="AM19" t="n">
        <v>1700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1018</v>
      </c>
      <c r="AU19" t="n">
        <v>1696</v>
      </c>
      <c r="AV19" t="n">
        <v>0</v>
      </c>
      <c r="AW19" t="n">
        <v>2713</v>
      </c>
      <c r="AX19" t="n">
        <v>2300</v>
      </c>
      <c r="AY19" t="n">
        <v>0</v>
      </c>
      <c r="AZ19" t="n">
        <v>0</v>
      </c>
      <c r="BA19" t="n">
        <v>2287</v>
      </c>
      <c r="BB19" t="n">
        <v>3700</v>
      </c>
      <c r="BC19" t="n">
        <v>4320</v>
      </c>
      <c r="BD19" t="n">
        <v>0</v>
      </c>
      <c r="BE19" t="n">
        <v>52000</v>
      </c>
      <c r="BF19" t="n">
        <v>0</v>
      </c>
      <c r="BG19">
        <f>IF($F19=0,"0",MIN(
BH19/(30*$F19),
BI19/(61*$F19),
BJ19/(48*$F19),
(BK19+BL19)/(23*$F19),
(BM19+BN19)/(41*$F19),
BO19/(25*$F19),
BP19/(6.6*$F19),
BQ19/(40*$F19),
BS19/(16*$F19)
)*100)</f>
        <v/>
      </c>
      <c r="BH19" t="n">
        <v>1623</v>
      </c>
      <c r="BI19" t="n">
        <v>988</v>
      </c>
      <c r="BJ19" t="n">
        <v>1556</v>
      </c>
      <c r="BK19" t="n">
        <v>157</v>
      </c>
      <c r="BL19" t="n">
        <v>0</v>
      </c>
      <c r="BM19" t="n">
        <v>1175</v>
      </c>
      <c r="BN19" t="n">
        <v>658</v>
      </c>
      <c r="BO19" t="n">
        <v>606</v>
      </c>
      <c r="BP19" t="n">
        <v>1003</v>
      </c>
      <c r="BQ19" t="n">
        <v>1092</v>
      </c>
      <c r="BR19" t="n">
        <v>1556</v>
      </c>
      <c r="BS19" t="n">
        <v>778</v>
      </c>
      <c r="BT19" t="n">
        <v>11192</v>
      </c>
      <c r="BU19" t="n">
        <v>741</v>
      </c>
      <c r="BV19" t="n">
        <v>2349</v>
      </c>
      <c r="BW19" t="n">
        <v>3389</v>
      </c>
      <c r="BX19" t="n">
        <v>711</v>
      </c>
      <c r="BY19" t="n">
        <v>778</v>
      </c>
      <c r="BZ19" t="n">
        <v>711</v>
      </c>
      <c r="CA19" t="n">
        <v>8678</v>
      </c>
      <c r="CB19" t="n">
        <v>222</v>
      </c>
      <c r="CC19" t="n">
        <v>74</v>
      </c>
      <c r="CD19" t="n">
        <v>0</v>
      </c>
      <c r="CE19" t="n">
        <v>100</v>
      </c>
      <c r="CG19" t="n">
        <v>0</v>
      </c>
      <c r="CH19" t="n">
        <v>0</v>
      </c>
      <c r="CI19" t="n">
        <v>0</v>
      </c>
      <c r="CJ19" t="n">
        <v>0</v>
      </c>
      <c r="CK19" t="n">
        <v>0</v>
      </c>
      <c r="CL19" t="n">
        <v>0</v>
      </c>
      <c r="CM19" t="n">
        <v>0</v>
      </c>
      <c r="CN19" t="n">
        <v>149</v>
      </c>
      <c r="CO19" t="n">
        <v>0</v>
      </c>
      <c r="CP19" t="n">
        <v>42</v>
      </c>
      <c r="CQ19" t="n">
        <v>0</v>
      </c>
      <c r="CR19" t="n">
        <v>0</v>
      </c>
      <c r="CS19" t="n">
        <v>0</v>
      </c>
      <c r="CT19" t="n">
        <v>200</v>
      </c>
      <c r="CU19" t="n">
        <v>0</v>
      </c>
      <c r="CV19" t="n">
        <v>0</v>
      </c>
      <c r="CW19" t="n">
        <v>0</v>
      </c>
      <c r="CX19" t="n">
        <v>0</v>
      </c>
      <c r="CY19" t="n">
        <v>50</v>
      </c>
      <c r="CZ19" t="n">
        <v>0</v>
      </c>
      <c r="DA19" t="n">
        <v>0</v>
      </c>
      <c r="DB19" t="n">
        <v>0</v>
      </c>
      <c r="DC19" t="n">
        <v>0</v>
      </c>
      <c r="DD19" t="n">
        <v>0</v>
      </c>
      <c r="DE19" t="n">
        <v>0</v>
      </c>
      <c r="DF19" t="n">
        <v>100</v>
      </c>
      <c r="DG19" t="n">
        <v>0</v>
      </c>
      <c r="DH19" t="n">
        <v>0</v>
      </c>
      <c r="DI19" t="n">
        <v>0</v>
      </c>
      <c r="DJ19" t="n">
        <v>0</v>
      </c>
      <c r="DK19" t="n">
        <v>0</v>
      </c>
      <c r="DL19" t="n">
        <v>0</v>
      </c>
      <c r="DM19" t="n">
        <v>0</v>
      </c>
      <c r="DN19" t="n">
        <v>0</v>
      </c>
      <c r="DO19" t="n">
        <v>0</v>
      </c>
      <c r="DP19" t="n">
        <v>0</v>
      </c>
      <c r="DQ19" t="n">
        <v>0</v>
      </c>
      <c r="DR19" t="n">
        <v>0</v>
      </c>
      <c r="DS19" t="n">
        <v>100</v>
      </c>
      <c r="DT19" t="n">
        <v>371</v>
      </c>
      <c r="DU19" t="n">
        <v>160</v>
      </c>
      <c r="DV19" t="n">
        <v>0</v>
      </c>
      <c r="DW19" t="n">
        <v>0</v>
      </c>
      <c r="DX19" t="n">
        <v>0</v>
      </c>
      <c r="DY19" t="n">
        <v>1651</v>
      </c>
      <c r="DZ19" t="n">
        <v>4445</v>
      </c>
      <c r="EA19" t="n">
        <v>1651</v>
      </c>
      <c r="EB19" t="n">
        <v>4699</v>
      </c>
      <c r="EC19" t="n">
        <v>254</v>
      </c>
      <c r="ED19" t="n">
        <v>1524</v>
      </c>
      <c r="EE19" t="n">
        <v>11176</v>
      </c>
      <c r="EF19" t="n">
        <v>0</v>
      </c>
      <c r="EG19" t="n">
        <v>0</v>
      </c>
      <c r="EH19" t="n">
        <v>1.8</v>
      </c>
      <c r="EI19" t="n">
        <v>11.2</v>
      </c>
      <c r="EJ19" t="n">
        <v>0.5</v>
      </c>
      <c r="EK19" t="n">
        <v>20.5</v>
      </c>
    </row>
    <row r="20">
      <c r="A20">
        <f>[1]ingredient!B18</f>
        <v/>
      </c>
      <c r="B20" t="inlineStr">
        <is>
          <t>https://www.naehrwertrechner.de/naehrwerte/G230111/Mangold+frisch/?menge=100</t>
        </is>
      </c>
      <c r="C20" s="7">
        <f>_xlfn.XLOOKUP(A20,[1]ingredient!$B$2:$B$521,[1]ingredient!$A$2:$A$521)</f>
        <v/>
      </c>
      <c r="D20" t="n">
        <v>25</v>
      </c>
      <c r="E20" t="n">
        <v>0.3</v>
      </c>
      <c r="F20" t="n">
        <v>2</v>
      </c>
      <c r="G20" t="n">
        <v>3</v>
      </c>
      <c r="H20" t="n">
        <v>3</v>
      </c>
      <c r="I20" t="n">
        <v>2</v>
      </c>
      <c r="J20" t="n">
        <v>0.19</v>
      </c>
      <c r="K20" t="n">
        <v>90</v>
      </c>
      <c r="L20" t="n">
        <v>588</v>
      </c>
      <c r="M20" t="n">
        <v>294</v>
      </c>
      <c r="N20" t="n">
        <v>0</v>
      </c>
      <c r="O20" t="n">
        <v>3530</v>
      </c>
      <c r="P20" t="n">
        <v>98</v>
      </c>
      <c r="Q20" t="n">
        <v>160</v>
      </c>
      <c r="R20" t="n">
        <v>650</v>
      </c>
      <c r="S20" t="n">
        <v>1183</v>
      </c>
      <c r="T20" t="n">
        <v>170</v>
      </c>
      <c r="U20" t="n">
        <v>90</v>
      </c>
      <c r="V20" t="n">
        <v>1</v>
      </c>
      <c r="W20" t="n">
        <v>30</v>
      </c>
      <c r="X20" t="n">
        <v>0</v>
      </c>
      <c r="Y20" t="n">
        <v>39000</v>
      </c>
      <c r="Z20" t="n">
        <v>0</v>
      </c>
      <c r="AA20" t="n">
        <v>1500</v>
      </c>
      <c r="AB20" t="n">
        <v>400</v>
      </c>
      <c r="AC20" t="n">
        <v>90</v>
      </c>
      <c r="AD20" t="n">
        <v>376</v>
      </c>
      <c r="AE20" t="n">
        <v>103</v>
      </c>
      <c r="AF20" t="n">
        <v>81</v>
      </c>
      <c r="AG20" t="n">
        <v>39</v>
      </c>
      <c r="AH20" t="n">
        <v>20</v>
      </c>
      <c r="AI20" t="n">
        <v>100</v>
      </c>
      <c r="AJ20" t="n">
        <v>2700</v>
      </c>
      <c r="AK20" t="n">
        <v>343</v>
      </c>
      <c r="AL20" t="n">
        <v>77</v>
      </c>
      <c r="AM20" t="n">
        <v>300</v>
      </c>
      <c r="AN20" t="n">
        <v>60</v>
      </c>
      <c r="AO20" t="n">
        <v>1</v>
      </c>
      <c r="AP20" t="n">
        <v>0</v>
      </c>
      <c r="AQ20" t="n">
        <v>0</v>
      </c>
      <c r="AR20" t="n">
        <v>0</v>
      </c>
      <c r="AS20" t="n">
        <v>0</v>
      </c>
      <c r="AT20" t="n">
        <v>1537</v>
      </c>
      <c r="AU20" t="n">
        <v>638</v>
      </c>
      <c r="AV20" t="n">
        <v>0</v>
      </c>
      <c r="AW20" t="n">
        <v>2175</v>
      </c>
      <c r="AX20" t="n">
        <v>290</v>
      </c>
      <c r="AY20" t="n">
        <v>0</v>
      </c>
      <c r="AZ20" t="n">
        <v>0</v>
      </c>
      <c r="BA20" t="n">
        <v>290</v>
      </c>
      <c r="BB20" t="n">
        <v>0</v>
      </c>
      <c r="BC20" t="n">
        <v>0</v>
      </c>
      <c r="BD20" t="n">
        <v>0</v>
      </c>
      <c r="BE20" t="n">
        <v>435</v>
      </c>
      <c r="BF20" t="n">
        <v>435</v>
      </c>
      <c r="BG20">
        <f>IF($F20=0,"0",MIN(
BH20/(30*$F20),
BI20/(61*$F20),
BJ20/(48*$F20),
(BK20+BL20)/(23*$F20),
(BM20+BN20)/(41*$F20),
BO20/(25*$F20),
BP20/(6.6*$F20),
BQ20/(40*$F20),
BS20/(16*$F20)
)*100)</f>
        <v/>
      </c>
      <c r="BH20" t="n">
        <v>85</v>
      </c>
      <c r="BI20" t="n">
        <v>158</v>
      </c>
      <c r="BJ20" t="n">
        <v>128</v>
      </c>
      <c r="BK20" t="n">
        <v>32</v>
      </c>
      <c r="BL20" t="n">
        <v>21</v>
      </c>
      <c r="BM20" t="n">
        <v>107</v>
      </c>
      <c r="BN20" t="n">
        <v>64</v>
      </c>
      <c r="BO20" t="n">
        <v>96</v>
      </c>
      <c r="BP20" t="n">
        <v>32</v>
      </c>
      <c r="BQ20" t="n">
        <v>128</v>
      </c>
      <c r="BR20" t="n">
        <v>85</v>
      </c>
      <c r="BS20" t="n">
        <v>43</v>
      </c>
      <c r="BT20" t="n">
        <v>979</v>
      </c>
      <c r="BU20" t="n">
        <v>117</v>
      </c>
      <c r="BV20" t="n">
        <v>192</v>
      </c>
      <c r="BW20" t="n">
        <v>213</v>
      </c>
      <c r="BX20" t="n">
        <v>107</v>
      </c>
      <c r="BY20" t="n">
        <v>96</v>
      </c>
      <c r="BZ20" t="n">
        <v>85</v>
      </c>
      <c r="CA20" t="n">
        <v>810</v>
      </c>
      <c r="CB20" t="n">
        <v>57</v>
      </c>
      <c r="CC20" t="n">
        <v>24</v>
      </c>
      <c r="CD20" t="n">
        <v>122</v>
      </c>
      <c r="CE20" t="n">
        <v>41</v>
      </c>
      <c r="CF20" t="n">
        <v>0.34</v>
      </c>
      <c r="CG20" t="n">
        <v>0</v>
      </c>
      <c r="CH20" t="n">
        <v>0</v>
      </c>
      <c r="CI20" t="n">
        <v>0</v>
      </c>
      <c r="CJ20" t="n">
        <v>0</v>
      </c>
      <c r="CK20" t="n">
        <v>0</v>
      </c>
      <c r="CL20" t="n">
        <v>5</v>
      </c>
      <c r="CM20" t="n">
        <v>0</v>
      </c>
      <c r="CN20" t="n">
        <v>43</v>
      </c>
      <c r="CO20" t="n">
        <v>0</v>
      </c>
      <c r="CP20" t="n">
        <v>5</v>
      </c>
      <c r="CQ20" t="n">
        <v>0</v>
      </c>
      <c r="CR20" t="n">
        <v>0</v>
      </c>
      <c r="CS20" t="n">
        <v>0</v>
      </c>
      <c r="CT20" t="n">
        <v>53</v>
      </c>
      <c r="CU20" t="n">
        <v>0</v>
      </c>
      <c r="CV20" t="n">
        <v>0</v>
      </c>
      <c r="CW20" t="n">
        <v>6</v>
      </c>
      <c r="CX20" t="n">
        <v>0</v>
      </c>
      <c r="CY20" t="n">
        <v>18</v>
      </c>
      <c r="CZ20" t="n">
        <v>0</v>
      </c>
      <c r="DA20" t="n">
        <v>0</v>
      </c>
      <c r="DB20" t="n">
        <v>0</v>
      </c>
      <c r="DC20" t="n">
        <v>24</v>
      </c>
      <c r="DD20" t="n">
        <v>0</v>
      </c>
      <c r="DE20" t="n">
        <v>0</v>
      </c>
      <c r="DF20" t="n">
        <v>41</v>
      </c>
      <c r="DG20" t="n">
        <v>122</v>
      </c>
      <c r="DH20" t="n">
        <v>0</v>
      </c>
      <c r="DI20" t="n">
        <v>0</v>
      </c>
      <c r="DJ20" t="n">
        <v>0</v>
      </c>
      <c r="DK20" t="n">
        <v>0</v>
      </c>
      <c r="DL20" t="n">
        <v>0</v>
      </c>
      <c r="DM20" t="n">
        <v>0</v>
      </c>
      <c r="DN20" t="n">
        <v>0</v>
      </c>
      <c r="DO20" t="n">
        <v>0</v>
      </c>
      <c r="DP20" t="n">
        <v>0</v>
      </c>
      <c r="DQ20" t="n">
        <v>0</v>
      </c>
      <c r="DR20" t="n">
        <v>0</v>
      </c>
      <c r="DS20" t="n">
        <v>163</v>
      </c>
      <c r="DT20" t="n">
        <v>240</v>
      </c>
      <c r="DU20" t="n">
        <v>60</v>
      </c>
      <c r="DV20" t="n">
        <v>0</v>
      </c>
      <c r="DW20" t="n">
        <v>0</v>
      </c>
      <c r="DX20" t="n">
        <v>0</v>
      </c>
      <c r="DY20" t="n">
        <v>335</v>
      </c>
      <c r="DZ20" t="n">
        <v>361</v>
      </c>
      <c r="EA20" t="n">
        <v>619</v>
      </c>
      <c r="EB20" t="n">
        <v>1162</v>
      </c>
      <c r="EC20" t="n">
        <v>103</v>
      </c>
      <c r="ED20" t="n">
        <v>645</v>
      </c>
      <c r="EE20" t="n">
        <v>1935</v>
      </c>
      <c r="EF20" t="n">
        <v>0</v>
      </c>
      <c r="EG20" t="n">
        <v>1</v>
      </c>
      <c r="EH20" t="n">
        <v>1.7</v>
      </c>
      <c r="EI20" t="n">
        <v>1.9</v>
      </c>
      <c r="EJ20" t="n">
        <v>0.3</v>
      </c>
      <c r="EK20" t="n">
        <v>2</v>
      </c>
    </row>
    <row r="21">
      <c r="A21">
        <f>[1]ingredient!B19</f>
        <v/>
      </c>
      <c r="B21" t="inlineStr">
        <is>
          <t>https://www.naehrwertrechner.de/naehrwerte/G211111/Blattspinat+frisch/?menge=100</t>
        </is>
      </c>
      <c r="C21" s="7">
        <f>_xlfn.XLOOKUP(A21,[1]ingredient!$B$2:$B$521,[1]ingredient!$A$2:$A$521)</f>
        <v/>
      </c>
      <c r="D21" t="n">
        <v>17</v>
      </c>
      <c r="E21" t="n">
        <v>0.3</v>
      </c>
      <c r="F21" t="n">
        <v>3</v>
      </c>
      <c r="G21" t="n">
        <v>1</v>
      </c>
      <c r="H21" t="n">
        <v>3</v>
      </c>
      <c r="I21" t="n">
        <v>0.47</v>
      </c>
      <c r="J21" t="n">
        <v>0.12</v>
      </c>
      <c r="K21" t="n">
        <v>92</v>
      </c>
      <c r="L21" t="n">
        <v>781</v>
      </c>
      <c r="M21" t="n">
        <v>391</v>
      </c>
      <c r="N21" t="n">
        <v>0</v>
      </c>
      <c r="O21" t="n">
        <v>4687</v>
      </c>
      <c r="P21" t="n">
        <v>110</v>
      </c>
      <c r="Q21" t="n">
        <v>230</v>
      </c>
      <c r="R21" t="n">
        <v>620</v>
      </c>
      <c r="S21" t="n">
        <v>1253</v>
      </c>
      <c r="T21" t="n">
        <v>250</v>
      </c>
      <c r="U21" t="n">
        <v>220</v>
      </c>
      <c r="V21" t="n">
        <v>7</v>
      </c>
      <c r="W21" t="n">
        <v>78</v>
      </c>
      <c r="X21" t="n">
        <v>0</v>
      </c>
      <c r="Y21" t="n">
        <v>52000</v>
      </c>
      <c r="Z21" t="n">
        <v>0</v>
      </c>
      <c r="AA21" t="n">
        <v>1367</v>
      </c>
      <c r="AB21" t="n">
        <v>280</v>
      </c>
      <c r="AC21" t="n">
        <v>65</v>
      </c>
      <c r="AD21" t="n">
        <v>633</v>
      </c>
      <c r="AE21" t="n">
        <v>126</v>
      </c>
      <c r="AF21" t="n">
        <v>58</v>
      </c>
      <c r="AG21" t="n">
        <v>55</v>
      </c>
      <c r="AH21" t="n">
        <v>20</v>
      </c>
      <c r="AI21" t="n">
        <v>54</v>
      </c>
      <c r="AJ21" t="n">
        <v>4100</v>
      </c>
      <c r="AK21" t="n">
        <v>584</v>
      </c>
      <c r="AL21" t="n">
        <v>120</v>
      </c>
      <c r="AM21" t="n">
        <v>474</v>
      </c>
      <c r="AN21" t="n">
        <v>110</v>
      </c>
      <c r="AO21" t="n">
        <v>12</v>
      </c>
      <c r="AP21" t="n">
        <v>0</v>
      </c>
      <c r="AQ21" t="n">
        <v>0</v>
      </c>
      <c r="AR21" t="n">
        <v>0</v>
      </c>
      <c r="AS21" t="n">
        <v>0</v>
      </c>
      <c r="AT21" t="n">
        <v>137</v>
      </c>
      <c r="AU21" t="n">
        <v>110</v>
      </c>
      <c r="AV21" t="n">
        <v>0</v>
      </c>
      <c r="AW21" t="n">
        <v>247</v>
      </c>
      <c r="AX21" t="n">
        <v>220</v>
      </c>
      <c r="AY21" t="n">
        <v>0</v>
      </c>
      <c r="AZ21" t="n">
        <v>0</v>
      </c>
      <c r="BA21" t="n">
        <v>220</v>
      </c>
      <c r="BB21" t="n">
        <v>0</v>
      </c>
      <c r="BC21" t="n">
        <v>0</v>
      </c>
      <c r="BD21" t="n">
        <v>0</v>
      </c>
      <c r="BE21" t="n">
        <v>83</v>
      </c>
      <c r="BF21" t="n">
        <v>83</v>
      </c>
      <c r="BG21">
        <f>IF($F21=0,"0",MIN(
BH21/(30*$F21),
BI21/(61*$F21),
BJ21/(48*$F21),
(BK21+BL21)/(23*$F21),
(BM21+BN21)/(41*$F21),
BO21/(25*$F21),
BP21/(6.6*$F21),
BQ21/(40*$F21),
BS21/(16*$F21)
)*100)</f>
        <v/>
      </c>
      <c r="BH21" t="n">
        <v>121</v>
      </c>
      <c r="BI21" t="n">
        <v>202</v>
      </c>
      <c r="BJ21" t="n">
        <v>164</v>
      </c>
      <c r="BK21" t="n">
        <v>45</v>
      </c>
      <c r="BL21" t="n">
        <v>30</v>
      </c>
      <c r="BM21" t="n">
        <v>126</v>
      </c>
      <c r="BN21" t="n">
        <v>101</v>
      </c>
      <c r="BO21" t="n">
        <v>113</v>
      </c>
      <c r="BP21" t="n">
        <v>38</v>
      </c>
      <c r="BQ21" t="n">
        <v>144</v>
      </c>
      <c r="BR21" t="n">
        <v>141</v>
      </c>
      <c r="BS21" t="n">
        <v>55</v>
      </c>
      <c r="BT21" t="n">
        <v>1280</v>
      </c>
      <c r="BU21" t="n">
        <v>134</v>
      </c>
      <c r="BV21" t="n">
        <v>227</v>
      </c>
      <c r="BW21" t="n">
        <v>297</v>
      </c>
      <c r="BX21" t="n">
        <v>121</v>
      </c>
      <c r="BY21" t="n">
        <v>108</v>
      </c>
      <c r="BZ21" t="n">
        <v>101</v>
      </c>
      <c r="CA21" t="n">
        <v>988</v>
      </c>
      <c r="CB21" t="n">
        <v>57</v>
      </c>
      <c r="CC21" t="n">
        <v>24</v>
      </c>
      <c r="CD21" t="n">
        <v>150</v>
      </c>
      <c r="CE21" t="n">
        <v>30</v>
      </c>
      <c r="CF21" t="n">
        <v>0.2</v>
      </c>
      <c r="CG21" t="n">
        <v>0</v>
      </c>
      <c r="CH21" t="n">
        <v>0</v>
      </c>
      <c r="CI21" t="n">
        <v>0</v>
      </c>
      <c r="CJ21" t="n">
        <v>0</v>
      </c>
      <c r="CK21" t="n">
        <v>0</v>
      </c>
      <c r="CL21" t="n">
        <v>2</v>
      </c>
      <c r="CM21" t="n">
        <v>0</v>
      </c>
      <c r="CN21" t="n">
        <v>30</v>
      </c>
      <c r="CO21" t="n">
        <v>0</v>
      </c>
      <c r="CP21" t="n">
        <v>5</v>
      </c>
      <c r="CQ21" t="n">
        <v>0</v>
      </c>
      <c r="CR21" t="n">
        <v>0</v>
      </c>
      <c r="CS21" t="n">
        <v>0</v>
      </c>
      <c r="CT21" t="n">
        <v>37</v>
      </c>
      <c r="CU21" t="n">
        <v>0</v>
      </c>
      <c r="CV21" t="n">
        <v>0</v>
      </c>
      <c r="CW21" t="n">
        <v>5</v>
      </c>
      <c r="CX21" t="n">
        <v>0</v>
      </c>
      <c r="CY21" t="n">
        <v>18</v>
      </c>
      <c r="CZ21" t="n">
        <v>0</v>
      </c>
      <c r="DA21" t="n">
        <v>0</v>
      </c>
      <c r="DB21" t="n">
        <v>0</v>
      </c>
      <c r="DC21" t="n">
        <v>23</v>
      </c>
      <c r="DD21" t="n">
        <v>0</v>
      </c>
      <c r="DE21" t="n">
        <v>0</v>
      </c>
      <c r="DF21" t="n">
        <v>30</v>
      </c>
      <c r="DG21" t="n">
        <v>150</v>
      </c>
      <c r="DH21" t="n">
        <v>0</v>
      </c>
      <c r="DI21" t="n">
        <v>0</v>
      </c>
      <c r="DJ21" t="n">
        <v>0</v>
      </c>
      <c r="DK21" t="n">
        <v>0</v>
      </c>
      <c r="DL21" t="n">
        <v>0</v>
      </c>
      <c r="DM21" t="n">
        <v>0</v>
      </c>
      <c r="DN21" t="n">
        <v>0</v>
      </c>
      <c r="DO21" t="n">
        <v>0</v>
      </c>
      <c r="DP21" t="n">
        <v>0</v>
      </c>
      <c r="DQ21" t="n">
        <v>0</v>
      </c>
      <c r="DR21" t="n">
        <v>0</v>
      </c>
      <c r="DS21" t="n">
        <v>180</v>
      </c>
      <c r="DT21" t="n">
        <v>240</v>
      </c>
      <c r="DU21" t="n">
        <v>60</v>
      </c>
      <c r="DV21" t="n">
        <v>0</v>
      </c>
      <c r="DW21" t="n">
        <v>0</v>
      </c>
      <c r="DX21" t="n">
        <v>0</v>
      </c>
      <c r="DY21" t="n">
        <v>387</v>
      </c>
      <c r="DZ21" t="n">
        <v>387</v>
      </c>
      <c r="EA21" t="n">
        <v>645</v>
      </c>
      <c r="EB21" t="n">
        <v>1032</v>
      </c>
      <c r="EC21" t="n">
        <v>129</v>
      </c>
      <c r="ED21" t="n">
        <v>645</v>
      </c>
      <c r="EE21" t="n">
        <v>1935</v>
      </c>
      <c r="EF21" t="n">
        <v>0</v>
      </c>
      <c r="EG21" t="n">
        <v>1</v>
      </c>
      <c r="EH21" t="n">
        <v>1.5</v>
      </c>
      <c r="EI21" t="n">
        <v>1.9</v>
      </c>
      <c r="EJ21" t="n">
        <v>0.3</v>
      </c>
      <c r="EK21" t="n">
        <v>2.5</v>
      </c>
    </row>
    <row r="22">
      <c r="A22">
        <f>[1]ingredient!B20</f>
        <v/>
      </c>
      <c r="B22" t="inlineStr">
        <is>
          <t>https://www.naehrwertrechner.de/naehrwerte/R421111/Backpulver/?menge=100</t>
        </is>
      </c>
      <c r="C22" s="7">
        <f>_xlfn.XLOOKUP(A22,[1]ingredient!$B$2:$B$521,[1]ingredient!$A$2:$A$521)</f>
        <v/>
      </c>
      <c r="D22" t="n">
        <v>155</v>
      </c>
      <c r="E22" t="n">
        <v>0</v>
      </c>
      <c r="F22" t="n">
        <v>1</v>
      </c>
      <c r="G22" t="n">
        <v>38</v>
      </c>
      <c r="H22" t="n">
        <v>0</v>
      </c>
      <c r="I22" t="n">
        <v>0</v>
      </c>
      <c r="J22" t="n">
        <v>12</v>
      </c>
      <c r="K22" t="n">
        <v>38</v>
      </c>
      <c r="L22" t="n">
        <v>0</v>
      </c>
      <c r="M22" t="n">
        <v>0</v>
      </c>
      <c r="N22" t="n">
        <v>0</v>
      </c>
      <c r="O22" t="n">
        <v>0</v>
      </c>
      <c r="P22" t="n">
        <v>1</v>
      </c>
      <c r="Q22" t="n">
        <v>1</v>
      </c>
      <c r="R22" t="n">
        <v>1</v>
      </c>
      <c r="S22" t="n">
        <v>68</v>
      </c>
      <c r="T22" t="n">
        <v>1</v>
      </c>
      <c r="U22" t="n">
        <v>1</v>
      </c>
      <c r="V22" t="n">
        <v>0.1</v>
      </c>
      <c r="W22" t="n">
        <v>1</v>
      </c>
      <c r="X22" t="n">
        <v>0</v>
      </c>
      <c r="Y22" t="n">
        <v>0</v>
      </c>
      <c r="Z22" t="n">
        <v>0</v>
      </c>
      <c r="AA22" t="n">
        <v>1</v>
      </c>
      <c r="AB22" t="n">
        <v>0</v>
      </c>
      <c r="AC22" t="n">
        <v>11800</v>
      </c>
      <c r="AD22" t="n">
        <v>49</v>
      </c>
      <c r="AE22" t="n">
        <v>1130</v>
      </c>
      <c r="AF22" t="n">
        <v>9</v>
      </c>
      <c r="AG22" t="n">
        <v>8430</v>
      </c>
      <c r="AH22" t="n">
        <v>50</v>
      </c>
      <c r="AI22" t="n">
        <v>29</v>
      </c>
      <c r="AJ22" t="n">
        <v>1</v>
      </c>
      <c r="AK22" t="n">
        <v>2800</v>
      </c>
      <c r="AL22" t="n">
        <v>1</v>
      </c>
      <c r="AM22" t="n">
        <v>1</v>
      </c>
      <c r="AN22" t="n">
        <v>0</v>
      </c>
      <c r="AO22" t="n">
        <v>0.1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37800</v>
      </c>
      <c r="BF22" t="n">
        <v>37800</v>
      </c>
      <c r="BG22">
        <f>IF($F22=0,"0",MIN(
BH22/(30*$F22),
BI22/(61*$F22),
BJ22/(48*$F22),
(BK22+BL22)/(23*$F22),
(BM22+BN22)/(41*$F22),
BO22/(25*$F22),
BP22/(6.6*$F22),
BQ22/(40*$F22),
BS22/(16*$F22)
)*100)</f>
        <v/>
      </c>
      <c r="BH22" t="n">
        <v>19</v>
      </c>
      <c r="BI22" t="n">
        <v>65</v>
      </c>
      <c r="BJ22" t="n">
        <v>14</v>
      </c>
      <c r="BK22" t="n">
        <v>10</v>
      </c>
      <c r="BL22" t="n">
        <v>8</v>
      </c>
      <c r="BM22" t="n">
        <v>25</v>
      </c>
      <c r="BN22" t="n">
        <v>20</v>
      </c>
      <c r="BO22" t="n">
        <v>19</v>
      </c>
      <c r="BP22" t="n">
        <v>4</v>
      </c>
      <c r="BQ22" t="n">
        <v>25</v>
      </c>
      <c r="BR22" t="n">
        <v>21</v>
      </c>
      <c r="BS22" t="n">
        <v>14</v>
      </c>
      <c r="BT22" t="n">
        <v>244</v>
      </c>
      <c r="BU22" t="n">
        <v>39</v>
      </c>
      <c r="BV22" t="n">
        <v>32</v>
      </c>
      <c r="BW22" t="n">
        <v>97</v>
      </c>
      <c r="BX22" t="n">
        <v>19</v>
      </c>
      <c r="BY22" t="n">
        <v>46</v>
      </c>
      <c r="BZ22" t="n">
        <v>25</v>
      </c>
      <c r="CA22" t="n">
        <v>258</v>
      </c>
      <c r="CB22" t="n">
        <v>0</v>
      </c>
      <c r="CC22" t="n">
        <v>0</v>
      </c>
      <c r="CD22" t="n">
        <v>0</v>
      </c>
      <c r="CE22" t="n">
        <v>0</v>
      </c>
      <c r="CF22" t="n">
        <v>1</v>
      </c>
      <c r="CG22" t="n">
        <v>0</v>
      </c>
      <c r="CH22" t="n">
        <v>0</v>
      </c>
      <c r="CI22" t="n">
        <v>0</v>
      </c>
      <c r="CJ22" t="n">
        <v>0</v>
      </c>
      <c r="CK22" t="n">
        <v>0</v>
      </c>
      <c r="CL22" t="n">
        <v>0</v>
      </c>
      <c r="CM22" t="n">
        <v>0</v>
      </c>
      <c r="CN22" t="n">
        <v>0</v>
      </c>
      <c r="CO22" t="n">
        <v>0</v>
      </c>
      <c r="CP22" t="n">
        <v>0</v>
      </c>
      <c r="CQ22" t="n">
        <v>0</v>
      </c>
      <c r="CR22" t="n">
        <v>0</v>
      </c>
      <c r="CS22" t="n">
        <v>0</v>
      </c>
      <c r="CT22" t="n">
        <v>0</v>
      </c>
      <c r="CU22" t="n">
        <v>0</v>
      </c>
      <c r="CV22" t="n">
        <v>0</v>
      </c>
      <c r="CW22" t="n">
        <v>0</v>
      </c>
      <c r="CX22" t="n">
        <v>0</v>
      </c>
      <c r="CY22" t="n">
        <v>0</v>
      </c>
      <c r="CZ22" t="n">
        <v>0</v>
      </c>
      <c r="DA22" t="n">
        <v>0</v>
      </c>
      <c r="DB22" t="n">
        <v>0</v>
      </c>
      <c r="DC22" t="n">
        <v>0</v>
      </c>
      <c r="DD22" t="n">
        <v>0</v>
      </c>
      <c r="DE22" t="n">
        <v>0</v>
      </c>
      <c r="DF22" t="n">
        <v>0</v>
      </c>
      <c r="DG22" t="n">
        <v>0</v>
      </c>
      <c r="DH22" t="n">
        <v>0</v>
      </c>
      <c r="DI22" t="n">
        <v>0</v>
      </c>
      <c r="DJ22" t="n">
        <v>0</v>
      </c>
      <c r="DK22" t="n">
        <v>0</v>
      </c>
      <c r="DL22" t="n">
        <v>0</v>
      </c>
      <c r="DM22" t="n">
        <v>0</v>
      </c>
      <c r="DN22" t="n">
        <v>0</v>
      </c>
      <c r="DO22" t="n">
        <v>0</v>
      </c>
      <c r="DP22" t="n">
        <v>0</v>
      </c>
      <c r="DQ22" t="n">
        <v>0</v>
      </c>
      <c r="DR22" t="n">
        <v>0</v>
      </c>
      <c r="DS22" t="n">
        <v>0</v>
      </c>
      <c r="DT22" t="n">
        <v>0</v>
      </c>
      <c r="DU22" t="n">
        <v>1</v>
      </c>
      <c r="DV22" t="n">
        <v>0</v>
      </c>
      <c r="DW22" t="n">
        <v>0</v>
      </c>
      <c r="DX22" t="n">
        <v>0</v>
      </c>
      <c r="DY22" t="n">
        <v>0</v>
      </c>
      <c r="DZ22" t="n">
        <v>0</v>
      </c>
      <c r="EA22" t="n">
        <v>0</v>
      </c>
      <c r="EB22" t="n">
        <v>0</v>
      </c>
      <c r="EC22" t="n">
        <v>0</v>
      </c>
      <c r="ED22" t="n">
        <v>0</v>
      </c>
      <c r="EE22" t="n">
        <v>0</v>
      </c>
      <c r="EF22" t="n">
        <v>0</v>
      </c>
      <c r="EG22" t="n">
        <v>0</v>
      </c>
      <c r="EH22" t="n">
        <v>23.9</v>
      </c>
      <c r="EI22" t="n">
        <v>0</v>
      </c>
      <c r="EJ22" t="n">
        <v>0</v>
      </c>
      <c r="EK22" t="n">
        <v>0.5</v>
      </c>
    </row>
    <row r="23">
      <c r="A23" s="9">
        <f>[1]ingredient!B21</f>
        <v/>
      </c>
      <c r="C23" s="7">
        <f>_xlfn.XLOOKUP(A23,[1]ingredient!$B$2:$B$521,[1]ingredient!$A$2:$A$521)</f>
        <v/>
      </c>
      <c r="D23" s="10">
        <f>(4+D307+4*D296+D212+D461+D217+D280+D276+D166+D177)/15</f>
        <v/>
      </c>
      <c r="E23" s="10">
        <f>(4+E307+4*E296+E212+E461+E217+E280+E276+E166+E177)/15</f>
        <v/>
      </c>
      <c r="F23" s="10">
        <f>(4+F307+4*F296+F212+F461+F217+F280+F276+F166+F177)/15</f>
        <v/>
      </c>
      <c r="G23" s="10">
        <f>(4+G307+4*G296+G212+G461+G217+G280+G276+G166+G177)/15</f>
        <v/>
      </c>
      <c r="H23" s="10">
        <f>(4+H307+4*H296+H212+H461+H217+H280+H276+H166+H177)/15</f>
        <v/>
      </c>
      <c r="I23" s="10">
        <f>(4+I307+4*I296+I212+I461+I217+I280+I276+I166+I177)/15</f>
        <v/>
      </c>
      <c r="J23" s="10">
        <f>(4+J307+4*J296+J212+J461+J217+J280+J276+J166+J177)/15</f>
        <v/>
      </c>
      <c r="K23" s="10">
        <f>(4+K307+4*K296+K212+K461+K217+K280+K276+K166+K177)/15</f>
        <v/>
      </c>
      <c r="L23" s="10">
        <f>(4+L307+4*L296+L212+L461+L217+L280+L276+L166+L177)/15</f>
        <v/>
      </c>
      <c r="M23" s="10">
        <f>(4+M307+4*M296+M212+M461+M217+M280+M276+M166+M177)/15</f>
        <v/>
      </c>
      <c r="N23" s="10">
        <f>(4+N307+4*N296+N212+N461+N217+N280+N276+N166+N177)/15</f>
        <v/>
      </c>
      <c r="O23" s="10">
        <f>(4+O307+4*O296+O212+O461+O217+O280+O276+O166+O177)/15</f>
        <v/>
      </c>
      <c r="P23" s="10">
        <f>(4+P307+4*P296+P212+P461+P217+P280+P276+P166+P177)/15</f>
        <v/>
      </c>
      <c r="Q23" s="10">
        <f>(4+Q307+4*Q296+Q212+Q461+Q217+Q280+Q276+Q166+Q177)/15</f>
        <v/>
      </c>
      <c r="R23" s="10">
        <f>(4+R307+4*R296+R212+R461+R217+R280+R276+R166+R177)/15</f>
        <v/>
      </c>
      <c r="S23" s="10">
        <f>(4+S307+4*S296+S212+S461+S217+S280+S276+S166+S177)/15</f>
        <v/>
      </c>
      <c r="T23" s="10">
        <f>(4+T307+4*T296+T212+T461+T217+T280+T276+T166+T177)/15</f>
        <v/>
      </c>
      <c r="U23" s="10">
        <f>(4+U307+4*U296+U212+U461+U217+U280+U276+U166+U177)/15</f>
        <v/>
      </c>
      <c r="V23" s="10">
        <f>(4+V307+4*V296+V212+V461+V217+V280+V276+V166+V177)/15</f>
        <v/>
      </c>
      <c r="W23" s="10">
        <f>(4+W307+4*W296+W212+W461+W217+W280+W276+W166+W177)/15</f>
        <v/>
      </c>
      <c r="X23" s="10">
        <f>(4+X307+4*X296+X212+X461+X217+X280+X276+X166+X177)/15</f>
        <v/>
      </c>
      <c r="Y23" s="10">
        <f>(4+Y307+4*Y296+Y212+Y461+Y217+Y280+Y276+Y166+Y177)/15</f>
        <v/>
      </c>
      <c r="Z23" s="10">
        <f>(4+Z307+4*Z296+Z212+Z461+Z217+Z280+Z276+Z166+Z177)/15</f>
        <v/>
      </c>
      <c r="AA23" s="10">
        <f>(4+AA307+4*AA296+AA212+AA461+AA217+AA280+AA276+AA166+AA177)/15</f>
        <v/>
      </c>
      <c r="AB23" s="10">
        <f>(4+AB307+4*AB296+AB212+AB461+AB217+AB280+AB276+AB166+AB177)/15</f>
        <v/>
      </c>
      <c r="AC23" s="10">
        <f>(4+AC307+4*AC296+AC212+AC461+AC217+AC280+AC276+AC166+AC177)/15</f>
        <v/>
      </c>
      <c r="AD23" s="10">
        <f>(4+AD307+4*AD296+AD212+AD461+AD217+AD280+AD276+AD166+AD177)/15</f>
        <v/>
      </c>
      <c r="AE23" s="10">
        <f>(4+AE307+4*AE296+AE212+AE461+AE217+AE280+AE276+AE166+AE177)/15</f>
        <v/>
      </c>
      <c r="AF23" s="10">
        <f>(4+AF307+4*AF296+AF212+AF461+AF217+AF280+AF276+AF166+AF177)/15</f>
        <v/>
      </c>
      <c r="AG23" s="10">
        <f>(4+AG307+4*AG296+AG212+AG461+AG217+AG280+AG276+AG166+AG177)/15</f>
        <v/>
      </c>
      <c r="AH23" s="10">
        <f>(4+AH307+4*AH296+AH212+AH461+AH217+AH280+AH276+AH166+AH177)/15</f>
        <v/>
      </c>
      <c r="AI23" s="10">
        <f>(4+AI307+4*AI296+AI212+AI461+AI217+AI280+AI276+AI166+AI177)/15</f>
        <v/>
      </c>
      <c r="AJ23" s="10">
        <f>(4+AJ307+4*AJ296+AJ212+AJ461+AJ217+AJ280+AJ276+AJ166+AJ177)/15</f>
        <v/>
      </c>
      <c r="AK23" s="10">
        <f>(4+AK307+4*AK296+AK212+AK461+AK217+AK280+AK276+AK166+AK177)/15</f>
        <v/>
      </c>
      <c r="AL23" s="10">
        <f>(4+AL307+4*AL296+AL212+AL461+AL217+AL280+AL276+AL166+AL177)/15</f>
        <v/>
      </c>
      <c r="AM23" s="10">
        <f>(4+AM307+4*AM296+AM212+AM461+AM217+AM280+AM276+AM166+AM177)/15</f>
        <v/>
      </c>
      <c r="AN23" s="10">
        <f>(4+AN307+4*AN296+AN212+AN461+AN217+AN280+AN276+AN166+AN177)/15</f>
        <v/>
      </c>
      <c r="AO23" s="10">
        <f>(4+AO307+4*AO296+AO212+AO461+AO217+AO280+AO276+AO166+AO177)/15</f>
        <v/>
      </c>
      <c r="AP23" s="10">
        <f>(4+AP307+4*AP296+AP212+AP461+AP217+AP280+AP276+AP166+AP177)/15</f>
        <v/>
      </c>
      <c r="AQ23" s="10">
        <f>(4+AQ307+4*AQ296+AQ212+AQ461+AQ217+AQ280+AQ276+AQ166+AQ177)/15</f>
        <v/>
      </c>
      <c r="AR23" s="10">
        <f>(4+AR307+4*AR296+AR212+AR461+AR217+AR280+AR276+AR166+AR177)/15</f>
        <v/>
      </c>
      <c r="AS23" s="10">
        <f>(4+AS307+4*AS296+AS212+AS461+AS217+AS280+AS276+AS166+AS177)/15</f>
        <v/>
      </c>
      <c r="AT23" s="10">
        <f>(4+AT307+4*AT296+AT212+AT461+AT217+AT280+AT276+AT166+AT177)/15</f>
        <v/>
      </c>
      <c r="AU23" s="10">
        <f>(4+AU307+4*AU296+AU212+AU461+AU217+AU280+AU276+AU166+AU177)/15</f>
        <v/>
      </c>
      <c r="AV23" s="10">
        <f>(4+AV307+4*AV296+AV212+AV461+AV217+AV280+AV276+AV166+AV177)/15</f>
        <v/>
      </c>
      <c r="AW23" s="10">
        <f>(4+AW307+4*AW296+AW212+AW461+AW217+AW280+AW276+AW166+AW177)/15</f>
        <v/>
      </c>
      <c r="AX23" s="10">
        <f>(4+AX307+4*AX296+AX212+AX461+AX217+AX280+AX276+AX166+AX177)/15</f>
        <v/>
      </c>
      <c r="AY23" s="10">
        <f>(4+AY307+4*AY296+AY212+AY461+AY217+AY280+AY276+AY166+AY177)/15</f>
        <v/>
      </c>
      <c r="AZ23" s="10">
        <f>(4+AZ307+4*AZ296+AZ212+AZ461+AZ217+AZ280+AZ276+AZ166+AZ177)/15</f>
        <v/>
      </c>
      <c r="BA23" s="10">
        <f>(4+BA307+4*BA296+BA212+BA461+BA217+BA280+BA276+BA166+BA177)/15</f>
        <v/>
      </c>
      <c r="BB23" s="10">
        <f>(4+BB307+4*BB296+BB212+BB461+BB217+BB280+BB276+BB166+BB177)/15</f>
        <v/>
      </c>
      <c r="BC23" s="10">
        <f>(4+BC307+4*BC296+BC212+BC461+BC217+BC280+BC276+BC166+BC177)/15</f>
        <v/>
      </c>
      <c r="BD23" s="10">
        <f>(4+BD307+4*BD296+BD212+BD461+BD217+BD280+BD276+BD166+BD177)/15</f>
        <v/>
      </c>
      <c r="BE23" s="10">
        <f>(4+BE307+4*BE296+BE212+BE461+BE217+BE280+BE276+BE166+BE177)/15</f>
        <v/>
      </c>
      <c r="BF23" s="10">
        <f>(4+BF307+4*BF296+BF212+BF461+BF217+BF280+BF276+BF166+BF177)/15</f>
        <v/>
      </c>
      <c r="BG23">
        <f>IF($F23=0,"0",MIN(
BH23/(30*$F23),
BI23/(61*$F23),
BJ23/(48*$F23),
(BK23+BL23)/(23*$F23),
(BM23+BN23)/(41*$F23),
BO23/(25*$F23),
BP23/(6.6*$F23),
BQ23/(40*$F23),
BS23/(16*$F23)
)*100)</f>
        <v/>
      </c>
      <c r="BH23" s="10">
        <f>(4+BH307+4*BH296+BH212+BH461+BH217+BH280+BH276+BH166+BH177)/15</f>
        <v/>
      </c>
      <c r="BI23" s="10">
        <f>(4+BI307+4*BI296+BI212+BI461+BI217+BI280+BI276+BI166+BI177)/15</f>
        <v/>
      </c>
      <c r="BJ23" s="10">
        <f>(4+BJ307+4*BJ296+BJ212+BJ461+BJ217+BJ280+BJ276+BJ166+BJ177)/15</f>
        <v/>
      </c>
      <c r="BK23" s="10">
        <f>(4+BK307+4*BK296+BK212+BK461+BK217+BK280+BK276+BK166+BK177)/15</f>
        <v/>
      </c>
      <c r="BL23" s="10">
        <f>(4+BL307+4*BL296+BL212+BL461+BL217+BL280+BL276+BL166+BL177)/15</f>
        <v/>
      </c>
      <c r="BM23" s="10">
        <f>(4+BM307+4*BM296+BM212+BM461+BM217+BM280+BM276+BM166+BM177)/15</f>
        <v/>
      </c>
      <c r="BN23" s="10">
        <f>(4+BN307+4*BN296+BN212+BN461+BN217+BN280+BN276+BN166+BN177)/15</f>
        <v/>
      </c>
      <c r="BO23" s="10">
        <f>(4+BO307+4*BO296+BO212+BO461+BO217+BO280+BO276+BO166+BO177)/15</f>
        <v/>
      </c>
      <c r="BP23" s="10">
        <f>(4+BP307+4*BP296+BP212+BP461+BP217+BP280+BP276+BP166+BP177)/15</f>
        <v/>
      </c>
      <c r="BQ23" s="10">
        <f>(4+BQ307+4*BQ296+BQ212+BQ461+BQ217+BQ280+BQ276+BQ166+BQ177)/15</f>
        <v/>
      </c>
      <c r="BR23" s="10">
        <f>(4+BR307+4*BR296+BR212+BR461+BR217+BR280+BR276+BR166+BR177)/15</f>
        <v/>
      </c>
      <c r="BS23" s="10">
        <f>(4+BS307+4*BS296+BS212+BS461+BS217+BS280+BS276+BS166+BS177)/15</f>
        <v/>
      </c>
      <c r="BT23" s="10">
        <f>(4+BT307+4*BT296+BT212+BT461+BT217+BT280+BT276+BT166+BT177)/15</f>
        <v/>
      </c>
      <c r="BU23" s="10">
        <f>(4+BU307+4*BU296+BU212+BU461+BU217+BU280+BU276+BU166+BU177)/15</f>
        <v/>
      </c>
      <c r="BV23" s="10">
        <f>(4+BV307+4*BV296+BV212+BV461+BV217+BV280+BV276+BV166+BV177)/15</f>
        <v/>
      </c>
      <c r="BW23" s="10">
        <f>(4+BW307+4*BW296+BW212+BW461+BW217+BW280+BW276+BW166+BW177)/15</f>
        <v/>
      </c>
      <c r="BX23" s="10">
        <f>(4+BX307+4*BX296+BX212+BX461+BX217+BX280+BX276+BX166+BX177)/15</f>
        <v/>
      </c>
      <c r="BY23" s="10">
        <f>(4+BY307+4*BY296+BY212+BY461+BY217+BY280+BY276+BY166+BY177)/15</f>
        <v/>
      </c>
      <c r="BZ23" s="10">
        <f>(4+BZ307+4*BZ296+BZ212+BZ461+BZ217+BZ280+BZ276+BZ166+BZ177)/15</f>
        <v/>
      </c>
      <c r="CA23" s="10">
        <f>(4+CA307+4*CA296+CA212+CA461+CA217+CA280+CA276+CA166+CA177)/15</f>
        <v/>
      </c>
      <c r="CB23" s="10">
        <f>(4+CB307+4*CB296+CB212+CB461+CB217+CB280+CB276+CB166+CB177)/15</f>
        <v/>
      </c>
      <c r="CC23" s="10">
        <f>(4+CC307+4*CC296+CC212+CC461+CC217+CC280+CC276+CC166+CC177)/15</f>
        <v/>
      </c>
      <c r="CD23" s="10">
        <f>(4+CD307+4*CD296+CD212+CD461+CD217+CD280+CD276+CD166+CD177)/15</f>
        <v/>
      </c>
      <c r="CE23" s="10">
        <f>(4+CE307+4*CE296+CE212+CE461+CE217+CE280+CE276+CE166+CE177)/15</f>
        <v/>
      </c>
      <c r="CF23" s="10">
        <f>(4+CF307+4*CF296+CF212+CF461+CF217+CF280+CF276+CF166+CF177)/15</f>
        <v/>
      </c>
      <c r="CG23" s="10">
        <f>(4+CG307+4*CG296+CG212+CG461+CG217+CG280+CG276+CG166+CG177)/15</f>
        <v/>
      </c>
      <c r="CH23" s="10">
        <f>(4+CH307+4*CH296+CH212+CH461+CH217+CH280+CH276+CH166+CH177)/15</f>
        <v/>
      </c>
      <c r="CI23" s="10">
        <f>(4+CI307+4*CI296+CI212+CI461+CI217+CI280+CI276+CI166+CI177)/15</f>
        <v/>
      </c>
      <c r="CJ23" s="10">
        <f>(4+CJ307+4*CJ296+CJ212+CJ461+CJ217+CJ280+CJ276+CJ166+CJ177)/15</f>
        <v/>
      </c>
      <c r="CK23" s="10">
        <f>(4+CK307+4*CK296+CK212+CK461+CK217+CK280+CK276+CK166+CK177)/15</f>
        <v/>
      </c>
      <c r="CL23" s="10">
        <f>(4+CL307+4*CL296+CL212+CL461+CL217+CL280+CL276+CL166+CL177)/15</f>
        <v/>
      </c>
      <c r="CM23" s="10">
        <f>(4+CM307+4*CM296+CM212+CM461+CM217+CM280+CM276+CM166+CM177)/15</f>
        <v/>
      </c>
      <c r="CN23" s="10">
        <f>(4+CN307+4*CN296+CN212+CN461+CN217+CN280+CN276+CN166+CN177)/15</f>
        <v/>
      </c>
      <c r="CO23" s="10">
        <f>(4+CO307+4*CO296+CO212+CO461+CO217+CO280+CO276+CO166+CO177)/15</f>
        <v/>
      </c>
      <c r="CP23" s="10">
        <f>(4+CP307+4*CP296+CP212+CP461+CP217+CP280+CP276+CP166+CP177)/15</f>
        <v/>
      </c>
      <c r="CQ23" s="10">
        <f>(4+CQ307+4*CQ296+CQ212+CQ461+CQ217+CQ280+CQ276+CQ166+CQ177)/15</f>
        <v/>
      </c>
      <c r="CR23" s="10">
        <f>(4+CR307+4*CR296+CR212+CR461+CR217+CR280+CR276+CR166+CR177)/15</f>
        <v/>
      </c>
      <c r="CS23" s="10">
        <f>(4+CS307+4*CS296+CS212+CS461+CS217+CS280+CS276+CS166+CS177)/15</f>
        <v/>
      </c>
      <c r="CT23" s="10">
        <f>(4+CT307+4*CT296+CT212+CT461+CT217+CT280+CT276+CT166+CT177)/15</f>
        <v/>
      </c>
      <c r="CU23" s="10">
        <f>(4+CU307+4*CU296+CU212+CU461+CU217+CU280+CU276+CU166+CU177)/15</f>
        <v/>
      </c>
      <c r="CV23" s="10">
        <f>(4+CV307+4*CV296+CV212+CV461+CV217+CV280+CV276+CV166+CV177)/15</f>
        <v/>
      </c>
      <c r="CW23" s="10">
        <f>(4+CW307+4*CW296+CW212+CW461+CW217+CW280+CW276+CW166+CW177)/15</f>
        <v/>
      </c>
      <c r="CX23" s="10">
        <f>(4+CX307+4*CX296+CX212+CX461+CX217+CX280+CX276+CX166+CX177)/15</f>
        <v/>
      </c>
      <c r="CY23" s="10">
        <f>(4+CY307+4*CY296+CY212+CY461+CY217+CY280+CY276+CY166+CY177)/15</f>
        <v/>
      </c>
      <c r="CZ23" s="10">
        <f>(4+CZ307+4*CZ296+CZ212+CZ461+CZ217+CZ280+CZ276+CZ166+CZ177)/15</f>
        <v/>
      </c>
      <c r="DA23" s="10">
        <f>(4+DA307+4*DA296+DA212+DA461+DA217+DA280+DA276+DA166+DA177)/15</f>
        <v/>
      </c>
      <c r="DB23" s="10">
        <f>(4+DB307+4*DB296+DB212+DB461+DB217+DB280+DB276+DB166+DB177)/15</f>
        <v/>
      </c>
      <c r="DC23" s="10">
        <f>(4+DC307+4*DC296+DC212+DC461+DC217+DC280+DC276+DC166+DC177)/15</f>
        <v/>
      </c>
      <c r="DD23" s="10">
        <f>(4+DD307+4*DD296+DD212+DD461+DD217+DD280+DD276+DD166+DD177)/15</f>
        <v/>
      </c>
      <c r="DE23" s="10">
        <f>(4+DE307+4*DE296+DE212+DE461+DE217+DE280+DE276+DE166+DE177)/15</f>
        <v/>
      </c>
      <c r="DF23" s="10">
        <f>(4+DF307+4*DF296+DF212+DF461+DF217+DF280+DF276+DF166+DF177)/15</f>
        <v/>
      </c>
      <c r="DG23" s="10">
        <f>(4+DG307+4*DG296+DG212+DG461+DG217+DG280+DG276+DG166+DG177)/15</f>
        <v/>
      </c>
      <c r="DH23" s="10">
        <f>(4+DH307+4*DH296+DH212+DH461+DH217+DH280+DH276+DH166+DH177)/15</f>
        <v/>
      </c>
      <c r="DI23" s="10">
        <f>(4+DI307+4*DI296+DI212+DI461+DI217+DI280+DI276+DI166+DI177)/15</f>
        <v/>
      </c>
      <c r="DJ23" s="10">
        <f>(4+DJ307+4*DJ296+DJ212+DJ461+DJ217+DJ280+DJ276+DJ166+DJ177)/15</f>
        <v/>
      </c>
      <c r="DK23" s="10">
        <f>(4+DK307+4*DK296+DK212+DK461+DK217+DK280+DK276+DK166+DK177)/15</f>
        <v/>
      </c>
      <c r="DL23" s="10">
        <f>(4+DL307+4*DL296+DL212+DL461+DL217+DL280+DL276+DL166+DL177)/15</f>
        <v/>
      </c>
      <c r="DM23" s="10">
        <f>(4+DM307+4*DM296+DM212+DM461+DM217+DM280+DM276+DM166+DM177)/15</f>
        <v/>
      </c>
      <c r="DN23" s="10">
        <f>(4+DN307+4*DN296+DN212+DN461+DN217+DN280+DN276+DN166+DN177)/15</f>
        <v/>
      </c>
      <c r="DO23" s="10">
        <f>(4+DO307+4*DO296+DO212+DO461+DO217+DO280+DO276+DO166+DO177)/15</f>
        <v/>
      </c>
      <c r="DP23" s="10">
        <f>(4+DP307+4*DP296+DP212+DP461+DP217+DP280+DP276+DP166+DP177)/15</f>
        <v/>
      </c>
      <c r="DQ23" s="10">
        <f>(4+DQ307+4*DQ296+DQ212+DQ461+DQ217+DQ280+DQ276+DQ166+DQ177)/15</f>
        <v/>
      </c>
      <c r="DR23" s="10">
        <f>(4+DR307+4*DR296+DR212+DR461+DR217+DR280+DR276+DR166+DR177)/15</f>
        <v/>
      </c>
      <c r="DS23" s="10">
        <f>(4+DS307+4*DS296+DS212+DS461+DS217+DS280+DS276+DS166+DS177)/15</f>
        <v/>
      </c>
      <c r="DT23" s="10">
        <f>(4+DT307+4*DT296+DT212+DT461+DT217+DT280+DT276+DT166+DT177)/15</f>
        <v/>
      </c>
      <c r="DU23" s="10">
        <f>(4+DU307+4*DU296+DU212+DU461+DU217+DU280+DU276+DU166+DU177)/15</f>
        <v/>
      </c>
      <c r="DV23" s="10">
        <f>(4+DV307+4*DV296+DV212+DV461+DV217+DV280+DV276+DV166+DV177)/15</f>
        <v/>
      </c>
      <c r="DW23" s="10">
        <f>(4+DW307+4*DW296+DW212+DW461+DW217+DW280+DW276+DW166+DW177)/15</f>
        <v/>
      </c>
      <c r="DX23" s="10">
        <f>(4+DX307+4*DX296+DX212+DX461+DX217+DX280+DX276+DX166+DX177)/15</f>
        <v/>
      </c>
      <c r="DY23" s="10">
        <f>(4+DY307+4*DY296+DY212+DY461+DY217+DY280+DY276+DY166+DY177)/15</f>
        <v/>
      </c>
      <c r="DZ23" s="10">
        <f>(4+DZ307+4*DZ296+DZ212+DZ461+DZ217+DZ280+DZ276+DZ166+DZ177)/15</f>
        <v/>
      </c>
      <c r="EA23" s="10">
        <f>(4+EA307+4*EA296+EA212+EA461+EA217+EA280+EA276+EA166+EA177)/15</f>
        <v/>
      </c>
      <c r="EB23" s="10">
        <f>(4+EB307+4*EB296+EB212+EB461+EB217+EB280+EB276+EB166+EB177)/15</f>
        <v/>
      </c>
      <c r="EC23" s="10">
        <f>(4+EC307+4*EC296+EC212+EC461+EC217+EC280+EC276+EC166+EC177)/15</f>
        <v/>
      </c>
      <c r="ED23" s="10">
        <f>(4+ED307+4*ED296+ED212+ED461+ED217+ED280+ED276+ED166+ED177)/15</f>
        <v/>
      </c>
      <c r="EE23" s="10">
        <f>(4+EE307+4*EE296+EE212+EE461+EE217+EE280+EE276+EE166+EE177)/15</f>
        <v/>
      </c>
      <c r="EF23" s="10">
        <f>(4+EF307+4*EF296+EF212+EF461+EF217+EF280+EF276+EF166+EF177)/15</f>
        <v/>
      </c>
      <c r="EG23" s="10">
        <f>(4+EG307+4*EG296+EG212+EG461+EG217+EG280+EG276+EG166+EG177)/15</f>
        <v/>
      </c>
      <c r="EH23" s="10">
        <f>(4+EH307+4*EH296+EH212+EH461+EH217+EH280+EH276+EH166+EH177)/15</f>
        <v/>
      </c>
      <c r="EI23" s="10">
        <f>(4+EI307+4*EI296+EI212+EI461+EI217+EI280+EI276+EI166+EI177)/15</f>
        <v/>
      </c>
      <c r="EJ23" s="10">
        <f>(4+EJ307+4*EJ296+EJ212+EJ461+EJ217+EJ280+EJ276+EJ166+EJ177)/15</f>
        <v/>
      </c>
      <c r="EK23" s="10">
        <f>(4+EK307+4*EK296+EK212+EK461+EK217+EK280+EK276+EK166+EK177)/15</f>
        <v/>
      </c>
    </row>
    <row r="24">
      <c r="A24">
        <f>[1]ingredient!B22</f>
        <v/>
      </c>
      <c r="B24" t="inlineStr">
        <is>
          <t>https://www.naehrwertrechner.de/naehrwerte/R126000/Balsamicoessig/?menge=100</t>
        </is>
      </c>
      <c r="C24" s="7">
        <f>_xlfn.XLOOKUP(A24,[1]ingredient!$B$2:$B$521,[1]ingredient!$A$2:$A$521)</f>
        <v/>
      </c>
      <c r="D24" t="n">
        <v>99</v>
      </c>
      <c r="E24" t="n">
        <v>0</v>
      </c>
      <c r="F24" t="n">
        <v>0</v>
      </c>
      <c r="G24" t="n">
        <v>21</v>
      </c>
      <c r="H24" t="n">
        <v>0</v>
      </c>
      <c r="I24" t="n">
        <v>20</v>
      </c>
      <c r="J24" t="n">
        <v>0</v>
      </c>
      <c r="K24" t="n">
        <v>75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80</v>
      </c>
      <c r="S24" t="n">
        <v>80</v>
      </c>
      <c r="T24" t="n">
        <v>0</v>
      </c>
      <c r="U24" t="n">
        <v>40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67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290</v>
      </c>
      <c r="AK24" t="n">
        <v>0</v>
      </c>
      <c r="AL24" t="n">
        <v>0</v>
      </c>
      <c r="AM24" t="n">
        <v>0</v>
      </c>
      <c r="AN24" t="n">
        <v>0</v>
      </c>
      <c r="AO24" t="n">
        <v>1</v>
      </c>
      <c r="AP24" t="n">
        <v>0</v>
      </c>
      <c r="AQ24" t="n">
        <v>0</v>
      </c>
      <c r="AR24" t="n">
        <v>0</v>
      </c>
      <c r="AS24" t="n">
        <v>0</v>
      </c>
      <c r="AT24" t="n">
        <v>9540</v>
      </c>
      <c r="AU24" t="n">
        <v>10500</v>
      </c>
      <c r="AV24" t="n">
        <v>0</v>
      </c>
      <c r="AW24" t="n">
        <v>20040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  <c r="BE24" t="n">
        <v>0</v>
      </c>
      <c r="BF24" t="n">
        <v>0</v>
      </c>
      <c r="BG24">
        <f>IF($F24=0,"0",MIN(
BH24/(30*$F24),
BI24/(61*$F24),
BJ24/(48*$F24),
(BK24+BL24)/(23*$F24),
(BM24+BN24)/(41*$F24),
BO24/(25*$F24),
BP24/(6.6*$F24),
BQ24/(40*$F24),
BS24/(16*$F24)
)*100)</f>
        <v/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  <c r="BN24" t="n">
        <v>0</v>
      </c>
      <c r="BO24" t="n">
        <v>0</v>
      </c>
      <c r="BP24" t="n">
        <v>0</v>
      </c>
      <c r="BQ24" t="n">
        <v>0</v>
      </c>
      <c r="BR24" t="n">
        <v>0</v>
      </c>
      <c r="BS24" t="n">
        <v>0</v>
      </c>
      <c r="BT24" t="n">
        <v>0</v>
      </c>
      <c r="BU24" t="n">
        <v>0</v>
      </c>
      <c r="BV24" t="n">
        <v>0</v>
      </c>
      <c r="BW24" t="n">
        <v>0</v>
      </c>
      <c r="BX24" t="n">
        <v>0</v>
      </c>
      <c r="BY24" t="n">
        <v>0</v>
      </c>
      <c r="BZ24" t="n">
        <v>0</v>
      </c>
      <c r="CA24" t="n">
        <v>0</v>
      </c>
      <c r="CB24" t="n">
        <v>0</v>
      </c>
      <c r="CC24" t="n">
        <v>0</v>
      </c>
      <c r="CD24" t="n">
        <v>0</v>
      </c>
      <c r="CE24" t="n">
        <v>0</v>
      </c>
      <c r="CF24" t="n">
        <v>1</v>
      </c>
      <c r="CG24" t="n">
        <v>0</v>
      </c>
      <c r="CH24" t="n">
        <v>0</v>
      </c>
      <c r="CI24" t="n">
        <v>0</v>
      </c>
      <c r="CJ24" t="n">
        <v>0</v>
      </c>
      <c r="CK24" t="n">
        <v>0</v>
      </c>
      <c r="CL24" t="n">
        <v>0</v>
      </c>
      <c r="CM24" t="n">
        <v>0</v>
      </c>
      <c r="CN24" t="n">
        <v>0</v>
      </c>
      <c r="CO24" t="n">
        <v>0</v>
      </c>
      <c r="CP24" t="n">
        <v>0</v>
      </c>
      <c r="CQ24" t="n">
        <v>0</v>
      </c>
      <c r="CR24" t="n">
        <v>0</v>
      </c>
      <c r="CS24" t="n">
        <v>0</v>
      </c>
      <c r="CT24" t="n">
        <v>0</v>
      </c>
      <c r="CU24" t="n">
        <v>0</v>
      </c>
      <c r="CV24" t="n">
        <v>0</v>
      </c>
      <c r="CW24" t="n">
        <v>0</v>
      </c>
      <c r="CX24" t="n">
        <v>0</v>
      </c>
      <c r="CY24" t="n">
        <v>0</v>
      </c>
      <c r="CZ24" t="n">
        <v>0</v>
      </c>
      <c r="DA24" t="n">
        <v>0</v>
      </c>
      <c r="DB24" t="n">
        <v>0</v>
      </c>
      <c r="DC24" t="n">
        <v>0</v>
      </c>
      <c r="DD24" t="n">
        <v>0</v>
      </c>
      <c r="DE24" t="n">
        <v>0</v>
      </c>
      <c r="DF24" t="n">
        <v>0</v>
      </c>
      <c r="DG24" t="n">
        <v>0</v>
      </c>
      <c r="DH24" t="n">
        <v>0</v>
      </c>
      <c r="DI24" t="n">
        <v>0</v>
      </c>
      <c r="DJ24" t="n">
        <v>0</v>
      </c>
      <c r="DK24" t="n">
        <v>0</v>
      </c>
      <c r="DL24" t="n">
        <v>0</v>
      </c>
      <c r="DM24" t="n">
        <v>0</v>
      </c>
      <c r="DN24" t="n">
        <v>0</v>
      </c>
      <c r="DO24" t="n">
        <v>0</v>
      </c>
      <c r="DP24" t="n">
        <v>0</v>
      </c>
      <c r="DQ24" t="n">
        <v>0</v>
      </c>
      <c r="DR24" t="n">
        <v>0</v>
      </c>
      <c r="DS24" t="n">
        <v>0</v>
      </c>
      <c r="DT24" t="n">
        <v>0</v>
      </c>
      <c r="DU24" t="n">
        <v>0</v>
      </c>
      <c r="DV24" t="n">
        <v>0</v>
      </c>
      <c r="DW24" t="n">
        <v>0</v>
      </c>
      <c r="DX24" t="n">
        <v>0</v>
      </c>
      <c r="DY24" t="n">
        <v>0</v>
      </c>
      <c r="DZ24" t="n">
        <v>0</v>
      </c>
      <c r="EA24" t="n">
        <v>0</v>
      </c>
      <c r="EB24" t="n">
        <v>0</v>
      </c>
      <c r="EC24" t="n">
        <v>0</v>
      </c>
      <c r="ED24" t="n">
        <v>0</v>
      </c>
      <c r="EE24" t="n">
        <v>0</v>
      </c>
      <c r="EF24" t="n">
        <v>0</v>
      </c>
      <c r="EG24" t="n">
        <v>5</v>
      </c>
      <c r="EH24" t="n">
        <v>0</v>
      </c>
      <c r="EI24" t="n">
        <v>0</v>
      </c>
      <c r="EJ24" t="n">
        <v>0</v>
      </c>
      <c r="EK24" t="n">
        <v>0</v>
      </c>
    </row>
    <row r="25">
      <c r="A25">
        <f>[1]ingredient!B23</f>
        <v/>
      </c>
      <c r="B25" t="inlineStr">
        <is>
          <t>https://www.naehrwertrechner.de/naehrwerte/F503000/Banane/?menge=100</t>
        </is>
      </c>
      <c r="C25" s="7">
        <f>_xlfn.XLOOKUP(A25,[1]ingredient!$B$2:$B$521,[1]ingredient!$A$2:$A$521)</f>
        <v/>
      </c>
      <c r="D25" t="n">
        <v>95</v>
      </c>
      <c r="E25" t="n">
        <v>0.18</v>
      </c>
      <c r="F25" t="n">
        <v>1</v>
      </c>
      <c r="G25" t="n">
        <v>21</v>
      </c>
      <c r="H25" t="n">
        <v>2</v>
      </c>
      <c r="I25" t="n">
        <v>18</v>
      </c>
      <c r="J25" t="n">
        <v>0.11</v>
      </c>
      <c r="K25" t="n">
        <v>74</v>
      </c>
      <c r="L25" t="n">
        <v>38</v>
      </c>
      <c r="M25" t="n">
        <v>19</v>
      </c>
      <c r="N25" t="n">
        <v>0</v>
      </c>
      <c r="O25" t="n">
        <v>230</v>
      </c>
      <c r="P25" t="n">
        <v>44</v>
      </c>
      <c r="Q25" t="n">
        <v>57</v>
      </c>
      <c r="R25" t="n">
        <v>650</v>
      </c>
      <c r="S25" t="n">
        <v>950</v>
      </c>
      <c r="T25" t="n">
        <v>230</v>
      </c>
      <c r="U25" t="n">
        <v>370</v>
      </c>
      <c r="V25" t="n">
        <v>6</v>
      </c>
      <c r="W25" t="n">
        <v>20</v>
      </c>
      <c r="X25" t="n">
        <v>0</v>
      </c>
      <c r="Y25" t="n">
        <v>12000</v>
      </c>
      <c r="Z25" t="n">
        <v>0</v>
      </c>
      <c r="AA25" t="n">
        <v>270</v>
      </c>
      <c r="AB25" t="n">
        <v>10</v>
      </c>
      <c r="AC25" t="n">
        <v>1</v>
      </c>
      <c r="AD25" t="n">
        <v>393</v>
      </c>
      <c r="AE25" t="n">
        <v>9</v>
      </c>
      <c r="AF25" t="n">
        <v>36</v>
      </c>
      <c r="AG25" t="n">
        <v>28</v>
      </c>
      <c r="AH25" t="n">
        <v>13</v>
      </c>
      <c r="AI25" t="n">
        <v>109</v>
      </c>
      <c r="AJ25" t="n">
        <v>550</v>
      </c>
      <c r="AK25" t="n">
        <v>220</v>
      </c>
      <c r="AL25" t="n">
        <v>130</v>
      </c>
      <c r="AM25" t="n">
        <v>530</v>
      </c>
      <c r="AN25" t="n">
        <v>20</v>
      </c>
      <c r="AO25" t="n">
        <v>3</v>
      </c>
      <c r="AP25" t="n">
        <v>0</v>
      </c>
      <c r="AQ25" t="n">
        <v>0</v>
      </c>
      <c r="AR25" t="n">
        <v>0</v>
      </c>
      <c r="AS25" t="n">
        <v>0</v>
      </c>
      <c r="AT25" t="n">
        <v>3786</v>
      </c>
      <c r="AU25" t="n">
        <v>3636</v>
      </c>
      <c r="AV25" t="n">
        <v>0</v>
      </c>
      <c r="AW25" t="n">
        <v>7422</v>
      </c>
      <c r="AX25" t="n">
        <v>11016</v>
      </c>
      <c r="AY25" t="n">
        <v>0</v>
      </c>
      <c r="AZ25" t="n">
        <v>0</v>
      </c>
      <c r="BA25" t="n">
        <v>11016</v>
      </c>
      <c r="BB25" t="n">
        <v>0</v>
      </c>
      <c r="BC25" t="n">
        <v>0</v>
      </c>
      <c r="BD25" t="n">
        <v>0</v>
      </c>
      <c r="BE25" t="n">
        <v>2952</v>
      </c>
      <c r="BF25" t="n">
        <v>2952</v>
      </c>
      <c r="BG25">
        <f>IF($F25=0,"0",MIN(
BH25/(30*$F25),
BI25/(61*$F25),
BJ25/(48*$F25),
(BK25+BL25)/(23*$F25),
(BM25+BN25)/(41*$F25),
BO25/(25*$F25),
BP25/(6.6*$F25),
BQ25/(40*$F25),
BS25/(16*$F25)
)*100)</f>
        <v/>
      </c>
      <c r="BH25" t="n">
        <v>38</v>
      </c>
      <c r="BI25" t="n">
        <v>84</v>
      </c>
      <c r="BJ25" t="n">
        <v>58</v>
      </c>
      <c r="BK25" t="n">
        <v>9</v>
      </c>
      <c r="BL25" t="n">
        <v>2</v>
      </c>
      <c r="BM25" t="n">
        <v>35</v>
      </c>
      <c r="BN25" t="n">
        <v>21</v>
      </c>
      <c r="BO25" t="n">
        <v>38</v>
      </c>
      <c r="BP25" t="n">
        <v>18</v>
      </c>
      <c r="BQ25" t="n">
        <v>58</v>
      </c>
      <c r="BR25" t="n">
        <v>54</v>
      </c>
      <c r="BS25" t="n">
        <v>77</v>
      </c>
      <c r="BT25" t="n">
        <v>492</v>
      </c>
      <c r="BU25" t="n">
        <v>46</v>
      </c>
      <c r="BV25" t="n">
        <v>115</v>
      </c>
      <c r="BW25" t="n">
        <v>105</v>
      </c>
      <c r="BX25" t="n">
        <v>43</v>
      </c>
      <c r="BY25" t="n">
        <v>40</v>
      </c>
      <c r="BZ25" t="n">
        <v>49</v>
      </c>
      <c r="CA25" t="n">
        <v>398</v>
      </c>
      <c r="CB25" t="n">
        <v>25</v>
      </c>
      <c r="CC25" t="n">
        <v>10</v>
      </c>
      <c r="CD25" t="n">
        <v>30</v>
      </c>
      <c r="CE25" t="n">
        <v>23</v>
      </c>
      <c r="CF25" t="n">
        <v>0.77</v>
      </c>
      <c r="CG25" t="n">
        <v>0</v>
      </c>
      <c r="CH25" t="n">
        <v>0</v>
      </c>
      <c r="CI25" t="n">
        <v>0</v>
      </c>
      <c r="CJ25" t="n">
        <v>1</v>
      </c>
      <c r="CK25" t="n">
        <v>1</v>
      </c>
      <c r="CL25" t="n">
        <v>1</v>
      </c>
      <c r="CM25" t="n">
        <v>0</v>
      </c>
      <c r="CN25" t="n">
        <v>60</v>
      </c>
      <c r="CO25" t="n">
        <v>0</v>
      </c>
      <c r="CP25" t="n">
        <v>5</v>
      </c>
      <c r="CQ25" t="n">
        <v>0</v>
      </c>
      <c r="CR25" t="n">
        <v>0</v>
      </c>
      <c r="CS25" t="n">
        <v>0</v>
      </c>
      <c r="CT25" t="n">
        <v>68</v>
      </c>
      <c r="CU25" t="n">
        <v>0</v>
      </c>
      <c r="CV25" t="n">
        <v>0</v>
      </c>
      <c r="CW25" t="n">
        <v>3</v>
      </c>
      <c r="CX25" t="n">
        <v>0</v>
      </c>
      <c r="CY25" t="n">
        <v>20</v>
      </c>
      <c r="CZ25" t="n">
        <v>0</v>
      </c>
      <c r="DA25" t="n">
        <v>0</v>
      </c>
      <c r="DB25" t="n">
        <v>0</v>
      </c>
      <c r="DC25" t="n">
        <v>23</v>
      </c>
      <c r="DD25" t="n">
        <v>0</v>
      </c>
      <c r="DE25" t="n">
        <v>0</v>
      </c>
      <c r="DF25" t="n">
        <v>23</v>
      </c>
      <c r="DG25" t="n">
        <v>30</v>
      </c>
      <c r="DH25" t="n">
        <v>0</v>
      </c>
      <c r="DI25" t="n">
        <v>0</v>
      </c>
      <c r="DJ25" t="n">
        <v>0</v>
      </c>
      <c r="DK25" t="n">
        <v>0</v>
      </c>
      <c r="DL25" t="n">
        <v>0</v>
      </c>
      <c r="DM25" t="n">
        <v>0</v>
      </c>
      <c r="DN25" t="n">
        <v>0</v>
      </c>
      <c r="DO25" t="n">
        <v>0</v>
      </c>
      <c r="DP25" t="n">
        <v>0</v>
      </c>
      <c r="DQ25" t="n">
        <v>0</v>
      </c>
      <c r="DR25" t="n">
        <v>0</v>
      </c>
      <c r="DS25" t="n">
        <v>53</v>
      </c>
      <c r="DT25" t="n">
        <v>143</v>
      </c>
      <c r="DU25" t="n">
        <v>36</v>
      </c>
      <c r="DV25" t="n">
        <v>0</v>
      </c>
      <c r="DW25" t="n">
        <v>0</v>
      </c>
      <c r="DX25" t="n">
        <v>1</v>
      </c>
      <c r="DY25" t="n">
        <v>274</v>
      </c>
      <c r="DZ25" t="n">
        <v>802</v>
      </c>
      <c r="EA25" t="n">
        <v>600</v>
      </c>
      <c r="EB25" t="n">
        <v>194</v>
      </c>
      <c r="EC25" t="n">
        <v>130</v>
      </c>
      <c r="ED25" t="n">
        <v>682</v>
      </c>
      <c r="EE25" t="n">
        <v>1318</v>
      </c>
      <c r="EF25" t="n">
        <v>0</v>
      </c>
      <c r="EG25" t="n">
        <v>1</v>
      </c>
      <c r="EH25" t="n">
        <v>0.8</v>
      </c>
      <c r="EI25" t="n">
        <v>1.3</v>
      </c>
      <c r="EJ25" t="n">
        <v>0.2</v>
      </c>
      <c r="EK25" t="n">
        <v>1</v>
      </c>
    </row>
    <row r="26">
      <c r="A26">
        <f>[1]ingredient!B24</f>
        <v/>
      </c>
      <c r="B26" s="11" t="inlineStr">
        <is>
          <t>https://www.naehrwertrechner.de/naehrwerte/G492100/B%C3%A4rlauch+roh/?menge=100</t>
        </is>
      </c>
      <c r="C26" s="7">
        <f>_xlfn.XLOOKUP(A26,[1]ingredient!$B$2:$B$521,[1]ingredient!$A$2:$A$521)</f>
        <v/>
      </c>
      <c r="D26" t="n">
        <v>19</v>
      </c>
      <c r="E26" t="n">
        <v>0.3</v>
      </c>
      <c r="F26" t="n">
        <v>1</v>
      </c>
      <c r="G26" t="n">
        <v>3</v>
      </c>
      <c r="H26" t="n">
        <v>2</v>
      </c>
      <c r="I26" t="n">
        <v>3</v>
      </c>
      <c r="J26" t="n">
        <v>0.06</v>
      </c>
      <c r="K26" t="n">
        <v>93</v>
      </c>
      <c r="L26" t="n">
        <v>200</v>
      </c>
      <c r="M26" t="n">
        <v>100</v>
      </c>
      <c r="N26" t="n">
        <v>0</v>
      </c>
      <c r="O26" t="n">
        <v>1200</v>
      </c>
      <c r="P26" t="n">
        <v>130</v>
      </c>
      <c r="Q26" t="n">
        <v>60</v>
      </c>
      <c r="R26" t="n">
        <v>700</v>
      </c>
      <c r="S26" t="n">
        <v>1017</v>
      </c>
      <c r="T26" t="n">
        <v>110</v>
      </c>
      <c r="U26" t="n">
        <v>200</v>
      </c>
      <c r="V26" t="n">
        <v>1</v>
      </c>
      <c r="W26" t="n">
        <v>17</v>
      </c>
      <c r="X26" t="n">
        <v>0</v>
      </c>
      <c r="Y26" t="n">
        <v>150000</v>
      </c>
      <c r="Z26" t="n">
        <v>0</v>
      </c>
      <c r="AA26" t="n">
        <v>250</v>
      </c>
      <c r="AB26" t="n">
        <v>0</v>
      </c>
      <c r="AC26" t="n">
        <v>16</v>
      </c>
      <c r="AD26" t="n">
        <v>336</v>
      </c>
      <c r="AE26" t="n">
        <v>76</v>
      </c>
      <c r="AF26" t="n">
        <v>22</v>
      </c>
      <c r="AG26" t="n">
        <v>50</v>
      </c>
      <c r="AH26" t="n">
        <v>61</v>
      </c>
      <c r="AI26" t="n">
        <v>44</v>
      </c>
      <c r="AJ26" t="n">
        <v>2870</v>
      </c>
      <c r="AK26" t="n">
        <v>270</v>
      </c>
      <c r="AL26" t="n">
        <v>80</v>
      </c>
      <c r="AM26" t="n">
        <v>320</v>
      </c>
      <c r="AN26" t="n">
        <v>49</v>
      </c>
      <c r="AO26" t="n">
        <v>2</v>
      </c>
      <c r="AP26" t="n">
        <v>0</v>
      </c>
      <c r="AQ26" t="n">
        <v>0</v>
      </c>
      <c r="AR26" t="n">
        <v>0</v>
      </c>
      <c r="AS26" t="n">
        <v>0</v>
      </c>
      <c r="AT26" t="n">
        <v>686</v>
      </c>
      <c r="AU26" t="n">
        <v>844</v>
      </c>
      <c r="AV26" t="n">
        <v>0</v>
      </c>
      <c r="AW26" t="n">
        <v>1530</v>
      </c>
      <c r="AX26" t="n">
        <v>1360</v>
      </c>
      <c r="AY26" t="n">
        <v>0</v>
      </c>
      <c r="AZ26" t="n">
        <v>0</v>
      </c>
      <c r="BA26" t="n">
        <v>1360</v>
      </c>
      <c r="BB26" t="n">
        <v>675</v>
      </c>
      <c r="BC26" t="n">
        <v>0</v>
      </c>
      <c r="BD26" t="n">
        <v>0</v>
      </c>
      <c r="BE26" t="n">
        <v>44</v>
      </c>
      <c r="BF26" t="n">
        <v>44</v>
      </c>
      <c r="BG26">
        <f>IF($F26=0,"0",MIN(
BH26/(30*$F26),
BI26/(61*$F26),
BJ26/(48*$F26),
(BK26+BL26)/(23*$F26),
(BM26+BN26)/(41*$F26),
BO26/(25*$F26),
BP26/(6.6*$F26),
BQ26/(40*$F26),
BS26/(16*$F26)
)*100)</f>
        <v/>
      </c>
      <c r="BH26" t="n">
        <v>23</v>
      </c>
      <c r="BI26" t="n">
        <v>34</v>
      </c>
      <c r="BJ26" t="n">
        <v>57</v>
      </c>
      <c r="BK26" t="n">
        <v>13</v>
      </c>
      <c r="BL26" t="n">
        <v>21</v>
      </c>
      <c r="BM26" t="n">
        <v>34</v>
      </c>
      <c r="BN26" t="n">
        <v>39</v>
      </c>
      <c r="BO26" t="n">
        <v>20</v>
      </c>
      <c r="BP26" t="n">
        <v>19</v>
      </c>
      <c r="BQ26" t="n">
        <v>26</v>
      </c>
      <c r="BR26" t="n">
        <v>167</v>
      </c>
      <c r="BS26" t="n">
        <v>14</v>
      </c>
      <c r="BT26" t="n">
        <v>467</v>
      </c>
      <c r="BU26" t="n">
        <v>34</v>
      </c>
      <c r="BV26" t="n">
        <v>70</v>
      </c>
      <c r="BW26" t="n">
        <v>200</v>
      </c>
      <c r="BX26" t="n">
        <v>53</v>
      </c>
      <c r="BY26" t="n">
        <v>40</v>
      </c>
      <c r="BZ26" t="n">
        <v>36</v>
      </c>
      <c r="CA26" t="n">
        <v>433</v>
      </c>
      <c r="CB26" t="n">
        <v>15</v>
      </c>
      <c r="CC26" t="n">
        <v>6</v>
      </c>
      <c r="CD26" t="n">
        <v>11</v>
      </c>
      <c r="CE26" t="n">
        <v>120</v>
      </c>
      <c r="CF26" t="n">
        <v>10.91</v>
      </c>
      <c r="CG26" t="n">
        <v>109.9</v>
      </c>
      <c r="CH26" t="n">
        <v>0</v>
      </c>
      <c r="CI26" t="n">
        <v>0</v>
      </c>
      <c r="CJ26" t="n">
        <v>0</v>
      </c>
      <c r="CK26" t="n">
        <v>0</v>
      </c>
      <c r="CL26" t="n">
        <v>1</v>
      </c>
      <c r="CM26" t="n">
        <v>0</v>
      </c>
      <c r="CN26" t="n">
        <v>65</v>
      </c>
      <c r="CO26" t="n">
        <v>0</v>
      </c>
      <c r="CP26" t="n">
        <v>5</v>
      </c>
      <c r="CQ26" t="n">
        <v>0</v>
      </c>
      <c r="CR26" t="n">
        <v>0</v>
      </c>
      <c r="CS26" t="n">
        <v>0</v>
      </c>
      <c r="CT26" t="n">
        <v>71</v>
      </c>
      <c r="CU26" t="n">
        <v>0</v>
      </c>
      <c r="CV26" t="n">
        <v>0</v>
      </c>
      <c r="CW26" t="n">
        <v>0</v>
      </c>
      <c r="CX26" t="n">
        <v>0</v>
      </c>
      <c r="CY26" t="n">
        <v>38</v>
      </c>
      <c r="CZ26" t="n">
        <v>0</v>
      </c>
      <c r="DA26" t="n">
        <v>0</v>
      </c>
      <c r="DB26" t="n">
        <v>0</v>
      </c>
      <c r="DC26" t="n">
        <v>38</v>
      </c>
      <c r="DD26" t="n">
        <v>0</v>
      </c>
      <c r="DE26" t="n">
        <v>0</v>
      </c>
      <c r="DF26" t="n">
        <v>120</v>
      </c>
      <c r="DG26" t="n">
        <v>11</v>
      </c>
      <c r="DH26" t="n">
        <v>0</v>
      </c>
      <c r="DI26" t="n">
        <v>0</v>
      </c>
      <c r="DJ26" t="n">
        <v>0</v>
      </c>
      <c r="DK26" t="n">
        <v>0</v>
      </c>
      <c r="DL26" t="n">
        <v>0</v>
      </c>
      <c r="DM26" t="n">
        <v>0</v>
      </c>
      <c r="DN26" t="n">
        <v>0</v>
      </c>
      <c r="DO26" t="n">
        <v>0</v>
      </c>
      <c r="DP26" t="n">
        <v>0</v>
      </c>
      <c r="DQ26" t="n">
        <v>0</v>
      </c>
      <c r="DR26" t="n">
        <v>0</v>
      </c>
      <c r="DS26" t="n">
        <v>131</v>
      </c>
      <c r="DT26" t="n">
        <v>240</v>
      </c>
      <c r="DU26" t="n">
        <v>60</v>
      </c>
      <c r="DV26" t="n">
        <v>0</v>
      </c>
      <c r="DW26" t="n">
        <v>0</v>
      </c>
      <c r="DX26" t="n">
        <v>0</v>
      </c>
      <c r="DY26" t="n">
        <v>109</v>
      </c>
      <c r="DZ26" t="n">
        <v>785</v>
      </c>
      <c r="EA26" t="n">
        <v>610</v>
      </c>
      <c r="EB26" t="n">
        <v>632</v>
      </c>
      <c r="EC26" t="n">
        <v>44</v>
      </c>
      <c r="ED26" t="n">
        <v>920</v>
      </c>
      <c r="EE26" t="n">
        <v>1260</v>
      </c>
      <c r="EF26" t="n">
        <v>0</v>
      </c>
      <c r="EG26" t="n">
        <v>0.2</v>
      </c>
      <c r="EH26" t="n">
        <v>0.9</v>
      </c>
      <c r="EI26" t="n">
        <v>1.3</v>
      </c>
      <c r="EJ26" t="n">
        <v>0.3</v>
      </c>
      <c r="EK26" t="n">
        <v>0.9</v>
      </c>
    </row>
    <row r="27">
      <c r="A27">
        <f>[1]ingredient!B25</f>
        <v/>
      </c>
      <c r="B27" t="inlineStr">
        <is>
          <t>https://www.naehrwertrechner.de/naehrwerte/G061000/Basilikum+frisch/?menge=100</t>
        </is>
      </c>
      <c r="C27" s="7">
        <f>_xlfn.XLOOKUP(A27,[1]ingredient!$B$2:$B$521,[1]ingredient!$A$2:$A$521)</f>
        <v/>
      </c>
      <c r="D27" t="n">
        <v>41</v>
      </c>
      <c r="E27" t="n">
        <v>1</v>
      </c>
      <c r="F27" t="n">
        <v>3</v>
      </c>
      <c r="G27" t="n">
        <v>5</v>
      </c>
      <c r="H27" t="n">
        <v>3</v>
      </c>
      <c r="I27" t="n">
        <v>5</v>
      </c>
      <c r="J27" t="n">
        <v>0.04</v>
      </c>
      <c r="K27" t="n">
        <v>86</v>
      </c>
      <c r="L27" t="n">
        <v>658</v>
      </c>
      <c r="M27" t="n">
        <v>329</v>
      </c>
      <c r="N27" t="n">
        <v>0</v>
      </c>
      <c r="O27" t="n">
        <v>3950</v>
      </c>
      <c r="P27" t="n">
        <v>80</v>
      </c>
      <c r="Q27" t="n">
        <v>310</v>
      </c>
      <c r="R27" t="n">
        <v>1100</v>
      </c>
      <c r="S27" t="n">
        <v>1783</v>
      </c>
      <c r="T27" t="n">
        <v>200</v>
      </c>
      <c r="U27" t="n">
        <v>180</v>
      </c>
      <c r="V27" t="n">
        <v>2</v>
      </c>
      <c r="W27" t="n">
        <v>50</v>
      </c>
      <c r="X27" t="n">
        <v>0</v>
      </c>
      <c r="Y27" t="n">
        <v>26000</v>
      </c>
      <c r="Z27" t="n">
        <v>0</v>
      </c>
      <c r="AA27" t="n">
        <v>1000</v>
      </c>
      <c r="AB27" t="n">
        <v>0</v>
      </c>
      <c r="AC27" t="n">
        <v>9</v>
      </c>
      <c r="AD27" t="n">
        <v>300</v>
      </c>
      <c r="AE27" t="n">
        <v>250</v>
      </c>
      <c r="AF27" t="n">
        <v>11</v>
      </c>
      <c r="AG27" t="n">
        <v>37</v>
      </c>
      <c r="AH27" t="n">
        <v>17</v>
      </c>
      <c r="AI27" t="n">
        <v>35</v>
      </c>
      <c r="AJ27" t="n">
        <v>5500</v>
      </c>
      <c r="AK27" t="n">
        <v>700</v>
      </c>
      <c r="AL27" t="n">
        <v>227</v>
      </c>
      <c r="AM27" t="n">
        <v>524</v>
      </c>
      <c r="AN27" t="n">
        <v>70</v>
      </c>
      <c r="AO27" t="n">
        <v>1</v>
      </c>
      <c r="AP27" t="n">
        <v>0</v>
      </c>
      <c r="AQ27" t="n">
        <v>0</v>
      </c>
      <c r="AR27" t="n">
        <v>0</v>
      </c>
      <c r="AS27" t="n">
        <v>0</v>
      </c>
      <c r="AT27" t="n">
        <v>2040</v>
      </c>
      <c r="AU27" t="n">
        <v>2040</v>
      </c>
      <c r="AV27" t="n">
        <v>0</v>
      </c>
      <c r="AW27" t="n">
        <v>4080</v>
      </c>
      <c r="AX27" t="n">
        <v>969</v>
      </c>
      <c r="AY27" t="n">
        <v>0</v>
      </c>
      <c r="AZ27" t="n">
        <v>0</v>
      </c>
      <c r="BA27" t="n">
        <v>969</v>
      </c>
      <c r="BB27" t="n">
        <v>0</v>
      </c>
      <c r="BC27" t="n">
        <v>0</v>
      </c>
      <c r="BD27" t="n">
        <v>0</v>
      </c>
      <c r="BE27" t="n">
        <v>51</v>
      </c>
      <c r="BF27" t="n">
        <v>51</v>
      </c>
      <c r="BG27">
        <f>IF($F27=0,"0",MIN(
BH27/(30*$F27),
BI27/(61*$F27),
BJ27/(48*$F27),
(BK27+BL27)/(23*$F27),
(BM27+BN27)/(41*$F27),
BO27/(25*$F27),
BP27/(6.6*$F27),
BQ27/(40*$F27),
BS27/(16*$F27)
)*100)</f>
        <v/>
      </c>
      <c r="BH27" t="n">
        <v>163</v>
      </c>
      <c r="BI27" t="n">
        <v>245</v>
      </c>
      <c r="BJ27" t="n">
        <v>204</v>
      </c>
      <c r="BK27" t="n">
        <v>49</v>
      </c>
      <c r="BL27" t="n">
        <v>41</v>
      </c>
      <c r="BM27" t="n">
        <v>122</v>
      </c>
      <c r="BN27" t="n">
        <v>82</v>
      </c>
      <c r="BO27" t="n">
        <v>143</v>
      </c>
      <c r="BP27" t="n">
        <v>41</v>
      </c>
      <c r="BQ27" t="n">
        <v>163</v>
      </c>
      <c r="BR27" t="n">
        <v>163</v>
      </c>
      <c r="BS27" t="n">
        <v>62</v>
      </c>
      <c r="BT27" t="n">
        <v>1478</v>
      </c>
      <c r="BU27" t="n">
        <v>204</v>
      </c>
      <c r="BV27" t="n">
        <v>408</v>
      </c>
      <c r="BW27" t="n">
        <v>612</v>
      </c>
      <c r="BX27" t="n">
        <v>114</v>
      </c>
      <c r="BY27" t="n">
        <v>163</v>
      </c>
      <c r="BZ27" t="n">
        <v>122</v>
      </c>
      <c r="CA27" t="n">
        <v>1623</v>
      </c>
      <c r="CB27" t="n">
        <v>15</v>
      </c>
      <c r="CC27" t="n">
        <v>6</v>
      </c>
      <c r="CD27" t="n">
        <v>192</v>
      </c>
      <c r="CE27" t="n">
        <v>257</v>
      </c>
      <c r="CF27" t="n">
        <v>1.34</v>
      </c>
      <c r="CG27" t="n">
        <v>0</v>
      </c>
      <c r="CH27" t="n">
        <v>0</v>
      </c>
      <c r="CI27" t="n">
        <v>0</v>
      </c>
      <c r="CJ27" t="n">
        <v>0</v>
      </c>
      <c r="CK27" t="n">
        <v>0</v>
      </c>
      <c r="CL27" t="n">
        <v>3</v>
      </c>
      <c r="CM27" t="n">
        <v>0</v>
      </c>
      <c r="CN27" t="n">
        <v>125</v>
      </c>
      <c r="CO27" t="n">
        <v>0</v>
      </c>
      <c r="CP27" t="n">
        <v>19</v>
      </c>
      <c r="CQ27" t="n">
        <v>0</v>
      </c>
      <c r="CR27" t="n">
        <v>0</v>
      </c>
      <c r="CS27" t="n">
        <v>0</v>
      </c>
      <c r="CT27" t="n">
        <v>147</v>
      </c>
      <c r="CU27" t="n">
        <v>0</v>
      </c>
      <c r="CV27" t="n">
        <v>0</v>
      </c>
      <c r="CW27" t="n">
        <v>6</v>
      </c>
      <c r="CX27" t="n">
        <v>0</v>
      </c>
      <c r="CY27" t="n">
        <v>38</v>
      </c>
      <c r="CZ27" t="n">
        <v>0</v>
      </c>
      <c r="DA27" t="n">
        <v>0</v>
      </c>
      <c r="DB27" t="n">
        <v>0</v>
      </c>
      <c r="DC27" t="n">
        <v>44</v>
      </c>
      <c r="DD27" t="n">
        <v>0</v>
      </c>
      <c r="DE27" t="n">
        <v>0</v>
      </c>
      <c r="DF27" t="n">
        <v>257</v>
      </c>
      <c r="DG27" t="n">
        <v>192</v>
      </c>
      <c r="DH27" t="n">
        <v>0</v>
      </c>
      <c r="DI27" t="n">
        <v>0</v>
      </c>
      <c r="DJ27" t="n">
        <v>0</v>
      </c>
      <c r="DK27" t="n">
        <v>0</v>
      </c>
      <c r="DL27" t="n">
        <v>0</v>
      </c>
      <c r="DM27" t="n">
        <v>0</v>
      </c>
      <c r="DN27" t="n">
        <v>0</v>
      </c>
      <c r="DO27" t="n">
        <v>0</v>
      </c>
      <c r="DP27" t="n">
        <v>0</v>
      </c>
      <c r="DQ27" t="n">
        <v>0</v>
      </c>
      <c r="DR27" t="n">
        <v>0</v>
      </c>
      <c r="DS27" t="n">
        <v>449</v>
      </c>
      <c r="DT27" t="n">
        <v>640</v>
      </c>
      <c r="DU27" t="n">
        <v>160</v>
      </c>
      <c r="DV27" t="n">
        <v>0</v>
      </c>
      <c r="DW27" t="n">
        <v>0</v>
      </c>
      <c r="DX27" t="n">
        <v>0</v>
      </c>
      <c r="DY27" t="n">
        <v>467</v>
      </c>
      <c r="DZ27" t="n">
        <v>622</v>
      </c>
      <c r="EA27" t="n">
        <v>840</v>
      </c>
      <c r="EB27" t="n">
        <v>1089</v>
      </c>
      <c r="EC27" t="n">
        <v>93</v>
      </c>
      <c r="ED27" t="n">
        <v>933</v>
      </c>
      <c r="EE27" t="n">
        <v>2178</v>
      </c>
      <c r="EF27" t="n">
        <v>0</v>
      </c>
      <c r="EG27" t="n">
        <v>0.25</v>
      </c>
      <c r="EH27" t="n">
        <v>1.2</v>
      </c>
      <c r="EI27" t="n">
        <v>2.2</v>
      </c>
      <c r="EJ27" t="n">
        <v>0.8</v>
      </c>
      <c r="EK27" t="n">
        <v>3.1</v>
      </c>
    </row>
    <row r="28">
      <c r="A28">
        <f>[1]ingredient!B26</f>
        <v/>
      </c>
      <c r="B28" t="inlineStr">
        <is>
          <t>https://www.naehrwertrechner.de/naehrwerte/R231011/Basilikum+Gew%C3%BCrz/?menge=100</t>
        </is>
      </c>
      <c r="C28" s="7">
        <f>_xlfn.XLOOKUP(A28,[1]ingredient!$B$2:$B$521,[1]ingredient!$A$2:$A$521)</f>
        <v/>
      </c>
      <c r="D28" t="n">
        <v>268</v>
      </c>
      <c r="E28" t="n">
        <v>4</v>
      </c>
      <c r="F28" t="n">
        <v>14</v>
      </c>
      <c r="G28" t="n">
        <v>43</v>
      </c>
      <c r="H28" t="n">
        <v>18</v>
      </c>
      <c r="I28" t="n">
        <v>43</v>
      </c>
      <c r="J28" t="n">
        <v>0.23</v>
      </c>
      <c r="K28" t="n">
        <v>6</v>
      </c>
      <c r="L28" t="n">
        <v>933</v>
      </c>
      <c r="M28" t="n">
        <v>467</v>
      </c>
      <c r="N28" t="n">
        <v>0</v>
      </c>
      <c r="O28" t="n">
        <v>5600</v>
      </c>
      <c r="P28" t="n">
        <v>150</v>
      </c>
      <c r="Q28" t="n">
        <v>320</v>
      </c>
      <c r="R28" t="n">
        <v>6900</v>
      </c>
      <c r="S28" t="n">
        <v>10400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61000</v>
      </c>
      <c r="Z28" t="n">
        <v>0</v>
      </c>
      <c r="AA28" t="n">
        <v>0</v>
      </c>
      <c r="AB28" t="n">
        <v>0</v>
      </c>
      <c r="AC28" t="n">
        <v>34</v>
      </c>
      <c r="AD28" t="n">
        <v>3433</v>
      </c>
      <c r="AE28" t="n">
        <v>2113</v>
      </c>
      <c r="AF28" t="n">
        <v>422</v>
      </c>
      <c r="AG28" t="n">
        <v>490</v>
      </c>
      <c r="AH28" t="n">
        <v>100</v>
      </c>
      <c r="AI28" t="n">
        <v>200</v>
      </c>
      <c r="AJ28" t="n">
        <v>42000</v>
      </c>
      <c r="AK28" t="n">
        <v>5820</v>
      </c>
      <c r="AL28" t="n">
        <v>1300</v>
      </c>
      <c r="AM28" t="n">
        <v>3000</v>
      </c>
      <c r="AN28" t="n">
        <v>400</v>
      </c>
      <c r="AO28" t="n">
        <v>5</v>
      </c>
      <c r="AP28" t="n">
        <v>0</v>
      </c>
      <c r="AQ28" t="n">
        <v>0</v>
      </c>
      <c r="AR28" t="n">
        <v>0</v>
      </c>
      <c r="AS28" t="n">
        <v>0</v>
      </c>
      <c r="AT28" t="n">
        <v>17200</v>
      </c>
      <c r="AU28" t="n">
        <v>17200</v>
      </c>
      <c r="AV28" t="n">
        <v>0</v>
      </c>
      <c r="AW28" t="n">
        <v>34400</v>
      </c>
      <c r="AX28" t="n">
        <v>8170</v>
      </c>
      <c r="AY28" t="n">
        <v>0</v>
      </c>
      <c r="AZ28" t="n">
        <v>0</v>
      </c>
      <c r="BA28" t="n">
        <v>8170</v>
      </c>
      <c r="BB28" t="n">
        <v>0</v>
      </c>
      <c r="BC28" t="n">
        <v>0</v>
      </c>
      <c r="BD28" t="n">
        <v>0</v>
      </c>
      <c r="BE28" t="n">
        <v>430</v>
      </c>
      <c r="BF28" t="n">
        <v>430</v>
      </c>
      <c r="BG28">
        <f>IF($F28=0,"0",MIN(
BH28/(30*$F28),
BI28/(61*$F28),
BJ28/(48*$F28),
(BK28+BL28)/(23*$F28),
(BM28+BN28)/(41*$F28),
BO28/(25*$F28),
BP28/(6.6*$F28),
BQ28/(40*$F28),
BS28/(16*$F28)
)*100)</f>
        <v/>
      </c>
      <c r="BH28" t="n">
        <v>560</v>
      </c>
      <c r="BI28" t="n">
        <v>1036</v>
      </c>
      <c r="BJ28" t="n">
        <v>588</v>
      </c>
      <c r="BK28" t="n">
        <v>182</v>
      </c>
      <c r="BL28" t="n">
        <v>154</v>
      </c>
      <c r="BM28" t="n">
        <v>700</v>
      </c>
      <c r="BN28" t="n">
        <v>406</v>
      </c>
      <c r="BO28" t="n">
        <v>560</v>
      </c>
      <c r="BP28" t="n">
        <v>210</v>
      </c>
      <c r="BQ28" t="n">
        <v>686</v>
      </c>
      <c r="BR28" t="n">
        <v>630</v>
      </c>
      <c r="BS28" t="n">
        <v>266</v>
      </c>
      <c r="BT28" t="n">
        <v>5978</v>
      </c>
      <c r="BU28" t="n">
        <v>714</v>
      </c>
      <c r="BV28" t="n">
        <v>1638</v>
      </c>
      <c r="BW28" t="n">
        <v>1526</v>
      </c>
      <c r="BX28" t="n">
        <v>672</v>
      </c>
      <c r="BY28" t="n">
        <v>560</v>
      </c>
      <c r="BZ28" t="n">
        <v>546</v>
      </c>
      <c r="CA28" t="n">
        <v>5656</v>
      </c>
      <c r="CB28" t="n">
        <v>211</v>
      </c>
      <c r="CC28" t="n">
        <v>88</v>
      </c>
      <c r="CD28" t="n">
        <v>960</v>
      </c>
      <c r="CE28" t="n">
        <v>1280</v>
      </c>
      <c r="CF28" t="n">
        <v>1.33</v>
      </c>
      <c r="CG28" t="n">
        <v>0</v>
      </c>
      <c r="CH28" t="n">
        <v>0</v>
      </c>
      <c r="CI28" t="n">
        <v>0</v>
      </c>
      <c r="CJ28" t="n">
        <v>0</v>
      </c>
      <c r="CK28" t="n">
        <v>0</v>
      </c>
      <c r="CL28" t="n">
        <v>16</v>
      </c>
      <c r="CM28" t="n">
        <v>0</v>
      </c>
      <c r="CN28" t="n">
        <v>624</v>
      </c>
      <c r="CO28" t="n">
        <v>0</v>
      </c>
      <c r="CP28" t="n">
        <v>96</v>
      </c>
      <c r="CQ28" t="n">
        <v>0</v>
      </c>
      <c r="CR28" t="n">
        <v>0</v>
      </c>
      <c r="CS28" t="n">
        <v>0</v>
      </c>
      <c r="CT28" t="n">
        <v>736</v>
      </c>
      <c r="CU28" t="n">
        <v>0</v>
      </c>
      <c r="CV28" t="n">
        <v>0</v>
      </c>
      <c r="CW28" t="n">
        <v>32</v>
      </c>
      <c r="CX28" t="n">
        <v>0</v>
      </c>
      <c r="CY28" t="n">
        <v>192</v>
      </c>
      <c r="CZ28" t="n">
        <v>0</v>
      </c>
      <c r="DA28" t="n">
        <v>0</v>
      </c>
      <c r="DB28" t="n">
        <v>0</v>
      </c>
      <c r="DC28" t="n">
        <v>224</v>
      </c>
      <c r="DD28" t="n">
        <v>0</v>
      </c>
      <c r="DE28" t="n">
        <v>0</v>
      </c>
      <c r="DF28" t="n">
        <v>1280</v>
      </c>
      <c r="DG28" t="n">
        <v>960</v>
      </c>
      <c r="DH28" t="n">
        <v>0</v>
      </c>
      <c r="DI28" t="n">
        <v>0</v>
      </c>
      <c r="DJ28" t="n">
        <v>0</v>
      </c>
      <c r="DK28" t="n">
        <v>0</v>
      </c>
      <c r="DL28" t="n">
        <v>0</v>
      </c>
      <c r="DM28" t="n">
        <v>0</v>
      </c>
      <c r="DN28" t="n">
        <v>0</v>
      </c>
      <c r="DO28" t="n">
        <v>0</v>
      </c>
      <c r="DP28" t="n">
        <v>0</v>
      </c>
      <c r="DQ28" t="n">
        <v>0</v>
      </c>
      <c r="DR28" t="n">
        <v>0</v>
      </c>
      <c r="DS28" t="n">
        <v>2240</v>
      </c>
      <c r="DT28" t="n">
        <v>3200</v>
      </c>
      <c r="DU28" t="n">
        <v>800</v>
      </c>
      <c r="DV28" t="n">
        <v>0</v>
      </c>
      <c r="DW28" t="n">
        <v>0</v>
      </c>
      <c r="DX28" t="n">
        <v>0</v>
      </c>
      <c r="DY28" t="n">
        <v>2670</v>
      </c>
      <c r="DZ28" t="n">
        <v>3560</v>
      </c>
      <c r="EA28" t="n">
        <v>4806</v>
      </c>
      <c r="EB28" t="n">
        <v>6230</v>
      </c>
      <c r="EC28" t="n">
        <v>534</v>
      </c>
      <c r="ED28" t="n">
        <v>5340</v>
      </c>
      <c r="EE28" t="n">
        <v>12460</v>
      </c>
      <c r="EF28" t="n">
        <v>0</v>
      </c>
      <c r="EG28" t="n">
        <v>0.22</v>
      </c>
      <c r="EH28" t="n">
        <v>15.1</v>
      </c>
      <c r="EI28" t="n">
        <v>12.5</v>
      </c>
      <c r="EJ28" t="n">
        <v>4</v>
      </c>
      <c r="EK28" t="n">
        <v>12.3</v>
      </c>
    </row>
    <row r="29">
      <c r="A29">
        <f>[1]ingredient!B27</f>
        <v/>
      </c>
      <c r="B29" t="inlineStr">
        <is>
          <t>https://www.naehrwertrechner.de/naehrwerte/G102111/Endivien+frisch/?menge=100</t>
        </is>
      </c>
      <c r="C29" s="7">
        <f>_xlfn.XLOOKUP(A29,[1]ingredient!$B$2:$B$521,[1]ingredient!$A$2:$A$521)</f>
        <v/>
      </c>
      <c r="D29" t="n">
        <v>11</v>
      </c>
      <c r="E29" t="n">
        <v>0.2</v>
      </c>
      <c r="F29" t="n">
        <v>2</v>
      </c>
      <c r="G29" t="n">
        <v>0.3</v>
      </c>
      <c r="H29" t="n">
        <v>1</v>
      </c>
      <c r="I29" t="n">
        <v>0.29</v>
      </c>
      <c r="J29" t="n">
        <v>0.12</v>
      </c>
      <c r="K29" t="n">
        <v>95</v>
      </c>
      <c r="L29" t="n">
        <v>280</v>
      </c>
      <c r="M29" t="n">
        <v>140</v>
      </c>
      <c r="N29" t="n">
        <v>0</v>
      </c>
      <c r="O29" t="n">
        <v>1681</v>
      </c>
      <c r="P29" t="n">
        <v>52</v>
      </c>
      <c r="Q29" t="n">
        <v>120</v>
      </c>
      <c r="R29" t="n">
        <v>410</v>
      </c>
      <c r="S29" t="n">
        <v>727</v>
      </c>
      <c r="T29" t="n">
        <v>900</v>
      </c>
      <c r="U29" t="n">
        <v>50</v>
      </c>
      <c r="V29" t="n">
        <v>1</v>
      </c>
      <c r="W29" t="n">
        <v>49</v>
      </c>
      <c r="X29" t="n">
        <v>0</v>
      </c>
      <c r="Y29" t="n">
        <v>10000</v>
      </c>
      <c r="Z29" t="n">
        <v>0</v>
      </c>
      <c r="AA29" t="n">
        <v>1000</v>
      </c>
      <c r="AB29" t="n">
        <v>200</v>
      </c>
      <c r="AC29" t="n">
        <v>53</v>
      </c>
      <c r="AD29" t="n">
        <v>346</v>
      </c>
      <c r="AE29" t="n">
        <v>54</v>
      </c>
      <c r="AF29" t="n">
        <v>10</v>
      </c>
      <c r="AG29" t="n">
        <v>54</v>
      </c>
      <c r="AH29" t="n">
        <v>26</v>
      </c>
      <c r="AI29" t="n">
        <v>71</v>
      </c>
      <c r="AJ29" t="n">
        <v>1400</v>
      </c>
      <c r="AK29" t="n">
        <v>355</v>
      </c>
      <c r="AL29" t="n">
        <v>44</v>
      </c>
      <c r="AM29" t="n">
        <v>153</v>
      </c>
      <c r="AN29" t="n">
        <v>62</v>
      </c>
      <c r="AO29" t="n">
        <v>6</v>
      </c>
      <c r="AP29" t="n">
        <v>0</v>
      </c>
      <c r="AQ29" t="n">
        <v>0</v>
      </c>
      <c r="AR29" t="n">
        <v>0</v>
      </c>
      <c r="AS29" t="n">
        <v>0</v>
      </c>
      <c r="AT29" t="n">
        <v>21</v>
      </c>
      <c r="AU29" t="n">
        <v>51</v>
      </c>
      <c r="AV29" t="n">
        <v>0</v>
      </c>
      <c r="AW29" t="n">
        <v>72</v>
      </c>
      <c r="AX29" t="n">
        <v>222</v>
      </c>
      <c r="AY29" t="n">
        <v>0</v>
      </c>
      <c r="AZ29" t="n">
        <v>0</v>
      </c>
      <c r="BA29" t="n">
        <v>222</v>
      </c>
      <c r="BB29" t="n">
        <v>0</v>
      </c>
      <c r="BC29" t="n">
        <v>0</v>
      </c>
      <c r="BD29" t="n">
        <v>0</v>
      </c>
      <c r="BE29" t="n">
        <v>6</v>
      </c>
      <c r="BF29" t="n">
        <v>6</v>
      </c>
      <c r="BG29">
        <f>IF($F29=0,"0",MIN(
BH29/(30*$F29),
BI29/(61*$F29),
BJ29/(48*$F29),
(BK29+BL29)/(23*$F29),
(BM29+BN29)/(41*$F29),
BO29/(25*$F29),
BP29/(6.6*$F29),
BQ29/(40*$F29),
BS29/(16*$F29)
)*100)</f>
        <v/>
      </c>
      <c r="BH29" t="n">
        <v>114</v>
      </c>
      <c r="BI29" t="n">
        <v>117</v>
      </c>
      <c r="BJ29" t="n">
        <v>88</v>
      </c>
      <c r="BK29" t="n">
        <v>21</v>
      </c>
      <c r="BL29" t="n">
        <v>12</v>
      </c>
      <c r="BM29" t="n">
        <v>79</v>
      </c>
      <c r="BN29" t="n">
        <v>49</v>
      </c>
      <c r="BO29" t="n">
        <v>67</v>
      </c>
      <c r="BP29" t="n">
        <v>19</v>
      </c>
      <c r="BQ29" t="n">
        <v>88</v>
      </c>
      <c r="BR29" t="n">
        <v>84</v>
      </c>
      <c r="BS29" t="n">
        <v>28</v>
      </c>
      <c r="BT29" t="n">
        <v>766</v>
      </c>
      <c r="BU29" t="n">
        <v>75</v>
      </c>
      <c r="BV29" t="n">
        <v>193</v>
      </c>
      <c r="BW29" t="n">
        <v>214</v>
      </c>
      <c r="BX29" t="n">
        <v>70</v>
      </c>
      <c r="BY29" t="n">
        <v>91</v>
      </c>
      <c r="BZ29" t="n">
        <v>61</v>
      </c>
      <c r="CA29" t="n">
        <v>704</v>
      </c>
      <c r="CB29" t="n">
        <v>11</v>
      </c>
      <c r="CC29" t="n">
        <v>5</v>
      </c>
      <c r="CD29" t="n">
        <v>16</v>
      </c>
      <c r="CE29" t="n">
        <v>86</v>
      </c>
      <c r="CF29" t="n">
        <v>5.38</v>
      </c>
      <c r="CG29" t="n">
        <v>0</v>
      </c>
      <c r="CH29" t="n">
        <v>0</v>
      </c>
      <c r="CI29" t="n">
        <v>0</v>
      </c>
      <c r="CJ29" t="n">
        <v>0</v>
      </c>
      <c r="CK29" t="n">
        <v>0</v>
      </c>
      <c r="CL29" t="n">
        <v>3</v>
      </c>
      <c r="CM29" t="n">
        <v>0</v>
      </c>
      <c r="CN29" t="n">
        <v>48</v>
      </c>
      <c r="CO29" t="n">
        <v>0</v>
      </c>
      <c r="CP29" t="n">
        <v>2</v>
      </c>
      <c r="CQ29" t="n">
        <v>0</v>
      </c>
      <c r="CR29" t="n">
        <v>0</v>
      </c>
      <c r="CS29" t="n">
        <v>0</v>
      </c>
      <c r="CT29" t="n">
        <v>53</v>
      </c>
      <c r="CU29" t="n">
        <v>0</v>
      </c>
      <c r="CV29" t="n">
        <v>0</v>
      </c>
      <c r="CW29" t="n">
        <v>0</v>
      </c>
      <c r="CX29" t="n">
        <v>0</v>
      </c>
      <c r="CY29" t="n">
        <v>5</v>
      </c>
      <c r="CZ29" t="n">
        <v>0</v>
      </c>
      <c r="DA29" t="n">
        <v>0</v>
      </c>
      <c r="DB29" t="n">
        <v>0</v>
      </c>
      <c r="DC29" t="n">
        <v>5</v>
      </c>
      <c r="DD29" t="n">
        <v>0</v>
      </c>
      <c r="DE29" t="n">
        <v>0</v>
      </c>
      <c r="DF29" t="n">
        <v>86</v>
      </c>
      <c r="DG29" t="n">
        <v>16</v>
      </c>
      <c r="DH29" t="n">
        <v>0</v>
      </c>
      <c r="DI29" t="n">
        <v>0</v>
      </c>
      <c r="DJ29" t="n">
        <v>0</v>
      </c>
      <c r="DK29" t="n">
        <v>0</v>
      </c>
      <c r="DL29" t="n">
        <v>0</v>
      </c>
      <c r="DM29" t="n">
        <v>0</v>
      </c>
      <c r="DN29" t="n">
        <v>0</v>
      </c>
      <c r="DO29" t="n">
        <v>0</v>
      </c>
      <c r="DP29" t="n">
        <v>0</v>
      </c>
      <c r="DQ29" t="n">
        <v>0</v>
      </c>
      <c r="DR29" t="n">
        <v>0</v>
      </c>
      <c r="DS29" t="n">
        <v>102</v>
      </c>
      <c r="DT29" t="n">
        <v>160</v>
      </c>
      <c r="DU29" t="n">
        <v>40</v>
      </c>
      <c r="DV29" t="n">
        <v>0</v>
      </c>
      <c r="DW29" t="n">
        <v>0</v>
      </c>
      <c r="DX29" t="n">
        <v>0</v>
      </c>
      <c r="DY29" t="n">
        <v>207</v>
      </c>
      <c r="DZ29" t="n">
        <v>146</v>
      </c>
      <c r="EA29" t="n">
        <v>440</v>
      </c>
      <c r="EB29" t="n">
        <v>390</v>
      </c>
      <c r="EC29" t="n">
        <v>37</v>
      </c>
      <c r="ED29" t="n">
        <v>293</v>
      </c>
      <c r="EE29" t="n">
        <v>927</v>
      </c>
      <c r="EF29" t="n">
        <v>0</v>
      </c>
      <c r="EG29" t="n">
        <v>0.28</v>
      </c>
      <c r="EH29" t="n">
        <v>0.9</v>
      </c>
      <c r="EI29" t="n">
        <v>0.9</v>
      </c>
      <c r="EJ29" t="n">
        <v>0.2</v>
      </c>
      <c r="EK29" t="n">
        <v>1.5</v>
      </c>
    </row>
    <row r="30">
      <c r="A30" s="12">
        <f>[1]ingredient!B28</f>
        <v/>
      </c>
      <c r="C30" s="7">
        <f>_xlfn.XLOOKUP(A30,[1]ingredient!$B$2:$B$521,[1]ingredient!$A$2:$A$521)</f>
        <v/>
      </c>
      <c r="D30" s="10">
        <f>AVERAGE(D48,D110,D159,D161,D169,D171,D192)</f>
        <v/>
      </c>
      <c r="E30" s="10">
        <f>AVERAGE(E48,E110,E159,E161,E169,E171,E192)</f>
        <v/>
      </c>
      <c r="F30" s="10">
        <f>AVERAGE(F48,F110,F159,F161,F169,F171,F192)</f>
        <v/>
      </c>
      <c r="G30" s="10">
        <f>AVERAGE(G48,G110,G159,G161,G169,G171,G192)</f>
        <v/>
      </c>
      <c r="H30" s="10">
        <f>AVERAGE(H48,H110,H159,H161,H169,H171,H192)</f>
        <v/>
      </c>
      <c r="I30" s="10">
        <f>AVERAGE(I48,I110,I159,I161,I169,I171,I192)</f>
        <v/>
      </c>
      <c r="J30" s="10">
        <f>AVERAGE(J48,J110,J159,J161,J169,J171,J192)</f>
        <v/>
      </c>
      <c r="K30" s="10">
        <f>AVERAGE(K48,K110,K159,K161,K169,K171,K192)</f>
        <v/>
      </c>
      <c r="L30" s="10">
        <f>AVERAGE(L48,L110,L159,L161,L169,L171,L192)</f>
        <v/>
      </c>
      <c r="M30" s="10">
        <f>AVERAGE(M48,M110,M159,M161,M169,M171,M192)</f>
        <v/>
      </c>
      <c r="N30" s="10">
        <f>AVERAGE(N48,N110,N159,N161,N169,N171,N192)</f>
        <v/>
      </c>
      <c r="O30" s="10">
        <f>AVERAGE(O48,O110,O159,O161,O169,O171,O192)</f>
        <v/>
      </c>
      <c r="P30" s="10">
        <f>AVERAGE(P48,P110,P159,P161,P169,P171,P192)</f>
        <v/>
      </c>
      <c r="Q30" s="10">
        <f>AVERAGE(Q48,Q110,Q159,Q161,Q169,Q171,Q192)</f>
        <v/>
      </c>
      <c r="R30" s="10">
        <f>AVERAGE(R48,R110,R159,R161,R169,R171,R192)</f>
        <v/>
      </c>
      <c r="S30" s="10">
        <f>AVERAGE(S48,S110,S159,S161,S169,S171,S192)</f>
        <v/>
      </c>
      <c r="T30" s="10">
        <f>AVERAGE(T48,T110,T159,T161,T169,T171,T192)</f>
        <v/>
      </c>
      <c r="U30" s="10">
        <f>AVERAGE(U48,U110,U159,U161,U169,U171,U192)</f>
        <v/>
      </c>
      <c r="V30" s="10">
        <f>AVERAGE(V48,V110,V159,V161,V169,V171,V192)</f>
        <v/>
      </c>
      <c r="W30" s="10">
        <f>AVERAGE(W48,W110,W159,W161,W169,W171,W192)</f>
        <v/>
      </c>
      <c r="X30" s="10">
        <f>AVERAGE(X48,X110,X159,X161,X169,X171,X192)</f>
        <v/>
      </c>
      <c r="Y30" s="10">
        <f>AVERAGE(Y48,Y110,Y159,Y161,Y169,Y171,Y192)</f>
        <v/>
      </c>
      <c r="Z30" s="10">
        <f>AVERAGE(Z48,Z110,Z159,Z161,Z169,Z171,Z192)</f>
        <v/>
      </c>
      <c r="AA30" s="10">
        <f>AVERAGE(AA48,AA110,AA159,AA161,AA169,AA171,AA192)</f>
        <v/>
      </c>
      <c r="AB30" s="10">
        <f>AVERAGE(AB48,AB110,AB159,AB161,AB169,AB171,AB192)</f>
        <v/>
      </c>
      <c r="AC30" s="10">
        <f>AVERAGE(AC48,AC110,AC159,AC161,AC169,AC171,AC192)</f>
        <v/>
      </c>
      <c r="AD30" s="10">
        <f>AVERAGE(AD48,AD110,AD159,AD161,AD169,AD171,AD192)</f>
        <v/>
      </c>
      <c r="AE30" s="10">
        <f>AVERAGE(AE48,AE110,AE159,AE161,AE169,AE171,AE192)</f>
        <v/>
      </c>
      <c r="AF30" s="10">
        <f>AVERAGE(AF48,AF110,AF159,AF161,AF169,AF171,AF192)</f>
        <v/>
      </c>
      <c r="AG30" s="10">
        <f>AVERAGE(AG48,AG110,AG159,AG161,AG169,AG171,AG192)</f>
        <v/>
      </c>
      <c r="AH30" s="10">
        <f>AVERAGE(AH48,AH110,AH159,AH161,AH169,AH171,AH192)</f>
        <v/>
      </c>
      <c r="AI30" s="10">
        <f>AVERAGE(AI48,AI110,AI159,AI161,AI169,AI171,AI192)</f>
        <v/>
      </c>
      <c r="AJ30" s="10">
        <f>AVERAGE(AJ48,AJ110,AJ159,AJ161,AJ169,AJ171,AJ192)</f>
        <v/>
      </c>
      <c r="AK30" s="10">
        <f>AVERAGE(AK48,AK110,AK159,AK161,AK169,AK171,AK192)</f>
        <v/>
      </c>
      <c r="AL30" s="10">
        <f>AVERAGE(AL48,AL110,AL159,AL161,AL169,AL171,AL192)</f>
        <v/>
      </c>
      <c r="AM30" s="10">
        <f>AVERAGE(AM48,AM110,AM159,AM161,AM169,AM171,AM192)</f>
        <v/>
      </c>
      <c r="AN30" s="10">
        <f>AVERAGE(AN48,AN110,AN159,AN161,AN169,AN171,AN192)</f>
        <v/>
      </c>
      <c r="AO30" s="10">
        <f>AVERAGE(AO48,AO110,AO159,AO161,AO169,AO171,AO192)</f>
        <v/>
      </c>
      <c r="AP30" s="10">
        <f>AVERAGE(AP48,AP110,AP159,AP161,AP169,AP171,AP192)</f>
        <v/>
      </c>
      <c r="AQ30" s="10">
        <f>AVERAGE(AQ48,AQ110,AQ159,AQ161,AQ169,AQ171,AQ192)</f>
        <v/>
      </c>
      <c r="AR30" s="10">
        <f>AVERAGE(AR48,AR110,AR159,AR161,AR169,AR171,AR192)</f>
        <v/>
      </c>
      <c r="AS30" s="10">
        <f>AVERAGE(AS48,AS110,AS159,AS161,AS169,AS171,AS192)</f>
        <v/>
      </c>
      <c r="AT30" s="10">
        <f>AVERAGE(AT48,AT110,AT159,AT161,AT169,AT171,AT192)</f>
        <v/>
      </c>
      <c r="AU30" s="10">
        <f>AVERAGE(AU48,AU110,AU159,AU161,AU169,AU171,AU192)</f>
        <v/>
      </c>
      <c r="AV30" s="10">
        <f>AVERAGE(AV48,AV110,AV159,AV161,AV169,AV171,AV192)</f>
        <v/>
      </c>
      <c r="AW30" s="10">
        <f>AVERAGE(AW48,AW110,AW159,AW161,AW169,AW171,AW192)</f>
        <v/>
      </c>
      <c r="AX30" s="10">
        <f>AVERAGE(AX48,AX110,AX159,AX161,AX169,AX171,AX192)</f>
        <v/>
      </c>
      <c r="AY30" s="10">
        <f>AVERAGE(AY48,AY110,AY159,AY161,AY169,AY171,AY192)</f>
        <v/>
      </c>
      <c r="AZ30" s="10">
        <f>AVERAGE(AZ48,AZ110,AZ159,AZ161,AZ169,AZ171,AZ192)</f>
        <v/>
      </c>
      <c r="BA30" s="10">
        <f>AVERAGE(BA48,BA110,BA159,BA161,BA169,BA171,BA192)</f>
        <v/>
      </c>
      <c r="BB30" s="10">
        <f>AVERAGE(BB48,BB110,BB159,BB161,BB169,BB171,BB192)</f>
        <v/>
      </c>
      <c r="BC30" s="10">
        <f>AVERAGE(BC48,BC110,BC159,BC161,BC169,BC171,BC192)</f>
        <v/>
      </c>
      <c r="BD30" s="10">
        <f>AVERAGE(BD48,BD110,BD159,BD161,BD169,BD171,BD192)</f>
        <v/>
      </c>
      <c r="BE30" s="10">
        <f>AVERAGE(BE48,BE110,BE159,BE161,BE169,BE171,BE192)</f>
        <v/>
      </c>
      <c r="BF30" s="10">
        <f>AVERAGE(BF48,BF110,BF159,BF161,BF169,BF171,BF192)</f>
        <v/>
      </c>
      <c r="BG30">
        <f>IF($F30=0,"0",MIN(
BH30/(30*$F30),
BI30/(61*$F30),
BJ30/(48*$F30),
(BK30+BL30)/(23*$F30),
(BM30+BN30)/(41*$F30),
BO30/(25*$F30),
BP30/(6.6*$F30),
BQ30/(40*$F30),
BS30/(16*$F30)
)*100)</f>
        <v/>
      </c>
      <c r="BH30" s="10">
        <f>AVERAGE(BH48,BH110,BH159,BH161,BH169,BH171,BH192)</f>
        <v/>
      </c>
      <c r="BI30" s="10">
        <f>AVERAGE(BI48,BI110,BI159,BI161,BI169,BI171,BI192)</f>
        <v/>
      </c>
      <c r="BJ30" s="10">
        <f>AVERAGE(BJ48,BJ110,BJ159,BJ161,BJ169,BJ171,BJ192)</f>
        <v/>
      </c>
      <c r="BK30" s="10">
        <f>AVERAGE(BK48,BK110,BK159,BK161,BK169,BK171,BK192)</f>
        <v/>
      </c>
      <c r="BL30" s="10">
        <f>AVERAGE(BL48,BL110,BL159,BL161,BL169,BL171,BL192)</f>
        <v/>
      </c>
      <c r="BM30" s="10">
        <f>AVERAGE(BM48,BM110,BM159,BM161,BM169,BM171,BM192)</f>
        <v/>
      </c>
      <c r="BN30" s="10">
        <f>AVERAGE(BN48,BN110,BN159,BN161,BN169,BN171,BN192)</f>
        <v/>
      </c>
      <c r="BO30" s="10">
        <f>AVERAGE(BO48,BO110,BO159,BO161,BO169,BO171,BO192)</f>
        <v/>
      </c>
      <c r="BP30" s="10">
        <f>AVERAGE(BP48,BP110,BP159,BP161,BP169,BP171,BP192)</f>
        <v/>
      </c>
      <c r="BQ30" s="10">
        <f>AVERAGE(BQ48,BQ110,BQ159,BQ161,BQ169,BQ171,BQ192)</f>
        <v/>
      </c>
      <c r="BR30" s="10">
        <f>AVERAGE(BR48,BR110,BR159,BR161,BR169,BR171,BR192)</f>
        <v/>
      </c>
      <c r="BS30" s="10">
        <f>AVERAGE(BS48,BS110,BS159,BS161,BS169,BS171,BS192)</f>
        <v/>
      </c>
      <c r="BT30" s="10">
        <f>AVERAGE(BT48,BT110,BT159,BT161,BT169,BT171,BT192)</f>
        <v/>
      </c>
      <c r="BU30" s="10">
        <f>AVERAGE(BU48,BU110,BU159,BU161,BU169,BU171,BU192)</f>
        <v/>
      </c>
      <c r="BV30" s="10">
        <f>AVERAGE(BV48,BV110,BV159,BV161,BV169,BV171,BV192)</f>
        <v/>
      </c>
      <c r="BW30" s="10">
        <f>AVERAGE(BW48,BW110,BW159,BW161,BW169,BW171,BW192)</f>
        <v/>
      </c>
      <c r="BX30" s="10">
        <f>AVERAGE(BX48,BX110,BX159,BX161,BX169,BX171,BX192)</f>
        <v/>
      </c>
      <c r="BY30" s="10">
        <f>AVERAGE(BY48,BY110,BY159,BY161,BY169,BY171,BY192)</f>
        <v/>
      </c>
      <c r="BZ30" s="10">
        <f>AVERAGE(BZ48,BZ110,BZ159,BZ161,BZ169,BZ171,BZ192)</f>
        <v/>
      </c>
      <c r="CA30" s="10">
        <f>AVERAGE(CA48,CA110,CA159,CA161,CA169,CA171,CA192)</f>
        <v/>
      </c>
      <c r="CB30" s="10">
        <f>AVERAGE(CB48,CB110,CB159,CB161,CB169,CB171,CB192)</f>
        <v/>
      </c>
      <c r="CC30" s="10">
        <f>AVERAGE(CC48,CC110,CC159,CC161,CC169,CC171,CC192)</f>
        <v/>
      </c>
      <c r="CD30" s="10">
        <f>AVERAGE(CD48,CD110,CD159,CD161,CD169,CD171,CD192)</f>
        <v/>
      </c>
      <c r="CE30" s="10">
        <f>AVERAGE(CE48,CE110,CE159,CE161,CE169,CE171,CE192)</f>
        <v/>
      </c>
      <c r="CF30" s="10">
        <f>AVERAGE(CF48,CF110,CF159,CF161,CF169,CF171,CF192)</f>
        <v/>
      </c>
      <c r="CG30" s="10">
        <f>AVERAGE(CG48,CG110,CG159,CG161,CG169,CG171,CG192)</f>
        <v/>
      </c>
      <c r="CH30" s="10">
        <f>AVERAGE(CH48,CH110,CH159,CH161,CH169,CH171,CH192)</f>
        <v/>
      </c>
      <c r="CI30" s="10">
        <f>AVERAGE(CI48,CI110,CI159,CI161,CI169,CI171,CI192)</f>
        <v/>
      </c>
      <c r="CJ30" s="10">
        <f>AVERAGE(CJ48,CJ110,CJ159,CJ161,CJ169,CJ171,CJ192)</f>
        <v/>
      </c>
      <c r="CK30" s="10">
        <f>AVERAGE(CK48,CK110,CK159,CK161,CK169,CK171,CK192)</f>
        <v/>
      </c>
      <c r="CL30" s="10">
        <f>AVERAGE(CL48,CL110,CL159,CL161,CL169,CL171,CL192)</f>
        <v/>
      </c>
      <c r="CM30" s="10">
        <f>AVERAGE(CM48,CM110,CM159,CM161,CM169,CM171,CM192)</f>
        <v/>
      </c>
      <c r="CN30" s="10">
        <f>AVERAGE(CN48,CN110,CN159,CN161,CN169,CN171,CN192)</f>
        <v/>
      </c>
      <c r="CO30" s="10">
        <f>AVERAGE(CO48,CO110,CO159,CO161,CO169,CO171,CO192)</f>
        <v/>
      </c>
      <c r="CP30" s="10">
        <f>AVERAGE(CP48,CP110,CP159,CP161,CP169,CP171,CP192)</f>
        <v/>
      </c>
      <c r="CQ30" s="10">
        <f>AVERAGE(CQ48,CQ110,CQ159,CQ161,CQ169,CQ171,CQ192)</f>
        <v/>
      </c>
      <c r="CR30" s="10">
        <f>AVERAGE(CR48,CR110,CR159,CR161,CR169,CR171,CR192)</f>
        <v/>
      </c>
      <c r="CS30" s="10">
        <f>AVERAGE(CS48,CS110,CS159,CS161,CS169,CS171,CS192)</f>
        <v/>
      </c>
      <c r="CT30" s="10">
        <f>AVERAGE(CT48,CT110,CT159,CT161,CT169,CT171,CT192)</f>
        <v/>
      </c>
      <c r="CU30" s="10">
        <f>AVERAGE(CU48,CU110,CU159,CU161,CU169,CU171,CU192)</f>
        <v/>
      </c>
      <c r="CV30" s="10">
        <f>AVERAGE(CV48,CV110,CV159,CV161,CV169,CV171,CV192)</f>
        <v/>
      </c>
      <c r="CW30" s="10">
        <f>AVERAGE(CW48,CW110,CW159,CW161,CW169,CW171,CW192)</f>
        <v/>
      </c>
      <c r="CX30" s="10">
        <f>AVERAGE(CX48,CX110,CX159,CX161,CX169,CX171,CX192)</f>
        <v/>
      </c>
      <c r="CY30" s="10">
        <f>AVERAGE(CY48,CY110,CY159,CY161,CY169,CY171,CY192)</f>
        <v/>
      </c>
      <c r="CZ30" s="10">
        <f>AVERAGE(CZ48,CZ110,CZ159,CZ161,CZ169,CZ171,CZ192)</f>
        <v/>
      </c>
      <c r="DA30" s="10">
        <f>AVERAGE(DA48,DA110,DA159,DA161,DA169,DA171,DA192)</f>
        <v/>
      </c>
      <c r="DB30" s="10">
        <f>AVERAGE(DB48,DB110,DB159,DB161,DB169,DB171,DB192)</f>
        <v/>
      </c>
      <c r="DC30" s="10">
        <f>AVERAGE(DC48,DC110,DC159,DC161,DC169,DC171,DC192)</f>
        <v/>
      </c>
      <c r="DD30" s="10">
        <f>AVERAGE(DD48,DD110,DD159,DD161,DD169,DD171,DD192)</f>
        <v/>
      </c>
      <c r="DE30" s="10">
        <f>AVERAGE(DE48,DE110,DE159,DE161,DE169,DE171,DE192)</f>
        <v/>
      </c>
      <c r="DF30" s="10">
        <f>AVERAGE(DF48,DF110,DF159,DF161,DF169,DF171,DF192)</f>
        <v/>
      </c>
      <c r="DG30" s="10">
        <f>AVERAGE(DG48,DG110,DG159,DG161,DG169,DG171,DG192)</f>
        <v/>
      </c>
      <c r="DH30" s="10">
        <f>AVERAGE(DH48,DH110,DH159,DH161,DH169,DH171,DH192)</f>
        <v/>
      </c>
      <c r="DI30" s="10">
        <f>AVERAGE(DI48,DI110,DI159,DI161,DI169,DI171,DI192)</f>
        <v/>
      </c>
      <c r="DJ30" s="10">
        <f>AVERAGE(DJ48,DJ110,DJ159,DJ161,DJ169,DJ171,DJ192)</f>
        <v/>
      </c>
      <c r="DK30" s="10">
        <f>AVERAGE(DK48,DK110,DK159,DK161,DK169,DK171,DK192)</f>
        <v/>
      </c>
      <c r="DL30" s="10">
        <f>AVERAGE(DL48,DL110,DL159,DL161,DL169,DL171,DL192)</f>
        <v/>
      </c>
      <c r="DM30" s="10">
        <f>AVERAGE(DM48,DM110,DM159,DM161,DM169,DM171,DM192)</f>
        <v/>
      </c>
      <c r="DN30" s="10">
        <f>AVERAGE(DN48,DN110,DN159,DN161,DN169,DN171,DN192)</f>
        <v/>
      </c>
      <c r="DO30" s="10">
        <f>AVERAGE(DO48,DO110,DO159,DO161,DO169,DO171,DO192)</f>
        <v/>
      </c>
      <c r="DP30" s="10">
        <f>AVERAGE(DP48,DP110,DP159,DP161,DP169,DP171,DP192)</f>
        <v/>
      </c>
      <c r="DQ30" s="10">
        <f>AVERAGE(DQ48,DQ110,DQ159,DQ161,DQ169,DQ171,DQ192)</f>
        <v/>
      </c>
      <c r="DR30" s="10">
        <f>AVERAGE(DR48,DR110,DR159,DR161,DR169,DR171,DR192)</f>
        <v/>
      </c>
      <c r="DS30" s="10">
        <f>AVERAGE(DS48,DS110,DS159,DS161,DS169,DS171,DS192)</f>
        <v/>
      </c>
      <c r="DT30" s="10">
        <f>AVERAGE(DT48,DT110,DT159,DT161,DT169,DT171,DT192)</f>
        <v/>
      </c>
      <c r="DU30" s="10">
        <f>AVERAGE(DU48,DU110,DU159,DU161,DU169,DU171,DU192)</f>
        <v/>
      </c>
      <c r="DV30" s="10">
        <f>AVERAGE(DV48,DV110,DV159,DV161,DV169,DV171,DV192)</f>
        <v/>
      </c>
      <c r="DW30" s="10">
        <f>AVERAGE(DW48,DW110,DW159,DW161,DW169,DW171,DW192)</f>
        <v/>
      </c>
      <c r="DX30" s="10">
        <f>AVERAGE(DX48,DX110,DX159,DX161,DX169,DX171,DX192)</f>
        <v/>
      </c>
      <c r="DY30" s="10">
        <f>AVERAGE(DY48,DY110,DY159,DY161,DY169,DY171,DY192)</f>
        <v/>
      </c>
      <c r="DZ30" s="10">
        <f>AVERAGE(DZ48,DZ110,DZ159,DZ161,DZ169,DZ171,DZ192)</f>
        <v/>
      </c>
      <c r="EA30" s="10">
        <f>AVERAGE(EA48,EA110,EA159,EA161,EA169,EA171,EA192)</f>
        <v/>
      </c>
      <c r="EB30" s="10">
        <f>AVERAGE(EB48,EB110,EB159,EB161,EB169,EB171,EB192)</f>
        <v/>
      </c>
      <c r="EC30" s="10">
        <f>AVERAGE(EC48,EC110,EC159,EC161,EC169,EC171,EC192)</f>
        <v/>
      </c>
      <c r="ED30" s="10">
        <f>AVERAGE(ED48,ED110,ED159,ED161,ED169,ED171,ED192)</f>
        <v/>
      </c>
      <c r="EE30" s="10">
        <f>AVERAGE(EE48,EE110,EE159,EE161,EE169,EE171,EE192)</f>
        <v/>
      </c>
      <c r="EF30" s="10">
        <f>AVERAGE(EF48,EF110,EF159,EF161,EF169,EF171,EF192)</f>
        <v/>
      </c>
      <c r="EG30" s="10">
        <f>AVERAGE(EG48,EG110,EG159,EG161,EG169,EG171,EG192)</f>
        <v/>
      </c>
      <c r="EH30" s="10">
        <f>AVERAGE(EH48,EH110,EH159,EH161,EH169,EH171,EH192)</f>
        <v/>
      </c>
      <c r="EI30" s="10">
        <f>AVERAGE(EI48,EI110,EI159,EI161,EI169,EI171,EI192)</f>
        <v/>
      </c>
      <c r="EJ30" s="10">
        <f>AVERAGE(EJ48,EJ110,EJ159,EJ161,EJ169,EJ171,EJ192)</f>
        <v/>
      </c>
      <c r="EK30" s="10">
        <f>AVERAGE(EK48,EK110,EK159,EK161,EK169,EK171,EK192)</f>
        <v/>
      </c>
    </row>
    <row r="31">
      <c r="A31" s="12">
        <f>[1]ingredient!B29</f>
        <v/>
      </c>
      <c r="C31" s="7">
        <f>_xlfn.XLOOKUP(A31,[1]ingredient!$B$2:$B$521,[1]ingredient!$A$2:$A$521)</f>
        <v/>
      </c>
      <c r="D31" s="10">
        <f>AVERAGE(D111,D160,D162,D170,D172,D193)</f>
        <v/>
      </c>
      <c r="E31" s="10">
        <f>AVERAGE(E111,E160,E162,E170,E172,E193)</f>
        <v/>
      </c>
      <c r="F31" s="10">
        <f>AVERAGE(F111,F160,F162,F170,F172,F193)</f>
        <v/>
      </c>
      <c r="G31" s="10">
        <f>AVERAGE(G111,G160,G162,G170,G172,G193)</f>
        <v/>
      </c>
      <c r="H31" s="10">
        <f>AVERAGE(H111,H160,H162,H170,H172,H193)</f>
        <v/>
      </c>
      <c r="I31" s="10">
        <f>AVERAGE(I111,I160,I162,I170,I172,I193)</f>
        <v/>
      </c>
      <c r="J31" s="10">
        <f>AVERAGE(J111,J160,J162,J170,J172,J193)</f>
        <v/>
      </c>
      <c r="K31" s="10">
        <f>AVERAGE(K111,K160,K162,K170,K172,K193)</f>
        <v/>
      </c>
      <c r="L31" s="10">
        <f>AVERAGE(L111,L160,L162,L170,L172,L193)</f>
        <v/>
      </c>
      <c r="M31" s="10">
        <f>AVERAGE(M111,M160,M162,M170,M172,M193)</f>
        <v/>
      </c>
      <c r="N31" s="10">
        <f>AVERAGE(N111,N160,N162,N170,N172,N193)</f>
        <v/>
      </c>
      <c r="O31" s="10">
        <f>AVERAGE(O111,O160,O162,O170,O172,O193)</f>
        <v/>
      </c>
      <c r="P31" s="10">
        <f>AVERAGE(P111,P160,P162,P170,P172,P193)</f>
        <v/>
      </c>
      <c r="Q31" s="10">
        <f>AVERAGE(Q111,Q160,Q162,Q170,Q172,Q193)</f>
        <v/>
      </c>
      <c r="R31" s="10">
        <f>AVERAGE(R111,R160,R162,R170,R172,R193)</f>
        <v/>
      </c>
      <c r="S31" s="10">
        <f>AVERAGE(S111,S160,S162,S170,S172,S193)</f>
        <v/>
      </c>
      <c r="T31" s="10">
        <f>AVERAGE(T111,T160,T162,T170,T172,T193)</f>
        <v/>
      </c>
      <c r="U31" s="10">
        <f>AVERAGE(U111,U160,U162,U170,U172,U193)</f>
        <v/>
      </c>
      <c r="V31" s="10">
        <f>AVERAGE(V111,V160,V162,V170,V172,V193)</f>
        <v/>
      </c>
      <c r="W31" s="10">
        <f>AVERAGE(W111,W160,W162,W170,W172,W193)</f>
        <v/>
      </c>
      <c r="X31" s="10">
        <f>AVERAGE(X111,X160,X162,X170,X172,X193)</f>
        <v/>
      </c>
      <c r="Y31" s="10">
        <f>AVERAGE(Y111,Y160,Y162,Y170,Y172,Y193)</f>
        <v/>
      </c>
      <c r="Z31" s="10">
        <f>AVERAGE(Z111,Z160,Z162,Z170,Z172,Z193)</f>
        <v/>
      </c>
      <c r="AA31" s="10">
        <f>AVERAGE(AA111,AA160,AA162,AA170,AA172,AA193)</f>
        <v/>
      </c>
      <c r="AB31" s="10">
        <f>AVERAGE(AB111,AB160,AB162,AB170,AB172,AB193)</f>
        <v/>
      </c>
      <c r="AC31" s="10">
        <f>AVERAGE(AC111,AC160,AC162,AC170,AC172,AC193)</f>
        <v/>
      </c>
      <c r="AD31" s="10">
        <f>AVERAGE(AD111,AD160,AD162,AD170,AD172,AD193)</f>
        <v/>
      </c>
      <c r="AE31" s="10">
        <f>AVERAGE(AE111,AE160,AE162,AE170,AE172,AE193)</f>
        <v/>
      </c>
      <c r="AF31" s="10">
        <f>AVERAGE(AF111,AF160,AF162,AF170,AF172,AF193)</f>
        <v/>
      </c>
      <c r="AG31" s="10">
        <f>AVERAGE(AG111,AG160,AG162,AG170,AG172,AG193)</f>
        <v/>
      </c>
      <c r="AH31" s="10">
        <f>AVERAGE(AH111,AH160,AH162,AH170,AH172,AH193)</f>
        <v/>
      </c>
      <c r="AI31" s="10">
        <f>AVERAGE(AI111,AI160,AI162,AI170,AI172,AI193)</f>
        <v/>
      </c>
      <c r="AJ31" s="10">
        <f>AVERAGE(AJ111,AJ160,AJ162,AJ170,AJ172,AJ193)</f>
        <v/>
      </c>
      <c r="AK31" s="10">
        <f>AVERAGE(AK111,AK160,AK162,AK170,AK172,AK193)</f>
        <v/>
      </c>
      <c r="AL31" s="10">
        <f>AVERAGE(AL111,AL160,AL162,AL170,AL172,AL193)</f>
        <v/>
      </c>
      <c r="AM31" s="10">
        <f>AVERAGE(AM111,AM160,AM162,AM170,AM172,AM193)</f>
        <v/>
      </c>
      <c r="AN31" s="10">
        <f>AVERAGE(AN111,AN160,AN162,AN170,AN172,AN193)</f>
        <v/>
      </c>
      <c r="AO31" s="10">
        <f>AVERAGE(AO111,AO160,AO162,AO170,AO172,AO193)</f>
        <v/>
      </c>
      <c r="AP31" s="10">
        <f>AVERAGE(AP111,AP160,AP162,AP170,AP172,AP193)</f>
        <v/>
      </c>
      <c r="AQ31" s="10">
        <f>AVERAGE(AQ111,AQ160,AQ162,AQ170,AQ172,AQ193)</f>
        <v/>
      </c>
      <c r="AR31" s="10">
        <f>AVERAGE(AR111,AR160,AR162,AR170,AR172,AR193)</f>
        <v/>
      </c>
      <c r="AS31" s="10">
        <f>AVERAGE(AS111,AS160,AS162,AS170,AS172,AS193)</f>
        <v/>
      </c>
      <c r="AT31" s="10">
        <f>AVERAGE(AT111,AT160,AT162,AT170,AT172,AT193)</f>
        <v/>
      </c>
      <c r="AU31" s="10">
        <f>AVERAGE(AU111,AU160,AU162,AU170,AU172,AU193)</f>
        <v/>
      </c>
      <c r="AV31" s="10">
        <f>AVERAGE(AV111,AV160,AV162,AV170,AV172,AV193)</f>
        <v/>
      </c>
      <c r="AW31" s="10">
        <f>AVERAGE(AW111,AW160,AW162,AW170,AW172,AW193)</f>
        <v/>
      </c>
      <c r="AX31" s="10">
        <f>AVERAGE(AX111,AX160,AX162,AX170,AX172,AX193)</f>
        <v/>
      </c>
      <c r="AY31" s="10">
        <f>AVERAGE(AY111,AY160,AY162,AY170,AY172,AY193)</f>
        <v/>
      </c>
      <c r="AZ31" s="10">
        <f>AVERAGE(AZ111,AZ160,AZ162,AZ170,AZ172,AZ193)</f>
        <v/>
      </c>
      <c r="BA31" s="10">
        <f>AVERAGE(BA111,BA160,BA162,BA170,BA172,BA193)</f>
        <v/>
      </c>
      <c r="BB31" s="10">
        <f>AVERAGE(BB111,BB160,BB162,BB170,BB172,BB193)</f>
        <v/>
      </c>
      <c r="BC31" s="10">
        <f>AVERAGE(BC111,BC160,BC162,BC170,BC172,BC193)</f>
        <v/>
      </c>
      <c r="BD31" s="10">
        <f>AVERAGE(BD111,BD160,BD162,BD170,BD172,BD193)</f>
        <v/>
      </c>
      <c r="BE31" s="10">
        <f>AVERAGE(BE111,BE160,BE162,BE170,BE172,BE193)</f>
        <v/>
      </c>
      <c r="BF31" s="10">
        <f>AVERAGE(BF111,BF160,BF162,BF170,BF172,BF193)</f>
        <v/>
      </c>
      <c r="BG31">
        <f>IF($F31=0,"0",MIN(
BH31/(30*$F31),
BI31/(61*$F31),
BJ31/(48*$F31),
(BK31+BL31)/(23*$F31),
(BM31+BN31)/(41*$F31),
BO31/(25*$F31),
BP31/(6.6*$F31),
BQ31/(40*$F31),
BS31/(16*$F31)
)*100)</f>
        <v/>
      </c>
      <c r="BH31" s="10">
        <f>AVERAGE(BH111,BH160,BH162,BH170,BH172,BH193)</f>
        <v/>
      </c>
      <c r="BI31" s="10">
        <f>AVERAGE(BI111,BI160,BI162,BI170,BI172,BI193)</f>
        <v/>
      </c>
      <c r="BJ31" s="10">
        <f>AVERAGE(BJ111,BJ160,BJ162,BJ170,BJ172,BJ193)</f>
        <v/>
      </c>
      <c r="BK31" s="10">
        <f>AVERAGE(BK111,BK160,BK162,BK170,BK172,BK193)</f>
        <v/>
      </c>
      <c r="BL31" s="10">
        <f>AVERAGE(BL111,BL160,BL162,BL170,BL172,BL193)</f>
        <v/>
      </c>
      <c r="BM31" s="10">
        <f>AVERAGE(BM111,BM160,BM162,BM170,BM172,BM193)</f>
        <v/>
      </c>
      <c r="BN31" s="10">
        <f>AVERAGE(BN111,BN160,BN162,BN170,BN172,BN193)</f>
        <v/>
      </c>
      <c r="BO31" s="10">
        <f>AVERAGE(BO111,BO160,BO162,BO170,BO172,BO193)</f>
        <v/>
      </c>
      <c r="BP31" s="10">
        <f>AVERAGE(BP111,BP160,BP162,BP170,BP172,BP193)</f>
        <v/>
      </c>
      <c r="BQ31" s="10">
        <f>AVERAGE(BQ111,BQ160,BQ162,BQ170,BQ172,BQ193)</f>
        <v/>
      </c>
      <c r="BR31" s="10">
        <f>AVERAGE(BR111,BR160,BR162,BR170,BR172,BR193)</f>
        <v/>
      </c>
      <c r="BS31" s="10">
        <f>AVERAGE(BS111,BS160,BS162,BS170,BS172,BS193)</f>
        <v/>
      </c>
      <c r="BT31" s="10">
        <f>AVERAGE(BT111,BT160,BT162,BT170,BT172,BT193)</f>
        <v/>
      </c>
      <c r="BU31" s="10">
        <f>AVERAGE(BU111,BU160,BU162,BU170,BU172,BU193)</f>
        <v/>
      </c>
      <c r="BV31" s="10">
        <f>AVERAGE(BV111,BV160,BV162,BV170,BV172,BV193)</f>
        <v/>
      </c>
      <c r="BW31" s="10">
        <f>AVERAGE(BW111,BW160,BW162,BW170,BW172,BW193)</f>
        <v/>
      </c>
      <c r="BX31" s="10">
        <f>AVERAGE(BX111,BX160,BX162,BX170,BX172,BX193)</f>
        <v/>
      </c>
      <c r="BY31" s="10">
        <f>AVERAGE(BY111,BY160,BY162,BY170,BY172,BY193)</f>
        <v/>
      </c>
      <c r="BZ31" s="10">
        <f>AVERAGE(BZ111,BZ160,BZ162,BZ170,BZ172,BZ193)</f>
        <v/>
      </c>
      <c r="CA31" s="10">
        <f>AVERAGE(CA111,CA160,CA162,CA170,CA172,CA193)</f>
        <v/>
      </c>
      <c r="CB31" s="10">
        <f>AVERAGE(CB111,CB160,CB162,CB170,CB172,CB193)</f>
        <v/>
      </c>
      <c r="CC31" s="10">
        <f>AVERAGE(CC111,CC160,CC162,CC170,CC172,CC193)</f>
        <v/>
      </c>
      <c r="CD31" s="10">
        <f>AVERAGE(CD111,CD160,CD162,CD170,CD172,CD193)</f>
        <v/>
      </c>
      <c r="CE31" s="10">
        <f>AVERAGE(CE111,CE160,CE162,CE170,CE172,CE193)</f>
        <v/>
      </c>
      <c r="CF31" s="10">
        <f>AVERAGE(CF111,CF160,CF162,CF170,CF172,CF193)</f>
        <v/>
      </c>
      <c r="CG31" s="10">
        <f>AVERAGE(CG111,CG160,CG162,CG170,CG172,CG193)</f>
        <v/>
      </c>
      <c r="CH31" s="10">
        <f>AVERAGE(CH111,CH160,CH162,CH170,CH172,CH193)</f>
        <v/>
      </c>
      <c r="CI31" s="10">
        <f>AVERAGE(CI111,CI160,CI162,CI170,CI172,CI193)</f>
        <v/>
      </c>
      <c r="CJ31" s="10">
        <f>AVERAGE(CJ111,CJ160,CJ162,CJ170,CJ172,CJ193)</f>
        <v/>
      </c>
      <c r="CK31" s="10">
        <f>AVERAGE(CK111,CK160,CK162,CK170,CK172,CK193)</f>
        <v/>
      </c>
      <c r="CL31" s="10">
        <f>AVERAGE(CL111,CL160,CL162,CL170,CL172,CL193)</f>
        <v/>
      </c>
      <c r="CM31" s="10">
        <f>AVERAGE(CM111,CM160,CM162,CM170,CM172,CM193)</f>
        <v/>
      </c>
      <c r="CN31" s="10">
        <f>AVERAGE(CN111,CN160,CN162,CN170,CN172,CN193)</f>
        <v/>
      </c>
      <c r="CO31" s="10">
        <f>AVERAGE(CO111,CO160,CO162,CO170,CO172,CO193)</f>
        <v/>
      </c>
      <c r="CP31" s="10">
        <f>AVERAGE(CP111,CP160,CP162,CP170,CP172,CP193)</f>
        <v/>
      </c>
      <c r="CQ31" s="10">
        <f>AVERAGE(CQ111,CQ160,CQ162,CQ170,CQ172,CQ193)</f>
        <v/>
      </c>
      <c r="CR31" s="10">
        <f>AVERAGE(CR111,CR160,CR162,CR170,CR172,CR193)</f>
        <v/>
      </c>
      <c r="CS31" s="10">
        <f>AVERAGE(CS111,CS160,CS162,CS170,CS172,CS193)</f>
        <v/>
      </c>
      <c r="CT31" s="10">
        <f>AVERAGE(CT111,CT160,CT162,CT170,CT172,CT193)</f>
        <v/>
      </c>
      <c r="CU31" s="10">
        <f>AVERAGE(CU111,CU160,CU162,CU170,CU172,CU193)</f>
        <v/>
      </c>
      <c r="CV31" s="10">
        <f>AVERAGE(CV111,CV160,CV162,CV170,CV172,CV193)</f>
        <v/>
      </c>
      <c r="CW31" s="10">
        <f>AVERAGE(CW111,CW160,CW162,CW170,CW172,CW193)</f>
        <v/>
      </c>
      <c r="CX31" s="10">
        <f>AVERAGE(CX111,CX160,CX162,CX170,CX172,CX193)</f>
        <v/>
      </c>
      <c r="CY31" s="10">
        <f>AVERAGE(CY111,CY160,CY162,CY170,CY172,CY193)</f>
        <v/>
      </c>
      <c r="CZ31" s="10">
        <f>AVERAGE(CZ111,CZ160,CZ162,CZ170,CZ172,CZ193)</f>
        <v/>
      </c>
      <c r="DA31" s="10">
        <f>AVERAGE(DA111,DA160,DA162,DA170,DA172,DA193)</f>
        <v/>
      </c>
      <c r="DB31" s="10">
        <f>AVERAGE(DB111,DB160,DB162,DB170,DB172,DB193)</f>
        <v/>
      </c>
      <c r="DC31" s="10">
        <f>AVERAGE(DC111,DC160,DC162,DC170,DC172,DC193)</f>
        <v/>
      </c>
      <c r="DD31" s="10">
        <f>AVERAGE(DD111,DD160,DD162,DD170,DD172,DD193)</f>
        <v/>
      </c>
      <c r="DE31" s="10">
        <f>AVERAGE(DE111,DE160,DE162,DE170,DE172,DE193)</f>
        <v/>
      </c>
      <c r="DF31" s="10">
        <f>AVERAGE(DF111,DF160,DF162,DF170,DF172,DF193)</f>
        <v/>
      </c>
      <c r="DG31" s="10">
        <f>AVERAGE(DG111,DG160,DG162,DG170,DG172,DG193)</f>
        <v/>
      </c>
      <c r="DH31" s="10">
        <f>AVERAGE(DH111,DH160,DH162,DH170,DH172,DH193)</f>
        <v/>
      </c>
      <c r="DI31" s="10">
        <f>AVERAGE(DI111,DI160,DI162,DI170,DI172,DI193)</f>
        <v/>
      </c>
      <c r="DJ31" s="10">
        <f>AVERAGE(DJ111,DJ160,DJ162,DJ170,DJ172,DJ193)</f>
        <v/>
      </c>
      <c r="DK31" s="10">
        <f>AVERAGE(DK111,DK160,DK162,DK170,DK172,DK193)</f>
        <v/>
      </c>
      <c r="DL31" s="10">
        <f>AVERAGE(DL111,DL160,DL162,DL170,DL172,DL193)</f>
        <v/>
      </c>
      <c r="DM31" s="10">
        <f>AVERAGE(DM111,DM160,DM162,DM170,DM172,DM193)</f>
        <v/>
      </c>
      <c r="DN31" s="10">
        <f>AVERAGE(DN111,DN160,DN162,DN170,DN172,DN193)</f>
        <v/>
      </c>
      <c r="DO31" s="10">
        <f>AVERAGE(DO111,DO160,DO162,DO170,DO172,DO193)</f>
        <v/>
      </c>
      <c r="DP31" s="10">
        <f>AVERAGE(DP111,DP160,DP162,DP170,DP172,DP193)</f>
        <v/>
      </c>
      <c r="DQ31" s="10">
        <f>AVERAGE(DQ111,DQ160,DQ162,DQ170,DQ172,DQ193)</f>
        <v/>
      </c>
      <c r="DR31" s="10">
        <f>AVERAGE(DR111,DR160,DR162,DR170,DR172,DR193)</f>
        <v/>
      </c>
      <c r="DS31" s="10">
        <f>AVERAGE(DS111,DS160,DS162,DS170,DS172,DS193)</f>
        <v/>
      </c>
      <c r="DT31" s="10">
        <f>AVERAGE(DT111,DT160,DT162,DT170,DT172,DT193)</f>
        <v/>
      </c>
      <c r="DU31" s="10">
        <f>AVERAGE(DU111,DU160,DU162,DU170,DU172,DU193)</f>
        <v/>
      </c>
      <c r="DV31" s="10">
        <f>AVERAGE(DV111,DV160,DV162,DV170,DV172,DV193)</f>
        <v/>
      </c>
      <c r="DW31" s="10">
        <f>AVERAGE(DW111,DW160,DW162,DW170,DW172,DW193)</f>
        <v/>
      </c>
      <c r="DX31" s="10">
        <f>AVERAGE(DX111,DX160,DX162,DX170,DX172,DX193)</f>
        <v/>
      </c>
      <c r="DY31" s="10">
        <f>AVERAGE(DY111,DY160,DY162,DY170,DY172,DY193)</f>
        <v/>
      </c>
      <c r="DZ31" s="10">
        <f>AVERAGE(DZ111,DZ160,DZ162,DZ170,DZ172,DZ193)</f>
        <v/>
      </c>
      <c r="EA31" s="10">
        <f>AVERAGE(EA111,EA160,EA162,EA170,EA172,EA193)</f>
        <v/>
      </c>
      <c r="EB31" s="10">
        <f>AVERAGE(EB111,EB160,EB162,EB170,EB172,EB193)</f>
        <v/>
      </c>
      <c r="EC31" s="10">
        <f>AVERAGE(EC111,EC160,EC162,EC170,EC172,EC193)</f>
        <v/>
      </c>
      <c r="ED31" s="10">
        <f>AVERAGE(ED111,ED160,ED162,ED170,ED172,ED193)</f>
        <v/>
      </c>
      <c r="EE31" s="10">
        <f>AVERAGE(EE111,EE160,EE162,EE170,EE172,EE193)</f>
        <v/>
      </c>
      <c r="EF31" s="10">
        <f>AVERAGE(EF111,EF160,EF162,EF170,EF172,EF193)</f>
        <v/>
      </c>
      <c r="EG31" s="10">
        <f>AVERAGE(EG111,EG160,EG162,EG170,EG172,EG193)</f>
        <v/>
      </c>
      <c r="EH31" s="10">
        <f>AVERAGE(EH111,EH160,EH162,EH170,EH172,EH193)</f>
        <v/>
      </c>
      <c r="EI31" s="10">
        <f>AVERAGE(EI111,EI160,EI162,EI170,EI172,EI193)</f>
        <v/>
      </c>
      <c r="EJ31" s="10">
        <f>AVERAGE(EJ111,EJ160,EJ162,EJ170,EJ172,EJ193)</f>
        <v/>
      </c>
      <c r="EK31" s="10">
        <f>AVERAGE(EK111,EK160,EK162,EK170,EK172,EK193)</f>
        <v/>
      </c>
    </row>
    <row r="32">
      <c r="A32">
        <f>[1]ingredient!B30</f>
        <v/>
      </c>
      <c r="B32" t="inlineStr">
        <is>
          <t>https://www.naehrwertrechner.de/naehrwerte/H725100/Linsen+reif+getrocknet/?menge=100</t>
        </is>
      </c>
      <c r="C32" s="7">
        <f>_xlfn.XLOOKUP(A32,[1]ingredient!$B$2:$B$521,[1]ingredient!$A$2:$A$521)</f>
        <v/>
      </c>
      <c r="D32" t="n">
        <v>275</v>
      </c>
      <c r="E32" t="n">
        <v>2</v>
      </c>
      <c r="F32" t="n">
        <v>23</v>
      </c>
      <c r="G32" t="n">
        <v>41</v>
      </c>
      <c r="H32" t="n">
        <v>17</v>
      </c>
      <c r="I32" t="n">
        <v>1</v>
      </c>
      <c r="J32" t="n">
        <v>0.09</v>
      </c>
      <c r="K32" t="n">
        <v>12</v>
      </c>
      <c r="L32" t="n">
        <v>17</v>
      </c>
      <c r="M32" t="n">
        <v>8</v>
      </c>
      <c r="N32" t="n">
        <v>0</v>
      </c>
      <c r="O32" t="n">
        <v>100</v>
      </c>
      <c r="P32" t="n">
        <v>480</v>
      </c>
      <c r="Q32" t="n">
        <v>265</v>
      </c>
      <c r="R32" t="n">
        <v>2475</v>
      </c>
      <c r="S32" t="n">
        <v>6642</v>
      </c>
      <c r="T32" t="n">
        <v>1570</v>
      </c>
      <c r="U32" t="n">
        <v>550</v>
      </c>
      <c r="V32" t="n">
        <v>10</v>
      </c>
      <c r="W32" t="n">
        <v>168</v>
      </c>
      <c r="X32" t="n">
        <v>0</v>
      </c>
      <c r="Y32" t="n">
        <v>7000</v>
      </c>
      <c r="Z32" t="n">
        <v>0</v>
      </c>
      <c r="AA32" t="n">
        <v>1235</v>
      </c>
      <c r="AB32" t="n">
        <v>123</v>
      </c>
      <c r="AC32" t="n">
        <v>7</v>
      </c>
      <c r="AD32" t="n">
        <v>837</v>
      </c>
      <c r="AE32" t="n">
        <v>65</v>
      </c>
      <c r="AF32" t="n">
        <v>129</v>
      </c>
      <c r="AG32" t="n">
        <v>408</v>
      </c>
      <c r="AH32" t="n">
        <v>95</v>
      </c>
      <c r="AI32" t="n">
        <v>84</v>
      </c>
      <c r="AJ32" t="n">
        <v>8030</v>
      </c>
      <c r="AK32" t="n">
        <v>3427</v>
      </c>
      <c r="AL32" t="n">
        <v>763</v>
      </c>
      <c r="AM32" t="n">
        <v>1527</v>
      </c>
      <c r="AN32" t="n">
        <v>26</v>
      </c>
      <c r="AO32" t="n">
        <v>1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66</v>
      </c>
      <c r="AV32" t="n">
        <v>0</v>
      </c>
      <c r="AW32" t="n">
        <v>66</v>
      </c>
      <c r="AX32" t="n">
        <v>1052</v>
      </c>
      <c r="AY32" t="n">
        <v>0</v>
      </c>
      <c r="AZ32" t="n">
        <v>0</v>
      </c>
      <c r="BA32" t="n">
        <v>1052</v>
      </c>
      <c r="BB32" t="n">
        <v>4055</v>
      </c>
      <c r="BC32" t="n">
        <v>2572</v>
      </c>
      <c r="BD32" t="n">
        <v>0</v>
      </c>
      <c r="BE32" t="n">
        <v>34467</v>
      </c>
      <c r="BF32" t="n">
        <v>34467</v>
      </c>
      <c r="BG32">
        <f>IF($F32=0,"0",MIN(
BH32/(30*$F32),
BI32/(61*$F32),
BJ32/(48*$F32),
(BK32+BL32)/(23*$F32),
(BM32+BN32)/(41*$F32),
BO32/(25*$F32),
BP32/(6.6*$F32),
BQ32/(40*$F32),
BS32/(16*$F32)
)*100)</f>
        <v/>
      </c>
      <c r="BH32" t="n">
        <v>1190</v>
      </c>
      <c r="BI32" t="n">
        <v>2110</v>
      </c>
      <c r="BJ32" t="n">
        <v>1890</v>
      </c>
      <c r="BK32" t="n">
        <v>220</v>
      </c>
      <c r="BL32" t="n">
        <v>250</v>
      </c>
      <c r="BM32" t="n">
        <v>1400</v>
      </c>
      <c r="BN32" t="n">
        <v>840</v>
      </c>
      <c r="BO32" t="n">
        <v>1120</v>
      </c>
      <c r="BP32" t="n">
        <v>250</v>
      </c>
      <c r="BQ32" t="n">
        <v>1390</v>
      </c>
      <c r="BR32" t="n">
        <v>2240</v>
      </c>
      <c r="BS32" t="n">
        <v>710</v>
      </c>
      <c r="BT32" t="n">
        <v>13610</v>
      </c>
      <c r="BU32" t="n">
        <v>1290</v>
      </c>
      <c r="BV32" t="n">
        <v>3160</v>
      </c>
      <c r="BW32" t="n">
        <v>4490</v>
      </c>
      <c r="BX32" t="n">
        <v>1300</v>
      </c>
      <c r="BY32" t="n">
        <v>1220</v>
      </c>
      <c r="BZ32" t="n">
        <v>1510</v>
      </c>
      <c r="CA32" t="n">
        <v>12970</v>
      </c>
      <c r="CB32" t="n">
        <v>127</v>
      </c>
      <c r="CC32" t="n">
        <v>53</v>
      </c>
      <c r="CD32" t="n">
        <v>138</v>
      </c>
      <c r="CE32" t="n">
        <v>595</v>
      </c>
      <c r="CF32" t="n">
        <v>4.31</v>
      </c>
      <c r="CG32" t="n">
        <v>0</v>
      </c>
      <c r="CH32" t="n">
        <v>0</v>
      </c>
      <c r="CI32" t="n">
        <v>0</v>
      </c>
      <c r="CJ32" t="n">
        <v>0</v>
      </c>
      <c r="CK32" t="n">
        <v>0</v>
      </c>
      <c r="CL32" t="n">
        <v>0</v>
      </c>
      <c r="CM32" t="n">
        <v>0</v>
      </c>
      <c r="CN32" t="n">
        <v>207</v>
      </c>
      <c r="CO32" t="n">
        <v>0</v>
      </c>
      <c r="CP32" t="n">
        <v>14</v>
      </c>
      <c r="CQ32" t="n">
        <v>14</v>
      </c>
      <c r="CR32" t="n">
        <v>0</v>
      </c>
      <c r="CS32" t="n">
        <v>0</v>
      </c>
      <c r="CT32" t="n">
        <v>235</v>
      </c>
      <c r="CU32" t="n">
        <v>0</v>
      </c>
      <c r="CV32" t="n">
        <v>0</v>
      </c>
      <c r="CW32" t="n">
        <v>0</v>
      </c>
      <c r="CX32" t="n">
        <v>0</v>
      </c>
      <c r="CY32" t="n">
        <v>260</v>
      </c>
      <c r="CZ32" t="n">
        <v>13</v>
      </c>
      <c r="DA32" t="n">
        <v>0</v>
      </c>
      <c r="DB32" t="n">
        <v>0</v>
      </c>
      <c r="DC32" t="n">
        <v>273</v>
      </c>
      <c r="DD32" t="n">
        <v>0</v>
      </c>
      <c r="DE32" t="n">
        <v>0</v>
      </c>
      <c r="DF32" t="n">
        <v>595</v>
      </c>
      <c r="DG32" t="n">
        <v>138</v>
      </c>
      <c r="DH32" t="n">
        <v>0</v>
      </c>
      <c r="DI32" t="n">
        <v>0</v>
      </c>
      <c r="DJ32" t="n">
        <v>0</v>
      </c>
      <c r="DK32" t="n">
        <v>0</v>
      </c>
      <c r="DL32" t="n">
        <v>0</v>
      </c>
      <c r="DM32" t="n">
        <v>0</v>
      </c>
      <c r="DN32" t="n">
        <v>0</v>
      </c>
      <c r="DO32" t="n">
        <v>0</v>
      </c>
      <c r="DP32" t="n">
        <v>0</v>
      </c>
      <c r="DQ32" t="n">
        <v>0</v>
      </c>
      <c r="DR32" t="n">
        <v>0</v>
      </c>
      <c r="DS32" t="n">
        <v>733</v>
      </c>
      <c r="DT32" t="n">
        <v>1241</v>
      </c>
      <c r="DU32" t="n">
        <v>360</v>
      </c>
      <c r="DV32" t="n">
        <v>0</v>
      </c>
      <c r="DW32" t="n">
        <v>0</v>
      </c>
      <c r="DX32" t="n">
        <v>0</v>
      </c>
      <c r="DY32" t="n">
        <v>2213</v>
      </c>
      <c r="DZ32" t="n">
        <v>5957</v>
      </c>
      <c r="EA32" t="n">
        <v>2213</v>
      </c>
      <c r="EB32" t="n">
        <v>6297</v>
      </c>
      <c r="EC32" t="n">
        <v>340</v>
      </c>
      <c r="ED32" t="n">
        <v>1620</v>
      </c>
      <c r="EE32" t="n">
        <v>15400</v>
      </c>
      <c r="EF32" t="n">
        <v>0</v>
      </c>
      <c r="EG32" t="n">
        <v>0.32</v>
      </c>
      <c r="EH32" t="n">
        <v>2.5</v>
      </c>
      <c r="EI32" t="n">
        <v>15.4</v>
      </c>
      <c r="EJ32" t="n">
        <v>1.6</v>
      </c>
      <c r="EK32" t="n">
        <v>27</v>
      </c>
    </row>
    <row r="33">
      <c r="A33">
        <f>[1]ingredient!B31</f>
        <v/>
      </c>
      <c r="B33" t="inlineStr">
        <is>
          <t>https://www.naehrwertrechner.de/naehrwerte/F130000/Birne/?menge=100</t>
        </is>
      </c>
      <c r="C33" s="7">
        <f>_xlfn.XLOOKUP(A33,[1]ingredient!$B$2:$B$521,[1]ingredient!$A$2:$A$521)</f>
        <v/>
      </c>
      <c r="D33" t="n">
        <v>52</v>
      </c>
      <c r="E33" t="n">
        <v>0.3</v>
      </c>
      <c r="F33" t="n">
        <v>1</v>
      </c>
      <c r="G33" t="n">
        <v>12</v>
      </c>
      <c r="H33" t="n">
        <v>3</v>
      </c>
      <c r="I33" t="n">
        <v>10</v>
      </c>
      <c r="J33" t="n">
        <v>0</v>
      </c>
      <c r="K33" t="n">
        <v>83</v>
      </c>
      <c r="L33" t="n">
        <v>3</v>
      </c>
      <c r="M33" t="n">
        <v>1</v>
      </c>
      <c r="N33" t="n">
        <v>0</v>
      </c>
      <c r="O33" t="n">
        <v>16</v>
      </c>
      <c r="P33" t="n">
        <v>30</v>
      </c>
      <c r="Q33" t="n">
        <v>30</v>
      </c>
      <c r="R33" t="n">
        <v>200</v>
      </c>
      <c r="S33" t="n">
        <v>200</v>
      </c>
      <c r="T33" t="n">
        <v>62</v>
      </c>
      <c r="U33" t="n">
        <v>15</v>
      </c>
      <c r="V33" t="n">
        <v>0.1</v>
      </c>
      <c r="W33" t="n">
        <v>14</v>
      </c>
      <c r="X33" t="n">
        <v>0</v>
      </c>
      <c r="Y33" t="n">
        <v>5000</v>
      </c>
      <c r="Z33" t="n">
        <v>0</v>
      </c>
      <c r="AA33" t="n">
        <v>430</v>
      </c>
      <c r="AB33" t="n">
        <v>0</v>
      </c>
      <c r="AC33" t="n">
        <v>2</v>
      </c>
      <c r="AD33" t="n">
        <v>125</v>
      </c>
      <c r="AE33" t="n">
        <v>9</v>
      </c>
      <c r="AF33" t="n">
        <v>7</v>
      </c>
      <c r="AG33" t="n">
        <v>15</v>
      </c>
      <c r="AH33" t="n">
        <v>5</v>
      </c>
      <c r="AI33" t="n">
        <v>2</v>
      </c>
      <c r="AJ33" t="n">
        <v>260</v>
      </c>
      <c r="AK33" t="n">
        <v>230</v>
      </c>
      <c r="AL33" t="n">
        <v>90</v>
      </c>
      <c r="AM33" t="n">
        <v>50</v>
      </c>
      <c r="AN33" t="n">
        <v>12</v>
      </c>
      <c r="AO33" t="n">
        <v>1</v>
      </c>
      <c r="AP33" t="n">
        <v>0</v>
      </c>
      <c r="AQ33" t="n">
        <v>2170</v>
      </c>
      <c r="AR33" t="n">
        <v>0</v>
      </c>
      <c r="AS33" t="n">
        <v>2170</v>
      </c>
      <c r="AT33" t="n">
        <v>1674</v>
      </c>
      <c r="AU33" t="n">
        <v>6746</v>
      </c>
      <c r="AV33" t="n">
        <v>0</v>
      </c>
      <c r="AW33" t="n">
        <v>8420</v>
      </c>
      <c r="AX33" t="n">
        <v>1810</v>
      </c>
      <c r="AY33" t="n">
        <v>0</v>
      </c>
      <c r="AZ33" t="n">
        <v>0</v>
      </c>
      <c r="BA33" t="n">
        <v>1810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>
        <f>IF($F33=0,"0",MIN(
BH33/(30*$F33),
BI33/(61*$F33),
BJ33/(48*$F33),
(BK33+BL33)/(23*$F33),
(BM33+BN33)/(41*$F33),
BO33/(25*$F33),
BP33/(6.6*$F33),
BQ33/(40*$F33),
BS33/(16*$F33)
)*100)</f>
        <v/>
      </c>
      <c r="BH33" t="n">
        <v>14</v>
      </c>
      <c r="BI33" t="n">
        <v>26</v>
      </c>
      <c r="BJ33" t="n">
        <v>18</v>
      </c>
      <c r="BK33" t="n">
        <v>7</v>
      </c>
      <c r="BL33" t="n">
        <v>5</v>
      </c>
      <c r="BM33" t="n">
        <v>13</v>
      </c>
      <c r="BN33" t="n">
        <v>4</v>
      </c>
      <c r="BO33" t="n">
        <v>13</v>
      </c>
      <c r="BP33" t="n">
        <v>0</v>
      </c>
      <c r="BQ33" t="n">
        <v>18</v>
      </c>
      <c r="BR33" t="n">
        <v>9</v>
      </c>
      <c r="BS33" t="n">
        <v>5</v>
      </c>
      <c r="BT33" t="n">
        <v>132</v>
      </c>
      <c r="BU33" t="n">
        <v>17</v>
      </c>
      <c r="BV33" t="n">
        <v>97</v>
      </c>
      <c r="BW33" t="n">
        <v>36</v>
      </c>
      <c r="BX33" t="n">
        <v>14</v>
      </c>
      <c r="BY33" t="n">
        <v>14</v>
      </c>
      <c r="BZ33" t="n">
        <v>18</v>
      </c>
      <c r="CA33" t="n">
        <v>196</v>
      </c>
      <c r="CB33" t="n">
        <v>15</v>
      </c>
      <c r="CC33" t="n">
        <v>6</v>
      </c>
      <c r="CD33" t="n">
        <v>1</v>
      </c>
      <c r="CE33" t="n">
        <v>113</v>
      </c>
      <c r="CF33" t="n">
        <v>113</v>
      </c>
      <c r="CG33" t="n">
        <v>0</v>
      </c>
      <c r="CH33" t="n">
        <v>0</v>
      </c>
      <c r="CI33" t="n">
        <v>0</v>
      </c>
      <c r="CJ33" t="n">
        <v>0</v>
      </c>
      <c r="CK33" t="n">
        <v>0</v>
      </c>
      <c r="CL33" t="n">
        <v>0</v>
      </c>
      <c r="CM33" t="n">
        <v>0</v>
      </c>
      <c r="CN33" t="n">
        <v>21</v>
      </c>
      <c r="CO33" t="n">
        <v>0</v>
      </c>
      <c r="CP33" t="n">
        <v>4</v>
      </c>
      <c r="CQ33" t="n">
        <v>0</v>
      </c>
      <c r="CR33" t="n">
        <v>0</v>
      </c>
      <c r="CS33" t="n">
        <v>0</v>
      </c>
      <c r="CT33" t="n">
        <v>25</v>
      </c>
      <c r="CU33" t="n">
        <v>0</v>
      </c>
      <c r="CV33" t="n">
        <v>0</v>
      </c>
      <c r="CW33" t="n">
        <v>3</v>
      </c>
      <c r="CX33" t="n">
        <v>0</v>
      </c>
      <c r="CY33" t="n">
        <v>97</v>
      </c>
      <c r="CZ33" t="n">
        <v>1</v>
      </c>
      <c r="DA33" t="n">
        <v>0</v>
      </c>
      <c r="DB33" t="n">
        <v>0</v>
      </c>
      <c r="DC33" t="n">
        <v>101</v>
      </c>
      <c r="DD33" t="n">
        <v>0</v>
      </c>
      <c r="DE33" t="n">
        <v>0</v>
      </c>
      <c r="DF33" t="n">
        <v>113</v>
      </c>
      <c r="DG33" t="n">
        <v>1</v>
      </c>
      <c r="DH33" t="n">
        <v>0</v>
      </c>
      <c r="DI33" t="n">
        <v>0</v>
      </c>
      <c r="DJ33" t="n">
        <v>0</v>
      </c>
      <c r="DK33" t="n">
        <v>0</v>
      </c>
      <c r="DL33" t="n">
        <v>0</v>
      </c>
      <c r="DM33" t="n">
        <v>0</v>
      </c>
      <c r="DN33" t="n">
        <v>0</v>
      </c>
      <c r="DO33" t="n">
        <v>0</v>
      </c>
      <c r="DP33" t="n">
        <v>0</v>
      </c>
      <c r="DQ33" t="n">
        <v>0</v>
      </c>
      <c r="DR33" t="n">
        <v>0</v>
      </c>
      <c r="DS33" t="n">
        <v>114</v>
      </c>
      <c r="DT33" t="n">
        <v>240</v>
      </c>
      <c r="DU33" t="n">
        <v>60</v>
      </c>
      <c r="DV33" t="n">
        <v>0</v>
      </c>
      <c r="DW33" t="n">
        <v>0</v>
      </c>
      <c r="DX33" t="n">
        <v>0</v>
      </c>
      <c r="DY33" t="n">
        <v>771</v>
      </c>
      <c r="DZ33" t="n">
        <v>400</v>
      </c>
      <c r="EA33" t="n">
        <v>400</v>
      </c>
      <c r="EB33" t="n">
        <v>770</v>
      </c>
      <c r="EC33" t="n">
        <v>459</v>
      </c>
      <c r="ED33" t="n">
        <v>521</v>
      </c>
      <c r="EE33" t="n">
        <v>2279</v>
      </c>
      <c r="EF33" t="n">
        <v>0</v>
      </c>
      <c r="EG33" t="n">
        <v>0.31</v>
      </c>
      <c r="EH33" t="n">
        <v>0.3</v>
      </c>
      <c r="EI33" t="n">
        <v>2.3</v>
      </c>
      <c r="EJ33" t="n">
        <v>0.3</v>
      </c>
      <c r="EK33" t="n">
        <v>0.4</v>
      </c>
    </row>
    <row r="34">
      <c r="A34">
        <f>[1]ingredient!B32</f>
        <v/>
      </c>
      <c r="B34" t="inlineStr">
        <is>
          <t>https://www.naehrwertrechner.de/naehrwerte/G320111/Blattkohl+frisch/?menge=100</t>
        </is>
      </c>
      <c r="C34" s="7">
        <f>_xlfn.XLOOKUP(A34,[1]ingredient!$B$2:$B$521,[1]ingredient!$A$2:$A$521)</f>
        <v/>
      </c>
      <c r="D34" t="n">
        <v>14</v>
      </c>
      <c r="E34" t="n">
        <v>0.3</v>
      </c>
      <c r="F34" t="n">
        <v>1</v>
      </c>
      <c r="G34" t="n">
        <v>1</v>
      </c>
      <c r="H34" t="n">
        <v>2</v>
      </c>
      <c r="I34" t="n">
        <v>1</v>
      </c>
      <c r="J34" t="n">
        <v>0.04</v>
      </c>
      <c r="K34" t="n">
        <v>94</v>
      </c>
      <c r="L34" t="n">
        <v>71</v>
      </c>
      <c r="M34" t="n">
        <v>35</v>
      </c>
      <c r="N34" t="n">
        <v>0</v>
      </c>
      <c r="O34" t="n">
        <v>425</v>
      </c>
      <c r="P34" t="n">
        <v>30</v>
      </c>
      <c r="Q34" t="n">
        <v>40</v>
      </c>
      <c r="R34" t="n">
        <v>400</v>
      </c>
      <c r="S34" t="n">
        <v>633</v>
      </c>
      <c r="T34" t="n">
        <v>200</v>
      </c>
      <c r="U34" t="n">
        <v>110</v>
      </c>
      <c r="V34" t="n">
        <v>1</v>
      </c>
      <c r="W34" t="n">
        <v>83</v>
      </c>
      <c r="X34" t="n">
        <v>0</v>
      </c>
      <c r="Y34" t="n">
        <v>26000</v>
      </c>
      <c r="Z34" t="n">
        <v>0</v>
      </c>
      <c r="AA34" t="n">
        <v>240</v>
      </c>
      <c r="AB34" t="n">
        <v>250</v>
      </c>
      <c r="AC34" t="n">
        <v>19</v>
      </c>
      <c r="AD34" t="n">
        <v>144</v>
      </c>
      <c r="AE34" t="n">
        <v>40</v>
      </c>
      <c r="AF34" t="n">
        <v>11</v>
      </c>
      <c r="AG34" t="n">
        <v>30</v>
      </c>
      <c r="AH34" t="n">
        <v>60</v>
      </c>
      <c r="AI34" t="n">
        <v>18</v>
      </c>
      <c r="AJ34" t="n">
        <v>600</v>
      </c>
      <c r="AK34" t="n">
        <v>340</v>
      </c>
      <c r="AL34" t="n">
        <v>20</v>
      </c>
      <c r="AM34" t="n">
        <v>280</v>
      </c>
      <c r="AN34" t="n">
        <v>15</v>
      </c>
      <c r="AO34" t="n">
        <v>0.3</v>
      </c>
      <c r="AP34" t="n">
        <v>0</v>
      </c>
      <c r="AQ34" t="n">
        <v>0</v>
      </c>
      <c r="AR34" t="n">
        <v>0</v>
      </c>
      <c r="AS34" t="n">
        <v>0</v>
      </c>
      <c r="AT34" t="n">
        <v>417</v>
      </c>
      <c r="AU34" t="n">
        <v>427</v>
      </c>
      <c r="AV34" t="n">
        <v>0</v>
      </c>
      <c r="AW34" t="n">
        <v>844</v>
      </c>
      <c r="AX34" t="n">
        <v>298</v>
      </c>
      <c r="AY34" t="n">
        <v>0</v>
      </c>
      <c r="AZ34" t="n">
        <v>0</v>
      </c>
      <c r="BA34" t="n">
        <v>298</v>
      </c>
      <c r="BB34" t="n">
        <v>0</v>
      </c>
      <c r="BC34" t="n">
        <v>0</v>
      </c>
      <c r="BD34" t="n">
        <v>0</v>
      </c>
      <c r="BE34" t="n">
        <v>48</v>
      </c>
      <c r="BF34" t="n">
        <v>48</v>
      </c>
      <c r="BG34">
        <f>IF($F34=0,"0",MIN(
BH34/(30*$F34),
BI34/(61*$F34),
BJ34/(48*$F34),
(BK34+BL34)/(23*$F34),
(BM34+BN34)/(41*$F34),
BO34/(25*$F34),
BP34/(6.6*$F34),
BQ34/(40*$F34),
BS34/(16*$F34)
)*100)</f>
        <v/>
      </c>
      <c r="BH34" t="n">
        <v>67</v>
      </c>
      <c r="BI34" t="n">
        <v>69</v>
      </c>
      <c r="BJ34" t="n">
        <v>62</v>
      </c>
      <c r="BK34" t="n">
        <v>12</v>
      </c>
      <c r="BL34" t="n">
        <v>11</v>
      </c>
      <c r="BM34" t="n">
        <v>39</v>
      </c>
      <c r="BN34" t="n">
        <v>29</v>
      </c>
      <c r="BO34" t="n">
        <v>44</v>
      </c>
      <c r="BP34" t="n">
        <v>14</v>
      </c>
      <c r="BQ34" t="n">
        <v>57</v>
      </c>
      <c r="BR34" t="n">
        <v>71</v>
      </c>
      <c r="BS34" t="n">
        <v>21</v>
      </c>
      <c r="BT34" t="n">
        <v>496</v>
      </c>
      <c r="BU34" t="n">
        <v>68</v>
      </c>
      <c r="BV34" t="n">
        <v>86</v>
      </c>
      <c r="BW34" t="n">
        <v>286</v>
      </c>
      <c r="BX34" t="n">
        <v>33</v>
      </c>
      <c r="BY34" t="n">
        <v>24</v>
      </c>
      <c r="BZ34" t="n">
        <v>38</v>
      </c>
      <c r="CA34" t="n">
        <v>535</v>
      </c>
      <c r="CB34" t="n">
        <v>25</v>
      </c>
      <c r="CC34" t="n">
        <v>10</v>
      </c>
      <c r="CD34" t="n">
        <v>99</v>
      </c>
      <c r="CE34" t="n">
        <v>26</v>
      </c>
      <c r="CF34" t="n">
        <v>0.26</v>
      </c>
      <c r="CG34" t="n">
        <v>0</v>
      </c>
      <c r="CH34" t="n">
        <v>0</v>
      </c>
      <c r="CI34" t="n">
        <v>0</v>
      </c>
      <c r="CJ34" t="n">
        <v>0</v>
      </c>
      <c r="CK34" t="n">
        <v>0</v>
      </c>
      <c r="CL34" t="n">
        <v>0</v>
      </c>
      <c r="CM34" t="n">
        <v>0</v>
      </c>
      <c r="CN34" t="n">
        <v>66</v>
      </c>
      <c r="CO34" t="n">
        <v>0</v>
      </c>
      <c r="CP34" t="n">
        <v>8</v>
      </c>
      <c r="CQ34" t="n">
        <v>0</v>
      </c>
      <c r="CR34" t="n">
        <v>0</v>
      </c>
      <c r="CS34" t="n">
        <v>0</v>
      </c>
      <c r="CT34" t="n">
        <v>74</v>
      </c>
      <c r="CU34" t="n">
        <v>0</v>
      </c>
      <c r="CV34" t="n">
        <v>0</v>
      </c>
      <c r="CW34" t="n">
        <v>4</v>
      </c>
      <c r="CX34" t="n">
        <v>0</v>
      </c>
      <c r="CY34" t="n">
        <v>37</v>
      </c>
      <c r="CZ34" t="n">
        <v>0</v>
      </c>
      <c r="DA34" t="n">
        <v>0</v>
      </c>
      <c r="DB34" t="n">
        <v>0</v>
      </c>
      <c r="DC34" t="n">
        <v>41</v>
      </c>
      <c r="DD34" t="n">
        <v>0</v>
      </c>
      <c r="DE34" t="n">
        <v>0</v>
      </c>
      <c r="DF34" t="n">
        <v>26</v>
      </c>
      <c r="DG34" t="n">
        <v>99</v>
      </c>
      <c r="DH34" t="n">
        <v>0</v>
      </c>
      <c r="DI34" t="n">
        <v>0</v>
      </c>
      <c r="DJ34" t="n">
        <v>0</v>
      </c>
      <c r="DK34" t="n">
        <v>0</v>
      </c>
      <c r="DL34" t="n">
        <v>0</v>
      </c>
      <c r="DM34" t="n">
        <v>0</v>
      </c>
      <c r="DN34" t="n">
        <v>0</v>
      </c>
      <c r="DO34" t="n">
        <v>0</v>
      </c>
      <c r="DP34" t="n">
        <v>0</v>
      </c>
      <c r="DQ34" t="n">
        <v>0</v>
      </c>
      <c r="DR34" t="n">
        <v>0</v>
      </c>
      <c r="DS34" t="n">
        <v>125</v>
      </c>
      <c r="DT34" t="n">
        <v>240</v>
      </c>
      <c r="DU34" t="n">
        <v>60</v>
      </c>
      <c r="DV34" t="n">
        <v>0</v>
      </c>
      <c r="DW34" t="n">
        <v>0</v>
      </c>
      <c r="DX34" t="n">
        <v>0</v>
      </c>
      <c r="DY34" t="n">
        <v>399</v>
      </c>
      <c r="DZ34" t="n">
        <v>323</v>
      </c>
      <c r="EA34" t="n">
        <v>475</v>
      </c>
      <c r="EB34" t="n">
        <v>646</v>
      </c>
      <c r="EC34" t="n">
        <v>57</v>
      </c>
      <c r="ED34" t="n">
        <v>190</v>
      </c>
      <c r="EE34" t="n">
        <v>1710</v>
      </c>
      <c r="EF34" t="n">
        <v>0</v>
      </c>
      <c r="EG34" t="n">
        <v>0.4</v>
      </c>
      <c r="EH34" t="n">
        <v>0.6</v>
      </c>
      <c r="EI34" t="n">
        <v>1.7</v>
      </c>
      <c r="EJ34" t="n">
        <v>0.3</v>
      </c>
      <c r="EK34" t="n">
        <v>1.1</v>
      </c>
    </row>
    <row r="35">
      <c r="A35">
        <f>[1]ingredient!B33</f>
        <v/>
      </c>
      <c r="B35" t="inlineStr">
        <is>
          <t>https://www.naehrwertrechner.de/naehrwerte/G108000/Schnittsalat+%28Blatt-+Pfl%C3%BCcksalat%29/?menge=100</t>
        </is>
      </c>
      <c r="C35" s="7">
        <f>_xlfn.XLOOKUP(A35,[1]ingredient!$B$2:$B$521,[1]ingredient!$A$2:$A$521)</f>
        <v/>
      </c>
      <c r="D35" t="n">
        <v>20</v>
      </c>
      <c r="E35" t="n">
        <v>0.3</v>
      </c>
      <c r="F35" t="n">
        <v>1</v>
      </c>
      <c r="G35" t="n">
        <v>3</v>
      </c>
      <c r="H35" t="n">
        <v>2</v>
      </c>
      <c r="I35" t="n">
        <v>3</v>
      </c>
      <c r="J35" t="n">
        <v>0.07000000000000001</v>
      </c>
      <c r="K35" t="n">
        <v>93</v>
      </c>
      <c r="L35" t="n">
        <v>190</v>
      </c>
      <c r="M35" t="n">
        <v>95</v>
      </c>
      <c r="N35" t="n">
        <v>0</v>
      </c>
      <c r="O35" t="n">
        <v>1140</v>
      </c>
      <c r="P35" t="n">
        <v>50</v>
      </c>
      <c r="Q35" t="n">
        <v>80</v>
      </c>
      <c r="R35" t="n">
        <v>400</v>
      </c>
      <c r="S35" t="n">
        <v>633</v>
      </c>
      <c r="T35" t="n">
        <v>200</v>
      </c>
      <c r="U35" t="n">
        <v>55</v>
      </c>
      <c r="V35" t="n">
        <v>1</v>
      </c>
      <c r="W35" t="n">
        <v>50</v>
      </c>
      <c r="X35" t="n">
        <v>0</v>
      </c>
      <c r="Y35" t="n">
        <v>18000</v>
      </c>
      <c r="Z35" t="n">
        <v>0</v>
      </c>
      <c r="AA35" t="n">
        <v>600</v>
      </c>
      <c r="AB35" t="n">
        <v>200</v>
      </c>
      <c r="AC35" t="n">
        <v>9</v>
      </c>
      <c r="AD35" t="n">
        <v>264</v>
      </c>
      <c r="AE35" t="n">
        <v>68</v>
      </c>
      <c r="AF35" t="n">
        <v>11</v>
      </c>
      <c r="AG35" t="n">
        <v>25</v>
      </c>
      <c r="AH35" t="n">
        <v>57</v>
      </c>
      <c r="AI35" t="n">
        <v>60</v>
      </c>
      <c r="AJ35" t="n">
        <v>1400</v>
      </c>
      <c r="AK35" t="n">
        <v>500</v>
      </c>
      <c r="AL35" t="n">
        <v>100</v>
      </c>
      <c r="AM35" t="n">
        <v>250</v>
      </c>
      <c r="AN35" t="n">
        <v>100</v>
      </c>
      <c r="AO35" t="n">
        <v>4</v>
      </c>
      <c r="AP35" t="n">
        <v>0</v>
      </c>
      <c r="AQ35" t="n">
        <v>0</v>
      </c>
      <c r="AR35" t="n">
        <v>0</v>
      </c>
      <c r="AS35" t="n">
        <v>0</v>
      </c>
      <c r="AT35" t="n">
        <v>1120</v>
      </c>
      <c r="AU35" t="n">
        <v>1120</v>
      </c>
      <c r="AV35" t="n">
        <v>0</v>
      </c>
      <c r="AW35" t="n">
        <v>2240</v>
      </c>
      <c r="AX35" t="n">
        <v>532</v>
      </c>
      <c r="AY35" t="n">
        <v>0</v>
      </c>
      <c r="AZ35" t="n">
        <v>0</v>
      </c>
      <c r="BA35" t="n">
        <v>532</v>
      </c>
      <c r="BB35" t="n">
        <v>0</v>
      </c>
      <c r="BC35" t="n">
        <v>0</v>
      </c>
      <c r="BD35" t="n">
        <v>0</v>
      </c>
      <c r="BE35" t="n">
        <v>28</v>
      </c>
      <c r="BF35" t="n">
        <v>28</v>
      </c>
      <c r="BG35">
        <f>IF($F35=0,"0",MIN(
BH35/(30*$F35),
BI35/(61*$F35),
BJ35/(48*$F35),
(BK35+BL35)/(23*$F35),
(BM35+BN35)/(41*$F35),
BO35/(25*$F35),
BP35/(6.6*$F35),
BQ35/(40*$F35),
BS35/(16*$F35)
)*100)</f>
        <v/>
      </c>
      <c r="BH35" t="n">
        <v>85</v>
      </c>
      <c r="BI35" t="n">
        <v>87</v>
      </c>
      <c r="BJ35" t="n">
        <v>65</v>
      </c>
      <c r="BK35" t="n">
        <v>16</v>
      </c>
      <c r="BL35" t="n">
        <v>9</v>
      </c>
      <c r="BM35" t="n">
        <v>59</v>
      </c>
      <c r="BN35" t="n">
        <v>36</v>
      </c>
      <c r="BO35" t="n">
        <v>49</v>
      </c>
      <c r="BP35" t="n">
        <v>14</v>
      </c>
      <c r="BQ35" t="n">
        <v>65</v>
      </c>
      <c r="BR35" t="n">
        <v>62</v>
      </c>
      <c r="BS35" t="n">
        <v>21</v>
      </c>
      <c r="BT35" t="n">
        <v>568</v>
      </c>
      <c r="BU35" t="n">
        <v>56</v>
      </c>
      <c r="BV35" t="n">
        <v>143</v>
      </c>
      <c r="BW35" t="n">
        <v>159</v>
      </c>
      <c r="BX35" t="n">
        <v>52</v>
      </c>
      <c r="BY35" t="n">
        <v>68</v>
      </c>
      <c r="BZ35" t="n">
        <v>46</v>
      </c>
      <c r="CA35" t="n">
        <v>524</v>
      </c>
      <c r="CB35" t="n">
        <v>10</v>
      </c>
      <c r="CC35" t="n">
        <v>4</v>
      </c>
      <c r="CD35" t="n">
        <v>119</v>
      </c>
      <c r="CE35" t="n">
        <v>53</v>
      </c>
      <c r="CF35" t="n">
        <v>0.45</v>
      </c>
      <c r="CG35" t="n">
        <v>0</v>
      </c>
      <c r="CH35" t="n">
        <v>0</v>
      </c>
      <c r="CI35" t="n">
        <v>0</v>
      </c>
      <c r="CJ35" t="n">
        <v>0</v>
      </c>
      <c r="CK35" t="n">
        <v>0</v>
      </c>
      <c r="CL35" t="n">
        <v>5</v>
      </c>
      <c r="CM35" t="n">
        <v>0</v>
      </c>
      <c r="CN35" t="n">
        <v>48</v>
      </c>
      <c r="CO35" t="n">
        <v>0</v>
      </c>
      <c r="CP35" t="n">
        <v>4</v>
      </c>
      <c r="CQ35" t="n">
        <v>0</v>
      </c>
      <c r="CR35" t="n">
        <v>0</v>
      </c>
      <c r="CS35" t="n">
        <v>0</v>
      </c>
      <c r="CT35" t="n">
        <v>57</v>
      </c>
      <c r="CU35" t="n">
        <v>0</v>
      </c>
      <c r="CV35" t="n">
        <v>0</v>
      </c>
      <c r="CW35" t="n">
        <v>3</v>
      </c>
      <c r="CX35" t="n">
        <v>0</v>
      </c>
      <c r="CY35" t="n">
        <v>8</v>
      </c>
      <c r="CZ35" t="n">
        <v>0</v>
      </c>
      <c r="DA35" t="n">
        <v>0</v>
      </c>
      <c r="DB35" t="n">
        <v>0</v>
      </c>
      <c r="DC35" t="n">
        <v>11</v>
      </c>
      <c r="DD35" t="n">
        <v>0</v>
      </c>
      <c r="DE35" t="n">
        <v>0</v>
      </c>
      <c r="DF35" t="n">
        <v>53</v>
      </c>
      <c r="DG35" t="n">
        <v>119</v>
      </c>
      <c r="DH35" t="n">
        <v>0</v>
      </c>
      <c r="DI35" t="n">
        <v>0</v>
      </c>
      <c r="DJ35" t="n">
        <v>0</v>
      </c>
      <c r="DK35" t="n">
        <v>0</v>
      </c>
      <c r="DL35" t="n">
        <v>0</v>
      </c>
      <c r="DM35" t="n">
        <v>0</v>
      </c>
      <c r="DN35" t="n">
        <v>0</v>
      </c>
      <c r="DO35" t="n">
        <v>0</v>
      </c>
      <c r="DP35" t="n">
        <v>0</v>
      </c>
      <c r="DQ35" t="n">
        <v>0</v>
      </c>
      <c r="DR35" t="n">
        <v>0</v>
      </c>
      <c r="DS35" t="n">
        <v>172</v>
      </c>
      <c r="DT35" t="n">
        <v>240</v>
      </c>
      <c r="DU35" t="n">
        <v>60</v>
      </c>
      <c r="DV35" t="n">
        <v>0</v>
      </c>
      <c r="DW35" t="n">
        <v>0</v>
      </c>
      <c r="DX35" t="n">
        <v>0</v>
      </c>
      <c r="DY35" t="n">
        <v>192</v>
      </c>
      <c r="DZ35" t="n">
        <v>160</v>
      </c>
      <c r="EA35" t="n">
        <v>432</v>
      </c>
      <c r="EB35" t="n">
        <v>800</v>
      </c>
      <c r="EC35" t="n">
        <v>16</v>
      </c>
      <c r="ED35" t="n">
        <v>240</v>
      </c>
      <c r="EE35" t="n">
        <v>1360</v>
      </c>
      <c r="EF35" t="n">
        <v>0</v>
      </c>
      <c r="EG35" t="n">
        <v>0.25</v>
      </c>
      <c r="EH35" t="n">
        <v>0.9</v>
      </c>
      <c r="EI35" t="n">
        <v>1.4</v>
      </c>
      <c r="EJ35" t="n">
        <v>0.3</v>
      </c>
      <c r="EK35" t="n">
        <v>1.1</v>
      </c>
    </row>
    <row r="36">
      <c r="A36">
        <f>[1]ingredient!B34</f>
        <v/>
      </c>
      <c r="B36" t="inlineStr">
        <is>
          <t>https://www.naehrwertrechner.de/naehrwerte/G311100/Blumenkohl+roh/?menge=100</t>
        </is>
      </c>
      <c r="C36" s="7">
        <f>_xlfn.XLOOKUP(A36,[1]ingredient!$B$2:$B$521,[1]ingredient!$A$2:$A$521)</f>
        <v/>
      </c>
      <c r="D36" t="n">
        <v>23</v>
      </c>
      <c r="E36" t="n">
        <v>0.28</v>
      </c>
      <c r="F36" t="n">
        <v>2</v>
      </c>
      <c r="G36" t="n">
        <v>2</v>
      </c>
      <c r="H36" t="n">
        <v>3</v>
      </c>
      <c r="I36" t="n">
        <v>2</v>
      </c>
      <c r="J36" t="n">
        <v>0.03</v>
      </c>
      <c r="K36" t="n">
        <v>91</v>
      </c>
      <c r="L36" t="n">
        <v>2</v>
      </c>
      <c r="M36" t="n">
        <v>1</v>
      </c>
      <c r="N36" t="n">
        <v>0</v>
      </c>
      <c r="O36" t="n">
        <v>10</v>
      </c>
      <c r="P36" t="n">
        <v>88</v>
      </c>
      <c r="Q36" t="n">
        <v>92</v>
      </c>
      <c r="R36" t="n">
        <v>600</v>
      </c>
      <c r="S36" t="n">
        <v>1167</v>
      </c>
      <c r="T36" t="n">
        <v>1010</v>
      </c>
      <c r="U36" t="n">
        <v>200</v>
      </c>
      <c r="V36" t="n">
        <v>2</v>
      </c>
      <c r="W36" t="n">
        <v>52</v>
      </c>
      <c r="X36" t="n">
        <v>0</v>
      </c>
      <c r="Y36" t="n">
        <v>64000</v>
      </c>
      <c r="Z36" t="n">
        <v>0</v>
      </c>
      <c r="AA36" t="n">
        <v>70</v>
      </c>
      <c r="AB36" t="n">
        <v>31</v>
      </c>
      <c r="AC36" t="n">
        <v>13</v>
      </c>
      <c r="AD36" t="n">
        <v>282</v>
      </c>
      <c r="AE36" t="n">
        <v>22</v>
      </c>
      <c r="AF36" t="n">
        <v>15</v>
      </c>
      <c r="AG36" t="n">
        <v>49</v>
      </c>
      <c r="AH36" t="n">
        <v>55</v>
      </c>
      <c r="AI36" t="n">
        <v>19</v>
      </c>
      <c r="AJ36" t="n">
        <v>510</v>
      </c>
      <c r="AK36" t="n">
        <v>286</v>
      </c>
      <c r="AL36" t="n">
        <v>45</v>
      </c>
      <c r="AM36" t="n">
        <v>180</v>
      </c>
      <c r="AN36" t="n">
        <v>9</v>
      </c>
      <c r="AO36" t="n">
        <v>1</v>
      </c>
      <c r="AP36" t="n">
        <v>0</v>
      </c>
      <c r="AQ36" t="n">
        <v>0</v>
      </c>
      <c r="AR36" t="n">
        <v>26</v>
      </c>
      <c r="AS36" t="n">
        <v>26</v>
      </c>
      <c r="AT36" t="n">
        <v>953</v>
      </c>
      <c r="AU36" t="n">
        <v>895</v>
      </c>
      <c r="AV36" t="n">
        <v>0</v>
      </c>
      <c r="AW36" t="n">
        <v>1848</v>
      </c>
      <c r="AX36" t="n">
        <v>205</v>
      </c>
      <c r="AY36" t="n">
        <v>0</v>
      </c>
      <c r="AZ36" t="n">
        <v>0</v>
      </c>
      <c r="BA36" t="n">
        <v>205</v>
      </c>
      <c r="BB36" t="n">
        <v>0</v>
      </c>
      <c r="BC36" t="n">
        <v>0</v>
      </c>
      <c r="BD36" t="n">
        <v>0</v>
      </c>
      <c r="BE36" t="n">
        <v>290</v>
      </c>
      <c r="BF36" t="n">
        <v>290</v>
      </c>
      <c r="BG36">
        <f>IF($F36=0,"0",MIN(
BH36/(30*$F36),
BI36/(61*$F36),
BJ36/(48*$F36),
(BK36+BL36)/(23*$F36),
(BM36+BN36)/(41*$F36),
BO36/(25*$F36),
BP36/(6.6*$F36),
BQ36/(40*$F36),
BS36/(16*$F36)
)*100)</f>
        <v/>
      </c>
      <c r="BH36" t="n">
        <v>110</v>
      </c>
      <c r="BI36" t="n">
        <v>170</v>
      </c>
      <c r="BJ36" t="n">
        <v>140</v>
      </c>
      <c r="BK36" t="n">
        <v>48</v>
      </c>
      <c r="BL36" t="n">
        <v>31</v>
      </c>
      <c r="BM36" t="n">
        <v>77</v>
      </c>
      <c r="BN36" t="n">
        <v>35</v>
      </c>
      <c r="BO36" t="n">
        <v>110</v>
      </c>
      <c r="BP36" t="n">
        <v>34</v>
      </c>
      <c r="BQ36" t="n">
        <v>150</v>
      </c>
      <c r="BR36" t="n">
        <v>110</v>
      </c>
      <c r="BS36" t="n">
        <v>49</v>
      </c>
      <c r="BT36" t="n">
        <v>1064</v>
      </c>
      <c r="BU36" t="n">
        <v>147</v>
      </c>
      <c r="BV36" t="n">
        <v>311</v>
      </c>
      <c r="BW36" t="n">
        <v>368</v>
      </c>
      <c r="BX36" t="n">
        <v>99</v>
      </c>
      <c r="BY36" t="n">
        <v>122</v>
      </c>
      <c r="BZ36" t="n">
        <v>147</v>
      </c>
      <c r="CA36" t="n">
        <v>1194</v>
      </c>
      <c r="CB36" t="n">
        <v>51</v>
      </c>
      <c r="CC36" t="n">
        <v>21</v>
      </c>
      <c r="CD36" t="n">
        <v>109</v>
      </c>
      <c r="CE36" t="n">
        <v>29</v>
      </c>
      <c r="CF36" t="n">
        <v>0.27</v>
      </c>
      <c r="CG36" t="n">
        <v>0</v>
      </c>
      <c r="CH36" t="n">
        <v>0</v>
      </c>
      <c r="CI36" t="n">
        <v>0</v>
      </c>
      <c r="CJ36" t="n">
        <v>0</v>
      </c>
      <c r="CK36" t="n">
        <v>0</v>
      </c>
      <c r="CL36" t="n">
        <v>1</v>
      </c>
      <c r="CM36" t="n">
        <v>0</v>
      </c>
      <c r="CN36" t="n">
        <v>39</v>
      </c>
      <c r="CO36" t="n">
        <v>0</v>
      </c>
      <c r="CP36" t="n">
        <v>2</v>
      </c>
      <c r="CQ36" t="n">
        <v>1</v>
      </c>
      <c r="CR36" t="n">
        <v>0</v>
      </c>
      <c r="CS36" t="n">
        <v>0</v>
      </c>
      <c r="CT36" t="n">
        <v>42</v>
      </c>
      <c r="CU36" t="n">
        <v>0</v>
      </c>
      <c r="CV36" t="n">
        <v>0</v>
      </c>
      <c r="CW36" t="n">
        <v>4</v>
      </c>
      <c r="CX36" t="n">
        <v>0</v>
      </c>
      <c r="CY36" t="n">
        <v>2</v>
      </c>
      <c r="CZ36" t="n">
        <v>1</v>
      </c>
      <c r="DA36" t="n">
        <v>0</v>
      </c>
      <c r="DB36" t="n">
        <v>0</v>
      </c>
      <c r="DC36" t="n">
        <v>7</v>
      </c>
      <c r="DD36" t="n">
        <v>0</v>
      </c>
      <c r="DE36" t="n">
        <v>0</v>
      </c>
      <c r="DF36" t="n">
        <v>29</v>
      </c>
      <c r="DG36" t="n">
        <v>109</v>
      </c>
      <c r="DH36" t="n">
        <v>0</v>
      </c>
      <c r="DI36" t="n">
        <v>0</v>
      </c>
      <c r="DJ36" t="n">
        <v>0</v>
      </c>
      <c r="DK36" t="n">
        <v>0</v>
      </c>
      <c r="DL36" t="n">
        <v>0</v>
      </c>
      <c r="DM36" t="n">
        <v>0</v>
      </c>
      <c r="DN36" t="n">
        <v>0</v>
      </c>
      <c r="DO36" t="n">
        <v>0</v>
      </c>
      <c r="DP36" t="n">
        <v>0</v>
      </c>
      <c r="DQ36" t="n">
        <v>0</v>
      </c>
      <c r="DR36" t="n">
        <v>0</v>
      </c>
      <c r="DS36" t="n">
        <v>138</v>
      </c>
      <c r="DT36" t="n">
        <v>187</v>
      </c>
      <c r="DU36" t="n">
        <v>56</v>
      </c>
      <c r="DV36" t="n">
        <v>0</v>
      </c>
      <c r="DW36" t="n">
        <v>0</v>
      </c>
      <c r="DX36" t="n">
        <v>0</v>
      </c>
      <c r="DY36" t="n">
        <v>580</v>
      </c>
      <c r="DZ36" t="n">
        <v>435</v>
      </c>
      <c r="EA36" t="n">
        <v>580</v>
      </c>
      <c r="EB36" t="n">
        <v>770</v>
      </c>
      <c r="EC36" t="n">
        <v>9</v>
      </c>
      <c r="ED36" t="n">
        <v>490</v>
      </c>
      <c r="EE36" t="n">
        <v>2430</v>
      </c>
      <c r="EF36" t="n">
        <v>0</v>
      </c>
      <c r="EG36" t="n">
        <v>0.22</v>
      </c>
      <c r="EH36" t="n">
        <v>0.8</v>
      </c>
      <c r="EI36" t="n">
        <v>2.4</v>
      </c>
      <c r="EJ36" t="n">
        <v>0.3</v>
      </c>
      <c r="EK36" t="n">
        <v>2.4</v>
      </c>
    </row>
    <row r="37">
      <c r="A37">
        <f>[1]ingredient!B35</f>
        <v/>
      </c>
      <c r="B37" t="inlineStr">
        <is>
          <t>https://www.naehrwertrechner.de/naehrwerte/G311100/Blumenkohl+roh/?menge=100</t>
        </is>
      </c>
      <c r="C37" s="7">
        <f>_xlfn.XLOOKUP(A37,[1]ingredient!$B$2:$B$521,[1]ingredient!$A$2:$A$521)</f>
        <v/>
      </c>
      <c r="D37" t="n">
        <v>23</v>
      </c>
      <c r="E37" t="n">
        <v>0.28</v>
      </c>
      <c r="F37" t="n">
        <v>2</v>
      </c>
      <c r="G37" t="n">
        <v>2</v>
      </c>
      <c r="H37" t="n">
        <v>3</v>
      </c>
      <c r="I37" t="n">
        <v>2</v>
      </c>
      <c r="J37" t="n">
        <v>0.03</v>
      </c>
      <c r="K37" t="n">
        <v>91</v>
      </c>
      <c r="L37" t="n">
        <v>2</v>
      </c>
      <c r="M37" t="n">
        <v>1</v>
      </c>
      <c r="N37" t="n">
        <v>0</v>
      </c>
      <c r="O37" t="n">
        <v>10</v>
      </c>
      <c r="P37" t="n">
        <v>88</v>
      </c>
      <c r="Q37" t="n">
        <v>92</v>
      </c>
      <c r="R37" t="n">
        <v>600</v>
      </c>
      <c r="S37" t="n">
        <v>1167</v>
      </c>
      <c r="T37" t="n">
        <v>1010</v>
      </c>
      <c r="U37" t="n">
        <v>200</v>
      </c>
      <c r="V37" t="n">
        <v>2</v>
      </c>
      <c r="W37" t="n">
        <v>52</v>
      </c>
      <c r="X37" t="n">
        <v>0</v>
      </c>
      <c r="Y37" t="n">
        <v>64000</v>
      </c>
      <c r="Z37" t="n">
        <v>0</v>
      </c>
      <c r="AA37" t="n">
        <v>70</v>
      </c>
      <c r="AB37" t="n">
        <v>31</v>
      </c>
      <c r="AC37" t="n">
        <v>13</v>
      </c>
      <c r="AD37" t="n">
        <v>282</v>
      </c>
      <c r="AE37" t="n">
        <v>22</v>
      </c>
      <c r="AF37" t="n">
        <v>15</v>
      </c>
      <c r="AG37" t="n">
        <v>49</v>
      </c>
      <c r="AH37" t="n">
        <v>55</v>
      </c>
      <c r="AI37" t="n">
        <v>19</v>
      </c>
      <c r="AJ37" t="n">
        <v>510</v>
      </c>
      <c r="AK37" t="n">
        <v>286</v>
      </c>
      <c r="AL37" t="n">
        <v>45</v>
      </c>
      <c r="AM37" t="n">
        <v>180</v>
      </c>
      <c r="AN37" t="n">
        <v>9</v>
      </c>
      <c r="AO37" t="n">
        <v>1</v>
      </c>
      <c r="AP37" t="n">
        <v>0</v>
      </c>
      <c r="AQ37" t="n">
        <v>0</v>
      </c>
      <c r="AR37" t="n">
        <v>26</v>
      </c>
      <c r="AS37" t="n">
        <v>26</v>
      </c>
      <c r="AT37" t="n">
        <v>953</v>
      </c>
      <c r="AU37" t="n">
        <v>895</v>
      </c>
      <c r="AV37" t="n">
        <v>0</v>
      </c>
      <c r="AW37" t="n">
        <v>1848</v>
      </c>
      <c r="AX37" t="n">
        <v>205</v>
      </c>
      <c r="AY37" t="n">
        <v>0</v>
      </c>
      <c r="AZ37" t="n">
        <v>0</v>
      </c>
      <c r="BA37" t="n">
        <v>205</v>
      </c>
      <c r="BB37" t="n">
        <v>0</v>
      </c>
      <c r="BC37" t="n">
        <v>0</v>
      </c>
      <c r="BD37" t="n">
        <v>0</v>
      </c>
      <c r="BE37" t="n">
        <v>290</v>
      </c>
      <c r="BF37" t="n">
        <v>290</v>
      </c>
      <c r="BG37">
        <f>IF($F37=0,"0",MIN(
BH37/(30*$F37),
BI37/(61*$F37),
BJ37/(48*$F37),
(BK37+BL37)/(23*$F37),
(BM37+BN37)/(41*$F37),
BO37/(25*$F37),
BP37/(6.6*$F37),
BQ37/(40*$F37),
BS37/(16*$F37)
)*100)</f>
        <v/>
      </c>
      <c r="BH37" t="n">
        <v>110</v>
      </c>
      <c r="BI37" t="n">
        <v>170</v>
      </c>
      <c r="BJ37" t="n">
        <v>140</v>
      </c>
      <c r="BK37" t="n">
        <v>48</v>
      </c>
      <c r="BL37" t="n">
        <v>31</v>
      </c>
      <c r="BM37" t="n">
        <v>77</v>
      </c>
      <c r="BN37" t="n">
        <v>35</v>
      </c>
      <c r="BO37" t="n">
        <v>110</v>
      </c>
      <c r="BP37" t="n">
        <v>34</v>
      </c>
      <c r="BQ37" t="n">
        <v>150</v>
      </c>
      <c r="BR37" t="n">
        <v>110</v>
      </c>
      <c r="BS37" t="n">
        <v>49</v>
      </c>
      <c r="BT37" t="n">
        <v>1064</v>
      </c>
      <c r="BU37" t="n">
        <v>147</v>
      </c>
      <c r="BV37" t="n">
        <v>311</v>
      </c>
      <c r="BW37" t="n">
        <v>368</v>
      </c>
      <c r="BX37" t="n">
        <v>99</v>
      </c>
      <c r="BY37" t="n">
        <v>122</v>
      </c>
      <c r="BZ37" t="n">
        <v>147</v>
      </c>
      <c r="CA37" t="n">
        <v>1194</v>
      </c>
      <c r="CB37" t="n">
        <v>51</v>
      </c>
      <c r="CC37" t="n">
        <v>21</v>
      </c>
      <c r="CD37" t="n">
        <v>109</v>
      </c>
      <c r="CE37" t="n">
        <v>29</v>
      </c>
      <c r="CF37" t="n">
        <v>0.27</v>
      </c>
      <c r="CG37" t="n">
        <v>0</v>
      </c>
      <c r="CH37" t="n">
        <v>0</v>
      </c>
      <c r="CI37" t="n">
        <v>0</v>
      </c>
      <c r="CJ37" t="n">
        <v>0</v>
      </c>
      <c r="CK37" t="n">
        <v>0</v>
      </c>
      <c r="CL37" t="n">
        <v>1</v>
      </c>
      <c r="CM37" t="n">
        <v>0</v>
      </c>
      <c r="CN37" t="n">
        <v>39</v>
      </c>
      <c r="CO37" t="n">
        <v>0</v>
      </c>
      <c r="CP37" t="n">
        <v>2</v>
      </c>
      <c r="CQ37" t="n">
        <v>1</v>
      </c>
      <c r="CR37" t="n">
        <v>0</v>
      </c>
      <c r="CS37" t="n">
        <v>0</v>
      </c>
      <c r="CT37" t="n">
        <v>42</v>
      </c>
      <c r="CU37" t="n">
        <v>0</v>
      </c>
      <c r="CV37" t="n">
        <v>0</v>
      </c>
      <c r="CW37" t="n">
        <v>4</v>
      </c>
      <c r="CX37" t="n">
        <v>0</v>
      </c>
      <c r="CY37" t="n">
        <v>2</v>
      </c>
      <c r="CZ37" t="n">
        <v>1</v>
      </c>
      <c r="DA37" t="n">
        <v>0</v>
      </c>
      <c r="DB37" t="n">
        <v>0</v>
      </c>
      <c r="DC37" t="n">
        <v>7</v>
      </c>
      <c r="DD37" t="n">
        <v>0</v>
      </c>
      <c r="DE37" t="n">
        <v>0</v>
      </c>
      <c r="DF37" t="n">
        <v>29</v>
      </c>
      <c r="DG37" t="n">
        <v>109</v>
      </c>
      <c r="DH37" t="n">
        <v>0</v>
      </c>
      <c r="DI37" t="n">
        <v>0</v>
      </c>
      <c r="DJ37" t="n">
        <v>0</v>
      </c>
      <c r="DK37" t="n">
        <v>0</v>
      </c>
      <c r="DL37" t="n">
        <v>0</v>
      </c>
      <c r="DM37" t="n">
        <v>0</v>
      </c>
      <c r="DN37" t="n">
        <v>0</v>
      </c>
      <c r="DO37" t="n">
        <v>0</v>
      </c>
      <c r="DP37" t="n">
        <v>0</v>
      </c>
      <c r="DQ37" t="n">
        <v>0</v>
      </c>
      <c r="DR37" t="n">
        <v>0</v>
      </c>
      <c r="DS37" t="n">
        <v>138</v>
      </c>
      <c r="DT37" t="n">
        <v>187</v>
      </c>
      <c r="DU37" t="n">
        <v>56</v>
      </c>
      <c r="DV37" t="n">
        <v>0</v>
      </c>
      <c r="DW37" t="n">
        <v>0</v>
      </c>
      <c r="DX37" t="n">
        <v>0</v>
      </c>
      <c r="DY37" t="n">
        <v>580</v>
      </c>
      <c r="DZ37" t="n">
        <v>435</v>
      </c>
      <c r="EA37" t="n">
        <v>580</v>
      </c>
      <c r="EB37" t="n">
        <v>770</v>
      </c>
      <c r="EC37" t="n">
        <v>9</v>
      </c>
      <c r="ED37" t="n">
        <v>490</v>
      </c>
      <c r="EE37" t="n">
        <v>2430</v>
      </c>
      <c r="EF37" t="n">
        <v>0</v>
      </c>
      <c r="EG37" t="n">
        <v>0.22</v>
      </c>
      <c r="EH37" t="n">
        <v>0.8</v>
      </c>
      <c r="EI37" t="n">
        <v>2.4</v>
      </c>
      <c r="EJ37" t="n">
        <v>0.3</v>
      </c>
      <c r="EK37" t="n">
        <v>2.4</v>
      </c>
    </row>
    <row r="38">
      <c r="A38">
        <f>[1]ingredient!B36</f>
        <v/>
      </c>
      <c r="B38" t="inlineStr">
        <is>
          <t>https://www.naehrwertrechner.de/naehrwerte/G311100/Blumenkohl+roh/?menge=100</t>
        </is>
      </c>
      <c r="C38" s="7">
        <f>_xlfn.XLOOKUP(A38,[1]ingredient!$B$2:$B$521,[1]ingredient!$A$2:$A$521)</f>
        <v/>
      </c>
      <c r="D38" t="n">
        <v>23</v>
      </c>
      <c r="E38" t="n">
        <v>0.28</v>
      </c>
      <c r="F38" t="n">
        <v>2</v>
      </c>
      <c r="G38" t="n">
        <v>2</v>
      </c>
      <c r="H38" t="n">
        <v>3</v>
      </c>
      <c r="I38" t="n">
        <v>2</v>
      </c>
      <c r="J38" t="n">
        <v>0.03</v>
      </c>
      <c r="K38" t="n">
        <v>91</v>
      </c>
      <c r="L38" t="n">
        <v>2</v>
      </c>
      <c r="M38" t="n">
        <v>1</v>
      </c>
      <c r="N38" t="n">
        <v>0</v>
      </c>
      <c r="O38" t="n">
        <v>10</v>
      </c>
      <c r="P38" t="n">
        <v>88</v>
      </c>
      <c r="Q38" t="n">
        <v>92</v>
      </c>
      <c r="R38" t="n">
        <v>600</v>
      </c>
      <c r="S38" t="n">
        <v>1167</v>
      </c>
      <c r="T38" t="n">
        <v>1010</v>
      </c>
      <c r="U38" t="n">
        <v>200</v>
      </c>
      <c r="V38" t="n">
        <v>2</v>
      </c>
      <c r="W38" t="n">
        <v>52</v>
      </c>
      <c r="X38" t="n">
        <v>0</v>
      </c>
      <c r="Y38" t="n">
        <v>64000</v>
      </c>
      <c r="Z38" t="n">
        <v>0</v>
      </c>
      <c r="AA38" t="n">
        <v>70</v>
      </c>
      <c r="AB38" t="n">
        <v>31</v>
      </c>
      <c r="AC38" t="n">
        <v>13</v>
      </c>
      <c r="AD38" t="n">
        <v>282</v>
      </c>
      <c r="AE38" t="n">
        <v>22</v>
      </c>
      <c r="AF38" t="n">
        <v>15</v>
      </c>
      <c r="AG38" t="n">
        <v>49</v>
      </c>
      <c r="AH38" t="n">
        <v>55</v>
      </c>
      <c r="AI38" t="n">
        <v>19</v>
      </c>
      <c r="AJ38" t="n">
        <v>510</v>
      </c>
      <c r="AK38" t="n">
        <v>286</v>
      </c>
      <c r="AL38" t="n">
        <v>45</v>
      </c>
      <c r="AM38" t="n">
        <v>180</v>
      </c>
      <c r="AN38" t="n">
        <v>9</v>
      </c>
      <c r="AO38" t="n">
        <v>1</v>
      </c>
      <c r="AP38" t="n">
        <v>0</v>
      </c>
      <c r="AQ38" t="n">
        <v>0</v>
      </c>
      <c r="AR38" t="n">
        <v>26</v>
      </c>
      <c r="AS38" t="n">
        <v>26</v>
      </c>
      <c r="AT38" t="n">
        <v>953</v>
      </c>
      <c r="AU38" t="n">
        <v>895</v>
      </c>
      <c r="AV38" t="n">
        <v>0</v>
      </c>
      <c r="AW38" t="n">
        <v>1848</v>
      </c>
      <c r="AX38" t="n">
        <v>205</v>
      </c>
      <c r="AY38" t="n">
        <v>0</v>
      </c>
      <c r="AZ38" t="n">
        <v>0</v>
      </c>
      <c r="BA38" t="n">
        <v>205</v>
      </c>
      <c r="BB38" t="n">
        <v>0</v>
      </c>
      <c r="BC38" t="n">
        <v>0</v>
      </c>
      <c r="BD38" t="n">
        <v>0</v>
      </c>
      <c r="BE38" t="n">
        <v>290</v>
      </c>
      <c r="BF38" t="n">
        <v>290</v>
      </c>
      <c r="BG38">
        <f>IF($F38=0,"0",MIN(
BH38/(30*$F38),
BI38/(61*$F38),
BJ38/(48*$F38),
(BK38+BL38)/(23*$F38),
(BM38+BN38)/(41*$F38),
BO38/(25*$F38),
BP38/(6.6*$F38),
BQ38/(40*$F38),
BS38/(16*$F38)
)*100)</f>
        <v/>
      </c>
      <c r="BH38" t="n">
        <v>110</v>
      </c>
      <c r="BI38" t="n">
        <v>170</v>
      </c>
      <c r="BJ38" t="n">
        <v>140</v>
      </c>
      <c r="BK38" t="n">
        <v>48</v>
      </c>
      <c r="BL38" t="n">
        <v>31</v>
      </c>
      <c r="BM38" t="n">
        <v>77</v>
      </c>
      <c r="BN38" t="n">
        <v>35</v>
      </c>
      <c r="BO38" t="n">
        <v>110</v>
      </c>
      <c r="BP38" t="n">
        <v>34</v>
      </c>
      <c r="BQ38" t="n">
        <v>150</v>
      </c>
      <c r="BR38" t="n">
        <v>110</v>
      </c>
      <c r="BS38" t="n">
        <v>49</v>
      </c>
      <c r="BT38" t="n">
        <v>1064</v>
      </c>
      <c r="BU38" t="n">
        <v>147</v>
      </c>
      <c r="BV38" t="n">
        <v>311</v>
      </c>
      <c r="BW38" t="n">
        <v>368</v>
      </c>
      <c r="BX38" t="n">
        <v>99</v>
      </c>
      <c r="BY38" t="n">
        <v>122</v>
      </c>
      <c r="BZ38" t="n">
        <v>147</v>
      </c>
      <c r="CA38" t="n">
        <v>1194</v>
      </c>
      <c r="CB38" t="n">
        <v>51</v>
      </c>
      <c r="CC38" t="n">
        <v>21</v>
      </c>
      <c r="CD38" t="n">
        <v>109</v>
      </c>
      <c r="CE38" t="n">
        <v>29</v>
      </c>
      <c r="CF38" t="n">
        <v>0.27</v>
      </c>
      <c r="CG38" t="n">
        <v>0</v>
      </c>
      <c r="CH38" t="n">
        <v>0</v>
      </c>
      <c r="CI38" t="n">
        <v>0</v>
      </c>
      <c r="CJ38" t="n">
        <v>0</v>
      </c>
      <c r="CK38" t="n">
        <v>0</v>
      </c>
      <c r="CL38" t="n">
        <v>1</v>
      </c>
      <c r="CM38" t="n">
        <v>0</v>
      </c>
      <c r="CN38" t="n">
        <v>39</v>
      </c>
      <c r="CO38" t="n">
        <v>0</v>
      </c>
      <c r="CP38" t="n">
        <v>2</v>
      </c>
      <c r="CQ38" t="n">
        <v>1</v>
      </c>
      <c r="CR38" t="n">
        <v>0</v>
      </c>
      <c r="CS38" t="n">
        <v>0</v>
      </c>
      <c r="CT38" t="n">
        <v>42</v>
      </c>
      <c r="CU38" t="n">
        <v>0</v>
      </c>
      <c r="CV38" t="n">
        <v>0</v>
      </c>
      <c r="CW38" t="n">
        <v>4</v>
      </c>
      <c r="CX38" t="n">
        <v>0</v>
      </c>
      <c r="CY38" t="n">
        <v>2</v>
      </c>
      <c r="CZ38" t="n">
        <v>1</v>
      </c>
      <c r="DA38" t="n">
        <v>0</v>
      </c>
      <c r="DB38" t="n">
        <v>0</v>
      </c>
      <c r="DC38" t="n">
        <v>7</v>
      </c>
      <c r="DD38" t="n">
        <v>0</v>
      </c>
      <c r="DE38" t="n">
        <v>0</v>
      </c>
      <c r="DF38" t="n">
        <v>29</v>
      </c>
      <c r="DG38" t="n">
        <v>109</v>
      </c>
      <c r="DH38" t="n">
        <v>0</v>
      </c>
      <c r="DI38" t="n">
        <v>0</v>
      </c>
      <c r="DJ38" t="n">
        <v>0</v>
      </c>
      <c r="DK38" t="n">
        <v>0</v>
      </c>
      <c r="DL38" t="n">
        <v>0</v>
      </c>
      <c r="DM38" t="n">
        <v>0</v>
      </c>
      <c r="DN38" t="n">
        <v>0</v>
      </c>
      <c r="DO38" t="n">
        <v>0</v>
      </c>
      <c r="DP38" t="n">
        <v>0</v>
      </c>
      <c r="DQ38" t="n">
        <v>0</v>
      </c>
      <c r="DR38" t="n">
        <v>0</v>
      </c>
      <c r="DS38" t="n">
        <v>138</v>
      </c>
      <c r="DT38" t="n">
        <v>187</v>
      </c>
      <c r="DU38" t="n">
        <v>56</v>
      </c>
      <c r="DV38" t="n">
        <v>0</v>
      </c>
      <c r="DW38" t="n">
        <v>0</v>
      </c>
      <c r="DX38" t="n">
        <v>0</v>
      </c>
      <c r="DY38" t="n">
        <v>580</v>
      </c>
      <c r="DZ38" t="n">
        <v>435</v>
      </c>
      <c r="EA38" t="n">
        <v>580</v>
      </c>
      <c r="EB38" t="n">
        <v>770</v>
      </c>
      <c r="EC38" t="n">
        <v>9</v>
      </c>
      <c r="ED38" t="n">
        <v>490</v>
      </c>
      <c r="EE38" t="n">
        <v>2430</v>
      </c>
      <c r="EF38" t="n">
        <v>0</v>
      </c>
      <c r="EG38" t="n">
        <v>0.22</v>
      </c>
      <c r="EH38" t="n">
        <v>0.8</v>
      </c>
      <c r="EI38" t="n">
        <v>2.4</v>
      </c>
      <c r="EJ38" t="n">
        <v>0.3</v>
      </c>
      <c r="EK38" t="n">
        <v>2.4</v>
      </c>
    </row>
    <row r="39">
      <c r="A39">
        <f>[1]ingredient!B37</f>
        <v/>
      </c>
      <c r="B39" t="inlineStr">
        <is>
          <t>https://www.naehrwertrechner.de/naehrwerte/G311100/Blumenkohl+roh/?menge=100</t>
        </is>
      </c>
      <c r="C39" s="7">
        <f>_xlfn.XLOOKUP(A39,[1]ingredient!$B$2:$B$521,[1]ingredient!$A$2:$A$521)</f>
        <v/>
      </c>
      <c r="D39" t="n">
        <v>23</v>
      </c>
      <c r="E39" t="n">
        <v>0.28</v>
      </c>
      <c r="F39" t="n">
        <v>2</v>
      </c>
      <c r="G39" t="n">
        <v>2</v>
      </c>
      <c r="H39" t="n">
        <v>3</v>
      </c>
      <c r="I39" t="n">
        <v>2</v>
      </c>
      <c r="J39" t="n">
        <v>0.03</v>
      </c>
      <c r="K39" t="n">
        <v>91</v>
      </c>
      <c r="L39" t="n">
        <v>2</v>
      </c>
      <c r="M39" t="n">
        <v>1</v>
      </c>
      <c r="N39" t="n">
        <v>0</v>
      </c>
      <c r="O39" t="n">
        <v>10</v>
      </c>
      <c r="P39" t="n">
        <v>88</v>
      </c>
      <c r="Q39" t="n">
        <v>92</v>
      </c>
      <c r="R39" t="n">
        <v>600</v>
      </c>
      <c r="S39" t="n">
        <v>1167</v>
      </c>
      <c r="T39" t="n">
        <v>1010</v>
      </c>
      <c r="U39" t="n">
        <v>200</v>
      </c>
      <c r="V39" t="n">
        <v>2</v>
      </c>
      <c r="W39" t="n">
        <v>52</v>
      </c>
      <c r="X39" t="n">
        <v>0</v>
      </c>
      <c r="Y39" t="n">
        <v>64000</v>
      </c>
      <c r="Z39" t="n">
        <v>0</v>
      </c>
      <c r="AA39" t="n">
        <v>70</v>
      </c>
      <c r="AB39" t="n">
        <v>31</v>
      </c>
      <c r="AC39" t="n">
        <v>13</v>
      </c>
      <c r="AD39" t="n">
        <v>282</v>
      </c>
      <c r="AE39" t="n">
        <v>22</v>
      </c>
      <c r="AF39" t="n">
        <v>15</v>
      </c>
      <c r="AG39" t="n">
        <v>49</v>
      </c>
      <c r="AH39" t="n">
        <v>55</v>
      </c>
      <c r="AI39" t="n">
        <v>19</v>
      </c>
      <c r="AJ39" t="n">
        <v>510</v>
      </c>
      <c r="AK39" t="n">
        <v>286</v>
      </c>
      <c r="AL39" t="n">
        <v>45</v>
      </c>
      <c r="AM39" t="n">
        <v>180</v>
      </c>
      <c r="AN39" t="n">
        <v>9</v>
      </c>
      <c r="AO39" t="n">
        <v>1</v>
      </c>
      <c r="AP39" t="n">
        <v>0</v>
      </c>
      <c r="AQ39" t="n">
        <v>0</v>
      </c>
      <c r="AR39" t="n">
        <v>26</v>
      </c>
      <c r="AS39" t="n">
        <v>26</v>
      </c>
      <c r="AT39" t="n">
        <v>953</v>
      </c>
      <c r="AU39" t="n">
        <v>895</v>
      </c>
      <c r="AV39" t="n">
        <v>0</v>
      </c>
      <c r="AW39" t="n">
        <v>1848</v>
      </c>
      <c r="AX39" t="n">
        <v>205</v>
      </c>
      <c r="AY39" t="n">
        <v>0</v>
      </c>
      <c r="AZ39" t="n">
        <v>0</v>
      </c>
      <c r="BA39" t="n">
        <v>205</v>
      </c>
      <c r="BB39" t="n">
        <v>0</v>
      </c>
      <c r="BC39" t="n">
        <v>0</v>
      </c>
      <c r="BD39" t="n">
        <v>0</v>
      </c>
      <c r="BE39" t="n">
        <v>290</v>
      </c>
      <c r="BF39" t="n">
        <v>290</v>
      </c>
      <c r="BG39">
        <f>IF($F39=0,"0",MIN(
BH39/(30*$F39),
BI39/(61*$F39),
BJ39/(48*$F39),
(BK39+BL39)/(23*$F39),
(BM39+BN39)/(41*$F39),
BO39/(25*$F39),
BP39/(6.6*$F39),
BQ39/(40*$F39),
BS39/(16*$F39)
)*100)</f>
        <v/>
      </c>
      <c r="BH39" t="n">
        <v>110</v>
      </c>
      <c r="BI39" t="n">
        <v>170</v>
      </c>
      <c r="BJ39" t="n">
        <v>140</v>
      </c>
      <c r="BK39" t="n">
        <v>48</v>
      </c>
      <c r="BL39" t="n">
        <v>31</v>
      </c>
      <c r="BM39" t="n">
        <v>77</v>
      </c>
      <c r="BN39" t="n">
        <v>35</v>
      </c>
      <c r="BO39" t="n">
        <v>110</v>
      </c>
      <c r="BP39" t="n">
        <v>34</v>
      </c>
      <c r="BQ39" t="n">
        <v>150</v>
      </c>
      <c r="BR39" t="n">
        <v>110</v>
      </c>
      <c r="BS39" t="n">
        <v>49</v>
      </c>
      <c r="BT39" t="n">
        <v>1064</v>
      </c>
      <c r="BU39" t="n">
        <v>147</v>
      </c>
      <c r="BV39" t="n">
        <v>311</v>
      </c>
      <c r="BW39" t="n">
        <v>368</v>
      </c>
      <c r="BX39" t="n">
        <v>99</v>
      </c>
      <c r="BY39" t="n">
        <v>122</v>
      </c>
      <c r="BZ39" t="n">
        <v>147</v>
      </c>
      <c r="CA39" t="n">
        <v>1194</v>
      </c>
      <c r="CB39" t="n">
        <v>51</v>
      </c>
      <c r="CC39" t="n">
        <v>21</v>
      </c>
      <c r="CD39" t="n">
        <v>109</v>
      </c>
      <c r="CE39" t="n">
        <v>29</v>
      </c>
      <c r="CF39" t="n">
        <v>0.27</v>
      </c>
      <c r="CG39" t="n">
        <v>0</v>
      </c>
      <c r="CH39" t="n">
        <v>0</v>
      </c>
      <c r="CI39" t="n">
        <v>0</v>
      </c>
      <c r="CJ39" t="n">
        <v>0</v>
      </c>
      <c r="CK39" t="n">
        <v>0</v>
      </c>
      <c r="CL39" t="n">
        <v>1</v>
      </c>
      <c r="CM39" t="n">
        <v>0</v>
      </c>
      <c r="CN39" t="n">
        <v>39</v>
      </c>
      <c r="CO39" t="n">
        <v>0</v>
      </c>
      <c r="CP39" t="n">
        <v>2</v>
      </c>
      <c r="CQ39" t="n">
        <v>1</v>
      </c>
      <c r="CR39" t="n">
        <v>0</v>
      </c>
      <c r="CS39" t="n">
        <v>0</v>
      </c>
      <c r="CT39" t="n">
        <v>42</v>
      </c>
      <c r="CU39" t="n">
        <v>0</v>
      </c>
      <c r="CV39" t="n">
        <v>0</v>
      </c>
      <c r="CW39" t="n">
        <v>4</v>
      </c>
      <c r="CX39" t="n">
        <v>0</v>
      </c>
      <c r="CY39" t="n">
        <v>2</v>
      </c>
      <c r="CZ39" t="n">
        <v>1</v>
      </c>
      <c r="DA39" t="n">
        <v>0</v>
      </c>
      <c r="DB39" t="n">
        <v>0</v>
      </c>
      <c r="DC39" t="n">
        <v>7</v>
      </c>
      <c r="DD39" t="n">
        <v>0</v>
      </c>
      <c r="DE39" t="n">
        <v>0</v>
      </c>
      <c r="DF39" t="n">
        <v>29</v>
      </c>
      <c r="DG39" t="n">
        <v>109</v>
      </c>
      <c r="DH39" t="n">
        <v>0</v>
      </c>
      <c r="DI39" t="n">
        <v>0</v>
      </c>
      <c r="DJ39" t="n">
        <v>0</v>
      </c>
      <c r="DK39" t="n">
        <v>0</v>
      </c>
      <c r="DL39" t="n">
        <v>0</v>
      </c>
      <c r="DM39" t="n">
        <v>0</v>
      </c>
      <c r="DN39" t="n">
        <v>0</v>
      </c>
      <c r="DO39" t="n">
        <v>0</v>
      </c>
      <c r="DP39" t="n">
        <v>0</v>
      </c>
      <c r="DQ39" t="n">
        <v>0</v>
      </c>
      <c r="DR39" t="n">
        <v>0</v>
      </c>
      <c r="DS39" t="n">
        <v>138</v>
      </c>
      <c r="DT39" t="n">
        <v>187</v>
      </c>
      <c r="DU39" t="n">
        <v>56</v>
      </c>
      <c r="DV39" t="n">
        <v>0</v>
      </c>
      <c r="DW39" t="n">
        <v>0</v>
      </c>
      <c r="DX39" t="n">
        <v>0</v>
      </c>
      <c r="DY39" t="n">
        <v>580</v>
      </c>
      <c r="DZ39" t="n">
        <v>435</v>
      </c>
      <c r="EA39" t="n">
        <v>580</v>
      </c>
      <c r="EB39" t="n">
        <v>770</v>
      </c>
      <c r="EC39" t="n">
        <v>9</v>
      </c>
      <c r="ED39" t="n">
        <v>490</v>
      </c>
      <c r="EE39" t="n">
        <v>2430</v>
      </c>
      <c r="EF39" t="n">
        <v>0</v>
      </c>
      <c r="EG39" t="n">
        <v>0.22</v>
      </c>
      <c r="EH39" t="n">
        <v>0.8</v>
      </c>
      <c r="EI39" t="n">
        <v>2.4</v>
      </c>
      <c r="EJ39" t="n">
        <v>0.3</v>
      </c>
      <c r="EK39" t="n">
        <v>2.4</v>
      </c>
    </row>
    <row r="40">
      <c r="A40">
        <f>[1]ingredient!B38</f>
        <v/>
      </c>
      <c r="B40" s="11" t="inlineStr">
        <is>
          <t>https://www.naehrwertrechner.de/naehrwerte/G311200/Blumenkohl+tiefgefroren/?menge=100</t>
        </is>
      </c>
      <c r="C40" s="7" t="n"/>
      <c r="D40" s="15" t="n">
        <v>24</v>
      </c>
      <c r="E40" s="15" t="n">
        <v>0.31</v>
      </c>
      <c r="F40" s="15" t="n">
        <v>3</v>
      </c>
      <c r="G40" s="15" t="n">
        <v>2</v>
      </c>
      <c r="H40" s="15" t="n">
        <v>3</v>
      </c>
      <c r="I40" s="15" t="n">
        <v>2</v>
      </c>
      <c r="J40" s="15" t="n">
        <v>0.03</v>
      </c>
      <c r="K40" s="15" t="n">
        <v>90</v>
      </c>
      <c r="L40" s="15" t="n">
        <v>2</v>
      </c>
      <c r="M40" s="15" t="n">
        <v>1</v>
      </c>
      <c r="N40" s="15" t="n">
        <v>0</v>
      </c>
      <c r="O40" s="15" t="n">
        <v>11</v>
      </c>
      <c r="P40" s="15" t="n">
        <v>78</v>
      </c>
      <c r="Q40" s="15" t="n">
        <v>91</v>
      </c>
      <c r="R40" s="15" t="n">
        <v>595</v>
      </c>
      <c r="S40" s="15" t="n">
        <v>1262</v>
      </c>
      <c r="T40" s="15" t="n">
        <v>1057</v>
      </c>
      <c r="U40" s="15" t="n">
        <v>176</v>
      </c>
      <c r="V40" s="15" t="n">
        <v>2</v>
      </c>
      <c r="W40" s="15" t="n">
        <v>40</v>
      </c>
      <c r="X40" s="15" t="n">
        <v>0</v>
      </c>
      <c r="Y40" s="15" t="n">
        <v>49371</v>
      </c>
      <c r="Z40" s="15" t="n">
        <v>0</v>
      </c>
      <c r="AA40" s="15" t="n">
        <v>77</v>
      </c>
      <c r="AB40" s="15" t="n">
        <v>34</v>
      </c>
      <c r="AC40" s="15" t="n">
        <v>13</v>
      </c>
      <c r="AD40" s="15" t="n">
        <v>279</v>
      </c>
      <c r="AE40" s="15" t="n">
        <v>22</v>
      </c>
      <c r="AF40" s="15" t="n">
        <v>15</v>
      </c>
      <c r="AG40" s="15" t="n">
        <v>49</v>
      </c>
      <c r="AH40" s="15" t="n">
        <v>55</v>
      </c>
      <c r="AI40" s="15" t="n">
        <v>19</v>
      </c>
      <c r="AJ40" s="15" t="n">
        <v>506</v>
      </c>
      <c r="AK40" s="15" t="n">
        <v>284</v>
      </c>
      <c r="AL40" s="15" t="n">
        <v>45</v>
      </c>
      <c r="AM40" s="15" t="n">
        <v>179</v>
      </c>
      <c r="AN40" s="15" t="n">
        <v>9</v>
      </c>
      <c r="AO40" s="15" t="n">
        <v>1</v>
      </c>
      <c r="AP40" s="15" t="n">
        <v>0</v>
      </c>
      <c r="AQ40" s="15" t="n">
        <v>0</v>
      </c>
      <c r="AR40" s="15" t="n">
        <v>27</v>
      </c>
      <c r="AS40" s="15" t="n">
        <v>27</v>
      </c>
      <c r="AT40" s="15" t="n">
        <v>986</v>
      </c>
      <c r="AU40" s="15" t="n">
        <v>925</v>
      </c>
      <c r="AV40" s="15" t="n">
        <v>0</v>
      </c>
      <c r="AW40" s="15" t="n">
        <v>1911</v>
      </c>
      <c r="AX40" s="15" t="n">
        <v>212</v>
      </c>
      <c r="AY40" s="15" t="n">
        <v>0</v>
      </c>
      <c r="AZ40" s="15" t="n">
        <v>0</v>
      </c>
      <c r="BA40" s="15" t="n">
        <v>212</v>
      </c>
      <c r="BB40" s="15" t="n">
        <v>0</v>
      </c>
      <c r="BC40" s="15" t="n">
        <v>0</v>
      </c>
      <c r="BD40" s="15" t="n">
        <v>0</v>
      </c>
      <c r="BE40" s="15" t="n">
        <v>300</v>
      </c>
      <c r="BF40" s="15" t="n">
        <v>300</v>
      </c>
      <c r="BG40" s="15" t="n">
        <v>35</v>
      </c>
      <c r="BH40" s="15" t="n">
        <v>132</v>
      </c>
      <c r="BI40" s="15" t="n">
        <v>204</v>
      </c>
      <c r="BJ40" s="15" t="n">
        <v>168</v>
      </c>
      <c r="BK40" s="15" t="n">
        <v>58</v>
      </c>
      <c r="BL40" s="15" t="n">
        <v>37</v>
      </c>
      <c r="BM40" s="15" t="n">
        <v>93</v>
      </c>
      <c r="BN40" s="15" t="n">
        <v>42</v>
      </c>
      <c r="BO40" s="15" t="n">
        <v>132</v>
      </c>
      <c r="BP40" s="15" t="n">
        <v>40</v>
      </c>
      <c r="BQ40" s="15" t="n">
        <v>180</v>
      </c>
      <c r="BR40" s="15" t="n">
        <v>132</v>
      </c>
      <c r="BS40" s="15" t="n">
        <v>59</v>
      </c>
      <c r="BT40" s="15" t="n">
        <v>1277</v>
      </c>
      <c r="BU40" s="15" t="n">
        <v>177</v>
      </c>
      <c r="BV40" s="15" t="n">
        <v>374</v>
      </c>
      <c r="BW40" s="15" t="n">
        <v>443</v>
      </c>
      <c r="BX40" s="15" t="n">
        <v>119</v>
      </c>
      <c r="BY40" s="15" t="n">
        <v>146</v>
      </c>
      <c r="BZ40" s="15" t="n">
        <v>177</v>
      </c>
      <c r="CA40" s="15" t="n">
        <v>1436</v>
      </c>
      <c r="CB40" s="15" t="n">
        <v>56</v>
      </c>
      <c r="CC40" s="15" t="n">
        <v>23</v>
      </c>
      <c r="CD40" s="15" t="n">
        <v>140</v>
      </c>
      <c r="CE40" s="15" t="n">
        <v>37</v>
      </c>
      <c r="CF40" s="15" t="n">
        <v>0.26</v>
      </c>
      <c r="CG40" s="15" t="n">
        <v>0</v>
      </c>
      <c r="CH40" s="15" t="n">
        <v>0</v>
      </c>
      <c r="CI40" s="15" t="n">
        <v>0</v>
      </c>
      <c r="CJ40" s="15" t="n">
        <v>0</v>
      </c>
      <c r="CK40" s="15" t="n">
        <v>0</v>
      </c>
      <c r="CL40" s="15" t="n">
        <v>1</v>
      </c>
      <c r="CM40" s="15" t="n">
        <v>0</v>
      </c>
      <c r="CN40" s="15" t="n">
        <v>49</v>
      </c>
      <c r="CO40" s="15" t="n">
        <v>0</v>
      </c>
      <c r="CP40" s="15" t="n">
        <v>2</v>
      </c>
      <c r="CQ40" s="15" t="n">
        <v>1</v>
      </c>
      <c r="CR40" s="15" t="n">
        <v>0</v>
      </c>
      <c r="CS40" s="15" t="n">
        <v>0</v>
      </c>
      <c r="CT40" s="15" t="n">
        <v>53</v>
      </c>
      <c r="CU40" s="15" t="n">
        <v>0</v>
      </c>
      <c r="CV40" s="15" t="n">
        <v>0</v>
      </c>
      <c r="CW40" s="15" t="n">
        <v>5</v>
      </c>
      <c r="CX40" s="15" t="n">
        <v>0</v>
      </c>
      <c r="CY40" s="15" t="n">
        <v>2</v>
      </c>
      <c r="CZ40" s="15" t="n">
        <v>1</v>
      </c>
      <c r="DA40" s="15" t="n">
        <v>0</v>
      </c>
      <c r="DB40" s="15" t="n">
        <v>0</v>
      </c>
      <c r="DC40" s="15" t="n">
        <v>8</v>
      </c>
      <c r="DD40" s="15" t="n">
        <v>0</v>
      </c>
      <c r="DE40" s="15" t="n">
        <v>0</v>
      </c>
      <c r="DF40" s="15" t="n">
        <v>37</v>
      </c>
      <c r="DG40" s="15" t="n">
        <v>140</v>
      </c>
      <c r="DH40" s="15" t="n">
        <v>0</v>
      </c>
      <c r="DI40" s="15" t="n">
        <v>0</v>
      </c>
      <c r="DJ40" s="15" t="n">
        <v>0</v>
      </c>
      <c r="DK40" s="15" t="n">
        <v>0</v>
      </c>
      <c r="DL40" s="15" t="n">
        <v>0</v>
      </c>
      <c r="DM40" s="15" t="n">
        <v>0</v>
      </c>
      <c r="DN40" s="15" t="n">
        <v>0</v>
      </c>
      <c r="DO40" s="15" t="n">
        <v>0</v>
      </c>
      <c r="DP40" s="15" t="n">
        <v>0</v>
      </c>
      <c r="DQ40" s="15" t="n">
        <v>0</v>
      </c>
      <c r="DR40" s="15" t="n">
        <v>0</v>
      </c>
      <c r="DS40" s="15" t="n">
        <v>177</v>
      </c>
      <c r="DT40" s="15" t="n">
        <v>238</v>
      </c>
      <c r="DU40" s="15" t="n">
        <v>71</v>
      </c>
      <c r="DV40" s="15" t="n">
        <v>0</v>
      </c>
      <c r="DW40" s="15" t="n">
        <v>0</v>
      </c>
      <c r="DX40" s="15" t="n">
        <v>0</v>
      </c>
      <c r="DY40" s="15" t="n">
        <v>781</v>
      </c>
      <c r="DZ40" s="15" t="n">
        <v>585</v>
      </c>
      <c r="EA40" s="15" t="n">
        <v>781</v>
      </c>
      <c r="EB40" s="15" t="n">
        <v>1037</v>
      </c>
      <c r="EC40" s="15" t="n">
        <v>12</v>
      </c>
      <c r="ED40" s="15" t="n">
        <v>540</v>
      </c>
      <c r="EE40" s="15" t="n">
        <v>2678</v>
      </c>
      <c r="EF40" s="15" t="n">
        <v>0</v>
      </c>
      <c r="EG40" s="15" t="n">
        <v>0.24</v>
      </c>
      <c r="EH40" s="15" t="n">
        <v>0.8</v>
      </c>
      <c r="EI40" s="15" t="n">
        <v>2.7</v>
      </c>
      <c r="EJ40" s="15" t="n">
        <v>0.3</v>
      </c>
      <c r="EK40" s="15" t="n">
        <v>2.9</v>
      </c>
    </row>
    <row r="41">
      <c r="A41">
        <f>[1]ingredient!B39</f>
        <v/>
      </c>
      <c r="B41" t="inlineStr">
        <is>
          <t>https://www.naehrwertrechner.de/naehrwerte/F603000-1/Blutorangen/?menge=100</t>
        </is>
      </c>
      <c r="C41" s="7">
        <f>_xlfn.XLOOKUP(A41,[1]ingredient!$B$2:$B$521,[1]ingredient!$A$2:$A$521)</f>
        <v/>
      </c>
      <c r="D41" t="n">
        <v>43</v>
      </c>
      <c r="E41" t="n">
        <v>0.2</v>
      </c>
      <c r="F41" t="n">
        <v>1</v>
      </c>
      <c r="G41" t="n">
        <v>8</v>
      </c>
      <c r="H41" t="n">
        <v>2</v>
      </c>
      <c r="I41" t="n">
        <v>8</v>
      </c>
      <c r="J41" t="n">
        <v>0.01</v>
      </c>
      <c r="K41" t="n">
        <v>87</v>
      </c>
      <c r="L41" t="n">
        <v>9</v>
      </c>
      <c r="M41" t="n">
        <v>4</v>
      </c>
      <c r="N41" t="n">
        <v>0</v>
      </c>
      <c r="O41" t="n">
        <v>52</v>
      </c>
      <c r="P41" t="n">
        <v>79</v>
      </c>
      <c r="Q41" t="n">
        <v>42</v>
      </c>
      <c r="R41" t="n">
        <v>300</v>
      </c>
      <c r="S41" t="n">
        <v>450</v>
      </c>
      <c r="T41" t="n">
        <v>240</v>
      </c>
      <c r="U41" t="n">
        <v>104</v>
      </c>
      <c r="V41" t="n">
        <v>2</v>
      </c>
      <c r="W41" t="n">
        <v>22</v>
      </c>
      <c r="X41" t="n">
        <v>0</v>
      </c>
      <c r="Y41" t="n">
        <v>45480</v>
      </c>
      <c r="Z41" t="n">
        <v>0</v>
      </c>
      <c r="AA41" t="n">
        <v>320</v>
      </c>
      <c r="AB41" t="n">
        <v>0</v>
      </c>
      <c r="AC41" t="n">
        <v>1</v>
      </c>
      <c r="AD41" t="n">
        <v>164</v>
      </c>
      <c r="AE41" t="n">
        <v>40</v>
      </c>
      <c r="AF41" t="n">
        <v>12</v>
      </c>
      <c r="AG41" t="n">
        <v>20</v>
      </c>
      <c r="AH41" t="n">
        <v>9</v>
      </c>
      <c r="AI41" t="n">
        <v>4</v>
      </c>
      <c r="AJ41" t="n">
        <v>186</v>
      </c>
      <c r="AK41" t="n">
        <v>63</v>
      </c>
      <c r="AL41" t="n">
        <v>51</v>
      </c>
      <c r="AM41" t="n">
        <v>35</v>
      </c>
      <c r="AN41" t="n">
        <v>5</v>
      </c>
      <c r="AO41" t="n">
        <v>1</v>
      </c>
      <c r="AP41" t="n">
        <v>0</v>
      </c>
      <c r="AQ41" t="n">
        <v>0</v>
      </c>
      <c r="AR41" t="n">
        <v>0</v>
      </c>
      <c r="AS41" t="n">
        <v>0</v>
      </c>
      <c r="AT41" t="n">
        <v>2280</v>
      </c>
      <c r="AU41" t="n">
        <v>2571</v>
      </c>
      <c r="AV41" t="n">
        <v>0</v>
      </c>
      <c r="AW41" t="n">
        <v>4851</v>
      </c>
      <c r="AX41" t="n">
        <v>3399</v>
      </c>
      <c r="AY41" t="n">
        <v>0</v>
      </c>
      <c r="AZ41" t="n">
        <v>0</v>
      </c>
      <c r="BA41" t="n">
        <v>3399</v>
      </c>
      <c r="BB41" t="n">
        <v>0</v>
      </c>
      <c r="BC41" t="n">
        <v>0</v>
      </c>
      <c r="BD41" t="n">
        <v>0</v>
      </c>
      <c r="BE41" t="n">
        <v>0</v>
      </c>
      <c r="BF41" t="n">
        <v>0</v>
      </c>
      <c r="BG41">
        <f>IF($F41=0,"0",MIN(
BH41/(30*$F41),
BI41/(61*$F41),
BJ41/(48*$F41),
(BK41+BL41)/(23*$F41),
(BM41+BN41)/(41*$F41),
BO41/(25*$F41),
BP41/(6.6*$F41),
BQ41/(40*$F41),
BS41/(16*$F41)
)*100)</f>
        <v/>
      </c>
      <c r="BH41" t="n">
        <v>27</v>
      </c>
      <c r="BI41" t="n">
        <v>43</v>
      </c>
      <c r="BJ41" t="n">
        <v>52</v>
      </c>
      <c r="BK41" t="n">
        <v>11</v>
      </c>
      <c r="BL41" t="n">
        <v>4</v>
      </c>
      <c r="BM41" t="n">
        <v>27</v>
      </c>
      <c r="BN41" t="n">
        <v>17</v>
      </c>
      <c r="BO41" t="n">
        <v>27</v>
      </c>
      <c r="BP41" t="n">
        <v>9</v>
      </c>
      <c r="BQ41" t="n">
        <v>44</v>
      </c>
      <c r="BR41" t="n">
        <v>97</v>
      </c>
      <c r="BS41" t="n">
        <v>16</v>
      </c>
      <c r="BT41" t="n">
        <v>374</v>
      </c>
      <c r="BU41" t="n">
        <v>39</v>
      </c>
      <c r="BV41" t="n">
        <v>162</v>
      </c>
      <c r="BW41" t="n">
        <v>88</v>
      </c>
      <c r="BX41" t="n">
        <v>31</v>
      </c>
      <c r="BY41" t="n">
        <v>251</v>
      </c>
      <c r="BZ41" t="n">
        <v>57</v>
      </c>
      <c r="CA41" t="n">
        <v>628</v>
      </c>
      <c r="CB41" t="n">
        <v>19</v>
      </c>
      <c r="CC41" t="n">
        <v>8</v>
      </c>
      <c r="CD41" t="n">
        <v>25</v>
      </c>
      <c r="CE41" t="n">
        <v>51</v>
      </c>
      <c r="CF41" t="n">
        <v>2.04</v>
      </c>
      <c r="CG41" t="n">
        <v>0</v>
      </c>
      <c r="CH41" t="n">
        <v>0</v>
      </c>
      <c r="CI41" t="n">
        <v>0</v>
      </c>
      <c r="CJ41" t="n">
        <v>0</v>
      </c>
      <c r="CK41" t="n">
        <v>1</v>
      </c>
      <c r="CL41" t="n">
        <v>1</v>
      </c>
      <c r="CM41" t="n">
        <v>0</v>
      </c>
      <c r="CN41" t="n">
        <v>24</v>
      </c>
      <c r="CO41" t="n">
        <v>0</v>
      </c>
      <c r="CP41" t="n">
        <v>3</v>
      </c>
      <c r="CQ41" t="n">
        <v>0</v>
      </c>
      <c r="CR41" t="n">
        <v>0</v>
      </c>
      <c r="CS41" t="n">
        <v>0</v>
      </c>
      <c r="CT41" t="n">
        <v>29</v>
      </c>
      <c r="CU41" t="n">
        <v>0</v>
      </c>
      <c r="CV41" t="n">
        <v>0</v>
      </c>
      <c r="CW41" t="n">
        <v>9</v>
      </c>
      <c r="CX41" t="n">
        <v>0</v>
      </c>
      <c r="CY41" t="n">
        <v>46</v>
      </c>
      <c r="CZ41" t="n">
        <v>1</v>
      </c>
      <c r="DA41" t="n">
        <v>0</v>
      </c>
      <c r="DB41" t="n">
        <v>0</v>
      </c>
      <c r="DC41" t="n">
        <v>56</v>
      </c>
      <c r="DD41" t="n">
        <v>0</v>
      </c>
      <c r="DE41" t="n">
        <v>0</v>
      </c>
      <c r="DF41" t="n">
        <v>51</v>
      </c>
      <c r="DG41" t="n">
        <v>25</v>
      </c>
      <c r="DH41" t="n">
        <v>0</v>
      </c>
      <c r="DI41" t="n">
        <v>0</v>
      </c>
      <c r="DJ41" t="n">
        <v>0</v>
      </c>
      <c r="DK41" t="n">
        <v>0</v>
      </c>
      <c r="DL41" t="n">
        <v>0</v>
      </c>
      <c r="DM41" t="n">
        <v>0</v>
      </c>
      <c r="DN41" t="n">
        <v>0</v>
      </c>
      <c r="DO41" t="n">
        <v>0</v>
      </c>
      <c r="DP41" t="n">
        <v>0</v>
      </c>
      <c r="DQ41" t="n">
        <v>0</v>
      </c>
      <c r="DR41" t="n">
        <v>0</v>
      </c>
      <c r="DS41" t="n">
        <v>76</v>
      </c>
      <c r="DT41" t="n">
        <v>161</v>
      </c>
      <c r="DU41" t="n">
        <v>40</v>
      </c>
      <c r="DV41" t="n">
        <v>0</v>
      </c>
      <c r="DW41" t="n">
        <v>0</v>
      </c>
      <c r="DX41" t="n">
        <v>0</v>
      </c>
      <c r="DY41" t="n">
        <v>440</v>
      </c>
      <c r="DZ41" t="n">
        <v>330</v>
      </c>
      <c r="EA41" t="n">
        <v>660</v>
      </c>
      <c r="EB41" t="n">
        <v>440</v>
      </c>
      <c r="EC41" t="n">
        <v>330</v>
      </c>
      <c r="ED41" t="n">
        <v>600</v>
      </c>
      <c r="EE41" t="n">
        <v>1000</v>
      </c>
      <c r="EF41" t="n">
        <v>0</v>
      </c>
      <c r="EG41" t="n">
        <v>1</v>
      </c>
      <c r="EH41" t="n">
        <v>0.5</v>
      </c>
      <c r="EI41" t="n">
        <v>1</v>
      </c>
      <c r="EJ41" t="n">
        <v>0.2</v>
      </c>
      <c r="EK41" t="n">
        <v>1.1</v>
      </c>
    </row>
    <row r="42">
      <c r="A42">
        <f>[1]ingredient!B40</f>
        <v/>
      </c>
      <c r="B42" t="inlineStr">
        <is>
          <t>https://www.naehrwertrechner.de/naehrwerte/R233011/Bohnenkraut+Gew%C3%BCrz/?menge=100</t>
        </is>
      </c>
      <c r="C42" s="7">
        <f>_xlfn.XLOOKUP(A42,[1]ingredient!$B$2:$B$521,[1]ingredient!$A$2:$A$521)</f>
        <v/>
      </c>
      <c r="D42" t="n">
        <v>298</v>
      </c>
      <c r="E42" t="n">
        <v>6</v>
      </c>
      <c r="F42" t="n">
        <v>7</v>
      </c>
      <c r="G42" t="n">
        <v>54</v>
      </c>
      <c r="H42" t="n">
        <v>15</v>
      </c>
      <c r="I42" t="n">
        <v>53</v>
      </c>
      <c r="J42" t="n">
        <v>0.22</v>
      </c>
      <c r="K42" t="n">
        <v>8</v>
      </c>
      <c r="L42" t="n">
        <v>517</v>
      </c>
      <c r="M42" t="n">
        <v>258</v>
      </c>
      <c r="N42" t="n">
        <v>0</v>
      </c>
      <c r="O42" t="n">
        <v>3100</v>
      </c>
      <c r="P42" t="n">
        <v>366</v>
      </c>
      <c r="Q42" t="n">
        <v>0</v>
      </c>
      <c r="R42" t="n">
        <v>4080</v>
      </c>
      <c r="S42" t="n">
        <v>5197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60000</v>
      </c>
      <c r="Z42" t="n">
        <v>0</v>
      </c>
      <c r="AA42" t="n">
        <v>0</v>
      </c>
      <c r="AB42" t="n">
        <v>0</v>
      </c>
      <c r="AC42" t="n">
        <v>24</v>
      </c>
      <c r="AD42" t="n">
        <v>1051</v>
      </c>
      <c r="AE42" t="n">
        <v>2132</v>
      </c>
      <c r="AF42" t="n">
        <v>377</v>
      </c>
      <c r="AG42" t="n">
        <v>140</v>
      </c>
      <c r="AH42" t="n">
        <v>100</v>
      </c>
      <c r="AI42" t="n">
        <v>200</v>
      </c>
      <c r="AJ42" t="n">
        <v>37880</v>
      </c>
      <c r="AK42" t="n">
        <v>4300</v>
      </c>
      <c r="AL42" t="n">
        <v>1000</v>
      </c>
      <c r="AM42" t="n">
        <v>5000</v>
      </c>
      <c r="AN42" t="n">
        <v>400</v>
      </c>
      <c r="AO42" t="n">
        <v>5</v>
      </c>
      <c r="AP42" t="n">
        <v>0</v>
      </c>
      <c r="AQ42" t="n">
        <v>0</v>
      </c>
      <c r="AR42" t="n">
        <v>0</v>
      </c>
      <c r="AS42" t="n">
        <v>0</v>
      </c>
      <c r="AT42" t="n">
        <v>21400</v>
      </c>
      <c r="AU42" t="n">
        <v>21400</v>
      </c>
      <c r="AV42" t="n">
        <v>0</v>
      </c>
      <c r="AW42" t="n">
        <v>42800</v>
      </c>
      <c r="AX42" t="n">
        <v>10165</v>
      </c>
      <c r="AY42" t="n">
        <v>0</v>
      </c>
      <c r="AZ42" t="n">
        <v>0</v>
      </c>
      <c r="BA42" t="n">
        <v>10165</v>
      </c>
      <c r="BB42" t="n">
        <v>0</v>
      </c>
      <c r="BC42" t="n">
        <v>0</v>
      </c>
      <c r="BD42" t="n">
        <v>0</v>
      </c>
      <c r="BE42" t="n">
        <v>535</v>
      </c>
      <c r="BF42" t="n">
        <v>535</v>
      </c>
      <c r="BG42">
        <f>IF($F42=0,"0",MIN(
BH42/(30*$F42),
BI42/(61*$F42),
BJ42/(48*$F42),
(BK42+BL42)/(23*$F42),
(BM42+BN42)/(41*$F42),
BO42/(25*$F42),
BP42/(6.6*$F42),
BQ42/(40*$F42),
BS42/(16*$F42)
)*100)</f>
        <v/>
      </c>
      <c r="BH42" t="n">
        <v>269</v>
      </c>
      <c r="BI42" t="n">
        <v>404</v>
      </c>
      <c r="BJ42" t="n">
        <v>337</v>
      </c>
      <c r="BK42" t="n">
        <v>81</v>
      </c>
      <c r="BL42" t="n">
        <v>67</v>
      </c>
      <c r="BM42" t="n">
        <v>202</v>
      </c>
      <c r="BN42" t="n">
        <v>135</v>
      </c>
      <c r="BO42" t="n">
        <v>236</v>
      </c>
      <c r="BP42" t="n">
        <v>67</v>
      </c>
      <c r="BQ42" t="n">
        <v>269</v>
      </c>
      <c r="BR42" t="n">
        <v>269</v>
      </c>
      <c r="BS42" t="n">
        <v>101</v>
      </c>
      <c r="BT42" t="n">
        <v>2437</v>
      </c>
      <c r="BU42" t="n">
        <v>337</v>
      </c>
      <c r="BV42" t="n">
        <v>673</v>
      </c>
      <c r="BW42" t="n">
        <v>1009</v>
      </c>
      <c r="BX42" t="n">
        <v>188</v>
      </c>
      <c r="BY42" t="n">
        <v>269</v>
      </c>
      <c r="BZ42" t="n">
        <v>202</v>
      </c>
      <c r="CA42" t="n">
        <v>2678</v>
      </c>
      <c r="CB42" t="n">
        <v>101</v>
      </c>
      <c r="CC42" t="n">
        <v>42</v>
      </c>
      <c r="CD42" t="n">
        <v>1418</v>
      </c>
      <c r="CE42" t="n">
        <v>1891</v>
      </c>
      <c r="CF42" t="n">
        <v>1.33</v>
      </c>
      <c r="CG42" t="n">
        <v>0</v>
      </c>
      <c r="CH42" t="n">
        <v>0</v>
      </c>
      <c r="CI42" t="n">
        <v>0</v>
      </c>
      <c r="CJ42" t="n">
        <v>0</v>
      </c>
      <c r="CK42" t="n">
        <v>0</v>
      </c>
      <c r="CL42" t="n">
        <v>24</v>
      </c>
      <c r="CM42" t="n">
        <v>0</v>
      </c>
      <c r="CN42" t="n">
        <v>922</v>
      </c>
      <c r="CO42" t="n">
        <v>0</v>
      </c>
      <c r="CP42" t="n">
        <v>142</v>
      </c>
      <c r="CQ42" t="n">
        <v>0</v>
      </c>
      <c r="CR42" t="n">
        <v>0</v>
      </c>
      <c r="CS42" t="n">
        <v>0</v>
      </c>
      <c r="CT42" t="n">
        <v>1088</v>
      </c>
      <c r="CU42" t="n">
        <v>0</v>
      </c>
      <c r="CV42" t="n">
        <v>0</v>
      </c>
      <c r="CW42" t="n">
        <v>47</v>
      </c>
      <c r="CX42" t="n">
        <v>0</v>
      </c>
      <c r="CY42" t="n">
        <v>284</v>
      </c>
      <c r="CZ42" t="n">
        <v>0</v>
      </c>
      <c r="DA42" t="n">
        <v>0</v>
      </c>
      <c r="DB42" t="n">
        <v>0</v>
      </c>
      <c r="DC42" t="n">
        <v>331</v>
      </c>
      <c r="DD42" t="n">
        <v>0</v>
      </c>
      <c r="DE42" t="n">
        <v>0</v>
      </c>
      <c r="DF42" t="n">
        <v>1891</v>
      </c>
      <c r="DG42" t="n">
        <v>1418</v>
      </c>
      <c r="DH42" t="n">
        <v>0</v>
      </c>
      <c r="DI42" t="n">
        <v>0</v>
      </c>
      <c r="DJ42" t="n">
        <v>0</v>
      </c>
      <c r="DK42" t="n">
        <v>0</v>
      </c>
      <c r="DL42" t="n">
        <v>0</v>
      </c>
      <c r="DM42" t="n">
        <v>0</v>
      </c>
      <c r="DN42" t="n">
        <v>0</v>
      </c>
      <c r="DO42" t="n">
        <v>0</v>
      </c>
      <c r="DP42" t="n">
        <v>0</v>
      </c>
      <c r="DQ42" t="n">
        <v>0</v>
      </c>
      <c r="DR42" t="n">
        <v>0</v>
      </c>
      <c r="DS42" t="n">
        <v>3309</v>
      </c>
      <c r="DT42" t="n">
        <v>4728</v>
      </c>
      <c r="DU42" t="n">
        <v>1182</v>
      </c>
      <c r="DV42" t="n">
        <v>0</v>
      </c>
      <c r="DW42" t="n">
        <v>0</v>
      </c>
      <c r="DX42" t="n">
        <v>0</v>
      </c>
      <c r="DY42" t="n">
        <v>2295</v>
      </c>
      <c r="DZ42" t="n">
        <v>3060</v>
      </c>
      <c r="EA42" t="n">
        <v>4131</v>
      </c>
      <c r="EB42" t="n">
        <v>5355</v>
      </c>
      <c r="EC42" t="n">
        <v>459</v>
      </c>
      <c r="ED42" t="n">
        <v>4590</v>
      </c>
      <c r="EE42" t="n">
        <v>10710</v>
      </c>
      <c r="EF42" t="n">
        <v>0</v>
      </c>
      <c r="EG42" t="n">
        <v>0.47</v>
      </c>
      <c r="EH42" t="n">
        <v>9.6</v>
      </c>
      <c r="EI42" t="n">
        <v>10.7</v>
      </c>
      <c r="EJ42" t="n">
        <v>5.9</v>
      </c>
      <c r="EK42" t="n">
        <v>5.4</v>
      </c>
    </row>
    <row r="43">
      <c r="A43" t="inlineStr">
        <is>
          <t>Bratpaprika</t>
        </is>
      </c>
      <c r="B43" t="inlineStr">
        <is>
          <t>https://www.naehrwertrechner.de/naehrwerte/G541111/Gem%C3%BCsepaprika+gr%C3%BCn+frisch/?menge=100</t>
        </is>
      </c>
      <c r="C43" s="7">
        <f>_xlfn.XLOOKUP(A43,[1]ingredient!$B$2:$B$521,[1]ingredient!$A$2:$A$521)</f>
        <v/>
      </c>
      <c r="D43" t="n">
        <v>20</v>
      </c>
      <c r="E43" t="n">
        <v>0.3</v>
      </c>
      <c r="F43" t="n">
        <v>1</v>
      </c>
      <c r="G43" t="n">
        <v>3</v>
      </c>
      <c r="H43" t="n">
        <v>4</v>
      </c>
      <c r="I43" t="n">
        <v>3</v>
      </c>
      <c r="J43" t="n">
        <v>0.02</v>
      </c>
      <c r="K43" t="n">
        <v>91</v>
      </c>
      <c r="L43" t="n">
        <v>180</v>
      </c>
      <c r="M43" t="n">
        <v>45</v>
      </c>
      <c r="N43" t="n">
        <v>0</v>
      </c>
      <c r="O43" t="n">
        <v>535</v>
      </c>
      <c r="P43" t="n">
        <v>52</v>
      </c>
      <c r="Q43" t="n">
        <v>43</v>
      </c>
      <c r="R43" t="n">
        <v>330</v>
      </c>
      <c r="S43" t="n">
        <v>530</v>
      </c>
      <c r="T43" t="n">
        <v>230</v>
      </c>
      <c r="U43" t="n">
        <v>270</v>
      </c>
      <c r="V43" t="n">
        <v>3</v>
      </c>
      <c r="W43" t="n">
        <v>18</v>
      </c>
      <c r="X43" t="n">
        <v>0</v>
      </c>
      <c r="Y43" t="n">
        <v>139000</v>
      </c>
      <c r="Z43" t="n">
        <v>0</v>
      </c>
      <c r="AA43" t="n">
        <v>2519</v>
      </c>
      <c r="AB43" t="n">
        <v>14</v>
      </c>
      <c r="AC43" t="n">
        <v>3</v>
      </c>
      <c r="AD43" t="n">
        <v>177</v>
      </c>
      <c r="AE43" t="n">
        <v>11</v>
      </c>
      <c r="AF43" t="n">
        <v>12</v>
      </c>
      <c r="AG43" t="n">
        <v>29</v>
      </c>
      <c r="AH43" t="n">
        <v>21</v>
      </c>
      <c r="AI43" t="n">
        <v>19</v>
      </c>
      <c r="AJ43" t="n">
        <v>750</v>
      </c>
      <c r="AK43" t="n">
        <v>180</v>
      </c>
      <c r="AL43" t="n">
        <v>71</v>
      </c>
      <c r="AM43" t="n">
        <v>100</v>
      </c>
      <c r="AN43" t="n">
        <v>20</v>
      </c>
      <c r="AO43" t="n">
        <v>2</v>
      </c>
      <c r="AP43" t="n">
        <v>0</v>
      </c>
      <c r="AQ43" t="n">
        <v>0</v>
      </c>
      <c r="AR43" t="n">
        <v>0</v>
      </c>
      <c r="AS43" t="n">
        <v>0</v>
      </c>
      <c r="AT43" t="n">
        <v>1455</v>
      </c>
      <c r="AU43" t="n">
        <v>1193</v>
      </c>
      <c r="AV43" t="n">
        <v>0</v>
      </c>
      <c r="AW43" t="n">
        <v>2648</v>
      </c>
      <c r="AX43" t="n">
        <v>116</v>
      </c>
      <c r="AY43" t="n">
        <v>0</v>
      </c>
      <c r="AZ43" t="n">
        <v>0</v>
      </c>
      <c r="BA43" t="n">
        <v>116</v>
      </c>
      <c r="BB43" t="n">
        <v>0</v>
      </c>
      <c r="BC43" t="n">
        <v>0</v>
      </c>
      <c r="BD43" t="n">
        <v>0</v>
      </c>
      <c r="BE43" t="n">
        <v>146</v>
      </c>
      <c r="BF43" t="n">
        <v>146</v>
      </c>
      <c r="BG43">
        <f>IF($F43=0,"0",MIN(
BH43/(30*$F43),
BI43/(61*$F43),
BJ43/(48*$F43),
(BK43+BL43)/(23*$F43),
(BM43+BN43)/(41*$F43),
BO43/(25*$F43),
BP43/(6.6*$F43),
BQ43/(40*$F43),
BS43/(16*$F43)
)*100)</f>
        <v/>
      </c>
      <c r="BH43" t="n">
        <v>39</v>
      </c>
      <c r="BI43" t="n">
        <v>54</v>
      </c>
      <c r="BJ43" t="n">
        <v>50</v>
      </c>
      <c r="BK43" t="n">
        <v>11</v>
      </c>
      <c r="BL43" t="n">
        <v>21</v>
      </c>
      <c r="BM43" t="n">
        <v>44</v>
      </c>
      <c r="BN43" t="n">
        <v>23</v>
      </c>
      <c r="BO43" t="n">
        <v>41</v>
      </c>
      <c r="BP43" t="n">
        <v>12</v>
      </c>
      <c r="BQ43" t="n">
        <v>42</v>
      </c>
      <c r="BR43" t="n">
        <v>44</v>
      </c>
      <c r="BS43" t="n">
        <v>18</v>
      </c>
      <c r="BT43" t="n">
        <v>399</v>
      </c>
      <c r="BU43" t="n">
        <v>47</v>
      </c>
      <c r="BV43" t="n">
        <v>166</v>
      </c>
      <c r="BW43" t="n">
        <v>159</v>
      </c>
      <c r="BX43" t="n">
        <v>42</v>
      </c>
      <c r="BY43" t="n">
        <v>47</v>
      </c>
      <c r="BZ43" t="n">
        <v>53</v>
      </c>
      <c r="CA43" t="n">
        <v>514</v>
      </c>
      <c r="CB43" t="n">
        <v>10</v>
      </c>
      <c r="CC43" t="n">
        <v>4</v>
      </c>
      <c r="CD43" t="n">
        <v>29</v>
      </c>
      <c r="CE43" t="n">
        <v>138</v>
      </c>
      <c r="CF43" t="n">
        <v>4.76</v>
      </c>
      <c r="CG43" t="n">
        <v>0</v>
      </c>
      <c r="CH43" t="n">
        <v>0</v>
      </c>
      <c r="CI43" t="n">
        <v>0</v>
      </c>
      <c r="CJ43" t="n">
        <v>0</v>
      </c>
      <c r="CK43" t="n">
        <v>0</v>
      </c>
      <c r="CL43" t="n">
        <v>7</v>
      </c>
      <c r="CM43" t="n">
        <v>0</v>
      </c>
      <c r="CN43" t="n">
        <v>37</v>
      </c>
      <c r="CO43" t="n">
        <v>0</v>
      </c>
      <c r="CP43" t="n">
        <v>10</v>
      </c>
      <c r="CQ43" t="n">
        <v>0</v>
      </c>
      <c r="CR43" t="n">
        <v>0</v>
      </c>
      <c r="CS43" t="n">
        <v>0</v>
      </c>
      <c r="CT43" t="n">
        <v>54</v>
      </c>
      <c r="CU43" t="n">
        <v>0</v>
      </c>
      <c r="CV43" t="n">
        <v>0</v>
      </c>
      <c r="CW43" t="n">
        <v>1</v>
      </c>
      <c r="CX43" t="n">
        <v>0</v>
      </c>
      <c r="CY43" t="n">
        <v>18</v>
      </c>
      <c r="CZ43" t="n">
        <v>0</v>
      </c>
      <c r="DA43" t="n">
        <v>0</v>
      </c>
      <c r="DB43" t="n">
        <v>0</v>
      </c>
      <c r="DC43" t="n">
        <v>19</v>
      </c>
      <c r="DD43" t="n">
        <v>0</v>
      </c>
      <c r="DE43" t="n">
        <v>0</v>
      </c>
      <c r="DF43" t="n">
        <v>138</v>
      </c>
      <c r="DG43" t="n">
        <v>29</v>
      </c>
      <c r="DH43" t="n">
        <v>0</v>
      </c>
      <c r="DI43" t="n">
        <v>0</v>
      </c>
      <c r="DJ43" t="n">
        <v>0</v>
      </c>
      <c r="DK43" t="n">
        <v>0</v>
      </c>
      <c r="DL43" t="n">
        <v>0</v>
      </c>
      <c r="DM43" t="n">
        <v>0</v>
      </c>
      <c r="DN43" t="n">
        <v>0</v>
      </c>
      <c r="DO43" t="n">
        <v>0</v>
      </c>
      <c r="DP43" t="n">
        <v>0</v>
      </c>
      <c r="DQ43" t="n">
        <v>0</v>
      </c>
      <c r="DR43" t="n">
        <v>0</v>
      </c>
      <c r="DS43" t="n">
        <v>167</v>
      </c>
      <c r="DT43" t="n">
        <v>240</v>
      </c>
      <c r="DU43" t="n">
        <v>60</v>
      </c>
      <c r="DV43" t="n">
        <v>0</v>
      </c>
      <c r="DW43" t="n">
        <v>0</v>
      </c>
      <c r="DX43" t="n">
        <v>0</v>
      </c>
      <c r="DY43" t="n">
        <v>251</v>
      </c>
      <c r="DZ43" t="n">
        <v>431</v>
      </c>
      <c r="EA43" t="n">
        <v>1257</v>
      </c>
      <c r="EB43" t="n">
        <v>1149</v>
      </c>
      <c r="EC43" t="n">
        <v>503</v>
      </c>
      <c r="ED43" t="n">
        <v>539</v>
      </c>
      <c r="EE43" t="n">
        <v>3052</v>
      </c>
      <c r="EF43" t="n">
        <v>0</v>
      </c>
      <c r="EG43" t="n">
        <v>0.32</v>
      </c>
      <c r="EH43" t="n">
        <v>0.6</v>
      </c>
      <c r="EI43" t="n">
        <v>3.1</v>
      </c>
      <c r="EJ43" t="n">
        <v>0.3</v>
      </c>
      <c r="EK43" t="n">
        <v>0.9</v>
      </c>
    </row>
    <row r="44">
      <c r="A44">
        <f>[1]ingredient!B42</f>
        <v/>
      </c>
      <c r="B44" t="inlineStr">
        <is>
          <t>https://www.naehrwertrechner.de/naehrwerte/C331000/Hirse+ganzes+Korn+roh/?menge=100</t>
        </is>
      </c>
      <c r="C44" s="7">
        <f>_xlfn.XLOOKUP(A44,[1]ingredient!$B$2:$B$521,[1]ingredient!$A$2:$A$521)</f>
        <v/>
      </c>
      <c r="D44" t="n">
        <v>331</v>
      </c>
      <c r="E44" t="n">
        <v>4</v>
      </c>
      <c r="F44" t="n">
        <v>10</v>
      </c>
      <c r="G44" t="n">
        <v>64</v>
      </c>
      <c r="H44" t="n">
        <v>13</v>
      </c>
      <c r="I44" t="n">
        <v>1</v>
      </c>
      <c r="J44" t="n">
        <v>0.05</v>
      </c>
      <c r="K44" t="n">
        <v>7</v>
      </c>
      <c r="L44" t="n">
        <v>0</v>
      </c>
      <c r="M44" t="n">
        <v>0</v>
      </c>
      <c r="N44" t="n">
        <v>0</v>
      </c>
      <c r="O44" t="n">
        <v>0</v>
      </c>
      <c r="P44" t="n">
        <v>260</v>
      </c>
      <c r="Q44" t="n">
        <v>140</v>
      </c>
      <c r="R44" t="n">
        <v>1800</v>
      </c>
      <c r="S44" t="n">
        <v>4250</v>
      </c>
      <c r="T44" t="n">
        <v>1200</v>
      </c>
      <c r="U44" t="n">
        <v>750</v>
      </c>
      <c r="V44" t="n">
        <v>1</v>
      </c>
      <c r="W44" t="n">
        <v>32</v>
      </c>
      <c r="X44" t="n">
        <v>0</v>
      </c>
      <c r="Y44" t="n">
        <v>0</v>
      </c>
      <c r="Z44" t="n">
        <v>0</v>
      </c>
      <c r="AA44" t="n">
        <v>50</v>
      </c>
      <c r="AB44" t="n">
        <v>1</v>
      </c>
      <c r="AC44" t="n">
        <v>3</v>
      </c>
      <c r="AD44" t="n">
        <v>430</v>
      </c>
      <c r="AE44" t="n">
        <v>20</v>
      </c>
      <c r="AF44" t="n">
        <v>170</v>
      </c>
      <c r="AG44" t="n">
        <v>310</v>
      </c>
      <c r="AH44" t="n">
        <v>140</v>
      </c>
      <c r="AI44" t="n">
        <v>50</v>
      </c>
      <c r="AJ44" t="n">
        <v>9000</v>
      </c>
      <c r="AK44" t="n">
        <v>2240</v>
      </c>
      <c r="AL44" t="n">
        <v>490</v>
      </c>
      <c r="AM44" t="n">
        <v>710</v>
      </c>
      <c r="AN44" t="n">
        <v>40</v>
      </c>
      <c r="AO44" t="n">
        <v>5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1280</v>
      </c>
      <c r="AY44" t="n">
        <v>0</v>
      </c>
      <c r="AZ44" t="n">
        <v>0</v>
      </c>
      <c r="BA44" t="n">
        <v>1280</v>
      </c>
      <c r="BB44" t="n">
        <v>640</v>
      </c>
      <c r="BC44" t="n">
        <v>330</v>
      </c>
      <c r="BD44" t="n">
        <v>0</v>
      </c>
      <c r="BE44" t="n">
        <v>62080</v>
      </c>
      <c r="BF44" t="n">
        <v>62080</v>
      </c>
      <c r="BG44">
        <f>IF($F44=0,"0",MIN(
BH44/(30*$F44),
BI44/(61*$F44),
BJ44/(48*$F44),
(BK44+BL44)/(23*$F44),
(BM44+BN44)/(41*$F44),
BO44/(25*$F44),
BP44/(6.6*$F44),
BQ44/(40*$F44),
BS44/(16*$F44)
)*100)</f>
        <v/>
      </c>
      <c r="BH44" t="n">
        <v>460</v>
      </c>
      <c r="BI44" t="n">
        <v>1146</v>
      </c>
      <c r="BJ44" t="n">
        <v>226</v>
      </c>
      <c r="BK44" t="n">
        <v>206</v>
      </c>
      <c r="BL44" t="n">
        <v>128</v>
      </c>
      <c r="BM44" t="n">
        <v>382</v>
      </c>
      <c r="BN44" t="n">
        <v>226</v>
      </c>
      <c r="BO44" t="n">
        <v>343</v>
      </c>
      <c r="BP44" t="n">
        <v>147</v>
      </c>
      <c r="BQ44" t="n">
        <v>509</v>
      </c>
      <c r="BR44" t="n">
        <v>304</v>
      </c>
      <c r="BS44" t="n">
        <v>166</v>
      </c>
      <c r="BT44" t="n">
        <v>4243</v>
      </c>
      <c r="BU44" t="n">
        <v>1116</v>
      </c>
      <c r="BV44" t="n">
        <v>529</v>
      </c>
      <c r="BW44" t="n">
        <v>1910</v>
      </c>
      <c r="BX44" t="n">
        <v>255</v>
      </c>
      <c r="BY44" t="n">
        <v>911</v>
      </c>
      <c r="BZ44" t="n">
        <v>637</v>
      </c>
      <c r="CA44" t="n">
        <v>5358</v>
      </c>
      <c r="CB44" t="n">
        <v>66</v>
      </c>
      <c r="CC44" t="n">
        <v>28</v>
      </c>
      <c r="CD44" t="n">
        <v>105</v>
      </c>
      <c r="CE44" t="n">
        <v>1434</v>
      </c>
      <c r="CF44" t="n">
        <v>13.66</v>
      </c>
      <c r="CG44" t="n">
        <v>0</v>
      </c>
      <c r="CH44" t="n">
        <v>0</v>
      </c>
      <c r="CI44" t="n">
        <v>0</v>
      </c>
      <c r="CJ44" t="n">
        <v>0</v>
      </c>
      <c r="CK44" t="n">
        <v>0</v>
      </c>
      <c r="CL44" t="n">
        <v>9</v>
      </c>
      <c r="CM44" t="n">
        <v>0</v>
      </c>
      <c r="CN44" t="n">
        <v>607</v>
      </c>
      <c r="CO44" t="n">
        <v>0</v>
      </c>
      <c r="CP44" t="n">
        <v>155</v>
      </c>
      <c r="CQ44" t="n">
        <v>31</v>
      </c>
      <c r="CR44" t="n">
        <v>0</v>
      </c>
      <c r="CS44" t="n">
        <v>0</v>
      </c>
      <c r="CT44" t="n">
        <v>802</v>
      </c>
      <c r="CU44" t="n">
        <v>0</v>
      </c>
      <c r="CV44" t="n">
        <v>0</v>
      </c>
      <c r="CW44" t="n">
        <v>15</v>
      </c>
      <c r="CX44" t="n">
        <v>0</v>
      </c>
      <c r="CY44" t="n">
        <v>740</v>
      </c>
      <c r="CZ44" t="n">
        <v>0</v>
      </c>
      <c r="DA44" t="n">
        <v>0</v>
      </c>
      <c r="DB44" t="n">
        <v>0</v>
      </c>
      <c r="DC44" t="n">
        <v>755</v>
      </c>
      <c r="DD44" t="n">
        <v>0</v>
      </c>
      <c r="DE44" t="n">
        <v>0</v>
      </c>
      <c r="DF44" t="n">
        <v>1434</v>
      </c>
      <c r="DG44" t="n">
        <v>105</v>
      </c>
      <c r="DH44" t="n">
        <v>0</v>
      </c>
      <c r="DI44" t="n">
        <v>0</v>
      </c>
      <c r="DJ44" t="n">
        <v>0</v>
      </c>
      <c r="DK44" t="n">
        <v>0</v>
      </c>
      <c r="DL44" t="n">
        <v>0</v>
      </c>
      <c r="DM44" t="n">
        <v>0</v>
      </c>
      <c r="DN44" t="n">
        <v>0</v>
      </c>
      <c r="DO44" t="n">
        <v>0</v>
      </c>
      <c r="DP44" t="n">
        <v>0</v>
      </c>
      <c r="DQ44" t="n">
        <v>0</v>
      </c>
      <c r="DR44" t="n">
        <v>0</v>
      </c>
      <c r="DS44" t="n">
        <v>1539</v>
      </c>
      <c r="DT44" t="n">
        <v>3096</v>
      </c>
      <c r="DU44" t="n">
        <v>504</v>
      </c>
      <c r="DV44" t="n">
        <v>0</v>
      </c>
      <c r="DW44" t="n">
        <v>0</v>
      </c>
      <c r="DX44" t="n">
        <v>0</v>
      </c>
      <c r="DY44" t="n">
        <v>1430</v>
      </c>
      <c r="DZ44" t="n">
        <v>6760</v>
      </c>
      <c r="EA44" t="n">
        <v>2080</v>
      </c>
      <c r="EB44" t="n">
        <v>1690</v>
      </c>
      <c r="EC44" t="n">
        <v>1040</v>
      </c>
      <c r="ED44" t="n">
        <v>4810</v>
      </c>
      <c r="EE44" t="n">
        <v>8190</v>
      </c>
      <c r="EF44" t="n">
        <v>0</v>
      </c>
      <c r="EG44" t="n">
        <v>0</v>
      </c>
      <c r="EH44" t="n">
        <v>2</v>
      </c>
      <c r="EI44" t="n">
        <v>8.199999999999999</v>
      </c>
      <c r="EJ44" t="n">
        <v>3.6</v>
      </c>
      <c r="EK44" t="n">
        <v>9.800000000000001</v>
      </c>
    </row>
    <row r="45">
      <c r="A45">
        <f>[1]ingredient!B43</f>
        <v/>
      </c>
      <c r="B45" t="inlineStr">
        <is>
          <t>https://www.naehrwertrechner.de/naehrwerte/G710211/Bohnen+gr%C3%BCn+tiefgefroren/?menge=100</t>
        </is>
      </c>
      <c r="C45" s="7">
        <f>_xlfn.XLOOKUP(A45,[1]ingredient!$B$2:$B$521,[1]ingredient!$A$2:$A$521)</f>
        <v/>
      </c>
      <c r="D45" t="n">
        <v>27</v>
      </c>
      <c r="E45" t="n">
        <v>0.26</v>
      </c>
      <c r="F45" t="n">
        <v>3</v>
      </c>
      <c r="G45" t="n">
        <v>3</v>
      </c>
      <c r="H45" t="n">
        <v>3</v>
      </c>
      <c r="I45" t="n">
        <v>1</v>
      </c>
      <c r="J45" t="n">
        <v>0.02</v>
      </c>
      <c r="K45" t="n">
        <v>88</v>
      </c>
      <c r="L45" t="n">
        <v>59</v>
      </c>
      <c r="M45" t="n">
        <v>27</v>
      </c>
      <c r="N45" t="n">
        <v>0</v>
      </c>
      <c r="O45" t="n">
        <v>324</v>
      </c>
      <c r="P45" t="n">
        <v>76</v>
      </c>
      <c r="Q45" t="n">
        <v>119</v>
      </c>
      <c r="R45" t="n">
        <v>564</v>
      </c>
      <c r="S45" t="n">
        <v>1097</v>
      </c>
      <c r="T45" t="n">
        <v>522</v>
      </c>
      <c r="U45" t="n">
        <v>262</v>
      </c>
      <c r="V45" t="n">
        <v>8</v>
      </c>
      <c r="W45" t="n">
        <v>34</v>
      </c>
      <c r="X45" t="n">
        <v>0</v>
      </c>
      <c r="Y45" t="n">
        <v>14295</v>
      </c>
      <c r="Z45" t="n">
        <v>0</v>
      </c>
      <c r="AA45" t="n">
        <v>145</v>
      </c>
      <c r="AB45" t="n">
        <v>24</v>
      </c>
      <c r="AC45" t="n">
        <v>2</v>
      </c>
      <c r="AD45" t="n">
        <v>245</v>
      </c>
      <c r="AE45" t="n">
        <v>56</v>
      </c>
      <c r="AF45" t="n">
        <v>25</v>
      </c>
      <c r="AG45" t="n">
        <v>37</v>
      </c>
      <c r="AH45" t="n">
        <v>16</v>
      </c>
      <c r="AI45" t="n">
        <v>19</v>
      </c>
      <c r="AJ45" t="n">
        <v>821</v>
      </c>
      <c r="AK45" t="n">
        <v>332</v>
      </c>
      <c r="AL45" t="n">
        <v>84</v>
      </c>
      <c r="AM45" t="n">
        <v>376</v>
      </c>
      <c r="AN45" t="n">
        <v>12</v>
      </c>
      <c r="AO45" t="n">
        <v>3</v>
      </c>
      <c r="AP45" t="n">
        <v>0</v>
      </c>
      <c r="AQ45" t="n">
        <v>0</v>
      </c>
      <c r="AR45" t="n">
        <v>0</v>
      </c>
      <c r="AS45" t="n">
        <v>0</v>
      </c>
      <c r="AT45" t="n">
        <v>451</v>
      </c>
      <c r="AU45" t="n">
        <v>585</v>
      </c>
      <c r="AV45" t="n">
        <v>0</v>
      </c>
      <c r="AW45" t="n">
        <v>1036</v>
      </c>
      <c r="AX45" t="n">
        <v>201</v>
      </c>
      <c r="AY45" t="n">
        <v>0</v>
      </c>
      <c r="AZ45" t="n">
        <v>0</v>
      </c>
      <c r="BA45" t="n">
        <v>201</v>
      </c>
      <c r="BB45" t="n">
        <v>669</v>
      </c>
      <c r="BC45" t="n">
        <v>1759</v>
      </c>
      <c r="BD45" t="n">
        <v>0</v>
      </c>
      <c r="BE45" t="n">
        <v>1337</v>
      </c>
      <c r="BF45" t="n">
        <v>1337</v>
      </c>
      <c r="BG45">
        <f>IF($F45=0,"0",MIN(
BH45/(30*$F45),
BI45/(61*$F45),
BJ45/(48*$F45),
(BK45+BL45)/(23*$F45),
(BM45+BN45)/(41*$F45),
BO45/(25*$F45),
BP45/(6.6*$F45),
BQ45/(40*$F45),
BS45/(16*$F45)
)*100)</f>
        <v/>
      </c>
      <c r="BH45" t="n">
        <v>106</v>
      </c>
      <c r="BI45" t="n">
        <v>164</v>
      </c>
      <c r="BJ45" t="n">
        <v>150</v>
      </c>
      <c r="BK45" t="n">
        <v>34</v>
      </c>
      <c r="BL45" t="n">
        <v>26</v>
      </c>
      <c r="BM45" t="n">
        <v>100</v>
      </c>
      <c r="BN45" t="n">
        <v>74</v>
      </c>
      <c r="BO45" t="n">
        <v>100</v>
      </c>
      <c r="BP45" t="n">
        <v>32</v>
      </c>
      <c r="BQ45" t="n">
        <v>140</v>
      </c>
      <c r="BR45" t="n">
        <v>110</v>
      </c>
      <c r="BS45" t="n">
        <v>58</v>
      </c>
      <c r="BT45" t="n">
        <v>1094</v>
      </c>
      <c r="BU45" t="n">
        <v>115</v>
      </c>
      <c r="BV45" t="n">
        <v>316</v>
      </c>
      <c r="BW45" t="n">
        <v>282</v>
      </c>
      <c r="BX45" t="n">
        <v>100</v>
      </c>
      <c r="BY45" t="n">
        <v>106</v>
      </c>
      <c r="BZ45" t="n">
        <v>142</v>
      </c>
      <c r="CA45" t="n">
        <v>1061</v>
      </c>
      <c r="CB45" t="n">
        <v>46</v>
      </c>
      <c r="CC45" t="n">
        <v>19</v>
      </c>
      <c r="CD45" t="n">
        <v>86</v>
      </c>
      <c r="CE45" t="n">
        <v>60</v>
      </c>
      <c r="CF45" t="n">
        <v>0.7</v>
      </c>
      <c r="CG45" t="n">
        <v>0</v>
      </c>
      <c r="CH45" t="n">
        <v>0</v>
      </c>
      <c r="CI45" t="n">
        <v>0</v>
      </c>
      <c r="CJ45" t="n">
        <v>0</v>
      </c>
      <c r="CK45" t="n">
        <v>0</v>
      </c>
      <c r="CL45" t="n">
        <v>0</v>
      </c>
      <c r="CM45" t="n">
        <v>0</v>
      </c>
      <c r="CN45" t="n">
        <v>47</v>
      </c>
      <c r="CO45" t="n">
        <v>0</v>
      </c>
      <c r="CP45" t="n">
        <v>9</v>
      </c>
      <c r="CQ45" t="n">
        <v>0</v>
      </c>
      <c r="CR45" t="n">
        <v>0</v>
      </c>
      <c r="CS45" t="n">
        <v>0</v>
      </c>
      <c r="CT45" t="n">
        <v>56</v>
      </c>
      <c r="CU45" t="n">
        <v>0</v>
      </c>
      <c r="CV45" t="n">
        <v>0</v>
      </c>
      <c r="CW45" t="n">
        <v>1</v>
      </c>
      <c r="CX45" t="n">
        <v>0</v>
      </c>
      <c r="CY45" t="n">
        <v>8</v>
      </c>
      <c r="CZ45" t="n">
        <v>0</v>
      </c>
      <c r="DA45" t="n">
        <v>0</v>
      </c>
      <c r="DB45" t="n">
        <v>0</v>
      </c>
      <c r="DC45" t="n">
        <v>9</v>
      </c>
      <c r="DD45" t="n">
        <v>0</v>
      </c>
      <c r="DE45" t="n">
        <v>0</v>
      </c>
      <c r="DF45" t="n">
        <v>60</v>
      </c>
      <c r="DG45" t="n">
        <v>86</v>
      </c>
      <c r="DH45" t="n">
        <v>0</v>
      </c>
      <c r="DI45" t="n">
        <v>0</v>
      </c>
      <c r="DJ45" t="n">
        <v>0</v>
      </c>
      <c r="DK45" t="n">
        <v>0</v>
      </c>
      <c r="DL45" t="n">
        <v>0</v>
      </c>
      <c r="DM45" t="n">
        <v>0</v>
      </c>
      <c r="DN45" t="n">
        <v>0</v>
      </c>
      <c r="DO45" t="n">
        <v>0</v>
      </c>
      <c r="DP45" t="n">
        <v>0</v>
      </c>
      <c r="DQ45" t="n">
        <v>0</v>
      </c>
      <c r="DR45" t="n">
        <v>0</v>
      </c>
      <c r="DS45" t="n">
        <v>146</v>
      </c>
      <c r="DT45" t="n">
        <v>211</v>
      </c>
      <c r="DU45" t="n">
        <v>53</v>
      </c>
      <c r="DV45" t="n">
        <v>0</v>
      </c>
      <c r="DW45" t="n">
        <v>0</v>
      </c>
      <c r="DX45" t="n">
        <v>0</v>
      </c>
      <c r="DY45" t="n">
        <v>429</v>
      </c>
      <c r="DZ45" t="n">
        <v>1155</v>
      </c>
      <c r="EA45" t="n">
        <v>429</v>
      </c>
      <c r="EB45" t="n">
        <v>1220</v>
      </c>
      <c r="EC45" t="n">
        <v>66</v>
      </c>
      <c r="ED45" t="n">
        <v>1649</v>
      </c>
      <c r="EE45" t="n">
        <v>1649</v>
      </c>
      <c r="EF45" t="n">
        <v>0</v>
      </c>
      <c r="EG45" t="n">
        <v>0.22</v>
      </c>
      <c r="EH45" t="n">
        <v>0.8</v>
      </c>
      <c r="EI45" t="n">
        <v>1.6</v>
      </c>
      <c r="EJ45" t="n">
        <v>0.3</v>
      </c>
      <c r="EK45" t="n">
        <v>2.3</v>
      </c>
    </row>
    <row r="46">
      <c r="A46">
        <f>[1]ingredient!B44</f>
        <v/>
      </c>
      <c r="B46" t="inlineStr">
        <is>
          <t>https://www.naehrwertrechner.de/naehrwerte/G312111/Broccoli+frisch/?menge=100</t>
        </is>
      </c>
      <c r="C46" s="7">
        <f>_xlfn.XLOOKUP(A46,[1]ingredient!$B$2:$B$521,[1]ingredient!$A$2:$A$521)</f>
        <v/>
      </c>
      <c r="D46" t="n">
        <v>28</v>
      </c>
      <c r="E46" t="n">
        <v>0.2</v>
      </c>
      <c r="F46" t="n">
        <v>4</v>
      </c>
      <c r="G46" t="n">
        <v>3</v>
      </c>
      <c r="H46" t="n">
        <v>3</v>
      </c>
      <c r="I46" t="n">
        <v>3</v>
      </c>
      <c r="J46" t="n">
        <v>0.1</v>
      </c>
      <c r="K46" t="n">
        <v>89</v>
      </c>
      <c r="L46" t="n">
        <v>142</v>
      </c>
      <c r="M46" t="n">
        <v>71</v>
      </c>
      <c r="N46" t="n">
        <v>0</v>
      </c>
      <c r="O46" t="n">
        <v>850</v>
      </c>
      <c r="P46" t="n">
        <v>102</v>
      </c>
      <c r="Q46" t="n">
        <v>178</v>
      </c>
      <c r="R46" t="n">
        <v>1000</v>
      </c>
      <c r="S46" t="n">
        <v>1617</v>
      </c>
      <c r="T46" t="n">
        <v>1290</v>
      </c>
      <c r="U46" t="n">
        <v>280</v>
      </c>
      <c r="V46" t="n">
        <v>1</v>
      </c>
      <c r="W46" t="n">
        <v>39</v>
      </c>
      <c r="X46" t="n">
        <v>0</v>
      </c>
      <c r="Y46" t="n">
        <v>94000</v>
      </c>
      <c r="Z46" t="n">
        <v>0</v>
      </c>
      <c r="AA46" t="n">
        <v>607</v>
      </c>
      <c r="AB46" t="n">
        <v>179</v>
      </c>
      <c r="AC46" t="n">
        <v>23</v>
      </c>
      <c r="AD46" t="n">
        <v>256</v>
      </c>
      <c r="AE46" t="n">
        <v>58</v>
      </c>
      <c r="AF46" t="n">
        <v>18</v>
      </c>
      <c r="AG46" t="n">
        <v>63</v>
      </c>
      <c r="AH46" t="n">
        <v>130</v>
      </c>
      <c r="AI46" t="n">
        <v>78</v>
      </c>
      <c r="AJ46" t="n">
        <v>823</v>
      </c>
      <c r="AK46" t="n">
        <v>464</v>
      </c>
      <c r="AL46" t="n">
        <v>56</v>
      </c>
      <c r="AM46" t="n">
        <v>469</v>
      </c>
      <c r="AN46" t="n">
        <v>10</v>
      </c>
      <c r="AO46" t="n">
        <v>15</v>
      </c>
      <c r="AP46" t="n">
        <v>0</v>
      </c>
      <c r="AQ46" t="n">
        <v>400</v>
      </c>
      <c r="AR46" t="n">
        <v>0</v>
      </c>
      <c r="AS46" t="n">
        <v>400</v>
      </c>
      <c r="AT46" t="n">
        <v>1070</v>
      </c>
      <c r="AU46" t="n">
        <v>1101</v>
      </c>
      <c r="AV46" t="n">
        <v>0</v>
      </c>
      <c r="AW46" t="n">
        <v>2171</v>
      </c>
      <c r="AX46" t="n">
        <v>491</v>
      </c>
      <c r="AY46" t="n">
        <v>0</v>
      </c>
      <c r="AZ46" t="n">
        <v>0</v>
      </c>
      <c r="BA46" t="n">
        <v>491</v>
      </c>
      <c r="BB46" t="n">
        <v>0</v>
      </c>
      <c r="BC46" t="n">
        <v>0</v>
      </c>
      <c r="BD46" t="n">
        <v>0</v>
      </c>
      <c r="BE46" t="n">
        <v>133</v>
      </c>
      <c r="BF46" t="n">
        <v>133</v>
      </c>
      <c r="BG46">
        <f>IF($F46=0,"0",MIN(
BH46/(30*$F46),
BI46/(61*$F46),
BJ46/(48*$F46),
(BK46+BL46)/(23*$F46),
(BM46+BN46)/(41*$F46),
BO46/(25*$F46),
BP46/(6.6*$F46),
BQ46/(40*$F46),
BS46/(16*$F46)
)*100)</f>
        <v/>
      </c>
      <c r="BH46" t="n">
        <v>130</v>
      </c>
      <c r="BI46" t="n">
        <v>160</v>
      </c>
      <c r="BJ46" t="n">
        <v>150</v>
      </c>
      <c r="BK46" t="n">
        <v>50</v>
      </c>
      <c r="BL46" t="n">
        <v>53</v>
      </c>
      <c r="BM46" t="n">
        <v>120</v>
      </c>
      <c r="BN46" t="n">
        <v>110</v>
      </c>
      <c r="BO46" t="n">
        <v>120</v>
      </c>
      <c r="BP46" t="n">
        <v>37</v>
      </c>
      <c r="BQ46" t="n">
        <v>170</v>
      </c>
      <c r="BR46" t="n">
        <v>190</v>
      </c>
      <c r="BS46" t="n">
        <v>63</v>
      </c>
      <c r="BT46" t="n">
        <v>1353</v>
      </c>
      <c r="BU46" t="n">
        <v>204</v>
      </c>
      <c r="BV46" t="n">
        <v>373</v>
      </c>
      <c r="BW46" t="n">
        <v>667</v>
      </c>
      <c r="BX46" t="n">
        <v>163</v>
      </c>
      <c r="BY46" t="n">
        <v>200</v>
      </c>
      <c r="BZ46" t="n">
        <v>174</v>
      </c>
      <c r="CA46" t="n">
        <v>1781</v>
      </c>
      <c r="CB46" t="n">
        <v>81</v>
      </c>
      <c r="CC46" t="n">
        <v>27</v>
      </c>
      <c r="CD46" t="n">
        <v>88</v>
      </c>
      <c r="CE46" t="n">
        <v>20</v>
      </c>
      <c r="CF46" t="n">
        <v>0.23</v>
      </c>
      <c r="CG46" t="n">
        <v>0</v>
      </c>
      <c r="CH46" t="n">
        <v>0</v>
      </c>
      <c r="CI46" t="n">
        <v>0</v>
      </c>
      <c r="CJ46" t="n">
        <v>0</v>
      </c>
      <c r="CK46" t="n">
        <v>0</v>
      </c>
      <c r="CL46" t="n">
        <v>0</v>
      </c>
      <c r="CM46" t="n">
        <v>0</v>
      </c>
      <c r="CN46" t="n">
        <v>33</v>
      </c>
      <c r="CO46" t="n">
        <v>0</v>
      </c>
      <c r="CP46" t="n">
        <v>4</v>
      </c>
      <c r="CQ46" t="n">
        <v>0</v>
      </c>
      <c r="CR46" t="n">
        <v>0</v>
      </c>
      <c r="CS46" t="n">
        <v>0</v>
      </c>
      <c r="CT46" t="n">
        <v>37</v>
      </c>
      <c r="CU46" t="n">
        <v>0</v>
      </c>
      <c r="CV46" t="n">
        <v>0</v>
      </c>
      <c r="CW46" t="n">
        <v>0</v>
      </c>
      <c r="CX46" t="n">
        <v>0</v>
      </c>
      <c r="CY46" t="n">
        <v>15</v>
      </c>
      <c r="CZ46" t="n">
        <v>0</v>
      </c>
      <c r="DA46" t="n">
        <v>0</v>
      </c>
      <c r="DB46" t="n">
        <v>0</v>
      </c>
      <c r="DC46" t="n">
        <v>15</v>
      </c>
      <c r="DD46" t="n">
        <v>0</v>
      </c>
      <c r="DE46" t="n">
        <v>0</v>
      </c>
      <c r="DF46" t="n">
        <v>20</v>
      </c>
      <c r="DG46" t="n">
        <v>88</v>
      </c>
      <c r="DH46" t="n">
        <v>0</v>
      </c>
      <c r="DI46" t="n">
        <v>0</v>
      </c>
      <c r="DJ46" t="n">
        <v>0</v>
      </c>
      <c r="DK46" t="n">
        <v>0</v>
      </c>
      <c r="DL46" t="n">
        <v>0</v>
      </c>
      <c r="DM46" t="n">
        <v>0</v>
      </c>
      <c r="DN46" t="n">
        <v>0</v>
      </c>
      <c r="DO46" t="n">
        <v>0</v>
      </c>
      <c r="DP46" t="n">
        <v>0</v>
      </c>
      <c r="DQ46" t="n">
        <v>0</v>
      </c>
      <c r="DR46" t="n">
        <v>0</v>
      </c>
      <c r="DS46" t="n">
        <v>108</v>
      </c>
      <c r="DT46" t="n">
        <v>160</v>
      </c>
      <c r="DU46" t="n">
        <v>40</v>
      </c>
      <c r="DV46" t="n">
        <v>0</v>
      </c>
      <c r="DW46" t="n">
        <v>0</v>
      </c>
      <c r="DX46" t="n">
        <v>0</v>
      </c>
      <c r="DY46" t="n">
        <v>600</v>
      </c>
      <c r="DZ46" t="n">
        <v>450</v>
      </c>
      <c r="EA46" t="n">
        <v>600</v>
      </c>
      <c r="EB46" t="n">
        <v>400</v>
      </c>
      <c r="EC46" t="n">
        <v>30</v>
      </c>
      <c r="ED46" t="n">
        <v>1300</v>
      </c>
      <c r="EE46" t="n">
        <v>1700</v>
      </c>
      <c r="EF46" t="n">
        <v>0</v>
      </c>
      <c r="EG46" t="n">
        <v>0.33</v>
      </c>
      <c r="EH46" t="n">
        <v>1.1</v>
      </c>
      <c r="EI46" t="n">
        <v>1.7</v>
      </c>
      <c r="EJ46" t="n">
        <v>0.2</v>
      </c>
      <c r="EK46" t="n">
        <v>3.4</v>
      </c>
    </row>
    <row r="47">
      <c r="A47">
        <f>[1]ingredient!B46</f>
        <v/>
      </c>
      <c r="B47" s="11" t="inlineStr">
        <is>
          <t>https://www.naehrwertrechner.de/naehrwerte/G311200/Blumenkohl+tiefgefroren/?menge=100</t>
        </is>
      </c>
      <c r="C47" s="7">
        <f>_xlfn.XLOOKUP(A47,[1]ingredient!$B$2:$B$521,[1]ingredient!$A$2:$A$521)</f>
        <v/>
      </c>
      <c r="D47" t="n">
        <v>42</v>
      </c>
      <c r="E47" t="n">
        <v>0.4</v>
      </c>
      <c r="F47" t="n">
        <v>3.7</v>
      </c>
      <c r="G47" t="n">
        <v>5</v>
      </c>
      <c r="H47" t="n">
        <v>2.9</v>
      </c>
      <c r="I47" t="n">
        <v>0</v>
      </c>
      <c r="J47" t="n">
        <v>0</v>
      </c>
      <c r="K47" t="n">
        <v>90</v>
      </c>
      <c r="L47" s="15" t="n">
        <v>2</v>
      </c>
      <c r="M47" s="15" t="n">
        <v>1</v>
      </c>
      <c r="N47" s="15" t="n">
        <v>0</v>
      </c>
      <c r="O47" s="15" t="n">
        <v>11</v>
      </c>
      <c r="P47" t="n">
        <v>100</v>
      </c>
      <c r="Q47" s="15" t="n">
        <v>91</v>
      </c>
      <c r="R47" t="n">
        <v>2340</v>
      </c>
      <c r="S47" s="15" t="n">
        <v>1262</v>
      </c>
      <c r="T47" s="15" t="n">
        <v>1057</v>
      </c>
      <c r="U47" t="n">
        <v>118</v>
      </c>
      <c r="V47" s="15" t="n">
        <v>2</v>
      </c>
      <c r="W47" s="15" t="n">
        <v>40</v>
      </c>
      <c r="X47" s="15" t="n">
        <v>0</v>
      </c>
      <c r="Y47" t="n">
        <v>89000</v>
      </c>
      <c r="Z47" s="15" t="n">
        <v>0</v>
      </c>
      <c r="AA47" s="15" t="n">
        <v>77</v>
      </c>
      <c r="AB47" s="15" t="n">
        <v>34</v>
      </c>
      <c r="AC47" t="n">
        <v>7500</v>
      </c>
      <c r="AD47" t="n">
        <v>47</v>
      </c>
      <c r="AE47" t="n">
        <v>67700</v>
      </c>
      <c r="AF47" t="n">
        <v>44010</v>
      </c>
      <c r="AG47" t="n">
        <v>102600</v>
      </c>
      <c r="AH47" s="15" t="n">
        <v>55</v>
      </c>
      <c r="AI47" s="15" t="n">
        <v>19</v>
      </c>
      <c r="AJ47" t="n">
        <v>570</v>
      </c>
      <c r="AK47" s="15" t="n">
        <v>284</v>
      </c>
      <c r="AL47" s="15" t="n">
        <v>45</v>
      </c>
      <c r="AM47" s="15" t="n">
        <v>179</v>
      </c>
      <c r="AN47" s="15" t="n">
        <v>9</v>
      </c>
      <c r="AO47" s="15" t="n">
        <v>1</v>
      </c>
      <c r="AP47" s="15" t="n">
        <v>0</v>
      </c>
      <c r="AQ47" s="15" t="n">
        <v>0</v>
      </c>
      <c r="AR47" s="15" t="n">
        <v>27</v>
      </c>
      <c r="AS47" s="15" t="n">
        <v>27</v>
      </c>
      <c r="AT47" s="15" t="n">
        <v>986</v>
      </c>
      <c r="AU47" s="15" t="n">
        <v>925</v>
      </c>
      <c r="AV47" s="15" t="n">
        <v>0</v>
      </c>
      <c r="AW47" s="15" t="n">
        <v>1911</v>
      </c>
      <c r="AX47" s="15" t="n">
        <v>212</v>
      </c>
      <c r="AY47" s="15" t="n">
        <v>0</v>
      </c>
      <c r="AZ47" s="15" t="n">
        <v>0</v>
      </c>
      <c r="BA47" s="15" t="n">
        <v>212</v>
      </c>
      <c r="BB47" s="15" t="n">
        <v>0</v>
      </c>
      <c r="BC47" s="15" t="n">
        <v>0</v>
      </c>
      <c r="BD47" s="15" t="n">
        <v>0</v>
      </c>
      <c r="BE47" s="15" t="n">
        <v>300</v>
      </c>
      <c r="BF47" s="15" t="n">
        <v>300</v>
      </c>
      <c r="BG47">
        <f>IF($F47=0,"0",MIN(
BH47/(30*$F47),
BI47/(61*$F47),
BJ47/(48*$F47),
(BK47+BL47)/(23*$F47),
(BM47+BN47)/(41*$F47),
BO47/(25*$F47),
BP47/(6.6*$F47),
BQ47/(40*$F47),
BS47/(16*$F47)
)*100)</f>
        <v/>
      </c>
      <c r="BH47" s="15" t="n">
        <v>132</v>
      </c>
      <c r="BI47" s="15" t="n">
        <v>204</v>
      </c>
      <c r="BJ47" s="15" t="n">
        <v>168</v>
      </c>
      <c r="BK47" s="15" t="n">
        <v>58</v>
      </c>
      <c r="BL47" s="15" t="n">
        <v>37</v>
      </c>
      <c r="BM47" s="15" t="n">
        <v>93</v>
      </c>
      <c r="BN47" s="15" t="n">
        <v>42</v>
      </c>
      <c r="BO47" s="15" t="n">
        <v>132</v>
      </c>
      <c r="BP47" s="15" t="n">
        <v>40</v>
      </c>
      <c r="BQ47" s="15" t="n">
        <v>180</v>
      </c>
      <c r="BR47" s="15" t="n">
        <v>132</v>
      </c>
      <c r="BS47" s="15" t="n">
        <v>59</v>
      </c>
      <c r="BT47" s="15" t="n">
        <v>1277</v>
      </c>
      <c r="BU47" s="15" t="n">
        <v>177</v>
      </c>
      <c r="BV47" s="15" t="n">
        <v>374</v>
      </c>
      <c r="BW47" s="15" t="n">
        <v>443</v>
      </c>
      <c r="BX47" s="15" t="n">
        <v>119</v>
      </c>
      <c r="BY47" s="15" t="n">
        <v>146</v>
      </c>
      <c r="BZ47" s="15" t="n">
        <v>177</v>
      </c>
      <c r="CA47" s="15" t="n">
        <v>1436</v>
      </c>
      <c r="CB47" s="15" t="n">
        <v>56</v>
      </c>
      <c r="CC47" s="15" t="n">
        <v>23</v>
      </c>
      <c r="CD47" s="15" t="n">
        <v>140</v>
      </c>
      <c r="CE47" s="15" t="n">
        <v>37</v>
      </c>
      <c r="CF47" s="15" t="n">
        <v>0.26</v>
      </c>
      <c r="CG47" s="15" t="n">
        <v>0</v>
      </c>
      <c r="CH47" s="15" t="n">
        <v>0</v>
      </c>
      <c r="CI47" s="15" t="n">
        <v>0</v>
      </c>
      <c r="CJ47" s="15" t="n">
        <v>0</v>
      </c>
      <c r="CK47" s="15" t="n">
        <v>0</v>
      </c>
      <c r="CL47" s="15" t="n">
        <v>1</v>
      </c>
      <c r="CM47" s="15" t="n">
        <v>0</v>
      </c>
      <c r="CN47" s="15" t="n">
        <v>49</v>
      </c>
      <c r="CO47" s="15" t="n">
        <v>0</v>
      </c>
      <c r="CP47" s="15" t="n">
        <v>2</v>
      </c>
      <c r="CQ47" s="15" t="n">
        <v>1</v>
      </c>
      <c r="CR47" s="15" t="n">
        <v>0</v>
      </c>
      <c r="CS47" s="15" t="n">
        <v>0</v>
      </c>
      <c r="CT47" s="15" t="n">
        <v>53</v>
      </c>
      <c r="CU47" s="15" t="n">
        <v>0</v>
      </c>
      <c r="CV47" s="15" t="n">
        <v>0</v>
      </c>
      <c r="CW47" s="15" t="n">
        <v>5</v>
      </c>
      <c r="CX47" s="15" t="n">
        <v>0</v>
      </c>
      <c r="CY47" s="15" t="n">
        <v>2</v>
      </c>
      <c r="CZ47" s="15" t="n">
        <v>1</v>
      </c>
      <c r="DA47" s="15" t="n">
        <v>0</v>
      </c>
      <c r="DB47" s="15" t="n">
        <v>0</v>
      </c>
      <c r="DC47" s="15" t="n">
        <v>8</v>
      </c>
      <c r="DD47" s="15" t="n">
        <v>0</v>
      </c>
      <c r="DE47" s="15" t="n">
        <v>0</v>
      </c>
      <c r="DF47" s="15" t="n">
        <v>37</v>
      </c>
      <c r="DG47" s="15" t="n">
        <v>140</v>
      </c>
      <c r="DH47" s="15" t="n">
        <v>0</v>
      </c>
      <c r="DI47" s="15" t="n">
        <v>0</v>
      </c>
      <c r="DJ47" s="15" t="n">
        <v>0</v>
      </c>
      <c r="DK47" s="15" t="n">
        <v>0</v>
      </c>
      <c r="DL47" s="15" t="n">
        <v>0</v>
      </c>
      <c r="DM47" s="15" t="n">
        <v>0</v>
      </c>
      <c r="DN47" s="15" t="n">
        <v>0</v>
      </c>
      <c r="DO47" s="15" t="n">
        <v>0</v>
      </c>
      <c r="DP47" s="15" t="n">
        <v>0</v>
      </c>
      <c r="DQ47" s="15" t="n">
        <v>0</v>
      </c>
      <c r="DR47" s="15" t="n">
        <v>0</v>
      </c>
      <c r="DS47" s="15" t="n">
        <v>177</v>
      </c>
      <c r="DT47" s="15" t="n">
        <v>238</v>
      </c>
      <c r="DU47" s="15" t="n">
        <v>71</v>
      </c>
      <c r="DV47" s="15" t="n">
        <v>0</v>
      </c>
      <c r="DW47" s="15" t="n">
        <v>0</v>
      </c>
      <c r="DX47" s="15" t="n">
        <v>0</v>
      </c>
      <c r="DY47" s="15" t="n">
        <v>781</v>
      </c>
      <c r="DZ47" s="15" t="n">
        <v>585</v>
      </c>
      <c r="EA47" s="15" t="n">
        <v>781</v>
      </c>
      <c r="EB47" s="15" t="n">
        <v>1037</v>
      </c>
      <c r="EC47" s="15" t="n">
        <v>12</v>
      </c>
      <c r="ED47" s="15" t="n">
        <v>540</v>
      </c>
      <c r="EE47" s="15" t="n">
        <v>2678</v>
      </c>
      <c r="EF47" s="15" t="n">
        <v>0</v>
      </c>
      <c r="EG47" s="15" t="n">
        <v>0.24</v>
      </c>
      <c r="EH47" s="15" t="n">
        <v>0.8</v>
      </c>
      <c r="EI47" s="15" t="n">
        <v>2.7</v>
      </c>
      <c r="EJ47" s="15" t="n">
        <v>0.3</v>
      </c>
      <c r="EK47" s="15" t="n">
        <v>2.9</v>
      </c>
    </row>
    <row r="48">
      <c r="A48">
        <f>[1]ingredient!B47</f>
        <v/>
      </c>
      <c r="B48" t="inlineStr">
        <is>
          <t>https://www.naehrwertrechner.de/naehrwerte/F303111/Brombeere+frisch/?menge=100</t>
        </is>
      </c>
      <c r="C48" s="7">
        <f>_xlfn.XLOOKUP(A48,[1]ingredient!$B$2:$B$521,[1]ingredient!$A$2:$A$521)</f>
        <v/>
      </c>
      <c r="D48" t="n">
        <v>30</v>
      </c>
      <c r="E48" t="n">
        <v>1</v>
      </c>
      <c r="F48" t="n">
        <v>1</v>
      </c>
      <c r="G48" t="n">
        <v>3</v>
      </c>
      <c r="H48" t="n">
        <v>7</v>
      </c>
      <c r="I48" t="n">
        <v>3</v>
      </c>
      <c r="J48" t="n">
        <v>0.02</v>
      </c>
      <c r="K48" t="n">
        <v>86</v>
      </c>
      <c r="L48" t="n">
        <v>45</v>
      </c>
      <c r="M48" t="n">
        <v>23</v>
      </c>
      <c r="N48" t="n">
        <v>0</v>
      </c>
      <c r="O48" t="n">
        <v>270</v>
      </c>
      <c r="P48" t="n">
        <v>30</v>
      </c>
      <c r="Q48" t="n">
        <v>40</v>
      </c>
      <c r="R48" t="n">
        <v>400</v>
      </c>
      <c r="S48" t="n">
        <v>600</v>
      </c>
      <c r="T48" t="n">
        <v>220</v>
      </c>
      <c r="U48" t="n">
        <v>50</v>
      </c>
      <c r="V48" t="n">
        <v>0.4</v>
      </c>
      <c r="W48" t="n">
        <v>34</v>
      </c>
      <c r="X48" t="n">
        <v>0</v>
      </c>
      <c r="Y48" t="n">
        <v>17000</v>
      </c>
      <c r="Z48" t="n">
        <v>0</v>
      </c>
      <c r="AA48" t="n">
        <v>720</v>
      </c>
      <c r="AB48" t="n">
        <v>10</v>
      </c>
      <c r="AC48" t="n">
        <v>3</v>
      </c>
      <c r="AD48" t="n">
        <v>190</v>
      </c>
      <c r="AE48" t="n">
        <v>45</v>
      </c>
      <c r="AF48" t="n">
        <v>30</v>
      </c>
      <c r="AG48" t="n">
        <v>30</v>
      </c>
      <c r="AH48" t="n">
        <v>12</v>
      </c>
      <c r="AI48" t="n">
        <v>20</v>
      </c>
      <c r="AJ48" t="n">
        <v>900</v>
      </c>
      <c r="AK48" t="n">
        <v>190</v>
      </c>
      <c r="AL48" t="n">
        <v>108</v>
      </c>
      <c r="AM48" t="n">
        <v>849</v>
      </c>
      <c r="AN48" t="n">
        <v>24</v>
      </c>
      <c r="AO48" t="n">
        <v>0.4</v>
      </c>
      <c r="AP48" t="n">
        <v>0</v>
      </c>
      <c r="AQ48" t="n">
        <v>0</v>
      </c>
      <c r="AR48" t="n">
        <v>0</v>
      </c>
      <c r="AS48" t="n">
        <v>0</v>
      </c>
      <c r="AT48" t="n">
        <v>1280</v>
      </c>
      <c r="AU48" t="n">
        <v>1347</v>
      </c>
      <c r="AV48" t="n">
        <v>0</v>
      </c>
      <c r="AW48" t="n">
        <v>2627</v>
      </c>
      <c r="AX48" t="n">
        <v>73</v>
      </c>
      <c r="AY48" t="n">
        <v>0</v>
      </c>
      <c r="AZ48" t="n">
        <v>0</v>
      </c>
      <c r="BA48" t="n">
        <v>73</v>
      </c>
      <c r="BB48" t="n">
        <v>0</v>
      </c>
      <c r="BC48" t="n">
        <v>0</v>
      </c>
      <c r="BD48" t="n">
        <v>0</v>
      </c>
      <c r="BE48" t="n">
        <v>0</v>
      </c>
      <c r="BF48" t="n">
        <v>0</v>
      </c>
      <c r="BG48">
        <f>IF($F48=0,"0",MIN(
BH48/(30*$F48),
BI48/(61*$F48),
BJ48/(48*$F48),
(BK48+BL48)/(23*$F48),
(BM48+BN48)/(41*$F48),
BO48/(25*$F48),
BP48/(6.6*$F48),
BQ48/(40*$F48),
BS48/(16*$F48)
)*100)</f>
        <v/>
      </c>
      <c r="BH48" t="n">
        <v>24</v>
      </c>
      <c r="BI48" t="n">
        <v>54</v>
      </c>
      <c r="BJ48" t="n">
        <v>30</v>
      </c>
      <c r="BK48" t="n">
        <v>18</v>
      </c>
      <c r="BL48" t="n">
        <v>12</v>
      </c>
      <c r="BM48" t="n">
        <v>36</v>
      </c>
      <c r="BN48" t="n">
        <v>24</v>
      </c>
      <c r="BO48" t="n">
        <v>36</v>
      </c>
      <c r="BP48" t="n">
        <v>12</v>
      </c>
      <c r="BQ48" t="n">
        <v>42</v>
      </c>
      <c r="BR48" t="n">
        <v>66</v>
      </c>
      <c r="BS48" t="n">
        <v>30</v>
      </c>
      <c r="BT48" t="n">
        <v>384</v>
      </c>
      <c r="BU48" t="n">
        <v>54</v>
      </c>
      <c r="BV48" t="n">
        <v>174</v>
      </c>
      <c r="BW48" t="n">
        <v>192</v>
      </c>
      <c r="BX48" t="n">
        <v>48</v>
      </c>
      <c r="BY48" t="n">
        <v>42</v>
      </c>
      <c r="BZ48" t="n">
        <v>48</v>
      </c>
      <c r="CA48" t="n">
        <v>558</v>
      </c>
      <c r="CB48" t="n">
        <v>15</v>
      </c>
      <c r="CC48" t="n">
        <v>6</v>
      </c>
      <c r="CD48" t="n">
        <v>256</v>
      </c>
      <c r="CE48" t="n">
        <v>360</v>
      </c>
      <c r="CF48" t="n">
        <v>1.41</v>
      </c>
      <c r="CG48" t="n">
        <v>0</v>
      </c>
      <c r="CH48" t="n">
        <v>0</v>
      </c>
      <c r="CI48" t="n">
        <v>0</v>
      </c>
      <c r="CJ48" t="n">
        <v>0</v>
      </c>
      <c r="CK48" t="n">
        <v>0</v>
      </c>
      <c r="CL48" t="n">
        <v>0</v>
      </c>
      <c r="CM48" t="n">
        <v>0</v>
      </c>
      <c r="CN48" t="n">
        <v>44</v>
      </c>
      <c r="CO48" t="n">
        <v>0</v>
      </c>
      <c r="CP48" t="n">
        <v>16</v>
      </c>
      <c r="CQ48" t="n">
        <v>0</v>
      </c>
      <c r="CR48" t="n">
        <v>0</v>
      </c>
      <c r="CS48" t="n">
        <v>0</v>
      </c>
      <c r="CT48" t="n">
        <v>60</v>
      </c>
      <c r="CU48" t="n">
        <v>0</v>
      </c>
      <c r="CV48" t="n">
        <v>0</v>
      </c>
      <c r="CW48" t="n">
        <v>4</v>
      </c>
      <c r="CX48" t="n">
        <v>0</v>
      </c>
      <c r="CY48" t="n">
        <v>120</v>
      </c>
      <c r="CZ48" t="n">
        <v>0</v>
      </c>
      <c r="DA48" t="n">
        <v>0</v>
      </c>
      <c r="DB48" t="n">
        <v>0</v>
      </c>
      <c r="DC48" t="n">
        <v>124</v>
      </c>
      <c r="DD48" t="n">
        <v>0</v>
      </c>
      <c r="DE48" t="n">
        <v>0</v>
      </c>
      <c r="DF48" t="n">
        <v>360</v>
      </c>
      <c r="DG48" t="n">
        <v>256</v>
      </c>
      <c r="DH48" t="n">
        <v>0</v>
      </c>
      <c r="DI48" t="n">
        <v>0</v>
      </c>
      <c r="DJ48" t="n">
        <v>0</v>
      </c>
      <c r="DK48" t="n">
        <v>0</v>
      </c>
      <c r="DL48" t="n">
        <v>0</v>
      </c>
      <c r="DM48" t="n">
        <v>0</v>
      </c>
      <c r="DN48" t="n">
        <v>0</v>
      </c>
      <c r="DO48" t="n">
        <v>0</v>
      </c>
      <c r="DP48" t="n">
        <v>0</v>
      </c>
      <c r="DQ48" t="n">
        <v>0</v>
      </c>
      <c r="DR48" t="n">
        <v>0</v>
      </c>
      <c r="DS48" t="n">
        <v>616</v>
      </c>
      <c r="DT48" t="n">
        <v>800</v>
      </c>
      <c r="DU48" t="n">
        <v>200</v>
      </c>
      <c r="DV48" t="n">
        <v>0</v>
      </c>
      <c r="DW48" t="n">
        <v>0</v>
      </c>
      <c r="DX48" t="n">
        <v>0</v>
      </c>
      <c r="DY48" t="n">
        <v>2244</v>
      </c>
      <c r="DZ48" t="n">
        <v>1624</v>
      </c>
      <c r="EA48" t="n">
        <v>1003</v>
      </c>
      <c r="EB48" t="n">
        <v>1201</v>
      </c>
      <c r="EC48" t="n">
        <v>528</v>
      </c>
      <c r="ED48" t="n">
        <v>2006</v>
      </c>
      <c r="EE48" t="n">
        <v>4594</v>
      </c>
      <c r="EF48" t="n">
        <v>0</v>
      </c>
      <c r="EG48" t="n">
        <v>2</v>
      </c>
      <c r="EH48" t="n">
        <v>0.5</v>
      </c>
      <c r="EI48" t="n">
        <v>4.6</v>
      </c>
      <c r="EJ48" t="n">
        <v>1</v>
      </c>
      <c r="EK48" t="n">
        <v>1</v>
      </c>
    </row>
    <row r="49">
      <c r="A49">
        <f>[1]ingredient!B48</f>
        <v/>
      </c>
      <c r="B49" t="inlineStr">
        <is>
          <t>https://www.naehrwertrechner.de/naehrwerte/G264100/Brunnenkresse+frisch/?menge=100</t>
        </is>
      </c>
      <c r="C49" s="7">
        <f>_xlfn.XLOOKUP(A49,[1]ingredient!$B$2:$B$521,[1]ingredient!$A$2:$A$521)</f>
        <v/>
      </c>
      <c r="D49" t="n">
        <v>19</v>
      </c>
      <c r="E49" t="n">
        <v>0.3</v>
      </c>
      <c r="F49" t="n">
        <v>2</v>
      </c>
      <c r="G49" t="n">
        <v>2</v>
      </c>
      <c r="H49" t="n">
        <v>1</v>
      </c>
      <c r="I49" t="n">
        <v>2</v>
      </c>
      <c r="J49" t="n">
        <v>0.12</v>
      </c>
      <c r="K49" t="n">
        <v>93</v>
      </c>
      <c r="L49" t="n">
        <v>823</v>
      </c>
      <c r="M49" t="n">
        <v>411</v>
      </c>
      <c r="N49" t="n">
        <v>0</v>
      </c>
      <c r="O49" t="n">
        <v>4936</v>
      </c>
      <c r="P49" t="n">
        <v>85</v>
      </c>
      <c r="Q49" t="n">
        <v>170</v>
      </c>
      <c r="R49" t="n">
        <v>650</v>
      </c>
      <c r="S49" t="n">
        <v>1083</v>
      </c>
      <c r="T49" t="n">
        <v>100</v>
      </c>
      <c r="U49" t="n">
        <v>130</v>
      </c>
      <c r="V49" t="n">
        <v>0.4</v>
      </c>
      <c r="W49" t="n">
        <v>40</v>
      </c>
      <c r="X49" t="n">
        <v>0</v>
      </c>
      <c r="Y49" t="n">
        <v>62000</v>
      </c>
      <c r="Z49" t="n">
        <v>0</v>
      </c>
      <c r="AA49" t="n">
        <v>1000</v>
      </c>
      <c r="AB49" t="n">
        <v>250</v>
      </c>
      <c r="AC49" t="n">
        <v>12</v>
      </c>
      <c r="AD49" t="n">
        <v>276</v>
      </c>
      <c r="AE49" t="n">
        <v>180</v>
      </c>
      <c r="AF49" t="n">
        <v>34</v>
      </c>
      <c r="AG49" t="n">
        <v>64</v>
      </c>
      <c r="AH49" t="n">
        <v>100</v>
      </c>
      <c r="AI49" t="n">
        <v>109</v>
      </c>
      <c r="AJ49" t="n">
        <v>3140</v>
      </c>
      <c r="AK49" t="n">
        <v>200</v>
      </c>
      <c r="AL49" t="n">
        <v>140</v>
      </c>
      <c r="AM49" t="n">
        <v>500</v>
      </c>
      <c r="AN49" t="n">
        <v>24</v>
      </c>
      <c r="AO49" t="n">
        <v>2</v>
      </c>
      <c r="AP49" t="n">
        <v>0</v>
      </c>
      <c r="AQ49" t="n">
        <v>0</v>
      </c>
      <c r="AR49" t="n">
        <v>0</v>
      </c>
      <c r="AS49" t="n">
        <v>0</v>
      </c>
      <c r="AT49" t="n">
        <v>1014</v>
      </c>
      <c r="AU49" t="n">
        <v>508</v>
      </c>
      <c r="AV49" t="n">
        <v>0</v>
      </c>
      <c r="AW49" t="n">
        <v>1522</v>
      </c>
      <c r="AX49" t="n">
        <v>203</v>
      </c>
      <c r="AY49" t="n">
        <v>0</v>
      </c>
      <c r="AZ49" t="n">
        <v>0</v>
      </c>
      <c r="BA49" t="n">
        <v>203</v>
      </c>
      <c r="BB49" t="n">
        <v>0</v>
      </c>
      <c r="BC49" t="n">
        <v>0</v>
      </c>
      <c r="BD49" t="n">
        <v>0</v>
      </c>
      <c r="BE49" t="n">
        <v>305</v>
      </c>
      <c r="BF49" t="n">
        <v>305</v>
      </c>
      <c r="BG49">
        <f>IF($F49=0,"0",MIN(
BH49/(30*$F49),
BI49/(61*$F49),
BJ49/(48*$F49),
(BK49+BL49)/(23*$F49),
(BM49+BN49)/(41*$F49),
BO49/(25*$F49),
BP49/(6.6*$F49),
BQ49/(40*$F49),
BS49/(16*$F49)
)*100)</f>
        <v/>
      </c>
      <c r="BH49" t="n">
        <v>72</v>
      </c>
      <c r="BI49" t="n">
        <v>120</v>
      </c>
      <c r="BJ49" t="n">
        <v>9</v>
      </c>
      <c r="BK49" t="n">
        <v>17</v>
      </c>
      <c r="BL49" t="n">
        <v>6</v>
      </c>
      <c r="BM49" t="n">
        <v>58</v>
      </c>
      <c r="BN49" t="n">
        <v>34</v>
      </c>
      <c r="BO49" t="n">
        <v>79</v>
      </c>
      <c r="BP49" t="n">
        <v>26</v>
      </c>
      <c r="BQ49" t="n">
        <v>79</v>
      </c>
      <c r="BR49" t="n">
        <v>50</v>
      </c>
      <c r="BS49" t="n">
        <v>32</v>
      </c>
      <c r="BT49" t="n">
        <v>582</v>
      </c>
      <c r="BU49" t="n">
        <v>121</v>
      </c>
      <c r="BV49" t="n">
        <v>167</v>
      </c>
      <c r="BW49" t="n">
        <v>171</v>
      </c>
      <c r="BX49" t="n">
        <v>99</v>
      </c>
      <c r="BY49" t="n">
        <v>85</v>
      </c>
      <c r="BZ49" t="n">
        <v>54</v>
      </c>
      <c r="CA49" t="n">
        <v>697</v>
      </c>
      <c r="CB49" t="n">
        <v>30</v>
      </c>
      <c r="CC49" t="n">
        <v>13</v>
      </c>
      <c r="CD49" t="n">
        <v>79</v>
      </c>
      <c r="CE49" t="n">
        <v>41</v>
      </c>
      <c r="CF49" t="n">
        <v>0.52</v>
      </c>
      <c r="CG49" t="n">
        <v>0</v>
      </c>
      <c r="CH49" t="n">
        <v>0</v>
      </c>
      <c r="CI49" t="n">
        <v>0</v>
      </c>
      <c r="CJ49" t="n">
        <v>0</v>
      </c>
      <c r="CK49" t="n">
        <v>0</v>
      </c>
      <c r="CL49" t="n">
        <v>0</v>
      </c>
      <c r="CM49" t="n">
        <v>0</v>
      </c>
      <c r="CN49" t="n">
        <v>83</v>
      </c>
      <c r="CO49" t="n">
        <v>0</v>
      </c>
      <c r="CP49" t="n">
        <v>10</v>
      </c>
      <c r="CQ49" t="n">
        <v>0</v>
      </c>
      <c r="CR49" t="n">
        <v>0</v>
      </c>
      <c r="CS49" t="n">
        <v>0</v>
      </c>
      <c r="CT49" t="n">
        <v>93</v>
      </c>
      <c r="CU49" t="n">
        <v>0</v>
      </c>
      <c r="CV49" t="n">
        <v>0</v>
      </c>
      <c r="CW49" t="n">
        <v>7</v>
      </c>
      <c r="CX49" t="n">
        <v>0</v>
      </c>
      <c r="CY49" t="n">
        <v>20</v>
      </c>
      <c r="CZ49" t="n">
        <v>0</v>
      </c>
      <c r="DA49" t="n">
        <v>0</v>
      </c>
      <c r="DB49" t="n">
        <v>0</v>
      </c>
      <c r="DC49" t="n">
        <v>27</v>
      </c>
      <c r="DD49" t="n">
        <v>0</v>
      </c>
      <c r="DE49" t="n">
        <v>0</v>
      </c>
      <c r="DF49" t="n">
        <v>41</v>
      </c>
      <c r="DG49" t="n">
        <v>79</v>
      </c>
      <c r="DH49" t="n">
        <v>0</v>
      </c>
      <c r="DI49" t="n">
        <v>0</v>
      </c>
      <c r="DJ49" t="n">
        <v>0</v>
      </c>
      <c r="DK49" t="n">
        <v>0</v>
      </c>
      <c r="DL49" t="n">
        <v>0</v>
      </c>
      <c r="DM49" t="n">
        <v>0</v>
      </c>
      <c r="DN49" t="n">
        <v>0</v>
      </c>
      <c r="DO49" t="n">
        <v>0</v>
      </c>
      <c r="DP49" t="n">
        <v>0</v>
      </c>
      <c r="DQ49" t="n">
        <v>0</v>
      </c>
      <c r="DR49" t="n">
        <v>0</v>
      </c>
      <c r="DS49" t="n">
        <v>120</v>
      </c>
      <c r="DT49" t="n">
        <v>240</v>
      </c>
      <c r="DU49" t="n">
        <v>60</v>
      </c>
      <c r="DV49" t="n">
        <v>0</v>
      </c>
      <c r="DW49" t="n">
        <v>0</v>
      </c>
      <c r="DX49" t="n">
        <v>0</v>
      </c>
      <c r="DY49" t="n">
        <v>191</v>
      </c>
      <c r="DZ49" t="n">
        <v>206</v>
      </c>
      <c r="EA49" t="n">
        <v>353</v>
      </c>
      <c r="EB49" t="n">
        <v>662</v>
      </c>
      <c r="EC49" t="n">
        <v>59</v>
      </c>
      <c r="ED49" t="n">
        <v>660</v>
      </c>
      <c r="EE49" t="n">
        <v>810</v>
      </c>
      <c r="EF49" t="n">
        <v>0</v>
      </c>
      <c r="EG49" t="n">
        <v>0.4</v>
      </c>
      <c r="EH49" t="n">
        <v>1.1</v>
      </c>
      <c r="EI49" t="n">
        <v>0.8</v>
      </c>
      <c r="EJ49" t="n">
        <v>0.3</v>
      </c>
      <c r="EK49" t="n">
        <v>1.4</v>
      </c>
    </row>
    <row r="50">
      <c r="A50">
        <f>[1]ingredient!B49</f>
        <v/>
      </c>
      <c r="B50" t="inlineStr">
        <is>
          <t>https://www.naehrwertrechner.de/naehrwerte/C321001/Buchweizen+Vollkorn/?menge=100</t>
        </is>
      </c>
      <c r="C50" s="7">
        <f>_xlfn.XLOOKUP(A50,[1]ingredient!$B$2:$B$521,[1]ingredient!$A$2:$A$521)</f>
        <v/>
      </c>
      <c r="D50" t="n">
        <v>340</v>
      </c>
      <c r="E50" t="n">
        <v>2</v>
      </c>
      <c r="F50" t="n">
        <v>9</v>
      </c>
      <c r="G50" t="n">
        <v>71</v>
      </c>
      <c r="H50" t="n">
        <v>10</v>
      </c>
      <c r="I50" t="n">
        <v>0.43</v>
      </c>
      <c r="J50" t="n">
        <v>0.03</v>
      </c>
      <c r="K50" t="n">
        <v>7</v>
      </c>
      <c r="L50" t="n">
        <v>3</v>
      </c>
      <c r="M50" t="n">
        <v>2</v>
      </c>
      <c r="N50" t="n">
        <v>0</v>
      </c>
      <c r="O50" t="n">
        <v>18</v>
      </c>
      <c r="P50" t="n">
        <v>600</v>
      </c>
      <c r="Q50" t="n">
        <v>150</v>
      </c>
      <c r="R50" t="n">
        <v>2900</v>
      </c>
      <c r="S50" t="n">
        <v>5017</v>
      </c>
      <c r="T50" t="n">
        <v>1200</v>
      </c>
      <c r="U50" t="n">
        <v>600</v>
      </c>
      <c r="V50" t="n">
        <v>5</v>
      </c>
      <c r="W50" t="n">
        <v>50</v>
      </c>
      <c r="X50" t="n">
        <v>0</v>
      </c>
      <c r="Y50" t="n">
        <v>0</v>
      </c>
      <c r="Z50" t="n">
        <v>0</v>
      </c>
      <c r="AA50" t="n">
        <v>1170</v>
      </c>
      <c r="AB50" t="n">
        <v>7</v>
      </c>
      <c r="AC50" t="n">
        <v>1</v>
      </c>
      <c r="AD50" t="n">
        <v>400</v>
      </c>
      <c r="AE50" t="n">
        <v>75</v>
      </c>
      <c r="AF50" t="n">
        <v>130</v>
      </c>
      <c r="AG50" t="n">
        <v>290</v>
      </c>
      <c r="AH50" t="n">
        <v>120</v>
      </c>
      <c r="AI50" t="n">
        <v>30</v>
      </c>
      <c r="AJ50" t="n">
        <v>3100</v>
      </c>
      <c r="AK50" t="n">
        <v>4000</v>
      </c>
      <c r="AL50" t="n">
        <v>700</v>
      </c>
      <c r="AM50" t="n">
        <v>3000</v>
      </c>
      <c r="AN50" t="n">
        <v>170</v>
      </c>
      <c r="AO50" t="n">
        <v>1</v>
      </c>
      <c r="AP50" t="n">
        <v>0</v>
      </c>
      <c r="AQ50" t="n">
        <v>0</v>
      </c>
      <c r="AR50" t="n">
        <v>0</v>
      </c>
      <c r="AS50" t="n">
        <v>0</v>
      </c>
      <c r="AT50" t="n">
        <v>71</v>
      </c>
      <c r="AU50" t="n">
        <v>71</v>
      </c>
      <c r="AV50" t="n">
        <v>0</v>
      </c>
      <c r="AW50" t="n">
        <v>142</v>
      </c>
      <c r="AX50" t="n">
        <v>284</v>
      </c>
      <c r="AY50" t="n">
        <v>0</v>
      </c>
      <c r="AZ50" t="n">
        <v>0</v>
      </c>
      <c r="BA50" t="n">
        <v>284</v>
      </c>
      <c r="BB50" t="n">
        <v>0</v>
      </c>
      <c r="BC50" t="n">
        <v>0</v>
      </c>
      <c r="BD50" t="n">
        <v>0</v>
      </c>
      <c r="BE50" t="n">
        <v>70574</v>
      </c>
      <c r="BF50" t="n">
        <v>70574</v>
      </c>
      <c r="BG50">
        <f>IF($F50=0,"0",MIN(
BH50/(30*$F50),
BI50/(61*$F50),
BJ50/(48*$F50),
(BK50+BL50)/(23*$F50),
(BM50+BN50)/(41*$F50),
BO50/(25*$F50),
BP50/(6.6*$F50),
BQ50/(40*$F50),
BS50/(16*$F50)
)*100)</f>
        <v/>
      </c>
      <c r="BH50" t="n">
        <v>336</v>
      </c>
      <c r="BI50" t="n">
        <v>535</v>
      </c>
      <c r="BJ50" t="n">
        <v>499</v>
      </c>
      <c r="BK50" t="n">
        <v>154</v>
      </c>
      <c r="BL50" t="n">
        <v>181</v>
      </c>
      <c r="BM50" t="n">
        <v>345</v>
      </c>
      <c r="BN50" t="n">
        <v>181</v>
      </c>
      <c r="BO50" t="n">
        <v>354</v>
      </c>
      <c r="BP50" t="n">
        <v>127</v>
      </c>
      <c r="BQ50" t="n">
        <v>499</v>
      </c>
      <c r="BR50" t="n">
        <v>717</v>
      </c>
      <c r="BS50" t="n">
        <v>190</v>
      </c>
      <c r="BT50" t="n">
        <v>4118</v>
      </c>
      <c r="BU50" t="n">
        <v>435</v>
      </c>
      <c r="BV50" t="n">
        <v>816</v>
      </c>
      <c r="BW50" t="n">
        <v>1541</v>
      </c>
      <c r="BX50" t="n">
        <v>590</v>
      </c>
      <c r="BY50" t="n">
        <v>381</v>
      </c>
      <c r="BZ50" t="n">
        <v>463</v>
      </c>
      <c r="CA50" t="n">
        <v>4226</v>
      </c>
      <c r="CB50" t="n">
        <v>150</v>
      </c>
      <c r="CC50" t="n">
        <v>63</v>
      </c>
      <c r="CD50" t="n">
        <v>78</v>
      </c>
      <c r="CE50" t="n">
        <v>473</v>
      </c>
      <c r="CF50" t="n">
        <v>6.06</v>
      </c>
      <c r="CG50" t="n">
        <v>0</v>
      </c>
      <c r="CH50" t="n">
        <v>0</v>
      </c>
      <c r="CI50" t="n">
        <v>0</v>
      </c>
      <c r="CJ50" t="n">
        <v>0</v>
      </c>
      <c r="CK50" t="n">
        <v>0</v>
      </c>
      <c r="CL50" t="n">
        <v>7</v>
      </c>
      <c r="CM50" t="n">
        <v>0</v>
      </c>
      <c r="CN50" t="n">
        <v>231</v>
      </c>
      <c r="CO50" t="n">
        <v>0</v>
      </c>
      <c r="CP50" t="n">
        <v>31</v>
      </c>
      <c r="CQ50" t="n">
        <v>26</v>
      </c>
      <c r="CR50" t="n">
        <v>0</v>
      </c>
      <c r="CS50" t="n">
        <v>0</v>
      </c>
      <c r="CT50" t="n">
        <v>295</v>
      </c>
      <c r="CU50" t="n">
        <v>0</v>
      </c>
      <c r="CV50" t="n">
        <v>0</v>
      </c>
      <c r="CW50" t="n">
        <v>0</v>
      </c>
      <c r="CX50" t="n">
        <v>0</v>
      </c>
      <c r="CY50" t="n">
        <v>514</v>
      </c>
      <c r="CZ50" t="n">
        <v>0</v>
      </c>
      <c r="DA50" t="n">
        <v>0</v>
      </c>
      <c r="DB50" t="n">
        <v>0</v>
      </c>
      <c r="DC50" t="n">
        <v>514</v>
      </c>
      <c r="DD50" t="n">
        <v>0</v>
      </c>
      <c r="DE50" t="n">
        <v>0</v>
      </c>
      <c r="DF50" t="n">
        <v>473</v>
      </c>
      <c r="DG50" t="n">
        <v>78</v>
      </c>
      <c r="DH50" t="n">
        <v>0</v>
      </c>
      <c r="DI50" t="n">
        <v>0</v>
      </c>
      <c r="DJ50" t="n">
        <v>0</v>
      </c>
      <c r="DK50" t="n">
        <v>0</v>
      </c>
      <c r="DL50" t="n">
        <v>0</v>
      </c>
      <c r="DM50" t="n">
        <v>0</v>
      </c>
      <c r="DN50" t="n">
        <v>0</v>
      </c>
      <c r="DO50" t="n">
        <v>0</v>
      </c>
      <c r="DP50" t="n">
        <v>0</v>
      </c>
      <c r="DQ50" t="n">
        <v>0</v>
      </c>
      <c r="DR50" t="n">
        <v>0</v>
      </c>
      <c r="DS50" t="n">
        <v>551</v>
      </c>
      <c r="DT50" t="n">
        <v>1360</v>
      </c>
      <c r="DU50" t="n">
        <v>340</v>
      </c>
      <c r="DV50" t="n">
        <v>0</v>
      </c>
      <c r="DW50" t="n">
        <v>0</v>
      </c>
      <c r="DX50" t="n">
        <v>0</v>
      </c>
      <c r="DY50" t="n">
        <v>1139</v>
      </c>
      <c r="DZ50" t="n">
        <v>5099</v>
      </c>
      <c r="EA50" t="n">
        <v>1584</v>
      </c>
      <c r="EB50" t="n">
        <v>1287</v>
      </c>
      <c r="EC50" t="n">
        <v>792</v>
      </c>
      <c r="ED50" t="n">
        <v>4257</v>
      </c>
      <c r="EE50" t="n">
        <v>5644</v>
      </c>
      <c r="EF50" t="n">
        <v>0</v>
      </c>
      <c r="EG50" t="n">
        <v>0</v>
      </c>
      <c r="EH50" t="n">
        <v>1.7</v>
      </c>
      <c r="EI50" t="n">
        <v>5.6</v>
      </c>
      <c r="EJ50" t="n">
        <v>1.7</v>
      </c>
      <c r="EK50" t="n">
        <v>8.800000000000001</v>
      </c>
    </row>
    <row r="51">
      <c r="A51">
        <f>[1]ingredient!B50</f>
        <v/>
      </c>
      <c r="B51" t="inlineStr">
        <is>
          <t>https://www.naehrwertrechner.de/naehrwerte/C327023/Buchweizen+Flocken/?menge=100</t>
        </is>
      </c>
      <c r="C51" s="7">
        <f>_xlfn.XLOOKUP(A51,[1]ingredient!$B$2:$B$521,[1]ingredient!$A$2:$A$521)</f>
        <v/>
      </c>
      <c r="D51" t="n">
        <v>364</v>
      </c>
      <c r="E51" t="n">
        <v>3</v>
      </c>
      <c r="F51" t="n">
        <v>12</v>
      </c>
      <c r="G51" t="n">
        <v>71</v>
      </c>
      <c r="H51" t="n">
        <v>4</v>
      </c>
      <c r="I51" t="n">
        <v>1</v>
      </c>
      <c r="J51" t="n">
        <v>0.01</v>
      </c>
      <c r="K51" t="n">
        <v>10</v>
      </c>
      <c r="L51" t="n">
        <v>0</v>
      </c>
      <c r="M51" t="n">
        <v>0</v>
      </c>
      <c r="N51" t="n">
        <v>0</v>
      </c>
      <c r="O51" t="n">
        <v>0</v>
      </c>
      <c r="P51" t="n">
        <v>300</v>
      </c>
      <c r="Q51" t="n">
        <v>100</v>
      </c>
      <c r="R51" t="n">
        <v>2100</v>
      </c>
      <c r="S51" t="n">
        <v>5300</v>
      </c>
      <c r="T51" t="n">
        <v>1000</v>
      </c>
      <c r="U51" t="n">
        <v>400</v>
      </c>
      <c r="V51" t="n">
        <v>4</v>
      </c>
      <c r="W51" t="n">
        <v>30</v>
      </c>
      <c r="X51" t="n">
        <v>0</v>
      </c>
      <c r="Y51" t="n">
        <v>0</v>
      </c>
      <c r="Z51" t="n">
        <v>0</v>
      </c>
      <c r="AA51" t="n">
        <v>0</v>
      </c>
      <c r="AB51" t="n">
        <v>7</v>
      </c>
      <c r="AC51" t="n">
        <v>4</v>
      </c>
      <c r="AD51" t="n">
        <v>242</v>
      </c>
      <c r="AE51" t="n">
        <v>13</v>
      </c>
      <c r="AF51" t="n">
        <v>30</v>
      </c>
      <c r="AG51" t="n">
        <v>289</v>
      </c>
      <c r="AH51" t="n">
        <v>50</v>
      </c>
      <c r="AI51" t="n">
        <v>10</v>
      </c>
      <c r="AJ51" t="n">
        <v>2400</v>
      </c>
      <c r="AK51" t="n">
        <v>2000</v>
      </c>
      <c r="AL51" t="n">
        <v>100</v>
      </c>
      <c r="AM51" t="n">
        <v>2100</v>
      </c>
      <c r="AN51" t="n">
        <v>100</v>
      </c>
      <c r="AO51" t="n">
        <v>3</v>
      </c>
      <c r="AP51" t="n">
        <v>0</v>
      </c>
      <c r="AQ51" t="n">
        <v>0</v>
      </c>
      <c r="AR51" t="n">
        <v>0</v>
      </c>
      <c r="AS51" t="n">
        <v>0</v>
      </c>
      <c r="AT51" t="n">
        <v>83</v>
      </c>
      <c r="AU51" t="n">
        <v>83</v>
      </c>
      <c r="AV51" t="n">
        <v>0</v>
      </c>
      <c r="AW51" t="n">
        <v>166</v>
      </c>
      <c r="AX51" t="n">
        <v>300</v>
      </c>
      <c r="AY51" t="n">
        <v>0</v>
      </c>
      <c r="AZ51" t="n">
        <v>0</v>
      </c>
      <c r="BA51" t="n">
        <v>334</v>
      </c>
      <c r="BB51" t="n">
        <v>500</v>
      </c>
      <c r="BC51" t="n">
        <v>0</v>
      </c>
      <c r="BD51" t="n">
        <v>0</v>
      </c>
      <c r="BE51" t="n">
        <v>70000</v>
      </c>
      <c r="BF51" t="n">
        <v>0</v>
      </c>
      <c r="BG51">
        <f>IF($F51=0,"0",MIN(
BH51/(30*$F51),
BI51/(61*$F51),
BJ51/(48*$F51),
(BK51+BL51)/(23*$F51),
(BM51+BN51)/(41*$F51),
BO51/(25*$F51),
BP51/(6.6*$F51),
BQ51/(40*$F51),
BS51/(16*$F51)
)*100)</f>
        <v/>
      </c>
      <c r="BH51" t="n">
        <v>515</v>
      </c>
      <c r="BI51" t="n">
        <v>822</v>
      </c>
      <c r="BJ51" t="n">
        <v>766</v>
      </c>
      <c r="BK51" t="n">
        <v>239</v>
      </c>
      <c r="BL51" t="n">
        <v>279</v>
      </c>
      <c r="BM51" t="n">
        <v>558</v>
      </c>
      <c r="BN51" t="n">
        <v>279</v>
      </c>
      <c r="BO51" t="n">
        <v>543</v>
      </c>
      <c r="BP51" t="n">
        <v>194</v>
      </c>
      <c r="BQ51" t="n">
        <v>766</v>
      </c>
      <c r="BR51" t="n">
        <v>1101</v>
      </c>
      <c r="BS51" t="n">
        <v>291</v>
      </c>
      <c r="BT51" t="n">
        <v>6352</v>
      </c>
      <c r="BU51" t="n">
        <v>581</v>
      </c>
      <c r="BV51" t="n">
        <v>1091</v>
      </c>
      <c r="BW51" t="n">
        <v>2059</v>
      </c>
      <c r="BX51" t="n">
        <v>789</v>
      </c>
      <c r="BY51" t="n">
        <v>509</v>
      </c>
      <c r="BZ51" t="n">
        <v>619</v>
      </c>
      <c r="CA51" t="n">
        <v>5648</v>
      </c>
      <c r="CB51" t="n">
        <v>84</v>
      </c>
      <c r="CC51" t="n">
        <v>28</v>
      </c>
      <c r="CD51" t="n">
        <v>100</v>
      </c>
      <c r="CE51" t="n">
        <v>900</v>
      </c>
      <c r="CF51" t="n">
        <v>9</v>
      </c>
      <c r="CG51" t="n">
        <v>0</v>
      </c>
      <c r="CH51" t="n">
        <v>0</v>
      </c>
      <c r="CI51" t="n">
        <v>0</v>
      </c>
      <c r="CJ51" t="n">
        <v>0</v>
      </c>
      <c r="CK51" t="n">
        <v>0</v>
      </c>
      <c r="CL51" t="n">
        <v>11</v>
      </c>
      <c r="CM51" t="n">
        <v>0</v>
      </c>
      <c r="CN51" t="n">
        <v>392</v>
      </c>
      <c r="CO51" t="n">
        <v>0</v>
      </c>
      <c r="CP51" t="n">
        <v>54</v>
      </c>
      <c r="CQ51" t="n">
        <v>43</v>
      </c>
      <c r="CR51" t="n">
        <v>0</v>
      </c>
      <c r="CS51" t="n">
        <v>0</v>
      </c>
      <c r="CT51" t="n">
        <v>500</v>
      </c>
      <c r="CU51" t="n">
        <v>0</v>
      </c>
      <c r="CV51" t="n">
        <v>0</v>
      </c>
      <c r="CW51" t="n">
        <v>0</v>
      </c>
      <c r="CX51" t="n">
        <v>0</v>
      </c>
      <c r="CY51" t="n">
        <v>1008</v>
      </c>
      <c r="CZ51" t="n">
        <v>0</v>
      </c>
      <c r="DA51" t="n">
        <v>0</v>
      </c>
      <c r="DB51" t="n">
        <v>0</v>
      </c>
      <c r="DC51" t="n">
        <v>1000</v>
      </c>
      <c r="DD51" t="n">
        <v>0</v>
      </c>
      <c r="DE51" t="n">
        <v>0</v>
      </c>
      <c r="DF51" t="n">
        <v>900</v>
      </c>
      <c r="DG51" t="n">
        <v>100</v>
      </c>
      <c r="DH51" t="n">
        <v>0</v>
      </c>
      <c r="DI51" t="n">
        <v>0</v>
      </c>
      <c r="DJ51" t="n">
        <v>0</v>
      </c>
      <c r="DK51" t="n">
        <v>0</v>
      </c>
      <c r="DL51" t="n">
        <v>0</v>
      </c>
      <c r="DM51" t="n">
        <v>0</v>
      </c>
      <c r="DN51" t="n">
        <v>0</v>
      </c>
      <c r="DO51" t="n">
        <v>0</v>
      </c>
      <c r="DP51" t="n">
        <v>0</v>
      </c>
      <c r="DQ51" t="n">
        <v>0</v>
      </c>
      <c r="DR51" t="n">
        <v>0</v>
      </c>
      <c r="DS51" t="n">
        <v>1000</v>
      </c>
      <c r="DT51" t="n">
        <v>2517</v>
      </c>
      <c r="DU51" t="n">
        <v>183</v>
      </c>
      <c r="DV51" t="n">
        <v>0</v>
      </c>
      <c r="DW51" t="n">
        <v>0</v>
      </c>
      <c r="DX51" t="n">
        <v>0</v>
      </c>
      <c r="DY51" t="n">
        <v>414</v>
      </c>
      <c r="DZ51" t="n">
        <v>1854</v>
      </c>
      <c r="EA51" t="n">
        <v>576</v>
      </c>
      <c r="EB51" t="n">
        <v>468</v>
      </c>
      <c r="EC51" t="n">
        <v>288</v>
      </c>
      <c r="ED51" t="n">
        <v>1548</v>
      </c>
      <c r="EE51" t="n">
        <v>2052</v>
      </c>
      <c r="EF51" t="n">
        <v>0</v>
      </c>
      <c r="EG51" t="n">
        <v>170</v>
      </c>
      <c r="EH51" t="n">
        <v>0.6</v>
      </c>
      <c r="EI51" t="n">
        <v>2.1</v>
      </c>
      <c r="EJ51" t="n">
        <v>2.7</v>
      </c>
      <c r="EK51" t="n">
        <v>12.3</v>
      </c>
    </row>
    <row r="52">
      <c r="A52">
        <f>[1]ingredient!B51</f>
        <v/>
      </c>
      <c r="B52" t="inlineStr">
        <is>
          <t>https://www.naehrwertrechner.de/naehrwerte/C421011/Buchweizen+Vollkornmehl/?menge=100</t>
        </is>
      </c>
      <c r="C52" s="7">
        <f>_xlfn.XLOOKUP(A52,[1]ingredient!$B$2:$B$521,[1]ingredient!$A$2:$A$521)</f>
        <v/>
      </c>
      <c r="D52" t="n">
        <v>341</v>
      </c>
      <c r="E52" t="n">
        <v>3</v>
      </c>
      <c r="F52" t="n">
        <v>11</v>
      </c>
      <c r="G52" t="n">
        <v>67</v>
      </c>
      <c r="H52" t="n">
        <v>4</v>
      </c>
      <c r="I52" t="n">
        <v>0.4</v>
      </c>
      <c r="J52" t="n">
        <v>0.01</v>
      </c>
      <c r="K52" t="n">
        <v>14</v>
      </c>
      <c r="L52" t="n">
        <v>2</v>
      </c>
      <c r="M52" t="n">
        <v>1</v>
      </c>
      <c r="N52" t="n">
        <v>0</v>
      </c>
      <c r="O52" t="n">
        <v>13</v>
      </c>
      <c r="P52" t="n">
        <v>580</v>
      </c>
      <c r="Q52" t="n">
        <v>150</v>
      </c>
      <c r="R52" t="n">
        <v>2900</v>
      </c>
      <c r="S52" t="n">
        <v>5433</v>
      </c>
      <c r="T52" t="n">
        <v>1450</v>
      </c>
      <c r="U52" t="n">
        <v>580</v>
      </c>
      <c r="V52" t="n">
        <v>1</v>
      </c>
      <c r="W52" t="n">
        <v>50</v>
      </c>
      <c r="X52" t="n">
        <v>0</v>
      </c>
      <c r="Y52" t="n">
        <v>0</v>
      </c>
      <c r="Z52" t="n">
        <v>0</v>
      </c>
      <c r="AA52" t="n">
        <v>2100</v>
      </c>
      <c r="AB52" t="n">
        <v>7</v>
      </c>
      <c r="AC52" t="n">
        <v>1</v>
      </c>
      <c r="AD52" t="n">
        <v>680</v>
      </c>
      <c r="AE52" t="n">
        <v>33</v>
      </c>
      <c r="AF52" t="n">
        <v>50</v>
      </c>
      <c r="AG52" t="n">
        <v>263</v>
      </c>
      <c r="AH52" t="n">
        <v>140</v>
      </c>
      <c r="AI52" t="n">
        <v>12</v>
      </c>
      <c r="AJ52" t="n">
        <v>2200</v>
      </c>
      <c r="AK52" t="n">
        <v>2500</v>
      </c>
      <c r="AL52" t="n">
        <v>900</v>
      </c>
      <c r="AM52" t="n">
        <v>2000</v>
      </c>
      <c r="AN52" t="n">
        <v>70</v>
      </c>
      <c r="AO52" t="n">
        <v>3</v>
      </c>
      <c r="AP52" t="n">
        <v>0</v>
      </c>
      <c r="AQ52" t="n">
        <v>0</v>
      </c>
      <c r="AR52" t="n">
        <v>0</v>
      </c>
      <c r="AS52" t="n">
        <v>0</v>
      </c>
      <c r="AT52" t="n">
        <v>67</v>
      </c>
      <c r="AU52" t="n">
        <v>67</v>
      </c>
      <c r="AV52" t="n">
        <v>0</v>
      </c>
      <c r="AW52" t="n">
        <v>134</v>
      </c>
      <c r="AX52" t="n">
        <v>269</v>
      </c>
      <c r="AY52" t="n">
        <v>0</v>
      </c>
      <c r="AZ52" t="n">
        <v>0</v>
      </c>
      <c r="BA52" t="n">
        <v>269</v>
      </c>
      <c r="BB52" t="n">
        <v>0</v>
      </c>
      <c r="BC52" t="n">
        <v>0</v>
      </c>
      <c r="BD52" t="n">
        <v>0</v>
      </c>
      <c r="BE52" t="n">
        <v>66737</v>
      </c>
      <c r="BF52" t="n">
        <v>66737</v>
      </c>
      <c r="BG52">
        <f>IF($F52=0,"0",MIN(
BH52/(30*$F52),
BI52/(61*$F52),
BJ52/(48*$F52),
(BK52+BL52)/(23*$F52),
(BM52+BN52)/(41*$F52),
BO52/(25*$F52),
BP52/(6.6*$F52),
BQ52/(40*$F52),
BS52/(16*$F52)
)*100)</f>
        <v/>
      </c>
      <c r="BH52" t="n">
        <v>402</v>
      </c>
      <c r="BI52" t="n">
        <v>641</v>
      </c>
      <c r="BJ52" t="n">
        <v>597</v>
      </c>
      <c r="BK52" t="n">
        <v>185</v>
      </c>
      <c r="BL52" t="n">
        <v>217</v>
      </c>
      <c r="BM52" t="n">
        <v>413</v>
      </c>
      <c r="BN52" t="n">
        <v>217</v>
      </c>
      <c r="BO52" t="n">
        <v>424</v>
      </c>
      <c r="BP52" t="n">
        <v>152</v>
      </c>
      <c r="BQ52" t="n">
        <v>597</v>
      </c>
      <c r="BR52" t="n">
        <v>858</v>
      </c>
      <c r="BS52" t="n">
        <v>228</v>
      </c>
      <c r="BT52" t="n">
        <v>4931</v>
      </c>
      <c r="BU52" t="n">
        <v>521</v>
      </c>
      <c r="BV52" t="n">
        <v>977</v>
      </c>
      <c r="BW52" t="n">
        <v>1846</v>
      </c>
      <c r="BX52" t="n">
        <v>706</v>
      </c>
      <c r="BY52" t="n">
        <v>456</v>
      </c>
      <c r="BZ52" t="n">
        <v>554</v>
      </c>
      <c r="CA52" t="n">
        <v>5060</v>
      </c>
      <c r="CB52" t="n">
        <v>180</v>
      </c>
      <c r="CC52" t="n">
        <v>75</v>
      </c>
      <c r="CD52" t="n">
        <v>124</v>
      </c>
      <c r="CE52" t="n">
        <v>753</v>
      </c>
      <c r="CF52" t="n">
        <v>6.07</v>
      </c>
      <c r="CG52" t="n">
        <v>0</v>
      </c>
      <c r="CH52" t="n">
        <v>0</v>
      </c>
      <c r="CI52" t="n">
        <v>0</v>
      </c>
      <c r="CJ52" t="n">
        <v>0</v>
      </c>
      <c r="CK52" t="n">
        <v>0</v>
      </c>
      <c r="CL52" t="n">
        <v>11</v>
      </c>
      <c r="CM52" t="n">
        <v>0</v>
      </c>
      <c r="CN52" t="n">
        <v>369</v>
      </c>
      <c r="CO52" t="n">
        <v>0</v>
      </c>
      <c r="CP52" t="n">
        <v>50</v>
      </c>
      <c r="CQ52" t="n">
        <v>41</v>
      </c>
      <c r="CR52" t="n">
        <v>0</v>
      </c>
      <c r="CS52" t="n">
        <v>0</v>
      </c>
      <c r="CT52" t="n">
        <v>471</v>
      </c>
      <c r="CU52" t="n">
        <v>0</v>
      </c>
      <c r="CV52" t="n">
        <v>0</v>
      </c>
      <c r="CW52" t="n">
        <v>0</v>
      </c>
      <c r="CX52" t="n">
        <v>0</v>
      </c>
      <c r="CY52" t="n">
        <v>820</v>
      </c>
      <c r="CZ52" t="n">
        <v>0</v>
      </c>
      <c r="DA52" t="n">
        <v>0</v>
      </c>
      <c r="DB52" t="n">
        <v>0</v>
      </c>
      <c r="DC52" t="n">
        <v>820</v>
      </c>
      <c r="DD52" t="n">
        <v>0</v>
      </c>
      <c r="DE52" t="n">
        <v>0</v>
      </c>
      <c r="DF52" t="n">
        <v>753</v>
      </c>
      <c r="DG52" t="n">
        <v>124</v>
      </c>
      <c r="DH52" t="n">
        <v>0</v>
      </c>
      <c r="DI52" t="n">
        <v>0</v>
      </c>
      <c r="DJ52" t="n">
        <v>0</v>
      </c>
      <c r="DK52" t="n">
        <v>0</v>
      </c>
      <c r="DL52" t="n">
        <v>0</v>
      </c>
      <c r="DM52" t="n">
        <v>0</v>
      </c>
      <c r="DN52" t="n">
        <v>0</v>
      </c>
      <c r="DO52" t="n">
        <v>0</v>
      </c>
      <c r="DP52" t="n">
        <v>0</v>
      </c>
      <c r="DQ52" t="n">
        <v>0</v>
      </c>
      <c r="DR52" t="n">
        <v>0</v>
      </c>
      <c r="DS52" t="n">
        <v>877</v>
      </c>
      <c r="DT52" t="n">
        <v>2168</v>
      </c>
      <c r="DU52" t="n">
        <v>542</v>
      </c>
      <c r="DV52" t="n">
        <v>0</v>
      </c>
      <c r="DW52" t="n">
        <v>0</v>
      </c>
      <c r="DX52" t="n">
        <v>0</v>
      </c>
      <c r="DY52" t="n">
        <v>414</v>
      </c>
      <c r="DZ52" t="n">
        <v>1854</v>
      </c>
      <c r="EA52" t="n">
        <v>576</v>
      </c>
      <c r="EB52" t="n">
        <v>468</v>
      </c>
      <c r="EC52" t="n">
        <v>288</v>
      </c>
      <c r="ED52" t="n">
        <v>1548</v>
      </c>
      <c r="EE52" t="n">
        <v>2052</v>
      </c>
      <c r="EF52" t="n">
        <v>0</v>
      </c>
      <c r="EG52" t="n">
        <v>0</v>
      </c>
      <c r="EH52" t="n">
        <v>1.6</v>
      </c>
      <c r="EI52" t="n">
        <v>2.1</v>
      </c>
      <c r="EJ52" t="n">
        <v>2.7</v>
      </c>
      <c r="EK52" t="n">
        <v>10.6</v>
      </c>
    </row>
    <row r="53">
      <c r="A53">
        <f>[1]ingredient!B52</f>
        <v/>
      </c>
      <c r="B53" t="inlineStr">
        <is>
          <t>https://www.naehrwertrechner.de/naehrwerte/C328001/Buchweizen+Nudeln+%28Soba%29/?menge=100</t>
        </is>
      </c>
      <c r="C53" s="7">
        <f>_xlfn.XLOOKUP(A53,[1]ingredient!$B$2:$B$521,[1]ingredient!$A$2:$A$521)</f>
        <v/>
      </c>
      <c r="D53" t="n">
        <v>388</v>
      </c>
      <c r="E53" t="n">
        <v>2</v>
      </c>
      <c r="F53" t="n">
        <v>11</v>
      </c>
      <c r="G53" t="n">
        <v>77</v>
      </c>
      <c r="H53" t="n">
        <v>8</v>
      </c>
      <c r="I53" t="n">
        <v>1</v>
      </c>
      <c r="J53" t="n">
        <v>0.06</v>
      </c>
      <c r="K53" t="n">
        <v>0.3</v>
      </c>
      <c r="L53" t="n">
        <v>0</v>
      </c>
      <c r="M53" t="n">
        <v>0</v>
      </c>
      <c r="N53" t="n">
        <v>0</v>
      </c>
      <c r="O53" t="n">
        <v>0</v>
      </c>
      <c r="P53" t="n">
        <v>500</v>
      </c>
      <c r="Q53" t="n">
        <v>100</v>
      </c>
      <c r="R53" t="n">
        <v>5300</v>
      </c>
      <c r="S53" t="n">
        <v>7200</v>
      </c>
      <c r="T53" t="n">
        <v>1100</v>
      </c>
      <c r="U53" t="n">
        <v>400</v>
      </c>
      <c r="V53" t="n">
        <v>6</v>
      </c>
      <c r="W53" t="n">
        <v>54</v>
      </c>
      <c r="X53" t="n">
        <v>0</v>
      </c>
      <c r="Y53" t="n">
        <v>0</v>
      </c>
      <c r="Z53" t="n">
        <v>0</v>
      </c>
      <c r="AA53" t="n">
        <v>0</v>
      </c>
      <c r="AB53" t="n">
        <v>19</v>
      </c>
      <c r="AC53" t="n">
        <v>4</v>
      </c>
      <c r="AD53" t="n">
        <v>373</v>
      </c>
      <c r="AE53" t="n">
        <v>35</v>
      </c>
      <c r="AF53" t="n">
        <v>119</v>
      </c>
      <c r="AG53" t="n">
        <v>331</v>
      </c>
      <c r="AH53" t="n">
        <v>140</v>
      </c>
      <c r="AI53" t="n">
        <v>53</v>
      </c>
      <c r="AJ53" t="n">
        <v>3400</v>
      </c>
      <c r="AK53" t="n">
        <v>2700</v>
      </c>
      <c r="AL53" t="n">
        <v>400</v>
      </c>
      <c r="AM53" t="n">
        <v>3600</v>
      </c>
      <c r="AN53" t="n">
        <v>100</v>
      </c>
      <c r="AO53" t="n">
        <v>3</v>
      </c>
      <c r="AP53" t="n">
        <v>0</v>
      </c>
      <c r="AQ53" t="n">
        <v>0</v>
      </c>
      <c r="AR53" t="n">
        <v>0</v>
      </c>
      <c r="AS53" t="n">
        <v>0</v>
      </c>
      <c r="AT53" t="n">
        <v>97</v>
      </c>
      <c r="AU53" t="n">
        <v>87</v>
      </c>
      <c r="AV53" t="n">
        <v>0</v>
      </c>
      <c r="AW53" t="n">
        <v>184</v>
      </c>
      <c r="AX53" t="n">
        <v>1000</v>
      </c>
      <c r="AY53" t="n">
        <v>0</v>
      </c>
      <c r="AZ53" t="n">
        <v>0</v>
      </c>
      <c r="BA53" t="n">
        <v>1016</v>
      </c>
      <c r="BB53" t="n">
        <v>300</v>
      </c>
      <c r="BC53" t="n">
        <v>170</v>
      </c>
      <c r="BD53" t="n">
        <v>0</v>
      </c>
      <c r="BE53" t="n">
        <v>75500</v>
      </c>
      <c r="BF53" t="n">
        <v>0</v>
      </c>
      <c r="BG53">
        <f>IF($F53=0,"0",MIN(
BH53/(30*$F53),
BI53/(61*$F53),
BJ53/(48*$F53),
(BK53+BL53)/(23*$F53),
(BM53+BN53)/(41*$F53),
BO53/(25*$F53),
BP53/(6.6*$F53),
BQ53/(40*$F53),
BS53/(16*$F53)
)*100)</f>
        <v/>
      </c>
      <c r="BH53" t="n">
        <v>427</v>
      </c>
      <c r="BI53" t="n">
        <v>751</v>
      </c>
      <c r="BJ53" t="n">
        <v>294</v>
      </c>
      <c r="BK53" t="n">
        <v>167</v>
      </c>
      <c r="BL53" t="n">
        <v>231</v>
      </c>
      <c r="BM53" t="n">
        <v>519</v>
      </c>
      <c r="BN53" t="n">
        <v>319</v>
      </c>
      <c r="BO53" t="n">
        <v>317</v>
      </c>
      <c r="BP53" t="n">
        <v>116</v>
      </c>
      <c r="BQ53" t="n">
        <v>500</v>
      </c>
      <c r="BR53" t="n">
        <v>491</v>
      </c>
      <c r="BS53" t="n">
        <v>220</v>
      </c>
      <c r="BT53" t="n">
        <v>4350</v>
      </c>
      <c r="BU53" t="n">
        <v>386</v>
      </c>
      <c r="BV53" t="n">
        <v>541</v>
      </c>
      <c r="BW53" t="n">
        <v>3432</v>
      </c>
      <c r="BX53" t="n">
        <v>485</v>
      </c>
      <c r="BY53" t="n">
        <v>1257</v>
      </c>
      <c r="BZ53" t="n">
        <v>549</v>
      </c>
      <c r="CA53" t="n">
        <v>6650</v>
      </c>
      <c r="CB53" t="n">
        <v>90</v>
      </c>
      <c r="CC53" t="n">
        <v>38</v>
      </c>
      <c r="CD53" t="n">
        <v>100</v>
      </c>
      <c r="CE53" t="n">
        <v>903</v>
      </c>
      <c r="CF53" t="n">
        <v>9.029999999999999</v>
      </c>
      <c r="CG53" t="n">
        <v>0</v>
      </c>
      <c r="CH53" t="n">
        <v>0</v>
      </c>
      <c r="CI53" t="n">
        <v>0</v>
      </c>
      <c r="CJ53" t="n">
        <v>0</v>
      </c>
      <c r="CK53" t="n">
        <v>1</v>
      </c>
      <c r="CL53" t="n">
        <v>2</v>
      </c>
      <c r="CM53" t="n">
        <v>1</v>
      </c>
      <c r="CN53" t="n">
        <v>180</v>
      </c>
      <c r="CO53" t="n">
        <v>0</v>
      </c>
      <c r="CP53" t="n">
        <v>9</v>
      </c>
      <c r="CQ53" t="n">
        <v>8</v>
      </c>
      <c r="CR53" t="n">
        <v>0</v>
      </c>
      <c r="CS53" t="n">
        <v>0</v>
      </c>
      <c r="CT53" t="n">
        <v>200</v>
      </c>
      <c r="CU53" t="n">
        <v>0</v>
      </c>
      <c r="CV53" t="n">
        <v>0</v>
      </c>
      <c r="CW53" t="n">
        <v>8</v>
      </c>
      <c r="CX53" t="n">
        <v>0</v>
      </c>
      <c r="CY53" t="n">
        <v>249</v>
      </c>
      <c r="CZ53" t="n">
        <v>7</v>
      </c>
      <c r="DA53" t="n">
        <v>0</v>
      </c>
      <c r="DB53" t="n">
        <v>0</v>
      </c>
      <c r="DC53" t="n">
        <v>300</v>
      </c>
      <c r="DD53" t="n">
        <v>0</v>
      </c>
      <c r="DE53" t="n">
        <v>0</v>
      </c>
      <c r="DF53" t="n">
        <v>900</v>
      </c>
      <c r="DG53" t="n">
        <v>100</v>
      </c>
      <c r="DH53" t="n">
        <v>0</v>
      </c>
      <c r="DI53" t="n">
        <v>0</v>
      </c>
      <c r="DJ53" t="n">
        <v>0</v>
      </c>
      <c r="DK53" t="n">
        <v>0</v>
      </c>
      <c r="DL53" t="n">
        <v>3</v>
      </c>
      <c r="DM53" t="n">
        <v>0</v>
      </c>
      <c r="DN53" t="n">
        <v>0</v>
      </c>
      <c r="DO53" t="n">
        <v>0</v>
      </c>
      <c r="DP53" t="n">
        <v>0</v>
      </c>
      <c r="DQ53" t="n">
        <v>0</v>
      </c>
      <c r="DR53" t="n">
        <v>0</v>
      </c>
      <c r="DS53" t="n">
        <v>1000</v>
      </c>
      <c r="DT53" t="n">
        <v>1470</v>
      </c>
      <c r="DU53" t="n">
        <v>630</v>
      </c>
      <c r="DV53" t="n">
        <v>0</v>
      </c>
      <c r="DW53" t="n">
        <v>0</v>
      </c>
      <c r="DX53" t="n">
        <v>0</v>
      </c>
      <c r="DY53" t="n">
        <v>3360</v>
      </c>
      <c r="DZ53" t="n">
        <v>2520</v>
      </c>
      <c r="EA53" t="n">
        <v>588</v>
      </c>
      <c r="EB53" t="n">
        <v>1512</v>
      </c>
      <c r="EC53" t="n">
        <v>420</v>
      </c>
      <c r="ED53" t="n">
        <v>2100</v>
      </c>
      <c r="EE53" t="n">
        <v>6300</v>
      </c>
      <c r="EF53" t="n">
        <v>0</v>
      </c>
      <c r="EG53" t="n">
        <v>0</v>
      </c>
      <c r="EH53" t="n">
        <v>1.1</v>
      </c>
      <c r="EI53" t="n">
        <v>6.3</v>
      </c>
      <c r="EJ53" t="n">
        <v>2.1</v>
      </c>
      <c r="EK53" t="n">
        <v>11.3</v>
      </c>
    </row>
    <row r="54">
      <c r="A54">
        <f>[1]ingredient!B53</f>
        <v/>
      </c>
      <c r="B54" t="inlineStr">
        <is>
          <t>https://www.naehrwertrechner.de/naehrwerte/C321001-1/Buchweizen+gekeimt/?menge=100</t>
        </is>
      </c>
      <c r="C54" s="7">
        <f>_xlfn.XLOOKUP(A54,[1]ingredient!$B$2:$B$521,[1]ingredient!$A$2:$A$521)</f>
        <v/>
      </c>
      <c r="D54" t="n">
        <v>340</v>
      </c>
      <c r="E54" t="n">
        <v>2</v>
      </c>
      <c r="F54" t="n">
        <v>9</v>
      </c>
      <c r="G54" t="n">
        <v>71</v>
      </c>
      <c r="H54" t="n">
        <v>10</v>
      </c>
      <c r="I54" t="n">
        <v>0.43</v>
      </c>
      <c r="J54" t="n">
        <v>0.03</v>
      </c>
      <c r="K54" t="n">
        <v>7</v>
      </c>
      <c r="L54" t="n">
        <v>3</v>
      </c>
      <c r="M54" t="n">
        <v>2</v>
      </c>
      <c r="N54" t="n">
        <v>0</v>
      </c>
      <c r="O54" t="n">
        <v>18</v>
      </c>
      <c r="P54" t="n">
        <v>600</v>
      </c>
      <c r="Q54" t="n">
        <v>150</v>
      </c>
      <c r="R54" t="n">
        <v>2900</v>
      </c>
      <c r="S54" t="n">
        <v>5017</v>
      </c>
      <c r="T54" t="n">
        <v>1200</v>
      </c>
      <c r="U54" t="n">
        <v>600</v>
      </c>
      <c r="V54" t="n">
        <v>5</v>
      </c>
      <c r="W54" t="n">
        <v>50</v>
      </c>
      <c r="X54" t="n">
        <v>0</v>
      </c>
      <c r="Y54" t="n">
        <v>0</v>
      </c>
      <c r="Z54" t="n">
        <v>0</v>
      </c>
      <c r="AA54" t="n">
        <v>1170</v>
      </c>
      <c r="AB54" t="n">
        <v>7</v>
      </c>
      <c r="AC54" t="n">
        <v>1</v>
      </c>
      <c r="AD54" t="n">
        <v>400</v>
      </c>
      <c r="AE54" t="n">
        <v>75</v>
      </c>
      <c r="AF54" t="n">
        <v>130</v>
      </c>
      <c r="AG54" t="n">
        <v>290</v>
      </c>
      <c r="AH54" t="n">
        <v>120</v>
      </c>
      <c r="AI54" t="n">
        <v>30</v>
      </c>
      <c r="AJ54" t="n">
        <v>3100</v>
      </c>
      <c r="AK54" t="n">
        <v>4000</v>
      </c>
      <c r="AL54" t="n">
        <v>700</v>
      </c>
      <c r="AM54" t="n">
        <v>3000</v>
      </c>
      <c r="AN54" t="n">
        <v>170</v>
      </c>
      <c r="AO54" t="n">
        <v>1</v>
      </c>
      <c r="AP54" t="n">
        <v>0</v>
      </c>
      <c r="AQ54" t="n">
        <v>0</v>
      </c>
      <c r="AR54" t="n">
        <v>0</v>
      </c>
      <c r="AS54" t="n">
        <v>0</v>
      </c>
      <c r="AT54" t="n">
        <v>71</v>
      </c>
      <c r="AU54" t="n">
        <v>71</v>
      </c>
      <c r="AV54" t="n">
        <v>0</v>
      </c>
      <c r="AW54" t="n">
        <v>142</v>
      </c>
      <c r="AX54" t="n">
        <v>284</v>
      </c>
      <c r="AY54" t="n">
        <v>0</v>
      </c>
      <c r="AZ54" t="n">
        <v>0</v>
      </c>
      <c r="BA54" t="n">
        <v>284</v>
      </c>
      <c r="BB54" t="n">
        <v>0</v>
      </c>
      <c r="BC54" t="n">
        <v>0</v>
      </c>
      <c r="BD54" t="n">
        <v>0</v>
      </c>
      <c r="BE54" t="n">
        <v>70574</v>
      </c>
      <c r="BF54" t="n">
        <v>70574</v>
      </c>
      <c r="BG54">
        <f>IF($F54=0,"0",MIN(
BH54/(30*$F54),
BI54/(61*$F54),
BJ54/(48*$F54),
(BK54+BL54)/(23*$F54),
(BM54+BN54)/(41*$F54),
BO54/(25*$F54),
BP54/(6.6*$F54),
BQ54/(40*$F54),
BS54/(16*$F54)
)*100)</f>
        <v/>
      </c>
      <c r="BH54" t="n">
        <v>336</v>
      </c>
      <c r="BI54" t="n">
        <v>535</v>
      </c>
      <c r="BJ54" t="n">
        <v>499</v>
      </c>
      <c r="BK54" t="n">
        <v>154</v>
      </c>
      <c r="BL54" t="n">
        <v>181</v>
      </c>
      <c r="BM54" t="n">
        <v>345</v>
      </c>
      <c r="BN54" t="n">
        <v>181</v>
      </c>
      <c r="BO54" t="n">
        <v>354</v>
      </c>
      <c r="BP54" t="n">
        <v>127</v>
      </c>
      <c r="BQ54" t="n">
        <v>499</v>
      </c>
      <c r="BR54" t="n">
        <v>717</v>
      </c>
      <c r="BS54" t="n">
        <v>190</v>
      </c>
      <c r="BT54" t="n">
        <v>4118</v>
      </c>
      <c r="BU54" t="n">
        <v>435</v>
      </c>
      <c r="BV54" t="n">
        <v>816</v>
      </c>
      <c r="BW54" t="n">
        <v>1541</v>
      </c>
      <c r="BX54" t="n">
        <v>590</v>
      </c>
      <c r="BY54" t="n">
        <v>381</v>
      </c>
      <c r="BZ54" t="n">
        <v>463</v>
      </c>
      <c r="CA54" t="n">
        <v>4226</v>
      </c>
      <c r="CB54" t="n">
        <v>150</v>
      </c>
      <c r="CC54" t="n">
        <v>63</v>
      </c>
      <c r="CD54" t="n">
        <v>78</v>
      </c>
      <c r="CE54" t="n">
        <v>473</v>
      </c>
      <c r="CF54" t="n">
        <v>6.06</v>
      </c>
      <c r="CG54" t="n">
        <v>0</v>
      </c>
      <c r="CH54" t="n">
        <v>0</v>
      </c>
      <c r="CI54" t="n">
        <v>0</v>
      </c>
      <c r="CJ54" t="n">
        <v>0</v>
      </c>
      <c r="CK54" t="n">
        <v>0</v>
      </c>
      <c r="CL54" t="n">
        <v>7</v>
      </c>
      <c r="CM54" t="n">
        <v>0</v>
      </c>
      <c r="CN54" t="n">
        <v>231</v>
      </c>
      <c r="CO54" t="n">
        <v>0</v>
      </c>
      <c r="CP54" t="n">
        <v>31</v>
      </c>
      <c r="CQ54" t="n">
        <v>26</v>
      </c>
      <c r="CR54" t="n">
        <v>0</v>
      </c>
      <c r="CS54" t="n">
        <v>0</v>
      </c>
      <c r="CT54" t="n">
        <v>295</v>
      </c>
      <c r="CU54" t="n">
        <v>0</v>
      </c>
      <c r="CV54" t="n">
        <v>0</v>
      </c>
      <c r="CW54" t="n">
        <v>0</v>
      </c>
      <c r="CX54" t="n">
        <v>0</v>
      </c>
      <c r="CY54" t="n">
        <v>514</v>
      </c>
      <c r="CZ54" t="n">
        <v>0</v>
      </c>
      <c r="DA54" t="n">
        <v>0</v>
      </c>
      <c r="DB54" t="n">
        <v>0</v>
      </c>
      <c r="DC54" t="n">
        <v>514</v>
      </c>
      <c r="DD54" t="n">
        <v>0</v>
      </c>
      <c r="DE54" t="n">
        <v>0</v>
      </c>
      <c r="DF54" t="n">
        <v>473</v>
      </c>
      <c r="DG54" t="n">
        <v>78</v>
      </c>
      <c r="DH54" t="n">
        <v>0</v>
      </c>
      <c r="DI54" t="n">
        <v>0</v>
      </c>
      <c r="DJ54" t="n">
        <v>0</v>
      </c>
      <c r="DK54" t="n">
        <v>0</v>
      </c>
      <c r="DL54" t="n">
        <v>0</v>
      </c>
      <c r="DM54" t="n">
        <v>0</v>
      </c>
      <c r="DN54" t="n">
        <v>0</v>
      </c>
      <c r="DO54" t="n">
        <v>0</v>
      </c>
      <c r="DP54" t="n">
        <v>0</v>
      </c>
      <c r="DQ54" t="n">
        <v>0</v>
      </c>
      <c r="DR54" t="n">
        <v>0</v>
      </c>
      <c r="DS54" t="n">
        <v>551</v>
      </c>
      <c r="DT54" t="n">
        <v>1360</v>
      </c>
      <c r="DU54" t="n">
        <v>340</v>
      </c>
      <c r="DV54" t="n">
        <v>0</v>
      </c>
      <c r="DW54" t="n">
        <v>0</v>
      </c>
      <c r="DX54" t="n">
        <v>0</v>
      </c>
      <c r="DY54" t="n">
        <v>1139</v>
      </c>
      <c r="DZ54" t="n">
        <v>5099</v>
      </c>
      <c r="EA54" t="n">
        <v>1584</v>
      </c>
      <c r="EB54" t="n">
        <v>1287</v>
      </c>
      <c r="EC54" t="n">
        <v>792</v>
      </c>
      <c r="ED54" t="n">
        <v>4257</v>
      </c>
      <c r="EE54" t="n">
        <v>5644</v>
      </c>
      <c r="EF54" t="n">
        <v>0</v>
      </c>
      <c r="EG54" t="n">
        <v>0</v>
      </c>
      <c r="EH54" t="n">
        <v>1.7</v>
      </c>
      <c r="EI54" t="n">
        <v>5.6</v>
      </c>
      <c r="EJ54" t="n">
        <v>1.7</v>
      </c>
      <c r="EK54" t="n">
        <v>8.800000000000001</v>
      </c>
    </row>
    <row r="55">
      <c r="A55">
        <f>[1]ingredient!B54</f>
        <v/>
      </c>
      <c r="B55" t="inlineStr">
        <is>
          <t>https://www.naehrwertrechner.de/naehrwerte/C119111/Bulgur/?menge=100</t>
        </is>
      </c>
      <c r="C55" s="7">
        <f>_xlfn.XLOOKUP(A55,[1]ingredient!$B$2:$B$521,[1]ingredient!$A$2:$A$521)</f>
        <v/>
      </c>
      <c r="D55" t="n">
        <v>325</v>
      </c>
      <c r="E55" t="n">
        <v>1</v>
      </c>
      <c r="F55" t="n">
        <v>9</v>
      </c>
      <c r="G55" t="n">
        <v>69</v>
      </c>
      <c r="H55" t="n">
        <v>10</v>
      </c>
      <c r="I55" t="n">
        <v>1</v>
      </c>
      <c r="J55" t="n">
        <v>0.03</v>
      </c>
      <c r="K55" t="n">
        <v>9</v>
      </c>
      <c r="L55" t="n">
        <v>0</v>
      </c>
      <c r="M55" t="n">
        <v>0</v>
      </c>
      <c r="N55" t="n">
        <v>0</v>
      </c>
      <c r="O55" t="n">
        <v>0</v>
      </c>
      <c r="P55" t="n">
        <v>300</v>
      </c>
      <c r="Q55" t="n">
        <v>100</v>
      </c>
      <c r="R55" t="n">
        <v>4200</v>
      </c>
      <c r="S55" t="n">
        <v>5700</v>
      </c>
      <c r="T55" t="n">
        <v>1000</v>
      </c>
      <c r="U55" t="n">
        <v>400</v>
      </c>
      <c r="V55" t="n">
        <v>5</v>
      </c>
      <c r="W55" t="n">
        <v>30</v>
      </c>
      <c r="X55" t="n">
        <v>0</v>
      </c>
      <c r="Y55" t="n">
        <v>0</v>
      </c>
      <c r="Z55" t="n">
        <v>0</v>
      </c>
      <c r="AA55" t="n">
        <v>677</v>
      </c>
      <c r="AB55" t="n">
        <v>17</v>
      </c>
      <c r="AC55" t="n">
        <v>5</v>
      </c>
      <c r="AD55" t="n">
        <v>262</v>
      </c>
      <c r="AE55" t="n">
        <v>30</v>
      </c>
      <c r="AF55" t="n">
        <v>140</v>
      </c>
      <c r="AG55" t="n">
        <v>319</v>
      </c>
      <c r="AH55" t="n">
        <v>100</v>
      </c>
      <c r="AI55" t="n">
        <v>22</v>
      </c>
      <c r="AJ55" t="n">
        <v>4700</v>
      </c>
      <c r="AK55" t="n">
        <v>3000</v>
      </c>
      <c r="AL55" t="n">
        <v>560</v>
      </c>
      <c r="AM55" t="n">
        <v>2000</v>
      </c>
      <c r="AN55" t="n">
        <v>50</v>
      </c>
      <c r="AO55" t="n">
        <v>0.2</v>
      </c>
      <c r="AP55" t="n">
        <v>0</v>
      </c>
      <c r="AQ55" t="n">
        <v>0</v>
      </c>
      <c r="AR55" t="n">
        <v>0</v>
      </c>
      <c r="AS55" t="n">
        <v>0</v>
      </c>
      <c r="AT55" t="n">
        <v>69</v>
      </c>
      <c r="AU55" t="n">
        <v>69</v>
      </c>
      <c r="AV55" t="n">
        <v>0</v>
      </c>
      <c r="AW55" t="n">
        <v>138</v>
      </c>
      <c r="AX55" t="n">
        <v>689</v>
      </c>
      <c r="AY55" t="n">
        <v>0</v>
      </c>
      <c r="AZ55" t="n">
        <v>0</v>
      </c>
      <c r="BA55" t="n">
        <v>689</v>
      </c>
      <c r="BB55" t="n">
        <v>413</v>
      </c>
      <c r="BC55" t="n">
        <v>0</v>
      </c>
      <c r="BD55" t="n">
        <v>0</v>
      </c>
      <c r="BE55" t="n">
        <v>67670</v>
      </c>
      <c r="BF55" t="n">
        <v>67670</v>
      </c>
      <c r="BG55">
        <f>IF($F55=0,"0",MIN(
BH55/(30*$F55),
BI55/(61*$F55),
BJ55/(48*$F55),
(BK55+BL55)/(23*$F55),
(BM55+BN55)/(41*$F55),
BO55/(25*$F55),
BP55/(6.6*$F55),
BQ55/(40*$F55),
BS55/(16*$F55)
)*100)</f>
        <v/>
      </c>
      <c r="BH55" t="n">
        <v>351</v>
      </c>
      <c r="BI55" t="n">
        <v>603</v>
      </c>
      <c r="BJ55" t="n">
        <v>243</v>
      </c>
      <c r="BK55" t="n">
        <v>135</v>
      </c>
      <c r="BL55" t="n">
        <v>180</v>
      </c>
      <c r="BM55" t="n">
        <v>414</v>
      </c>
      <c r="BN55" t="n">
        <v>270</v>
      </c>
      <c r="BO55" t="n">
        <v>261</v>
      </c>
      <c r="BP55" t="n">
        <v>90</v>
      </c>
      <c r="BQ55" t="n">
        <v>405</v>
      </c>
      <c r="BR55" t="n">
        <v>405</v>
      </c>
      <c r="BS55" t="n">
        <v>171</v>
      </c>
      <c r="BT55" t="n">
        <v>3528</v>
      </c>
      <c r="BU55" t="n">
        <v>315</v>
      </c>
      <c r="BV55" t="n">
        <v>441</v>
      </c>
      <c r="BW55" t="n">
        <v>2727</v>
      </c>
      <c r="BX55" t="n">
        <v>414</v>
      </c>
      <c r="BY55" t="n">
        <v>1026</v>
      </c>
      <c r="BZ55" t="n">
        <v>459</v>
      </c>
      <c r="CA55" t="n">
        <v>5382</v>
      </c>
      <c r="CB55" t="n">
        <v>69</v>
      </c>
      <c r="CC55" t="n">
        <v>29</v>
      </c>
      <c r="CD55" t="n">
        <v>29</v>
      </c>
      <c r="CE55" t="n">
        <v>428</v>
      </c>
      <c r="CF55" t="n">
        <v>14.76</v>
      </c>
      <c r="CG55" t="n">
        <v>0</v>
      </c>
      <c r="CH55" t="n">
        <v>0</v>
      </c>
      <c r="CI55" t="n">
        <v>0</v>
      </c>
      <c r="CJ55" t="n">
        <v>0</v>
      </c>
      <c r="CK55" t="n">
        <v>1</v>
      </c>
      <c r="CL55" t="n">
        <v>1</v>
      </c>
      <c r="CM55" t="n">
        <v>1</v>
      </c>
      <c r="CN55" t="n">
        <v>130</v>
      </c>
      <c r="CO55" t="n">
        <v>0</v>
      </c>
      <c r="CP55" t="n">
        <v>7</v>
      </c>
      <c r="CQ55" t="n">
        <v>6</v>
      </c>
      <c r="CR55" t="n">
        <v>0</v>
      </c>
      <c r="CS55" t="n">
        <v>0</v>
      </c>
      <c r="CT55" t="n">
        <v>146</v>
      </c>
      <c r="CU55" t="n">
        <v>0</v>
      </c>
      <c r="CV55" t="n">
        <v>0</v>
      </c>
      <c r="CW55" t="n">
        <v>4</v>
      </c>
      <c r="CX55" t="n">
        <v>0</v>
      </c>
      <c r="CY55" t="n">
        <v>110</v>
      </c>
      <c r="CZ55" t="n">
        <v>3</v>
      </c>
      <c r="DA55" t="n">
        <v>0</v>
      </c>
      <c r="DB55" t="n">
        <v>0</v>
      </c>
      <c r="DC55" t="n">
        <v>117</v>
      </c>
      <c r="DD55" t="n">
        <v>0</v>
      </c>
      <c r="DE55" t="n">
        <v>0</v>
      </c>
      <c r="DF55" t="n">
        <v>427</v>
      </c>
      <c r="DG55" t="n">
        <v>29</v>
      </c>
      <c r="DH55" t="n">
        <v>0</v>
      </c>
      <c r="DI55" t="n">
        <v>0</v>
      </c>
      <c r="DJ55" t="n">
        <v>0</v>
      </c>
      <c r="DK55" t="n">
        <v>0</v>
      </c>
      <c r="DL55" t="n">
        <v>1</v>
      </c>
      <c r="DM55" t="n">
        <v>0</v>
      </c>
      <c r="DN55" t="n">
        <v>0</v>
      </c>
      <c r="DO55" t="n">
        <v>0</v>
      </c>
      <c r="DP55" t="n">
        <v>0</v>
      </c>
      <c r="DQ55" t="n">
        <v>0</v>
      </c>
      <c r="DR55" t="n">
        <v>0</v>
      </c>
      <c r="DS55" t="n">
        <v>457</v>
      </c>
      <c r="DT55" t="n">
        <v>720</v>
      </c>
      <c r="DU55" t="n">
        <v>280</v>
      </c>
      <c r="DV55" t="n">
        <v>0</v>
      </c>
      <c r="DW55" t="n">
        <v>0</v>
      </c>
      <c r="DX55" t="n">
        <v>0</v>
      </c>
      <c r="DY55" t="n">
        <v>4120</v>
      </c>
      <c r="DZ55" t="n">
        <v>3090</v>
      </c>
      <c r="EA55" t="n">
        <v>721</v>
      </c>
      <c r="EB55" t="n">
        <v>1854</v>
      </c>
      <c r="EC55" t="n">
        <v>515</v>
      </c>
      <c r="ED55" t="n">
        <v>2575</v>
      </c>
      <c r="EE55" t="n">
        <v>7725</v>
      </c>
      <c r="EF55" t="n">
        <v>0</v>
      </c>
      <c r="EG55" t="n">
        <v>0</v>
      </c>
      <c r="EH55" t="n">
        <v>1.5</v>
      </c>
      <c r="EI55" t="n">
        <v>7.7</v>
      </c>
      <c r="EJ55" t="n">
        <v>1</v>
      </c>
      <c r="EK55" t="n">
        <v>9.1</v>
      </c>
    </row>
    <row r="56">
      <c r="A56">
        <f>[1]ingredient!B55</f>
        <v/>
      </c>
      <c r="B56" t="inlineStr">
        <is>
          <t>https://www.naehrwertrechner.de/naehrwerte/G711111/Buschbohnen+gr%C3%BCn+frisch/?menge=100</t>
        </is>
      </c>
      <c r="C56" s="7">
        <f>_xlfn.XLOOKUP(A56,[1]ingredient!$B$2:$B$521,[1]ingredient!$A$2:$A$521)</f>
        <v/>
      </c>
      <c r="D56" t="n">
        <v>25</v>
      </c>
      <c r="E56" t="n">
        <v>0.24</v>
      </c>
      <c r="F56" t="n">
        <v>2</v>
      </c>
      <c r="G56" t="n">
        <v>3</v>
      </c>
      <c r="H56" t="n">
        <v>3</v>
      </c>
      <c r="I56" t="n">
        <v>1</v>
      </c>
      <c r="J56" t="n">
        <v>0.02</v>
      </c>
      <c r="K56" t="n">
        <v>89</v>
      </c>
      <c r="L56" t="n">
        <v>56</v>
      </c>
      <c r="M56" t="n">
        <v>26</v>
      </c>
      <c r="N56" t="n">
        <v>0</v>
      </c>
      <c r="O56" t="n">
        <v>310</v>
      </c>
      <c r="P56" t="n">
        <v>81</v>
      </c>
      <c r="Q56" t="n">
        <v>120</v>
      </c>
      <c r="R56" t="n">
        <v>570</v>
      </c>
      <c r="S56" t="n">
        <v>1053</v>
      </c>
      <c r="T56" t="n">
        <v>500</v>
      </c>
      <c r="U56" t="n">
        <v>280</v>
      </c>
      <c r="V56" t="n">
        <v>7</v>
      </c>
      <c r="W56" t="n">
        <v>44</v>
      </c>
      <c r="X56" t="n">
        <v>0</v>
      </c>
      <c r="Y56" t="n">
        <v>20000</v>
      </c>
      <c r="Z56" t="n">
        <v>0</v>
      </c>
      <c r="AA56" t="n">
        <v>132</v>
      </c>
      <c r="AB56" t="n">
        <v>22</v>
      </c>
      <c r="AC56" t="n">
        <v>2</v>
      </c>
      <c r="AD56" t="n">
        <v>248</v>
      </c>
      <c r="AE56" t="n">
        <v>57</v>
      </c>
      <c r="AF56" t="n">
        <v>25</v>
      </c>
      <c r="AG56" t="n">
        <v>38</v>
      </c>
      <c r="AH56" t="n">
        <v>17</v>
      </c>
      <c r="AI56" t="n">
        <v>19</v>
      </c>
      <c r="AJ56" t="n">
        <v>830</v>
      </c>
      <c r="AK56" t="n">
        <v>336</v>
      </c>
      <c r="AL56" t="n">
        <v>84</v>
      </c>
      <c r="AM56" t="n">
        <v>380</v>
      </c>
      <c r="AN56" t="n">
        <v>12</v>
      </c>
      <c r="AO56" t="n">
        <v>3</v>
      </c>
      <c r="AP56" t="n">
        <v>0</v>
      </c>
      <c r="AQ56" t="n">
        <v>0</v>
      </c>
      <c r="AR56" t="n">
        <v>0</v>
      </c>
      <c r="AS56" t="n">
        <v>0</v>
      </c>
      <c r="AT56" t="n">
        <v>432</v>
      </c>
      <c r="AU56" t="n">
        <v>560</v>
      </c>
      <c r="AV56" t="n">
        <v>0</v>
      </c>
      <c r="AW56" t="n">
        <v>992</v>
      </c>
      <c r="AX56" t="n">
        <v>192</v>
      </c>
      <c r="AY56" t="n">
        <v>0</v>
      </c>
      <c r="AZ56" t="n">
        <v>0</v>
      </c>
      <c r="BA56" t="n">
        <v>192</v>
      </c>
      <c r="BB56" t="n">
        <v>640</v>
      </c>
      <c r="BC56" t="n">
        <v>1600</v>
      </c>
      <c r="BD56" t="n">
        <v>0</v>
      </c>
      <c r="BE56" t="n">
        <v>1280</v>
      </c>
      <c r="BF56" t="n">
        <v>1280</v>
      </c>
      <c r="BG56">
        <f>IF($F56=0,"0",MIN(
BH56/(30*$F56),
BI56/(61*$F56),
BJ56/(48*$F56),
(BK56+BL56)/(23*$F56),
(BM56+BN56)/(41*$F56),
BO56/(25*$F56),
BP56/(6.6*$F56),
BQ56/(40*$F56),
BS56/(16*$F56)
)*100)</f>
        <v/>
      </c>
      <c r="BH56" t="n">
        <v>96</v>
      </c>
      <c r="BI56" t="n">
        <v>151</v>
      </c>
      <c r="BJ56" t="n">
        <v>136</v>
      </c>
      <c r="BK56" t="n">
        <v>31</v>
      </c>
      <c r="BL56" t="n">
        <v>24</v>
      </c>
      <c r="BM56" t="n">
        <v>91</v>
      </c>
      <c r="BN56" t="n">
        <v>67</v>
      </c>
      <c r="BO56" t="n">
        <v>91</v>
      </c>
      <c r="BP56" t="n">
        <v>29</v>
      </c>
      <c r="BQ56" t="n">
        <v>127</v>
      </c>
      <c r="BR56" t="n">
        <v>100</v>
      </c>
      <c r="BS56" t="n">
        <v>53</v>
      </c>
      <c r="BT56" t="n">
        <v>996</v>
      </c>
      <c r="BU56" t="n">
        <v>105</v>
      </c>
      <c r="BV56" t="n">
        <v>287</v>
      </c>
      <c r="BW56" t="n">
        <v>256</v>
      </c>
      <c r="BX56" t="n">
        <v>91</v>
      </c>
      <c r="BY56" t="n">
        <v>96</v>
      </c>
      <c r="BZ56" t="n">
        <v>129</v>
      </c>
      <c r="CA56" t="n">
        <v>964</v>
      </c>
      <c r="CB56" t="n">
        <v>42</v>
      </c>
      <c r="CC56" t="n">
        <v>18</v>
      </c>
      <c r="CD56" t="n">
        <v>78</v>
      </c>
      <c r="CE56" t="n">
        <v>55</v>
      </c>
      <c r="CF56" t="n">
        <v>0.71</v>
      </c>
      <c r="CG56" t="n">
        <v>0</v>
      </c>
      <c r="CH56" t="n">
        <v>0</v>
      </c>
      <c r="CI56" t="n">
        <v>0</v>
      </c>
      <c r="CJ56" t="n">
        <v>0</v>
      </c>
      <c r="CK56" t="n">
        <v>0</v>
      </c>
      <c r="CL56" t="n">
        <v>0</v>
      </c>
      <c r="CM56" t="n">
        <v>0</v>
      </c>
      <c r="CN56" t="n">
        <v>43</v>
      </c>
      <c r="CO56" t="n">
        <v>0</v>
      </c>
      <c r="CP56" t="n">
        <v>8</v>
      </c>
      <c r="CQ56" t="n">
        <v>0</v>
      </c>
      <c r="CR56" t="n">
        <v>0</v>
      </c>
      <c r="CS56" t="n">
        <v>0</v>
      </c>
      <c r="CT56" t="n">
        <v>51</v>
      </c>
      <c r="CU56" t="n">
        <v>0</v>
      </c>
      <c r="CV56" t="n">
        <v>0</v>
      </c>
      <c r="CW56" t="n">
        <v>1</v>
      </c>
      <c r="CX56" t="n">
        <v>0</v>
      </c>
      <c r="CY56" t="n">
        <v>7</v>
      </c>
      <c r="CZ56" t="n">
        <v>0</v>
      </c>
      <c r="DA56" t="n">
        <v>0</v>
      </c>
      <c r="DB56" t="n">
        <v>0</v>
      </c>
      <c r="DC56" t="n">
        <v>8</v>
      </c>
      <c r="DD56" t="n">
        <v>0</v>
      </c>
      <c r="DE56" t="n">
        <v>0</v>
      </c>
      <c r="DF56" t="n">
        <v>55</v>
      </c>
      <c r="DG56" t="n">
        <v>78</v>
      </c>
      <c r="DH56" t="n">
        <v>0</v>
      </c>
      <c r="DI56" t="n">
        <v>0</v>
      </c>
      <c r="DJ56" t="n">
        <v>0</v>
      </c>
      <c r="DK56" t="n">
        <v>0</v>
      </c>
      <c r="DL56" t="n">
        <v>0</v>
      </c>
      <c r="DM56" t="n">
        <v>0</v>
      </c>
      <c r="DN56" t="n">
        <v>0</v>
      </c>
      <c r="DO56" t="n">
        <v>0</v>
      </c>
      <c r="DP56" t="n">
        <v>0</v>
      </c>
      <c r="DQ56" t="n">
        <v>0</v>
      </c>
      <c r="DR56" t="n">
        <v>0</v>
      </c>
      <c r="DS56" t="n">
        <v>133</v>
      </c>
      <c r="DT56" t="n">
        <v>192</v>
      </c>
      <c r="DU56" t="n">
        <v>48</v>
      </c>
      <c r="DV56" t="n">
        <v>0</v>
      </c>
      <c r="DW56" t="n">
        <v>0</v>
      </c>
      <c r="DX56" t="n">
        <v>0</v>
      </c>
      <c r="DY56" t="n">
        <v>390</v>
      </c>
      <c r="DZ56" t="n">
        <v>1050</v>
      </c>
      <c r="EA56" t="n">
        <v>390</v>
      </c>
      <c r="EB56" t="n">
        <v>1110</v>
      </c>
      <c r="EC56" t="n">
        <v>60</v>
      </c>
      <c r="ED56" t="n">
        <v>1500</v>
      </c>
      <c r="EE56" t="n">
        <v>1500</v>
      </c>
      <c r="EF56" t="n">
        <v>0</v>
      </c>
      <c r="EG56" t="n">
        <v>0.2</v>
      </c>
      <c r="EH56" t="n">
        <v>0.7</v>
      </c>
      <c r="EI56" t="n">
        <v>1.5</v>
      </c>
      <c r="EJ56" t="n">
        <v>0.2</v>
      </c>
      <c r="EK56" t="n">
        <v>2.1</v>
      </c>
    </row>
    <row r="57">
      <c r="A57">
        <f>[1]ingredient!B56</f>
        <v/>
      </c>
      <c r="B57" t="inlineStr">
        <is>
          <t>https://www.naehrwertrechner.de/naehrwerte/G711111/Buschbohnen+gr%C3%BCn+frisch/?menge=100</t>
        </is>
      </c>
      <c r="C57" s="7">
        <f>_xlfn.XLOOKUP(A57,[1]ingredient!$B$2:$B$521,[1]ingredient!$A$2:$A$521)</f>
        <v/>
      </c>
      <c r="D57" t="n">
        <v>25</v>
      </c>
      <c r="E57" t="n">
        <v>0.24</v>
      </c>
      <c r="F57" t="n">
        <v>2</v>
      </c>
      <c r="G57" t="n">
        <v>3</v>
      </c>
      <c r="H57" t="n">
        <v>3</v>
      </c>
      <c r="I57" t="n">
        <v>1</v>
      </c>
      <c r="J57" t="n">
        <v>0.02</v>
      </c>
      <c r="K57" t="n">
        <v>89</v>
      </c>
      <c r="L57" t="n">
        <v>56</v>
      </c>
      <c r="M57" t="n">
        <v>26</v>
      </c>
      <c r="N57" t="n">
        <v>0</v>
      </c>
      <c r="O57" t="n">
        <v>310</v>
      </c>
      <c r="P57" t="n">
        <v>81</v>
      </c>
      <c r="Q57" t="n">
        <v>120</v>
      </c>
      <c r="R57" t="n">
        <v>570</v>
      </c>
      <c r="S57" t="n">
        <v>1053</v>
      </c>
      <c r="T57" t="n">
        <v>500</v>
      </c>
      <c r="U57" t="n">
        <v>280</v>
      </c>
      <c r="V57" t="n">
        <v>7</v>
      </c>
      <c r="W57" t="n">
        <v>44</v>
      </c>
      <c r="X57" t="n">
        <v>0</v>
      </c>
      <c r="Y57" t="n">
        <v>20000</v>
      </c>
      <c r="Z57" t="n">
        <v>0</v>
      </c>
      <c r="AA57" t="n">
        <v>132</v>
      </c>
      <c r="AB57" t="n">
        <v>22</v>
      </c>
      <c r="AC57" t="n">
        <v>2</v>
      </c>
      <c r="AD57" t="n">
        <v>248</v>
      </c>
      <c r="AE57" t="n">
        <v>57</v>
      </c>
      <c r="AF57" t="n">
        <v>25</v>
      </c>
      <c r="AG57" t="n">
        <v>38</v>
      </c>
      <c r="AH57" t="n">
        <v>17</v>
      </c>
      <c r="AI57" t="n">
        <v>19</v>
      </c>
      <c r="AJ57" t="n">
        <v>830</v>
      </c>
      <c r="AK57" t="n">
        <v>336</v>
      </c>
      <c r="AL57" t="n">
        <v>84</v>
      </c>
      <c r="AM57" t="n">
        <v>380</v>
      </c>
      <c r="AN57" t="n">
        <v>12</v>
      </c>
      <c r="AO57" t="n">
        <v>3</v>
      </c>
      <c r="AP57" t="n">
        <v>0</v>
      </c>
      <c r="AQ57" t="n">
        <v>0</v>
      </c>
      <c r="AR57" t="n">
        <v>0</v>
      </c>
      <c r="AS57" t="n">
        <v>0</v>
      </c>
      <c r="AT57" t="n">
        <v>432</v>
      </c>
      <c r="AU57" t="n">
        <v>560</v>
      </c>
      <c r="AV57" t="n">
        <v>0</v>
      </c>
      <c r="AW57" t="n">
        <v>992</v>
      </c>
      <c r="AX57" t="n">
        <v>192</v>
      </c>
      <c r="AY57" t="n">
        <v>0</v>
      </c>
      <c r="AZ57" t="n">
        <v>0</v>
      </c>
      <c r="BA57" t="n">
        <v>192</v>
      </c>
      <c r="BB57" t="n">
        <v>640</v>
      </c>
      <c r="BC57" t="n">
        <v>1600</v>
      </c>
      <c r="BD57" t="n">
        <v>0</v>
      </c>
      <c r="BE57" t="n">
        <v>1280</v>
      </c>
      <c r="BF57" t="n">
        <v>1280</v>
      </c>
      <c r="BG57">
        <f>IF($F57=0,"0",MIN(
BH57/(30*$F57),
BI57/(61*$F57),
BJ57/(48*$F57),
(BK57+BL57)/(23*$F57),
(BM57+BN57)/(41*$F57),
BO57/(25*$F57),
BP57/(6.6*$F57),
BQ57/(40*$F57),
BS57/(16*$F57)
)*100)</f>
        <v/>
      </c>
      <c r="BH57" t="n">
        <v>96</v>
      </c>
      <c r="BI57" t="n">
        <v>151</v>
      </c>
      <c r="BJ57" t="n">
        <v>136</v>
      </c>
      <c r="BK57" t="n">
        <v>31</v>
      </c>
      <c r="BL57" t="n">
        <v>24</v>
      </c>
      <c r="BM57" t="n">
        <v>91</v>
      </c>
      <c r="BN57" t="n">
        <v>67</v>
      </c>
      <c r="BO57" t="n">
        <v>91</v>
      </c>
      <c r="BP57" t="n">
        <v>29</v>
      </c>
      <c r="BQ57" t="n">
        <v>127</v>
      </c>
      <c r="BR57" t="n">
        <v>100</v>
      </c>
      <c r="BS57" t="n">
        <v>53</v>
      </c>
      <c r="BT57" t="n">
        <v>996</v>
      </c>
      <c r="BU57" t="n">
        <v>105</v>
      </c>
      <c r="BV57" t="n">
        <v>287</v>
      </c>
      <c r="BW57" t="n">
        <v>256</v>
      </c>
      <c r="BX57" t="n">
        <v>91</v>
      </c>
      <c r="BY57" t="n">
        <v>96</v>
      </c>
      <c r="BZ57" t="n">
        <v>129</v>
      </c>
      <c r="CA57" t="n">
        <v>964</v>
      </c>
      <c r="CB57" t="n">
        <v>42</v>
      </c>
      <c r="CC57" t="n">
        <v>18</v>
      </c>
      <c r="CD57" t="n">
        <v>78</v>
      </c>
      <c r="CE57" t="n">
        <v>55</v>
      </c>
      <c r="CF57" t="n">
        <v>0.71</v>
      </c>
      <c r="CG57" t="n">
        <v>0</v>
      </c>
      <c r="CH57" t="n">
        <v>0</v>
      </c>
      <c r="CI57" t="n">
        <v>0</v>
      </c>
      <c r="CJ57" t="n">
        <v>0</v>
      </c>
      <c r="CK57" t="n">
        <v>0</v>
      </c>
      <c r="CL57" t="n">
        <v>0</v>
      </c>
      <c r="CM57" t="n">
        <v>0</v>
      </c>
      <c r="CN57" t="n">
        <v>43</v>
      </c>
      <c r="CO57" t="n">
        <v>0</v>
      </c>
      <c r="CP57" t="n">
        <v>8</v>
      </c>
      <c r="CQ57" t="n">
        <v>0</v>
      </c>
      <c r="CR57" t="n">
        <v>0</v>
      </c>
      <c r="CS57" t="n">
        <v>0</v>
      </c>
      <c r="CT57" t="n">
        <v>51</v>
      </c>
      <c r="CU57" t="n">
        <v>0</v>
      </c>
      <c r="CV57" t="n">
        <v>0</v>
      </c>
      <c r="CW57" t="n">
        <v>1</v>
      </c>
      <c r="CX57" t="n">
        <v>0</v>
      </c>
      <c r="CY57" t="n">
        <v>7</v>
      </c>
      <c r="CZ57" t="n">
        <v>0</v>
      </c>
      <c r="DA57" t="n">
        <v>0</v>
      </c>
      <c r="DB57" t="n">
        <v>0</v>
      </c>
      <c r="DC57" t="n">
        <v>8</v>
      </c>
      <c r="DD57" t="n">
        <v>0</v>
      </c>
      <c r="DE57" t="n">
        <v>0</v>
      </c>
      <c r="DF57" t="n">
        <v>55</v>
      </c>
      <c r="DG57" t="n">
        <v>78</v>
      </c>
      <c r="DH57" t="n">
        <v>0</v>
      </c>
      <c r="DI57" t="n">
        <v>0</v>
      </c>
      <c r="DJ57" t="n">
        <v>0</v>
      </c>
      <c r="DK57" t="n">
        <v>0</v>
      </c>
      <c r="DL57" t="n">
        <v>0</v>
      </c>
      <c r="DM57" t="n">
        <v>0</v>
      </c>
      <c r="DN57" t="n">
        <v>0</v>
      </c>
      <c r="DO57" t="n">
        <v>0</v>
      </c>
      <c r="DP57" t="n">
        <v>0</v>
      </c>
      <c r="DQ57" t="n">
        <v>0</v>
      </c>
      <c r="DR57" t="n">
        <v>0</v>
      </c>
      <c r="DS57" t="n">
        <v>133</v>
      </c>
      <c r="DT57" t="n">
        <v>192</v>
      </c>
      <c r="DU57" t="n">
        <v>48</v>
      </c>
      <c r="DV57" t="n">
        <v>0</v>
      </c>
      <c r="DW57" t="n">
        <v>0</v>
      </c>
      <c r="DX57" t="n">
        <v>0</v>
      </c>
      <c r="DY57" t="n">
        <v>390</v>
      </c>
      <c r="DZ57" t="n">
        <v>1050</v>
      </c>
      <c r="EA57" t="n">
        <v>390</v>
      </c>
      <c r="EB57" t="n">
        <v>1110</v>
      </c>
      <c r="EC57" t="n">
        <v>60</v>
      </c>
      <c r="ED57" t="n">
        <v>1500</v>
      </c>
      <c r="EE57" t="n">
        <v>1500</v>
      </c>
      <c r="EF57" t="n">
        <v>0</v>
      </c>
      <c r="EG57" t="n">
        <v>0.2</v>
      </c>
      <c r="EH57" t="n">
        <v>0.7</v>
      </c>
      <c r="EI57" t="n">
        <v>1.5</v>
      </c>
      <c r="EJ57" t="n">
        <v>0.2</v>
      </c>
      <c r="EK57" t="n">
        <v>2.1</v>
      </c>
    </row>
    <row r="58">
      <c r="A58">
        <f>[1]ingredient!B57</f>
        <v/>
      </c>
      <c r="B58" t="inlineStr">
        <is>
          <t>https://www.naehrwertrechner.de/naehrwerte/G711111/Buschbohnen+gr%C3%BCn+frisch/?menge=100</t>
        </is>
      </c>
      <c r="C58" s="7">
        <f>_xlfn.XLOOKUP(A58,[1]ingredient!$B$2:$B$521,[1]ingredient!$A$2:$A$521)</f>
        <v/>
      </c>
      <c r="D58" t="n">
        <v>25</v>
      </c>
      <c r="E58" t="n">
        <v>0.24</v>
      </c>
      <c r="F58" t="n">
        <v>2</v>
      </c>
      <c r="G58" t="n">
        <v>3</v>
      </c>
      <c r="H58" t="n">
        <v>3</v>
      </c>
      <c r="I58" t="n">
        <v>1</v>
      </c>
      <c r="J58" t="n">
        <v>0.02</v>
      </c>
      <c r="K58" t="n">
        <v>89</v>
      </c>
      <c r="L58" t="n">
        <v>56</v>
      </c>
      <c r="M58" t="n">
        <v>26</v>
      </c>
      <c r="N58" t="n">
        <v>0</v>
      </c>
      <c r="O58" t="n">
        <v>310</v>
      </c>
      <c r="P58" t="n">
        <v>81</v>
      </c>
      <c r="Q58" t="n">
        <v>120</v>
      </c>
      <c r="R58" t="n">
        <v>570</v>
      </c>
      <c r="S58" t="n">
        <v>1053</v>
      </c>
      <c r="T58" t="n">
        <v>500</v>
      </c>
      <c r="U58" t="n">
        <v>280</v>
      </c>
      <c r="V58" t="n">
        <v>7</v>
      </c>
      <c r="W58" t="n">
        <v>44</v>
      </c>
      <c r="X58" t="n">
        <v>0</v>
      </c>
      <c r="Y58" t="n">
        <v>20000</v>
      </c>
      <c r="Z58" t="n">
        <v>0</v>
      </c>
      <c r="AA58" t="n">
        <v>132</v>
      </c>
      <c r="AB58" t="n">
        <v>22</v>
      </c>
      <c r="AC58" t="n">
        <v>2</v>
      </c>
      <c r="AD58" t="n">
        <v>248</v>
      </c>
      <c r="AE58" t="n">
        <v>57</v>
      </c>
      <c r="AF58" t="n">
        <v>25</v>
      </c>
      <c r="AG58" t="n">
        <v>38</v>
      </c>
      <c r="AH58" t="n">
        <v>17</v>
      </c>
      <c r="AI58" t="n">
        <v>19</v>
      </c>
      <c r="AJ58" t="n">
        <v>830</v>
      </c>
      <c r="AK58" t="n">
        <v>336</v>
      </c>
      <c r="AL58" t="n">
        <v>84</v>
      </c>
      <c r="AM58" t="n">
        <v>380</v>
      </c>
      <c r="AN58" t="n">
        <v>12</v>
      </c>
      <c r="AO58" t="n">
        <v>3</v>
      </c>
      <c r="AP58" t="n">
        <v>0</v>
      </c>
      <c r="AQ58" t="n">
        <v>0</v>
      </c>
      <c r="AR58" t="n">
        <v>0</v>
      </c>
      <c r="AS58" t="n">
        <v>0</v>
      </c>
      <c r="AT58" t="n">
        <v>432</v>
      </c>
      <c r="AU58" t="n">
        <v>560</v>
      </c>
      <c r="AV58" t="n">
        <v>0</v>
      </c>
      <c r="AW58" t="n">
        <v>992</v>
      </c>
      <c r="AX58" t="n">
        <v>192</v>
      </c>
      <c r="AY58" t="n">
        <v>0</v>
      </c>
      <c r="AZ58" t="n">
        <v>0</v>
      </c>
      <c r="BA58" t="n">
        <v>192</v>
      </c>
      <c r="BB58" t="n">
        <v>640</v>
      </c>
      <c r="BC58" t="n">
        <v>1600</v>
      </c>
      <c r="BD58" t="n">
        <v>0</v>
      </c>
      <c r="BE58" t="n">
        <v>1280</v>
      </c>
      <c r="BF58" t="n">
        <v>1280</v>
      </c>
      <c r="BG58">
        <f>IF($F58=0,"0",MIN(
BH58/(30*$F58),
BI58/(61*$F58),
BJ58/(48*$F58),
(BK58+BL58)/(23*$F58),
(BM58+BN58)/(41*$F58),
BO58/(25*$F58),
BP58/(6.6*$F58),
BQ58/(40*$F58),
BS58/(16*$F58)
)*100)</f>
        <v/>
      </c>
      <c r="BH58" t="n">
        <v>96</v>
      </c>
      <c r="BI58" t="n">
        <v>151</v>
      </c>
      <c r="BJ58" t="n">
        <v>136</v>
      </c>
      <c r="BK58" t="n">
        <v>31</v>
      </c>
      <c r="BL58" t="n">
        <v>24</v>
      </c>
      <c r="BM58" t="n">
        <v>91</v>
      </c>
      <c r="BN58" t="n">
        <v>67</v>
      </c>
      <c r="BO58" t="n">
        <v>91</v>
      </c>
      <c r="BP58" t="n">
        <v>29</v>
      </c>
      <c r="BQ58" t="n">
        <v>127</v>
      </c>
      <c r="BR58" t="n">
        <v>100</v>
      </c>
      <c r="BS58" t="n">
        <v>53</v>
      </c>
      <c r="BT58" t="n">
        <v>996</v>
      </c>
      <c r="BU58" t="n">
        <v>105</v>
      </c>
      <c r="BV58" t="n">
        <v>287</v>
      </c>
      <c r="BW58" t="n">
        <v>256</v>
      </c>
      <c r="BX58" t="n">
        <v>91</v>
      </c>
      <c r="BY58" t="n">
        <v>96</v>
      </c>
      <c r="BZ58" t="n">
        <v>129</v>
      </c>
      <c r="CA58" t="n">
        <v>964</v>
      </c>
      <c r="CB58" t="n">
        <v>42</v>
      </c>
      <c r="CC58" t="n">
        <v>18</v>
      </c>
      <c r="CD58" t="n">
        <v>78</v>
      </c>
      <c r="CE58" t="n">
        <v>55</v>
      </c>
      <c r="CF58" t="n">
        <v>0.71</v>
      </c>
      <c r="CG58" t="n">
        <v>0</v>
      </c>
      <c r="CH58" t="n">
        <v>0</v>
      </c>
      <c r="CI58" t="n">
        <v>0</v>
      </c>
      <c r="CJ58" t="n">
        <v>0</v>
      </c>
      <c r="CK58" t="n">
        <v>0</v>
      </c>
      <c r="CL58" t="n">
        <v>0</v>
      </c>
      <c r="CM58" t="n">
        <v>0</v>
      </c>
      <c r="CN58" t="n">
        <v>43</v>
      </c>
      <c r="CO58" t="n">
        <v>0</v>
      </c>
      <c r="CP58" t="n">
        <v>8</v>
      </c>
      <c r="CQ58" t="n">
        <v>0</v>
      </c>
      <c r="CR58" t="n">
        <v>0</v>
      </c>
      <c r="CS58" t="n">
        <v>0</v>
      </c>
      <c r="CT58" t="n">
        <v>51</v>
      </c>
      <c r="CU58" t="n">
        <v>0</v>
      </c>
      <c r="CV58" t="n">
        <v>0</v>
      </c>
      <c r="CW58" t="n">
        <v>1</v>
      </c>
      <c r="CX58" t="n">
        <v>0</v>
      </c>
      <c r="CY58" t="n">
        <v>7</v>
      </c>
      <c r="CZ58" t="n">
        <v>0</v>
      </c>
      <c r="DA58" t="n">
        <v>0</v>
      </c>
      <c r="DB58" t="n">
        <v>0</v>
      </c>
      <c r="DC58" t="n">
        <v>8</v>
      </c>
      <c r="DD58" t="n">
        <v>0</v>
      </c>
      <c r="DE58" t="n">
        <v>0</v>
      </c>
      <c r="DF58" t="n">
        <v>55</v>
      </c>
      <c r="DG58" t="n">
        <v>78</v>
      </c>
      <c r="DH58" t="n">
        <v>0</v>
      </c>
      <c r="DI58" t="n">
        <v>0</v>
      </c>
      <c r="DJ58" t="n">
        <v>0</v>
      </c>
      <c r="DK58" t="n">
        <v>0</v>
      </c>
      <c r="DL58" t="n">
        <v>0</v>
      </c>
      <c r="DM58" t="n">
        <v>0</v>
      </c>
      <c r="DN58" t="n">
        <v>0</v>
      </c>
      <c r="DO58" t="n">
        <v>0</v>
      </c>
      <c r="DP58" t="n">
        <v>0</v>
      </c>
      <c r="DQ58" t="n">
        <v>0</v>
      </c>
      <c r="DR58" t="n">
        <v>0</v>
      </c>
      <c r="DS58" t="n">
        <v>133</v>
      </c>
      <c r="DT58" t="n">
        <v>192</v>
      </c>
      <c r="DU58" t="n">
        <v>48</v>
      </c>
      <c r="DV58" t="n">
        <v>0</v>
      </c>
      <c r="DW58" t="n">
        <v>0</v>
      </c>
      <c r="DX58" t="n">
        <v>0</v>
      </c>
      <c r="DY58" t="n">
        <v>390</v>
      </c>
      <c r="DZ58" t="n">
        <v>1050</v>
      </c>
      <c r="EA58" t="n">
        <v>390</v>
      </c>
      <c r="EB58" t="n">
        <v>1110</v>
      </c>
      <c r="EC58" t="n">
        <v>60</v>
      </c>
      <c r="ED58" t="n">
        <v>1500</v>
      </c>
      <c r="EE58" t="n">
        <v>1500</v>
      </c>
      <c r="EF58" t="n">
        <v>0</v>
      </c>
      <c r="EG58" t="n">
        <v>0.2</v>
      </c>
      <c r="EH58" t="n">
        <v>0.7</v>
      </c>
      <c r="EI58" t="n">
        <v>1.5</v>
      </c>
      <c r="EJ58" t="n">
        <v>0.2</v>
      </c>
      <c r="EK58" t="n">
        <v>2.1</v>
      </c>
    </row>
    <row r="59">
      <c r="A59">
        <f>[1]ingredient!B58</f>
        <v/>
      </c>
      <c r="B59" t="inlineStr">
        <is>
          <t>https://www.naehrwertrechner.de/naehrwerte/G711111/Buschbohnen+gr%C3%BCn+frisch/?menge=100</t>
        </is>
      </c>
      <c r="C59" s="7">
        <f>_xlfn.XLOOKUP(A59,[1]ingredient!$B$2:$B$521,[1]ingredient!$A$2:$A$521)</f>
        <v/>
      </c>
      <c r="D59" t="n">
        <v>25</v>
      </c>
      <c r="E59" t="n">
        <v>0.24</v>
      </c>
      <c r="F59" t="n">
        <v>2</v>
      </c>
      <c r="G59" t="n">
        <v>3</v>
      </c>
      <c r="H59" t="n">
        <v>3</v>
      </c>
      <c r="I59" t="n">
        <v>1</v>
      </c>
      <c r="J59" t="n">
        <v>0.02</v>
      </c>
      <c r="K59" t="n">
        <v>89</v>
      </c>
      <c r="L59" t="n">
        <v>56</v>
      </c>
      <c r="M59" t="n">
        <v>26</v>
      </c>
      <c r="N59" t="n">
        <v>0</v>
      </c>
      <c r="O59" t="n">
        <v>310</v>
      </c>
      <c r="P59" t="n">
        <v>81</v>
      </c>
      <c r="Q59" t="n">
        <v>120</v>
      </c>
      <c r="R59" t="n">
        <v>570</v>
      </c>
      <c r="S59" t="n">
        <v>1053</v>
      </c>
      <c r="T59" t="n">
        <v>500</v>
      </c>
      <c r="U59" t="n">
        <v>280</v>
      </c>
      <c r="V59" t="n">
        <v>7</v>
      </c>
      <c r="W59" t="n">
        <v>44</v>
      </c>
      <c r="X59" t="n">
        <v>0</v>
      </c>
      <c r="Y59" t="n">
        <v>20000</v>
      </c>
      <c r="Z59" t="n">
        <v>0</v>
      </c>
      <c r="AA59" t="n">
        <v>132</v>
      </c>
      <c r="AB59" t="n">
        <v>22</v>
      </c>
      <c r="AC59" t="n">
        <v>2</v>
      </c>
      <c r="AD59" t="n">
        <v>248</v>
      </c>
      <c r="AE59" t="n">
        <v>57</v>
      </c>
      <c r="AF59" t="n">
        <v>25</v>
      </c>
      <c r="AG59" t="n">
        <v>38</v>
      </c>
      <c r="AH59" t="n">
        <v>17</v>
      </c>
      <c r="AI59" t="n">
        <v>19</v>
      </c>
      <c r="AJ59" t="n">
        <v>830</v>
      </c>
      <c r="AK59" t="n">
        <v>336</v>
      </c>
      <c r="AL59" t="n">
        <v>84</v>
      </c>
      <c r="AM59" t="n">
        <v>380</v>
      </c>
      <c r="AN59" t="n">
        <v>12</v>
      </c>
      <c r="AO59" t="n">
        <v>3</v>
      </c>
      <c r="AP59" t="n">
        <v>0</v>
      </c>
      <c r="AQ59" t="n">
        <v>0</v>
      </c>
      <c r="AR59" t="n">
        <v>0</v>
      </c>
      <c r="AS59" t="n">
        <v>0</v>
      </c>
      <c r="AT59" t="n">
        <v>432</v>
      </c>
      <c r="AU59" t="n">
        <v>560</v>
      </c>
      <c r="AV59" t="n">
        <v>0</v>
      </c>
      <c r="AW59" t="n">
        <v>992</v>
      </c>
      <c r="AX59" t="n">
        <v>192</v>
      </c>
      <c r="AY59" t="n">
        <v>0</v>
      </c>
      <c r="AZ59" t="n">
        <v>0</v>
      </c>
      <c r="BA59" t="n">
        <v>192</v>
      </c>
      <c r="BB59" t="n">
        <v>640</v>
      </c>
      <c r="BC59" t="n">
        <v>1600</v>
      </c>
      <c r="BD59" t="n">
        <v>0</v>
      </c>
      <c r="BE59" t="n">
        <v>1280</v>
      </c>
      <c r="BF59" t="n">
        <v>1280</v>
      </c>
      <c r="BG59">
        <f>IF($F59=0,"0",MIN(
BH59/(30*$F59),
BI59/(61*$F59),
BJ59/(48*$F59),
(BK59+BL59)/(23*$F59),
(BM59+BN59)/(41*$F59),
BO59/(25*$F59),
BP59/(6.6*$F59),
BQ59/(40*$F59),
BS59/(16*$F59)
)*100)</f>
        <v/>
      </c>
      <c r="BH59" t="n">
        <v>96</v>
      </c>
      <c r="BI59" t="n">
        <v>151</v>
      </c>
      <c r="BJ59" t="n">
        <v>136</v>
      </c>
      <c r="BK59" t="n">
        <v>31</v>
      </c>
      <c r="BL59" t="n">
        <v>24</v>
      </c>
      <c r="BM59" t="n">
        <v>91</v>
      </c>
      <c r="BN59" t="n">
        <v>67</v>
      </c>
      <c r="BO59" t="n">
        <v>91</v>
      </c>
      <c r="BP59" t="n">
        <v>29</v>
      </c>
      <c r="BQ59" t="n">
        <v>127</v>
      </c>
      <c r="BR59" t="n">
        <v>100</v>
      </c>
      <c r="BS59" t="n">
        <v>53</v>
      </c>
      <c r="BT59" t="n">
        <v>996</v>
      </c>
      <c r="BU59" t="n">
        <v>105</v>
      </c>
      <c r="BV59" t="n">
        <v>287</v>
      </c>
      <c r="BW59" t="n">
        <v>256</v>
      </c>
      <c r="BX59" t="n">
        <v>91</v>
      </c>
      <c r="BY59" t="n">
        <v>96</v>
      </c>
      <c r="BZ59" t="n">
        <v>129</v>
      </c>
      <c r="CA59" t="n">
        <v>964</v>
      </c>
      <c r="CB59" t="n">
        <v>42</v>
      </c>
      <c r="CC59" t="n">
        <v>18</v>
      </c>
      <c r="CD59" t="n">
        <v>78</v>
      </c>
      <c r="CE59" t="n">
        <v>55</v>
      </c>
      <c r="CF59" t="n">
        <v>0.71</v>
      </c>
      <c r="CG59" t="n">
        <v>0</v>
      </c>
      <c r="CH59" t="n">
        <v>0</v>
      </c>
      <c r="CI59" t="n">
        <v>0</v>
      </c>
      <c r="CJ59" t="n">
        <v>0</v>
      </c>
      <c r="CK59" t="n">
        <v>0</v>
      </c>
      <c r="CL59" t="n">
        <v>0</v>
      </c>
      <c r="CM59" t="n">
        <v>0</v>
      </c>
      <c r="CN59" t="n">
        <v>43</v>
      </c>
      <c r="CO59" t="n">
        <v>0</v>
      </c>
      <c r="CP59" t="n">
        <v>8</v>
      </c>
      <c r="CQ59" t="n">
        <v>0</v>
      </c>
      <c r="CR59" t="n">
        <v>0</v>
      </c>
      <c r="CS59" t="n">
        <v>0</v>
      </c>
      <c r="CT59" t="n">
        <v>51</v>
      </c>
      <c r="CU59" t="n">
        <v>0</v>
      </c>
      <c r="CV59" t="n">
        <v>0</v>
      </c>
      <c r="CW59" t="n">
        <v>1</v>
      </c>
      <c r="CX59" t="n">
        <v>0</v>
      </c>
      <c r="CY59" t="n">
        <v>7</v>
      </c>
      <c r="CZ59" t="n">
        <v>0</v>
      </c>
      <c r="DA59" t="n">
        <v>0</v>
      </c>
      <c r="DB59" t="n">
        <v>0</v>
      </c>
      <c r="DC59" t="n">
        <v>8</v>
      </c>
      <c r="DD59" t="n">
        <v>0</v>
      </c>
      <c r="DE59" t="n">
        <v>0</v>
      </c>
      <c r="DF59" t="n">
        <v>55</v>
      </c>
      <c r="DG59" t="n">
        <v>78</v>
      </c>
      <c r="DH59" t="n">
        <v>0</v>
      </c>
      <c r="DI59" t="n">
        <v>0</v>
      </c>
      <c r="DJ59" t="n">
        <v>0</v>
      </c>
      <c r="DK59" t="n">
        <v>0</v>
      </c>
      <c r="DL59" t="n">
        <v>0</v>
      </c>
      <c r="DM59" t="n">
        <v>0</v>
      </c>
      <c r="DN59" t="n">
        <v>0</v>
      </c>
      <c r="DO59" t="n">
        <v>0</v>
      </c>
      <c r="DP59" t="n">
        <v>0</v>
      </c>
      <c r="DQ59" t="n">
        <v>0</v>
      </c>
      <c r="DR59" t="n">
        <v>0</v>
      </c>
      <c r="DS59" t="n">
        <v>133</v>
      </c>
      <c r="DT59" t="n">
        <v>192</v>
      </c>
      <c r="DU59" t="n">
        <v>48</v>
      </c>
      <c r="DV59" t="n">
        <v>0</v>
      </c>
      <c r="DW59" t="n">
        <v>0</v>
      </c>
      <c r="DX59" t="n">
        <v>0</v>
      </c>
      <c r="DY59" t="n">
        <v>390</v>
      </c>
      <c r="DZ59" t="n">
        <v>1050</v>
      </c>
      <c r="EA59" t="n">
        <v>390</v>
      </c>
      <c r="EB59" t="n">
        <v>1110</v>
      </c>
      <c r="EC59" t="n">
        <v>60</v>
      </c>
      <c r="ED59" t="n">
        <v>1500</v>
      </c>
      <c r="EE59" t="n">
        <v>1500</v>
      </c>
      <c r="EF59" t="n">
        <v>0</v>
      </c>
      <c r="EG59" t="n">
        <v>0.2</v>
      </c>
      <c r="EH59" t="n">
        <v>0.7</v>
      </c>
      <c r="EI59" t="n">
        <v>1.5</v>
      </c>
      <c r="EJ59" t="n">
        <v>0.2</v>
      </c>
      <c r="EK59" t="n">
        <v>2.1</v>
      </c>
    </row>
    <row r="60">
      <c r="A60">
        <f>[1]ingredient!B59</f>
        <v/>
      </c>
      <c r="B60" t="inlineStr">
        <is>
          <t>https://www.naehrwertrechner.de/naehrwerte/H735400/Kidney-Bohnen+getrocknet/?menge=100</t>
        </is>
      </c>
      <c r="C60" s="7">
        <f>_xlfn.XLOOKUP(A60,[1]ingredient!$B$2:$B$521,[1]ingredient!$A$2:$A$521)</f>
        <v/>
      </c>
      <c r="D60" t="n">
        <v>325</v>
      </c>
      <c r="E60" t="n">
        <v>2</v>
      </c>
      <c r="F60" t="n">
        <v>24</v>
      </c>
      <c r="G60" t="n">
        <v>40</v>
      </c>
      <c r="H60" t="n">
        <v>23</v>
      </c>
      <c r="I60" t="n">
        <v>1</v>
      </c>
      <c r="J60" t="n">
        <v>0.02</v>
      </c>
      <c r="K60" t="n">
        <v>2</v>
      </c>
      <c r="L60" t="n">
        <v>2</v>
      </c>
      <c r="M60" t="n">
        <v>1</v>
      </c>
      <c r="N60" t="n">
        <v>0</v>
      </c>
      <c r="O60" t="n">
        <v>12</v>
      </c>
      <c r="P60" t="n">
        <v>642</v>
      </c>
      <c r="Q60" t="n">
        <v>188</v>
      </c>
      <c r="R60" t="n">
        <v>2188</v>
      </c>
      <c r="S60" t="n">
        <v>6221</v>
      </c>
      <c r="T60" t="n">
        <v>770</v>
      </c>
      <c r="U60" t="n">
        <v>395</v>
      </c>
      <c r="V60" t="n">
        <v>11</v>
      </c>
      <c r="W60" t="n">
        <v>160</v>
      </c>
      <c r="X60" t="n">
        <v>0</v>
      </c>
      <c r="Y60" t="n">
        <v>3948</v>
      </c>
      <c r="Z60" t="n">
        <v>0</v>
      </c>
      <c r="AA60" t="n">
        <v>570</v>
      </c>
      <c r="AB60" t="n">
        <v>0</v>
      </c>
      <c r="AC60" t="n">
        <v>20</v>
      </c>
      <c r="AD60" t="n">
        <v>1502</v>
      </c>
      <c r="AE60" t="n">
        <v>110</v>
      </c>
      <c r="AF60" t="n">
        <v>165</v>
      </c>
      <c r="AG60" t="n">
        <v>450</v>
      </c>
      <c r="AH60" t="n">
        <v>186</v>
      </c>
      <c r="AI60" t="n">
        <v>2</v>
      </c>
      <c r="AJ60" t="n">
        <v>7019</v>
      </c>
      <c r="AK60" t="n">
        <v>3290</v>
      </c>
      <c r="AL60" t="n">
        <v>746</v>
      </c>
      <c r="AM60" t="n">
        <v>1316</v>
      </c>
      <c r="AN60" t="n">
        <v>13</v>
      </c>
      <c r="AO60" t="n">
        <v>1</v>
      </c>
      <c r="AP60" t="n">
        <v>0</v>
      </c>
      <c r="AQ60" t="n">
        <v>0</v>
      </c>
      <c r="AR60" t="n">
        <v>0</v>
      </c>
      <c r="AS60" t="n">
        <v>0</v>
      </c>
      <c r="AT60" t="n">
        <v>0</v>
      </c>
      <c r="AU60" t="n">
        <v>0</v>
      </c>
      <c r="AV60" t="n">
        <v>0</v>
      </c>
      <c r="AW60" t="n">
        <v>0</v>
      </c>
      <c r="AX60" t="n">
        <v>1201</v>
      </c>
      <c r="AY60" t="n">
        <v>0</v>
      </c>
      <c r="AZ60" t="n">
        <v>0</v>
      </c>
      <c r="BA60" t="n">
        <v>1201</v>
      </c>
      <c r="BB60" t="n">
        <v>3202</v>
      </c>
      <c r="BC60" t="n">
        <v>3948</v>
      </c>
      <c r="BD60" t="n">
        <v>0</v>
      </c>
      <c r="BE60" t="n">
        <v>35626</v>
      </c>
      <c r="BF60" t="n">
        <v>35626</v>
      </c>
      <c r="BG60">
        <f>IF($F60=0,"0",MIN(
BH60/(30*$F60),
BI60/(61*$F60),
BJ60/(48*$F60),
(BK60+BL60)/(23*$F60),
(BM60+BN60)/(41*$F60),
BO60/(25*$F60),
BP60/(6.6*$F60),
BQ60/(40*$F60),
BS60/(16*$F60)
)*100)</f>
        <v/>
      </c>
      <c r="BH60" t="n">
        <v>1104</v>
      </c>
      <c r="BI60" t="n">
        <v>2020</v>
      </c>
      <c r="BJ60" t="n">
        <v>1939</v>
      </c>
      <c r="BK60" t="n">
        <v>296</v>
      </c>
      <c r="BL60" t="n">
        <v>216</v>
      </c>
      <c r="BM60" t="n">
        <v>1399</v>
      </c>
      <c r="BN60" t="n">
        <v>673</v>
      </c>
      <c r="BO60" t="n">
        <v>1077</v>
      </c>
      <c r="BP60" t="n">
        <v>242</v>
      </c>
      <c r="BQ60" t="n">
        <v>1239</v>
      </c>
      <c r="BR60" t="n">
        <v>1535</v>
      </c>
      <c r="BS60" t="n">
        <v>755</v>
      </c>
      <c r="BT60" t="n">
        <v>12495</v>
      </c>
      <c r="BU60" t="n">
        <v>1103</v>
      </c>
      <c r="BV60" t="n">
        <v>3231</v>
      </c>
      <c r="BW60" t="n">
        <v>3932</v>
      </c>
      <c r="BX60" t="n">
        <v>1023</v>
      </c>
      <c r="BY60" t="n">
        <v>943</v>
      </c>
      <c r="BZ60" t="n">
        <v>1508</v>
      </c>
      <c r="CA60" t="n">
        <v>11740</v>
      </c>
      <c r="CB60" t="n">
        <v>161</v>
      </c>
      <c r="CC60" t="n">
        <v>67</v>
      </c>
      <c r="CD60" t="n">
        <v>570</v>
      </c>
      <c r="CE60" t="n">
        <v>321</v>
      </c>
      <c r="CF60" t="n">
        <v>0.5600000000000001</v>
      </c>
      <c r="CG60" t="n">
        <v>0</v>
      </c>
      <c r="CH60" t="n">
        <v>0</v>
      </c>
      <c r="CI60" t="n">
        <v>0</v>
      </c>
      <c r="CJ60" t="n">
        <v>0</v>
      </c>
      <c r="CK60" t="n">
        <v>0</v>
      </c>
      <c r="CL60" t="n">
        <v>0</v>
      </c>
      <c r="CM60" t="n">
        <v>0</v>
      </c>
      <c r="CN60" t="n">
        <v>166</v>
      </c>
      <c r="CO60" t="n">
        <v>0</v>
      </c>
      <c r="CP60" t="n">
        <v>20</v>
      </c>
      <c r="CQ60" t="n">
        <v>0</v>
      </c>
      <c r="CR60" t="n">
        <v>0</v>
      </c>
      <c r="CS60" t="n">
        <v>0</v>
      </c>
      <c r="CT60" t="n">
        <v>186</v>
      </c>
      <c r="CU60" t="n">
        <v>0</v>
      </c>
      <c r="CV60" t="n">
        <v>0</v>
      </c>
      <c r="CW60" t="n">
        <v>0</v>
      </c>
      <c r="CX60" t="n">
        <v>0</v>
      </c>
      <c r="CY60" t="n">
        <v>113</v>
      </c>
      <c r="CZ60" t="n">
        <v>0</v>
      </c>
      <c r="DA60" t="n">
        <v>0</v>
      </c>
      <c r="DB60" t="n">
        <v>0</v>
      </c>
      <c r="DC60" t="n">
        <v>113</v>
      </c>
      <c r="DD60" t="n">
        <v>0</v>
      </c>
      <c r="DE60" t="n">
        <v>0</v>
      </c>
      <c r="DF60" t="n">
        <v>321</v>
      </c>
      <c r="DG60" t="n">
        <v>570</v>
      </c>
      <c r="DH60" t="n">
        <v>0</v>
      </c>
      <c r="DI60" t="n">
        <v>0</v>
      </c>
      <c r="DJ60" t="n">
        <v>0</v>
      </c>
      <c r="DK60" t="n">
        <v>0</v>
      </c>
      <c r="DL60" t="n">
        <v>0</v>
      </c>
      <c r="DM60" t="n">
        <v>0</v>
      </c>
      <c r="DN60" t="n">
        <v>0</v>
      </c>
      <c r="DO60" t="n">
        <v>0</v>
      </c>
      <c r="DP60" t="n">
        <v>0</v>
      </c>
      <c r="DQ60" t="n">
        <v>0</v>
      </c>
      <c r="DR60" t="n">
        <v>0</v>
      </c>
      <c r="DS60" t="n">
        <v>891</v>
      </c>
      <c r="DT60" t="n">
        <v>1190</v>
      </c>
      <c r="DU60" t="n">
        <v>345</v>
      </c>
      <c r="DV60" t="n">
        <v>0</v>
      </c>
      <c r="DW60" t="n">
        <v>0</v>
      </c>
      <c r="DX60" t="n">
        <v>0</v>
      </c>
      <c r="DY60" t="n">
        <v>3037</v>
      </c>
      <c r="DZ60" t="n">
        <v>8176</v>
      </c>
      <c r="EA60" t="n">
        <v>3037</v>
      </c>
      <c r="EB60" t="n">
        <v>8643</v>
      </c>
      <c r="EC60" t="n">
        <v>467</v>
      </c>
      <c r="ED60" t="n">
        <v>11680</v>
      </c>
      <c r="EE60" t="n">
        <v>11680</v>
      </c>
      <c r="EF60" t="n">
        <v>0</v>
      </c>
      <c r="EG60" t="n">
        <v>0.27</v>
      </c>
      <c r="EH60" t="n">
        <v>4.2</v>
      </c>
      <c r="EI60" t="n">
        <v>11.7</v>
      </c>
      <c r="EJ60" t="n">
        <v>1.5</v>
      </c>
      <c r="EK60" t="n">
        <v>24.8</v>
      </c>
    </row>
    <row r="61">
      <c r="A61">
        <f>[1]ingredient!B60</f>
        <v/>
      </c>
      <c r="B61" t="inlineStr">
        <is>
          <t>https://www.naehrwertrechner.de/naehrwerte/H170000/Cashewnuss/?menge=100</t>
        </is>
      </c>
      <c r="C61" s="7">
        <f>_xlfn.XLOOKUP(A61,[1]ingredient!$B$2:$B$521,[1]ingredient!$A$2:$A$521)</f>
        <v/>
      </c>
      <c r="D61" t="n">
        <v>568</v>
      </c>
      <c r="E61" t="n">
        <v>42</v>
      </c>
      <c r="F61" t="n">
        <v>18</v>
      </c>
      <c r="G61" t="n">
        <v>31</v>
      </c>
      <c r="H61" t="n">
        <v>3</v>
      </c>
      <c r="I61" t="n">
        <v>15</v>
      </c>
      <c r="J61" t="n">
        <v>0.03</v>
      </c>
      <c r="K61" t="n">
        <v>4</v>
      </c>
      <c r="L61" t="n">
        <v>10</v>
      </c>
      <c r="M61" t="n">
        <v>5</v>
      </c>
      <c r="N61" t="n">
        <v>0</v>
      </c>
      <c r="O61" t="n">
        <v>60</v>
      </c>
      <c r="P61" t="n">
        <v>630</v>
      </c>
      <c r="Q61" t="n">
        <v>260</v>
      </c>
      <c r="R61" t="n">
        <v>2000</v>
      </c>
      <c r="S61" t="n">
        <v>8133</v>
      </c>
      <c r="T61" t="n">
        <v>1200</v>
      </c>
      <c r="U61" t="n">
        <v>420</v>
      </c>
      <c r="V61" t="n">
        <v>13</v>
      </c>
      <c r="W61" t="n">
        <v>67</v>
      </c>
      <c r="X61" t="n">
        <v>0</v>
      </c>
      <c r="Y61" t="n">
        <v>0</v>
      </c>
      <c r="Z61" t="n">
        <v>0</v>
      </c>
      <c r="AA61" t="n">
        <v>782</v>
      </c>
      <c r="AB61" t="n">
        <v>26</v>
      </c>
      <c r="AC61" t="n">
        <v>14</v>
      </c>
      <c r="AD61" t="n">
        <v>552</v>
      </c>
      <c r="AE61" t="n">
        <v>31</v>
      </c>
      <c r="AF61" t="n">
        <v>270</v>
      </c>
      <c r="AG61" t="n">
        <v>375</v>
      </c>
      <c r="AH61" t="n">
        <v>200</v>
      </c>
      <c r="AI61" t="n">
        <v>18</v>
      </c>
      <c r="AJ61" t="n">
        <v>2800</v>
      </c>
      <c r="AK61" t="n">
        <v>2085</v>
      </c>
      <c r="AL61" t="n">
        <v>3700</v>
      </c>
      <c r="AM61" t="n">
        <v>840</v>
      </c>
      <c r="AN61" t="n">
        <v>140</v>
      </c>
      <c r="AO61" t="n">
        <v>10</v>
      </c>
      <c r="AP61" t="n">
        <v>0</v>
      </c>
      <c r="AQ61" t="n">
        <v>0</v>
      </c>
      <c r="AR61" t="n">
        <v>0</v>
      </c>
      <c r="AS61" t="n">
        <v>0</v>
      </c>
      <c r="AT61" t="n">
        <v>1525</v>
      </c>
      <c r="AU61" t="n">
        <v>0</v>
      </c>
      <c r="AV61" t="n">
        <v>0</v>
      </c>
      <c r="AW61" t="n">
        <v>1525</v>
      </c>
      <c r="AX61" t="n">
        <v>13725</v>
      </c>
      <c r="AY61" t="n">
        <v>0</v>
      </c>
      <c r="AZ61" t="n">
        <v>0</v>
      </c>
      <c r="BA61" t="n">
        <v>13725</v>
      </c>
      <c r="BB61" t="n">
        <v>0</v>
      </c>
      <c r="BC61" t="n">
        <v>0</v>
      </c>
      <c r="BD61" t="n">
        <v>0</v>
      </c>
      <c r="BE61" t="n">
        <v>15250</v>
      </c>
      <c r="BF61" t="n">
        <v>15250</v>
      </c>
      <c r="BG61">
        <f>IF($F61=0,"0",MIN(
BH61/(30*$F61),
BI61/(61*$F61),
BJ61/(48*$F61),
(BK61+BL61)/(23*$F61),
(BM61+BN61)/(41*$F61),
BO61/(25*$F61),
BP61/(6.6*$F61),
BQ61/(40*$F61),
BS61/(16*$F61)
)*100)</f>
        <v/>
      </c>
      <c r="BH61" t="n">
        <v>928</v>
      </c>
      <c r="BI61" t="n">
        <v>1278</v>
      </c>
      <c r="BJ61" t="n">
        <v>700</v>
      </c>
      <c r="BK61" t="n">
        <v>280</v>
      </c>
      <c r="BL61" t="n">
        <v>315</v>
      </c>
      <c r="BM61" t="n">
        <v>788</v>
      </c>
      <c r="BN61" t="n">
        <v>578</v>
      </c>
      <c r="BO61" t="n">
        <v>613</v>
      </c>
      <c r="BP61" t="n">
        <v>368</v>
      </c>
      <c r="BQ61" t="n">
        <v>1295</v>
      </c>
      <c r="BR61" t="n">
        <v>1746</v>
      </c>
      <c r="BS61" t="n">
        <v>350</v>
      </c>
      <c r="BT61" t="n">
        <v>9239</v>
      </c>
      <c r="BU61" t="n">
        <v>700</v>
      </c>
      <c r="BV61" t="n">
        <v>1505</v>
      </c>
      <c r="BW61" t="n">
        <v>3640</v>
      </c>
      <c r="BX61" t="n">
        <v>805</v>
      </c>
      <c r="BY61" t="n">
        <v>683</v>
      </c>
      <c r="BZ61" t="n">
        <v>840</v>
      </c>
      <c r="CA61" t="n">
        <v>8173</v>
      </c>
      <c r="CB61" t="n">
        <v>0</v>
      </c>
      <c r="CC61" t="n">
        <v>0</v>
      </c>
      <c r="CD61" t="n">
        <v>161</v>
      </c>
      <c r="CE61" t="n">
        <v>3227</v>
      </c>
      <c r="CF61" t="n">
        <v>20.04</v>
      </c>
      <c r="CG61" t="n">
        <v>0</v>
      </c>
      <c r="CH61" t="n">
        <v>0</v>
      </c>
      <c r="CI61" t="n">
        <v>81</v>
      </c>
      <c r="CJ61" t="n">
        <v>81</v>
      </c>
      <c r="CK61" t="n">
        <v>847</v>
      </c>
      <c r="CL61" t="n">
        <v>202</v>
      </c>
      <c r="CM61" t="n">
        <v>0</v>
      </c>
      <c r="CN61" t="n">
        <v>4397</v>
      </c>
      <c r="CO61" t="n">
        <v>0</v>
      </c>
      <c r="CP61" t="n">
        <v>3147</v>
      </c>
      <c r="CQ61" t="n">
        <v>605</v>
      </c>
      <c r="CR61" t="n">
        <v>0</v>
      </c>
      <c r="CS61" t="n">
        <v>0</v>
      </c>
      <c r="CT61" t="n">
        <v>9360</v>
      </c>
      <c r="CU61" t="n">
        <v>0</v>
      </c>
      <c r="CV61" t="n">
        <v>0</v>
      </c>
      <c r="CW61" t="n">
        <v>242</v>
      </c>
      <c r="CX61" t="n">
        <v>0</v>
      </c>
      <c r="CY61" t="n">
        <v>27232</v>
      </c>
      <c r="CZ61" t="n">
        <v>121</v>
      </c>
      <c r="DA61" t="n">
        <v>0</v>
      </c>
      <c r="DB61" t="n">
        <v>0</v>
      </c>
      <c r="DC61" t="n">
        <v>27595</v>
      </c>
      <c r="DD61" t="n">
        <v>0</v>
      </c>
      <c r="DE61" t="n">
        <v>0</v>
      </c>
      <c r="DF61" t="n">
        <v>3227</v>
      </c>
      <c r="DG61" t="n">
        <v>161</v>
      </c>
      <c r="DH61" t="n">
        <v>0</v>
      </c>
      <c r="DI61" t="n">
        <v>0</v>
      </c>
      <c r="DJ61" t="n">
        <v>0</v>
      </c>
      <c r="DK61" t="n">
        <v>0</v>
      </c>
      <c r="DL61" t="n">
        <v>0</v>
      </c>
      <c r="DM61" t="n">
        <v>0</v>
      </c>
      <c r="DN61" t="n">
        <v>0</v>
      </c>
      <c r="DO61" t="n">
        <v>0</v>
      </c>
      <c r="DP61" t="n">
        <v>0</v>
      </c>
      <c r="DQ61" t="n">
        <v>0</v>
      </c>
      <c r="DR61" t="n">
        <v>0</v>
      </c>
      <c r="DS61" t="n">
        <v>3388</v>
      </c>
      <c r="DT61" t="n">
        <v>40181</v>
      </c>
      <c r="DU61" t="n">
        <v>1857</v>
      </c>
      <c r="DV61" t="n">
        <v>0</v>
      </c>
      <c r="DW61" t="n">
        <v>0</v>
      </c>
      <c r="DX61" t="n">
        <v>162</v>
      </c>
      <c r="DY61" t="n">
        <v>580</v>
      </c>
      <c r="DZ61" t="n">
        <v>435</v>
      </c>
      <c r="EA61" t="n">
        <v>725</v>
      </c>
      <c r="EB61" t="n">
        <v>870</v>
      </c>
      <c r="EC61" t="n">
        <v>290</v>
      </c>
      <c r="ED61" t="n">
        <v>1450</v>
      </c>
      <c r="EE61" t="n">
        <v>1450</v>
      </c>
      <c r="EF61" t="n">
        <v>0</v>
      </c>
      <c r="EG61" t="n">
        <v>0</v>
      </c>
      <c r="EH61" t="n">
        <v>2.9</v>
      </c>
      <c r="EI61" t="n">
        <v>1.5</v>
      </c>
      <c r="EJ61" t="n">
        <v>42.2</v>
      </c>
      <c r="EK61" t="n">
        <v>17.4</v>
      </c>
    </row>
    <row r="62">
      <c r="A62">
        <f>[1]ingredient!B61</f>
        <v/>
      </c>
      <c r="C62" s="7">
        <f>_xlfn.XLOOKUP(A62,[1]ingredient!$B$2:$B$521,[1]ingredient!$A$2:$A$521)</f>
        <v/>
      </c>
      <c r="D62">
        <f>IFERROR(D61*(D256/D259),0)</f>
        <v/>
      </c>
      <c r="E62">
        <f>IFERROR(E61*(E256/E259),0)</f>
        <v/>
      </c>
      <c r="F62">
        <f>IFERROR(F61*(F256/F259),0)</f>
        <v/>
      </c>
      <c r="G62">
        <f>IFERROR(G61*(G256/G259),0)</f>
        <v/>
      </c>
      <c r="H62">
        <f>IFERROR(H61*(H256/H259),0)</f>
        <v/>
      </c>
      <c r="I62">
        <f>IFERROR(I61*(I256/I259),0)</f>
        <v/>
      </c>
      <c r="J62">
        <f>IFERROR(J61*(J256/J259),0)</f>
        <v/>
      </c>
      <c r="K62">
        <f>IFERROR(K61*(K256/K259),0)</f>
        <v/>
      </c>
      <c r="L62">
        <f>IFERROR(L61*(L256/L259),0)</f>
        <v/>
      </c>
      <c r="M62">
        <f>IFERROR(M61*(M256/M259),0)</f>
        <v/>
      </c>
      <c r="N62">
        <f>IFERROR(N61*(N256/N259),0)</f>
        <v/>
      </c>
      <c r="O62">
        <f>IFERROR(O61*(O256/O259),0)</f>
        <v/>
      </c>
      <c r="P62">
        <f>IFERROR(P61*(P256/P259),0)</f>
        <v/>
      </c>
      <c r="Q62">
        <f>IFERROR(Q61*(Q256/Q259),0)</f>
        <v/>
      </c>
      <c r="R62">
        <f>IFERROR(R61*(R256/R259),0)</f>
        <v/>
      </c>
      <c r="S62">
        <f>IFERROR(S61*(S256/S259),0)</f>
        <v/>
      </c>
      <c r="T62">
        <f>IFERROR(T61*(T256/T259),0)</f>
        <v/>
      </c>
      <c r="U62">
        <f>IFERROR(U61*(U256/U259),0)</f>
        <v/>
      </c>
      <c r="V62">
        <f>IFERROR(V61*(V256/V259),0)</f>
        <v/>
      </c>
      <c r="W62">
        <f>IFERROR(W61*(W256/W259),0)</f>
        <v/>
      </c>
      <c r="X62">
        <f>IFERROR(X61*(X256/X259),0)</f>
        <v/>
      </c>
      <c r="Y62">
        <f>IFERROR(Y61*(Y256/Y259),0)</f>
        <v/>
      </c>
      <c r="Z62">
        <f>IFERROR(Z61*(Z256/Z259),0)</f>
        <v/>
      </c>
      <c r="AA62">
        <f>IFERROR(AA61*(AA256/AA259),0)</f>
        <v/>
      </c>
      <c r="AB62">
        <f>IFERROR(AB61*(AB256/AB259),0)</f>
        <v/>
      </c>
      <c r="AC62">
        <f>IFERROR(AC61*(AC256/AC259),0)</f>
        <v/>
      </c>
      <c r="AD62">
        <f>IFERROR(AD61*(AD256/AD259),0)</f>
        <v/>
      </c>
      <c r="AE62">
        <f>IFERROR(AE61*(AE256/AE259),0)</f>
        <v/>
      </c>
      <c r="AF62">
        <f>IFERROR(AF61*(AF256/AF259),0)</f>
        <v/>
      </c>
      <c r="AG62">
        <f>IFERROR(AG61*(AG256/AG259),0)</f>
        <v/>
      </c>
      <c r="AH62">
        <f>IFERROR(AH61*(AH256/AH259),0)</f>
        <v/>
      </c>
      <c r="AI62">
        <f>IFERROR(AI61*(AI256/AI259),0)</f>
        <v/>
      </c>
      <c r="AJ62">
        <f>IFERROR(AJ61*(AJ256/AJ259),0)</f>
        <v/>
      </c>
      <c r="AK62">
        <f>IFERROR(AK61*(AK256/AK259),0)</f>
        <v/>
      </c>
      <c r="AL62">
        <f>IFERROR(AL61*(AL256/AL259),0)</f>
        <v/>
      </c>
      <c r="AM62">
        <f>IFERROR(AM61*(AM256/AM259),0)</f>
        <v/>
      </c>
      <c r="AN62">
        <f>IFERROR(AN61*(AN256/AN259),0)</f>
        <v/>
      </c>
      <c r="AO62">
        <f>IFERROR(AO61*(AO256/AO259),0)</f>
        <v/>
      </c>
      <c r="AP62">
        <f>IFERROR(AP61*(AP256/AP259),0)</f>
        <v/>
      </c>
      <c r="AQ62">
        <f>IFERROR(AQ61*(AQ256/AQ259),0)</f>
        <v/>
      </c>
      <c r="AR62">
        <f>IFERROR(AR61*(AR256/AR259),0)</f>
        <v/>
      </c>
      <c r="AS62">
        <f>IFERROR(AS61*(AS256/AS259),0)</f>
        <v/>
      </c>
      <c r="AT62">
        <f>IFERROR(AT61*(AT256/AT259),0)</f>
        <v/>
      </c>
      <c r="AU62">
        <f>IFERROR(AU61*(AU256/AU259),0)</f>
        <v/>
      </c>
      <c r="AV62">
        <f>IFERROR(AV61*(AV256/AV259),0)</f>
        <v/>
      </c>
      <c r="AW62">
        <f>IFERROR(AW61*(AW256/AW259),0)</f>
        <v/>
      </c>
      <c r="AX62">
        <f>IFERROR(AX61*(AX256/AX259),0)</f>
        <v/>
      </c>
      <c r="AY62">
        <f>IFERROR(AY61*(AY256/AY259),0)</f>
        <v/>
      </c>
      <c r="AZ62">
        <f>IFERROR(AZ61*(AZ256/AZ259),0)</f>
        <v/>
      </c>
      <c r="BA62">
        <f>IFERROR(BA61*(BA256/BA259),0)</f>
        <v/>
      </c>
      <c r="BB62">
        <f>IFERROR(BB61*(BB256/BB259),0)</f>
        <v/>
      </c>
      <c r="BC62">
        <f>IFERROR(BC61*(BC256/BC259),0)</f>
        <v/>
      </c>
      <c r="BD62">
        <f>IFERROR(BD61*(BD256/BD259),0)</f>
        <v/>
      </c>
      <c r="BE62">
        <f>IFERROR(BE61*(BE256/BE259),0)</f>
        <v/>
      </c>
      <c r="BF62">
        <f>IFERROR(BF61*(BF256/BF259),0)</f>
        <v/>
      </c>
      <c r="BG62">
        <f>IF($F62=0,"0",MIN(
BH62/(30*$F62),
BI62/(61*$F62),
BJ62/(48*$F62),
(BK62+BL62)/(23*$F62),
(BM62+BN62)/(41*$F62),
BO62/(25*$F62),
BP62/(6.6*$F62),
BQ62/(40*$F62),
BS62/(16*$F62)
)*100)</f>
        <v/>
      </c>
      <c r="BH62">
        <f>IFERROR(BH61*(BH256/BH259),0)</f>
        <v/>
      </c>
      <c r="BI62">
        <f>IFERROR(BI61*(BI256/BI259),0)</f>
        <v/>
      </c>
      <c r="BJ62">
        <f>IFERROR(BJ61*(BJ256/BJ259),0)</f>
        <v/>
      </c>
      <c r="BK62">
        <f>IFERROR(BK61*(BK256/BK259),0)</f>
        <v/>
      </c>
      <c r="BL62">
        <f>IFERROR(BL61*(BL256/BL259),0)</f>
        <v/>
      </c>
      <c r="BM62">
        <f>IFERROR(BM61*(BM256/BM259),0)</f>
        <v/>
      </c>
      <c r="BN62">
        <f>IFERROR(BN61*(BN256/BN259),0)</f>
        <v/>
      </c>
      <c r="BO62">
        <f>IFERROR(BO61*(BO256/BO259),0)</f>
        <v/>
      </c>
      <c r="BP62">
        <f>IFERROR(BP61*(BP256/BP259),0)</f>
        <v/>
      </c>
      <c r="BQ62">
        <f>IFERROR(BQ61*(BQ256/BQ259),0)</f>
        <v/>
      </c>
      <c r="BR62">
        <f>IFERROR(BR61*(BR256/BR259),0)</f>
        <v/>
      </c>
      <c r="BS62">
        <f>IFERROR(BS61*(BS256/BS259),0)</f>
        <v/>
      </c>
      <c r="BT62">
        <f>IFERROR(BT61*(BT256/BT259),0)</f>
        <v/>
      </c>
      <c r="BU62">
        <f>IFERROR(BU61*(BU256/BU259),0)</f>
        <v/>
      </c>
      <c r="BV62">
        <f>IFERROR(BV61*(BV256/BV259),0)</f>
        <v/>
      </c>
      <c r="BW62">
        <f>IFERROR(BW61*(BW256/BW259),0)</f>
        <v/>
      </c>
      <c r="BX62">
        <f>IFERROR(BX61*(BX256/BX259),0)</f>
        <v/>
      </c>
      <c r="BY62">
        <f>IFERROR(BY61*(BY256/BY259),0)</f>
        <v/>
      </c>
      <c r="BZ62">
        <f>IFERROR(BZ61*(BZ256/BZ259),0)</f>
        <v/>
      </c>
      <c r="CA62">
        <f>IFERROR(CA61*(CA256/CA259),0)</f>
        <v/>
      </c>
      <c r="CB62">
        <f>IFERROR(CB61*(CB256/CB259),0)</f>
        <v/>
      </c>
      <c r="CC62">
        <f>IFERROR(CC61*(CC256/CC259),0)</f>
        <v/>
      </c>
      <c r="CD62">
        <f>IFERROR(CD61*(CD256/CD259),0)</f>
        <v/>
      </c>
      <c r="CE62">
        <f>IFERROR(CE61*(CE256/CE259),0)</f>
        <v/>
      </c>
      <c r="CF62">
        <f>IFERROR(CF61*(CF256/CF259),0)</f>
        <v/>
      </c>
      <c r="CG62">
        <f>IFERROR(CG61*(CG256/CG259),0)</f>
        <v/>
      </c>
      <c r="CH62">
        <f>IFERROR(CH61*(CH256/CH259),0)</f>
        <v/>
      </c>
      <c r="CI62">
        <f>IFERROR(CI61*(CI256/CI259),0)</f>
        <v/>
      </c>
      <c r="CJ62">
        <f>IFERROR(CJ61*(CJ256/CJ259),0)</f>
        <v/>
      </c>
      <c r="CK62">
        <f>IFERROR(CK61*(CK256/CK259),0)</f>
        <v/>
      </c>
      <c r="CL62">
        <f>IFERROR(CL61*(CL256/CL259),0)</f>
        <v/>
      </c>
      <c r="CM62">
        <f>IFERROR(CM61*(CM256/CM259),0)</f>
        <v/>
      </c>
      <c r="CN62">
        <f>IFERROR(CN61*(CN256/CN259),0)</f>
        <v/>
      </c>
      <c r="CO62">
        <f>IFERROR(CO61*(CO256/CO259),0)</f>
        <v/>
      </c>
      <c r="CP62">
        <f>IFERROR(CP61*(CP256/CP259),0)</f>
        <v/>
      </c>
      <c r="CQ62">
        <f>IFERROR(CQ61*(CQ256/CQ259),0)</f>
        <v/>
      </c>
      <c r="CR62">
        <f>IFERROR(CR61*(CR256/CR259),0)</f>
        <v/>
      </c>
      <c r="CS62">
        <f>IFERROR(CS61*(CS256/CS259),0)</f>
        <v/>
      </c>
      <c r="CT62">
        <f>IFERROR(CT61*(CT256/CT259),0)</f>
        <v/>
      </c>
      <c r="CU62">
        <f>IFERROR(CU61*(CU256/CU259),0)</f>
        <v/>
      </c>
      <c r="CV62">
        <f>IFERROR(CV61*(CV256/CV259),0)</f>
        <v/>
      </c>
      <c r="CW62">
        <f>IFERROR(CW61*(CW256/CW259),0)</f>
        <v/>
      </c>
      <c r="CX62">
        <f>IFERROR(CX61*(CX256/CX259),0)</f>
        <v/>
      </c>
      <c r="CY62">
        <f>IFERROR(CY61*(CY256/CY259),0)</f>
        <v/>
      </c>
      <c r="CZ62">
        <f>IFERROR(CZ61*(CZ256/CZ259),0)</f>
        <v/>
      </c>
      <c r="DA62">
        <f>IFERROR(DA61*(DA256/DA259),0)</f>
        <v/>
      </c>
      <c r="DB62">
        <f>IFERROR(DB61*(DB256/DB259),0)</f>
        <v/>
      </c>
      <c r="DC62">
        <f>IFERROR(DC61*(DC256/DC259),0)</f>
        <v/>
      </c>
      <c r="DD62">
        <f>IFERROR(DD61*(DD256/DD259),0)</f>
        <v/>
      </c>
      <c r="DE62">
        <f>IFERROR(DE61*(DE256/DE259),0)</f>
        <v/>
      </c>
      <c r="DF62">
        <f>IFERROR(DF61*(DF256/DF259),0)</f>
        <v/>
      </c>
      <c r="DG62">
        <f>IFERROR(DG61*(DG256/DG259),0)</f>
        <v/>
      </c>
      <c r="DH62">
        <f>IFERROR(DH61*(DH256/DH259),0)</f>
        <v/>
      </c>
      <c r="DI62">
        <f>IFERROR(DI61*(DI256/DI259),0)</f>
        <v/>
      </c>
      <c r="DJ62">
        <f>IFERROR(DJ61*(DJ256/DJ259),0)</f>
        <v/>
      </c>
      <c r="DK62">
        <f>IFERROR(DK61*(DK256/DK259),0)</f>
        <v/>
      </c>
      <c r="DL62">
        <f>IFERROR(DL61*(DL256/DL259),0)</f>
        <v/>
      </c>
      <c r="DM62">
        <f>IFERROR(DM61*(DM256/DM259),0)</f>
        <v/>
      </c>
      <c r="DN62">
        <f>IFERROR(DN61*(DN256/DN259),0)</f>
        <v/>
      </c>
      <c r="DO62">
        <f>IFERROR(DO61*(DO256/DO259),0)</f>
        <v/>
      </c>
      <c r="DP62">
        <f>IFERROR(DP61*(DP256/DP259),0)</f>
        <v/>
      </c>
      <c r="DQ62">
        <f>IFERROR(DQ61*(DQ256/DQ259),0)</f>
        <v/>
      </c>
      <c r="DR62">
        <f>IFERROR(DR61*(DR256/DR259),0)</f>
        <v/>
      </c>
      <c r="DS62">
        <f>IFERROR(DS61*(DS256/DS259),0)</f>
        <v/>
      </c>
      <c r="DT62">
        <f>IFERROR(DT61*(DT256/DT259),0)</f>
        <v/>
      </c>
      <c r="DU62">
        <f>IFERROR(DU61*(DU256/DU259),0)</f>
        <v/>
      </c>
      <c r="DV62">
        <f>IFERROR(DV61*(DV256/DV259),0)</f>
        <v/>
      </c>
      <c r="DW62">
        <f>IFERROR(DW61*(DW256/DW259),0)</f>
        <v/>
      </c>
      <c r="DX62">
        <f>IFERROR(DX61*(DX256/DX259),0)</f>
        <v/>
      </c>
      <c r="DY62">
        <f>IFERROR(DY61*(DY256/DY259),0)</f>
        <v/>
      </c>
      <c r="DZ62">
        <f>IFERROR(DZ61*(DZ256/DZ259),0)</f>
        <v/>
      </c>
      <c r="EA62">
        <f>IFERROR(EA61*(EA256/EA259),0)</f>
        <v/>
      </c>
      <c r="EB62">
        <f>IFERROR(EB61*(EB256/EB259),0)</f>
        <v/>
      </c>
      <c r="EC62">
        <f>IFERROR(EC61*(EC256/EC259),0)</f>
        <v/>
      </c>
      <c r="ED62">
        <f>IFERROR(ED61*(ED256/ED259),0)</f>
        <v/>
      </c>
      <c r="EE62">
        <f>IFERROR(EE61*(EE256/EE259),0)</f>
        <v/>
      </c>
      <c r="EF62">
        <f>IFERROR(EF61*(EF256/EF259),0)</f>
        <v/>
      </c>
      <c r="EG62">
        <f>IFERROR(EG61*(EG256/EG259),0)</f>
        <v/>
      </c>
      <c r="EH62">
        <f>IFERROR(EH61*(EH256/EH259),0)</f>
        <v/>
      </c>
      <c r="EI62">
        <f>IFERROR(EI61*(EI256/EI259),0)</f>
        <v/>
      </c>
      <c r="EJ62">
        <f>IFERROR(EJ61*(EJ256/EJ259),0)</f>
        <v/>
      </c>
      <c r="EK62">
        <f>IFERROR(EK61*(EK256/EK259),0)</f>
        <v/>
      </c>
    </row>
    <row r="63">
      <c r="A63">
        <f>[1]ingredient!B62</f>
        <v/>
      </c>
      <c r="B63" t="inlineStr">
        <is>
          <t>https://www.naehrwertrechner.de/naehrwerte/J582111/Cashewmus+pur/?menge=100</t>
        </is>
      </c>
      <c r="C63" s="7">
        <f>_xlfn.XLOOKUP(A63,[1]ingredient!$B$2:$B$521,[1]ingredient!$A$2:$A$521)</f>
        <v/>
      </c>
      <c r="D63" t="n">
        <v>617</v>
      </c>
      <c r="E63" t="n">
        <v>49</v>
      </c>
      <c r="F63" t="n">
        <v>18</v>
      </c>
      <c r="G63" t="n">
        <v>27</v>
      </c>
      <c r="H63" t="n">
        <v>1</v>
      </c>
      <c r="I63" t="n">
        <v>13</v>
      </c>
      <c r="J63" t="n">
        <v>0.03</v>
      </c>
      <c r="K63" t="n">
        <v>3</v>
      </c>
      <c r="L63" t="n">
        <v>0</v>
      </c>
      <c r="M63" t="n">
        <v>0</v>
      </c>
      <c r="N63" t="n">
        <v>0</v>
      </c>
      <c r="O63" t="n">
        <v>0</v>
      </c>
      <c r="P63" t="n">
        <v>310</v>
      </c>
      <c r="Q63" t="n">
        <v>190</v>
      </c>
      <c r="R63" t="n">
        <v>1600</v>
      </c>
      <c r="S63" t="n">
        <v>7750</v>
      </c>
      <c r="T63" t="n">
        <v>1200</v>
      </c>
      <c r="U63" t="n">
        <v>252</v>
      </c>
      <c r="V63" t="n">
        <v>25</v>
      </c>
      <c r="W63" t="n">
        <v>68</v>
      </c>
      <c r="X63" t="n">
        <v>0</v>
      </c>
      <c r="Y63" t="n">
        <v>0</v>
      </c>
      <c r="Z63" t="n">
        <v>0</v>
      </c>
      <c r="AA63" t="n">
        <v>4000</v>
      </c>
      <c r="AB63" t="n">
        <v>0</v>
      </c>
      <c r="AC63" t="n">
        <v>15</v>
      </c>
      <c r="AD63" t="n">
        <v>546</v>
      </c>
      <c r="AE63" t="n">
        <v>43</v>
      </c>
      <c r="AF63" t="n">
        <v>258</v>
      </c>
      <c r="AG63" t="n">
        <v>457</v>
      </c>
      <c r="AH63" t="n">
        <v>200</v>
      </c>
      <c r="AI63" t="n">
        <v>18</v>
      </c>
      <c r="AJ63" t="n">
        <v>5030</v>
      </c>
      <c r="AK63" t="n">
        <v>5160</v>
      </c>
      <c r="AL63" t="n">
        <v>2190</v>
      </c>
      <c r="AM63" t="n">
        <v>840</v>
      </c>
      <c r="AN63" t="n">
        <v>140</v>
      </c>
      <c r="AO63" t="n">
        <v>1</v>
      </c>
      <c r="AP63" t="n">
        <v>0</v>
      </c>
      <c r="AQ63" t="n">
        <v>0</v>
      </c>
      <c r="AR63" t="n">
        <v>0</v>
      </c>
      <c r="AS63" t="n">
        <v>0</v>
      </c>
      <c r="AT63" t="n">
        <v>1340</v>
      </c>
      <c r="AU63" t="n">
        <v>0</v>
      </c>
      <c r="AV63" t="n">
        <v>0</v>
      </c>
      <c r="AW63" t="n">
        <v>1340</v>
      </c>
      <c r="AX63" t="n">
        <v>12060</v>
      </c>
      <c r="AY63" t="n">
        <v>0</v>
      </c>
      <c r="AZ63" t="n">
        <v>0</v>
      </c>
      <c r="BA63" t="n">
        <v>12060</v>
      </c>
      <c r="BB63" t="n">
        <v>0</v>
      </c>
      <c r="BC63" t="n">
        <v>0</v>
      </c>
      <c r="BD63" t="n">
        <v>0</v>
      </c>
      <c r="BE63" t="n">
        <v>13400</v>
      </c>
      <c r="BF63" t="n">
        <v>13400</v>
      </c>
      <c r="BG63">
        <f>IF($F63=0,"0",MIN(
BH63/(30*$F63),
BI63/(61*$F63),
BJ63/(48*$F63),
(BK63+BL63)/(23*$F63),
(BM63+BN63)/(41*$F63),
BO63/(25*$F63),
BP63/(6.6*$F63),
BQ63/(40*$F63),
BS63/(16*$F63)
)*100)</f>
        <v/>
      </c>
      <c r="BH63" t="n">
        <v>931</v>
      </c>
      <c r="BI63" t="n">
        <v>1282</v>
      </c>
      <c r="BJ63" t="n">
        <v>702</v>
      </c>
      <c r="BK63" t="n">
        <v>281</v>
      </c>
      <c r="BL63" t="n">
        <v>316</v>
      </c>
      <c r="BM63" t="n">
        <v>790</v>
      </c>
      <c r="BN63" t="n">
        <v>579</v>
      </c>
      <c r="BO63" t="n">
        <v>615</v>
      </c>
      <c r="BP63" t="n">
        <v>369</v>
      </c>
      <c r="BQ63" t="n">
        <v>1299</v>
      </c>
      <c r="BR63" t="n">
        <v>1757</v>
      </c>
      <c r="BS63" t="n">
        <v>351</v>
      </c>
      <c r="BT63" t="n">
        <v>9272</v>
      </c>
      <c r="BU63" t="n">
        <v>702</v>
      </c>
      <c r="BV63" t="n">
        <v>1510</v>
      </c>
      <c r="BW63" t="n">
        <v>3652</v>
      </c>
      <c r="BX63" t="n">
        <v>808</v>
      </c>
      <c r="BY63" t="n">
        <v>685</v>
      </c>
      <c r="BZ63" t="n">
        <v>843</v>
      </c>
      <c r="CA63" t="n">
        <v>8200</v>
      </c>
      <c r="CB63" t="n">
        <v>40</v>
      </c>
      <c r="CC63" t="n">
        <v>17</v>
      </c>
      <c r="CD63" t="n">
        <v>189</v>
      </c>
      <c r="CE63" t="n">
        <v>3779</v>
      </c>
      <c r="CF63" t="n">
        <v>19.99</v>
      </c>
      <c r="CG63" t="n">
        <v>0</v>
      </c>
      <c r="CH63" t="n">
        <v>0</v>
      </c>
      <c r="CI63" t="n">
        <v>94</v>
      </c>
      <c r="CJ63" t="n">
        <v>94</v>
      </c>
      <c r="CK63" t="n">
        <v>992</v>
      </c>
      <c r="CL63" t="n">
        <v>236</v>
      </c>
      <c r="CM63" t="n">
        <v>0</v>
      </c>
      <c r="CN63" t="n">
        <v>5149</v>
      </c>
      <c r="CO63" t="n">
        <v>0</v>
      </c>
      <c r="CP63" t="n">
        <v>3684</v>
      </c>
      <c r="CQ63" t="n">
        <v>709</v>
      </c>
      <c r="CR63" t="n">
        <v>0</v>
      </c>
      <c r="CS63" t="n">
        <v>0</v>
      </c>
      <c r="CT63" t="n">
        <v>10958</v>
      </c>
      <c r="CU63" t="n">
        <v>0</v>
      </c>
      <c r="CV63" t="n">
        <v>0</v>
      </c>
      <c r="CW63" t="n">
        <v>283</v>
      </c>
      <c r="CX63" t="n">
        <v>0</v>
      </c>
      <c r="CY63" t="n">
        <v>31885</v>
      </c>
      <c r="CZ63" t="n">
        <v>142</v>
      </c>
      <c r="DA63" t="n">
        <v>0</v>
      </c>
      <c r="DB63" t="n">
        <v>0</v>
      </c>
      <c r="DC63" t="n">
        <v>32310</v>
      </c>
      <c r="DD63" t="n">
        <v>0</v>
      </c>
      <c r="DE63" t="n">
        <v>0</v>
      </c>
      <c r="DF63" t="n">
        <v>3779</v>
      </c>
      <c r="DG63" t="n">
        <v>189</v>
      </c>
      <c r="DH63" t="n">
        <v>0</v>
      </c>
      <c r="DI63" t="n">
        <v>0</v>
      </c>
      <c r="DJ63" t="n">
        <v>0</v>
      </c>
      <c r="DK63" t="n">
        <v>0</v>
      </c>
      <c r="DL63" t="n">
        <v>0</v>
      </c>
      <c r="DM63" t="n">
        <v>0</v>
      </c>
      <c r="DN63" t="n">
        <v>0</v>
      </c>
      <c r="DO63" t="n">
        <v>0</v>
      </c>
      <c r="DP63" t="n">
        <v>0</v>
      </c>
      <c r="DQ63" t="n">
        <v>0</v>
      </c>
      <c r="DR63" t="n">
        <v>0</v>
      </c>
      <c r="DS63" t="n">
        <v>3968</v>
      </c>
      <c r="DT63" t="n">
        <v>47048</v>
      </c>
      <c r="DU63" t="n">
        <v>2174</v>
      </c>
      <c r="DV63" t="n">
        <v>0</v>
      </c>
      <c r="DW63" t="n">
        <v>0</v>
      </c>
      <c r="DX63" t="n">
        <v>188</v>
      </c>
      <c r="DY63" t="n">
        <v>152</v>
      </c>
      <c r="DZ63" t="n">
        <v>114</v>
      </c>
      <c r="EA63" t="n">
        <v>190</v>
      </c>
      <c r="EB63" t="n">
        <v>228</v>
      </c>
      <c r="EC63" t="n">
        <v>76</v>
      </c>
      <c r="ED63" t="n">
        <v>380</v>
      </c>
      <c r="EE63" t="n">
        <v>380</v>
      </c>
      <c r="EF63" t="n">
        <v>0</v>
      </c>
      <c r="EG63" t="n">
        <v>0</v>
      </c>
      <c r="EH63" t="n">
        <v>2.5</v>
      </c>
      <c r="EI63" t="n">
        <v>0.4</v>
      </c>
      <c r="EJ63" t="n">
        <v>49.4</v>
      </c>
      <c r="EK63" t="n">
        <v>17.6</v>
      </c>
    </row>
    <row r="64">
      <c r="A64">
        <f>[1]ingredient!B63</f>
        <v/>
      </c>
      <c r="B64" t="inlineStr">
        <is>
          <t>https://www.naehrwertrechner.de/naehrwerte/R252011/Chili+%28Cayennepfeffer%29/?menge=100</t>
        </is>
      </c>
      <c r="C64" s="7">
        <f>_xlfn.XLOOKUP(A64,[1]ingredient!$B$2:$B$521,[1]ingredient!$A$2:$A$521)</f>
        <v/>
      </c>
      <c r="D64" t="n">
        <v>329</v>
      </c>
      <c r="E64" t="n">
        <v>17</v>
      </c>
      <c r="F64" t="n">
        <v>12</v>
      </c>
      <c r="G64" t="n">
        <v>32</v>
      </c>
      <c r="H64" t="n">
        <v>25</v>
      </c>
      <c r="I64" t="n">
        <v>30</v>
      </c>
      <c r="J64" t="n">
        <v>0.23</v>
      </c>
      <c r="K64" t="n">
        <v>8</v>
      </c>
      <c r="L64" t="n">
        <v>4167</v>
      </c>
      <c r="M64" t="n">
        <v>2083</v>
      </c>
      <c r="N64" t="n">
        <v>0</v>
      </c>
      <c r="O64" t="n">
        <v>25000</v>
      </c>
      <c r="P64" t="n">
        <v>330</v>
      </c>
      <c r="Q64" t="n">
        <v>920</v>
      </c>
      <c r="R64" t="n">
        <v>8700</v>
      </c>
      <c r="S64" t="n">
        <v>10700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76000</v>
      </c>
      <c r="Z64" t="n">
        <v>0</v>
      </c>
      <c r="AA64" t="n">
        <v>0</v>
      </c>
      <c r="AB64" t="n">
        <v>0</v>
      </c>
      <c r="AC64" t="n">
        <v>30</v>
      </c>
      <c r="AD64" t="n">
        <v>2014</v>
      </c>
      <c r="AE64" t="n">
        <v>148</v>
      </c>
      <c r="AF64" t="n">
        <v>152</v>
      </c>
      <c r="AG64" t="n">
        <v>293</v>
      </c>
      <c r="AH64" t="n">
        <v>100</v>
      </c>
      <c r="AI64" t="n">
        <v>200</v>
      </c>
      <c r="AJ64" t="n">
        <v>7800</v>
      </c>
      <c r="AK64" t="n">
        <v>2480</v>
      </c>
      <c r="AL64" t="n">
        <v>800</v>
      </c>
      <c r="AM64" t="n">
        <v>500</v>
      </c>
      <c r="AN64" t="n">
        <v>400</v>
      </c>
      <c r="AO64" t="n">
        <v>5</v>
      </c>
      <c r="AP64" t="n">
        <v>0</v>
      </c>
      <c r="AQ64" t="n">
        <v>0</v>
      </c>
      <c r="AR64" t="n">
        <v>0</v>
      </c>
      <c r="AS64" t="n">
        <v>0</v>
      </c>
      <c r="AT64" t="n">
        <v>16000</v>
      </c>
      <c r="AU64" t="n">
        <v>13120</v>
      </c>
      <c r="AV64" t="n">
        <v>0</v>
      </c>
      <c r="AW64" t="n">
        <v>29120</v>
      </c>
      <c r="AX64" t="n">
        <v>1280</v>
      </c>
      <c r="AY64" t="n">
        <v>0</v>
      </c>
      <c r="AZ64" t="n">
        <v>0</v>
      </c>
      <c r="BA64" t="n">
        <v>1280</v>
      </c>
      <c r="BB64" t="n">
        <v>0</v>
      </c>
      <c r="BC64" t="n">
        <v>0</v>
      </c>
      <c r="BD64" t="n">
        <v>0</v>
      </c>
      <c r="BE64" t="n">
        <v>1600</v>
      </c>
      <c r="BF64" t="n">
        <v>1600</v>
      </c>
      <c r="BG64">
        <f>IF($F64=0,"0",MIN(
BH64/(30*$F64),
BI64/(61*$F64),
BJ64/(48*$F64),
(BK64+BL64)/(23*$F64),
(BM64+BN64)/(41*$F64),
BO64/(25*$F64),
BP64/(6.6*$F64),
BQ64/(40*$F64),
BS64/(16*$F64)
)*100)</f>
        <v/>
      </c>
      <c r="BH64" t="n">
        <v>360</v>
      </c>
      <c r="BI64" t="n">
        <v>600</v>
      </c>
      <c r="BJ64" t="n">
        <v>600</v>
      </c>
      <c r="BK64" t="n">
        <v>180</v>
      </c>
      <c r="BL64" t="n">
        <v>120</v>
      </c>
      <c r="BM64" t="n">
        <v>420</v>
      </c>
      <c r="BN64" t="n">
        <v>240</v>
      </c>
      <c r="BO64" t="n">
        <v>300</v>
      </c>
      <c r="BP64" t="n">
        <v>120</v>
      </c>
      <c r="BQ64" t="n">
        <v>480</v>
      </c>
      <c r="BR64" t="n">
        <v>540</v>
      </c>
      <c r="BS64" t="n">
        <v>180</v>
      </c>
      <c r="BT64" t="n">
        <v>4140</v>
      </c>
      <c r="BU64" t="n">
        <v>720</v>
      </c>
      <c r="BV64" t="n">
        <v>1800</v>
      </c>
      <c r="BW64" t="n">
        <v>1680</v>
      </c>
      <c r="BX64" t="n">
        <v>480</v>
      </c>
      <c r="BY64" t="n">
        <v>420</v>
      </c>
      <c r="BZ64" t="n">
        <v>480</v>
      </c>
      <c r="CA64" t="n">
        <v>5580</v>
      </c>
      <c r="CB64" t="n">
        <v>149</v>
      </c>
      <c r="CC64" t="n">
        <v>62</v>
      </c>
      <c r="CD64" t="n">
        <v>636</v>
      </c>
      <c r="CE64" t="n">
        <v>7581</v>
      </c>
      <c r="CF64" t="n">
        <v>11.92</v>
      </c>
      <c r="CG64" t="n">
        <v>0</v>
      </c>
      <c r="CH64" t="n">
        <v>0</v>
      </c>
      <c r="CI64" t="n">
        <v>0</v>
      </c>
      <c r="CJ64" t="n">
        <v>28</v>
      </c>
      <c r="CK64" t="n">
        <v>28</v>
      </c>
      <c r="CL64" t="n">
        <v>99</v>
      </c>
      <c r="CM64" t="n">
        <v>0</v>
      </c>
      <c r="CN64" t="n">
        <v>2574</v>
      </c>
      <c r="CO64" t="n">
        <v>0</v>
      </c>
      <c r="CP64" t="n">
        <v>495</v>
      </c>
      <c r="CQ64" t="n">
        <v>0</v>
      </c>
      <c r="CR64" t="n">
        <v>0</v>
      </c>
      <c r="CS64" t="n">
        <v>0</v>
      </c>
      <c r="CT64" t="n">
        <v>3224</v>
      </c>
      <c r="CU64" t="n">
        <v>0</v>
      </c>
      <c r="CV64" t="n">
        <v>0</v>
      </c>
      <c r="CW64" t="n">
        <v>226</v>
      </c>
      <c r="CX64" t="n">
        <v>0</v>
      </c>
      <c r="CY64" t="n">
        <v>2475</v>
      </c>
      <c r="CZ64" t="n">
        <v>0</v>
      </c>
      <c r="DA64" t="n">
        <v>0</v>
      </c>
      <c r="DB64" t="n">
        <v>0</v>
      </c>
      <c r="DC64" t="n">
        <v>2701</v>
      </c>
      <c r="DD64" t="n">
        <v>0</v>
      </c>
      <c r="DE64" t="n">
        <v>0</v>
      </c>
      <c r="DF64" t="n">
        <v>7581</v>
      </c>
      <c r="DG64" t="n">
        <v>636</v>
      </c>
      <c r="DH64" t="n">
        <v>0</v>
      </c>
      <c r="DI64" t="n">
        <v>0</v>
      </c>
      <c r="DJ64" t="n">
        <v>0</v>
      </c>
      <c r="DK64" t="n">
        <v>0</v>
      </c>
      <c r="DL64" t="n">
        <v>0</v>
      </c>
      <c r="DM64" t="n">
        <v>0</v>
      </c>
      <c r="DN64" t="n">
        <v>0</v>
      </c>
      <c r="DO64" t="n">
        <v>0</v>
      </c>
      <c r="DP64" t="n">
        <v>0</v>
      </c>
      <c r="DQ64" t="n">
        <v>0</v>
      </c>
      <c r="DR64" t="n">
        <v>0</v>
      </c>
      <c r="DS64" t="n">
        <v>8217</v>
      </c>
      <c r="DT64" t="n">
        <v>14114</v>
      </c>
      <c r="DU64" t="n">
        <v>2856</v>
      </c>
      <c r="DV64" t="n">
        <v>0</v>
      </c>
      <c r="DW64" t="n">
        <v>0</v>
      </c>
      <c r="DX64" t="n">
        <v>28</v>
      </c>
      <c r="DY64" t="n">
        <v>5478</v>
      </c>
      <c r="DZ64" t="n">
        <v>4482</v>
      </c>
      <c r="EA64" t="n">
        <v>4980</v>
      </c>
      <c r="EB64" t="n">
        <v>4980</v>
      </c>
      <c r="EC64" t="n">
        <v>4980</v>
      </c>
      <c r="ED64" t="n">
        <v>7470</v>
      </c>
      <c r="EE64" t="n">
        <v>17430</v>
      </c>
      <c r="EF64" t="n">
        <v>0</v>
      </c>
      <c r="EG64" t="n">
        <v>0.09</v>
      </c>
      <c r="EH64" t="n">
        <v>6</v>
      </c>
      <c r="EI64" t="n">
        <v>17.4</v>
      </c>
      <c r="EJ64" t="n">
        <v>17</v>
      </c>
      <c r="EK64" t="n">
        <v>10.2</v>
      </c>
    </row>
    <row r="65">
      <c r="A65">
        <f>[1]ingredient!B64</f>
        <v/>
      </c>
      <c r="B65" t="inlineStr">
        <is>
          <t>https://www.naehrwertrechner.de/naehrwerte/K701111/Champignon+frisch/?menge=100</t>
        </is>
      </c>
      <c r="C65" s="7">
        <f>_xlfn.XLOOKUP(A65,[1]ingredient!$B$2:$B$521,[1]ingredient!$A$2:$A$521)</f>
        <v/>
      </c>
      <c r="D65" t="n">
        <v>15</v>
      </c>
      <c r="E65" t="n">
        <v>0.24</v>
      </c>
      <c r="F65" t="n">
        <v>3</v>
      </c>
      <c r="G65" t="n">
        <v>1</v>
      </c>
      <c r="H65" t="n">
        <v>2</v>
      </c>
      <c r="I65" t="n">
        <v>0.11</v>
      </c>
      <c r="J65" t="n">
        <v>0.08</v>
      </c>
      <c r="K65" t="n">
        <v>93</v>
      </c>
      <c r="L65" t="n">
        <v>2</v>
      </c>
      <c r="M65" t="n">
        <v>1</v>
      </c>
      <c r="N65" t="n">
        <v>0</v>
      </c>
      <c r="O65" t="n">
        <v>10</v>
      </c>
      <c r="P65" t="n">
        <v>100</v>
      </c>
      <c r="Q65" t="n">
        <v>440</v>
      </c>
      <c r="R65" t="n">
        <v>5200</v>
      </c>
      <c r="S65" t="n">
        <v>5567</v>
      </c>
      <c r="T65" t="n">
        <v>2100</v>
      </c>
      <c r="U65" t="n">
        <v>65</v>
      </c>
      <c r="V65" t="n">
        <v>16</v>
      </c>
      <c r="W65" t="n">
        <v>25</v>
      </c>
      <c r="X65" t="n">
        <v>0</v>
      </c>
      <c r="Y65" t="n">
        <v>4900</v>
      </c>
      <c r="Z65" t="n">
        <v>2</v>
      </c>
      <c r="AA65" t="n">
        <v>116</v>
      </c>
      <c r="AB65" t="n">
        <v>14</v>
      </c>
      <c r="AC65" t="n">
        <v>8</v>
      </c>
      <c r="AD65" t="n">
        <v>422</v>
      </c>
      <c r="AE65" t="n">
        <v>11</v>
      </c>
      <c r="AF65" t="n">
        <v>13</v>
      </c>
      <c r="AG65" t="n">
        <v>123</v>
      </c>
      <c r="AH65" t="n">
        <v>34</v>
      </c>
      <c r="AI65" t="n">
        <v>67</v>
      </c>
      <c r="AJ65" t="n">
        <v>1186</v>
      </c>
      <c r="AK65" t="n">
        <v>540</v>
      </c>
      <c r="AL65" t="n">
        <v>400</v>
      </c>
      <c r="AM65" t="n">
        <v>89</v>
      </c>
      <c r="AN65" t="n">
        <v>31</v>
      </c>
      <c r="AO65" t="n">
        <v>18</v>
      </c>
      <c r="AP65" t="n">
        <v>448</v>
      </c>
      <c r="AQ65" t="n">
        <v>0</v>
      </c>
      <c r="AR65" t="n">
        <v>0</v>
      </c>
      <c r="AS65" t="n">
        <v>448</v>
      </c>
      <c r="AT65" t="n">
        <v>67</v>
      </c>
      <c r="AU65" t="n">
        <v>28</v>
      </c>
      <c r="AV65" t="n">
        <v>0</v>
      </c>
      <c r="AW65" t="n">
        <v>95</v>
      </c>
      <c r="AX65" t="n">
        <v>17</v>
      </c>
      <c r="AY65" t="n">
        <v>0</v>
      </c>
      <c r="AZ65" t="n">
        <v>0</v>
      </c>
      <c r="BA65" t="n">
        <v>17</v>
      </c>
      <c r="BB65" t="n">
        <v>0</v>
      </c>
      <c r="BC65" t="n">
        <v>0</v>
      </c>
      <c r="BD65" t="n">
        <v>0</v>
      </c>
      <c r="BE65" t="n">
        <v>0</v>
      </c>
      <c r="BF65" t="n">
        <v>0</v>
      </c>
      <c r="BG65">
        <f>IF($F65=0,"0",MIN(
BH65/(30*$F65),
BI65/(61*$F65),
BJ65/(48*$F65),
(BK65+BL65)/(23*$F65),
(BM65+BN65)/(41*$F65),
BO65/(25*$F65),
BP65/(6.6*$F65),
BQ65/(40*$F65),
BS65/(16*$F65)
)*100)</f>
        <v/>
      </c>
      <c r="BH65" t="n">
        <v>110</v>
      </c>
      <c r="BI65" t="n">
        <v>118</v>
      </c>
      <c r="BJ65" t="n">
        <v>170</v>
      </c>
      <c r="BK65" t="n">
        <v>25</v>
      </c>
      <c r="BL65" t="n">
        <v>16</v>
      </c>
      <c r="BM65" t="n">
        <v>74</v>
      </c>
      <c r="BN65" t="n">
        <v>66</v>
      </c>
      <c r="BO65" t="n">
        <v>85</v>
      </c>
      <c r="BP65" t="n">
        <v>22</v>
      </c>
      <c r="BQ65" t="n">
        <v>88</v>
      </c>
      <c r="BR65" t="n">
        <v>190</v>
      </c>
      <c r="BS65" t="n">
        <v>55</v>
      </c>
      <c r="BT65" t="n">
        <v>1019</v>
      </c>
      <c r="BU65" t="n">
        <v>137</v>
      </c>
      <c r="BV65" t="n">
        <v>126</v>
      </c>
      <c r="BW65" t="n">
        <v>192</v>
      </c>
      <c r="BX65" t="n">
        <v>74</v>
      </c>
      <c r="BY65" t="n">
        <v>151</v>
      </c>
      <c r="BZ65" t="n">
        <v>82</v>
      </c>
      <c r="CA65" t="n">
        <v>762</v>
      </c>
      <c r="CB65" t="n">
        <v>60</v>
      </c>
      <c r="CC65" t="n">
        <v>25</v>
      </c>
      <c r="CD65" t="n">
        <v>106</v>
      </c>
      <c r="CE65" t="n">
        <v>25</v>
      </c>
      <c r="CF65" t="n">
        <v>0.24</v>
      </c>
      <c r="CG65" t="n">
        <v>0</v>
      </c>
      <c r="CH65" t="n">
        <v>0</v>
      </c>
      <c r="CI65" t="n">
        <v>0</v>
      </c>
      <c r="CJ65" t="n">
        <v>0</v>
      </c>
      <c r="CK65" t="n">
        <v>0</v>
      </c>
      <c r="CL65" t="n">
        <v>1</v>
      </c>
      <c r="CM65" t="n">
        <v>0</v>
      </c>
      <c r="CN65" t="n">
        <v>53</v>
      </c>
      <c r="CO65" t="n">
        <v>0</v>
      </c>
      <c r="CP65" t="n">
        <v>4</v>
      </c>
      <c r="CQ65" t="n">
        <v>0</v>
      </c>
      <c r="CR65" t="n">
        <v>0</v>
      </c>
      <c r="CS65" t="n">
        <v>0</v>
      </c>
      <c r="CT65" t="n">
        <v>58</v>
      </c>
      <c r="CU65" t="n">
        <v>0</v>
      </c>
      <c r="CV65" t="n">
        <v>0</v>
      </c>
      <c r="CW65" t="n">
        <v>1</v>
      </c>
      <c r="CX65" t="n">
        <v>0</v>
      </c>
      <c r="CY65" t="n">
        <v>2</v>
      </c>
      <c r="CZ65" t="n">
        <v>0</v>
      </c>
      <c r="DA65" t="n">
        <v>0</v>
      </c>
      <c r="DB65" t="n">
        <v>0</v>
      </c>
      <c r="DC65" t="n">
        <v>3</v>
      </c>
      <c r="DD65" t="n">
        <v>0</v>
      </c>
      <c r="DE65" t="n">
        <v>0</v>
      </c>
      <c r="DF65" t="n">
        <v>25</v>
      </c>
      <c r="DG65" t="n">
        <v>106</v>
      </c>
      <c r="DH65" t="n">
        <v>0</v>
      </c>
      <c r="DI65" t="n">
        <v>0</v>
      </c>
      <c r="DJ65" t="n">
        <v>0</v>
      </c>
      <c r="DK65" t="n">
        <v>0</v>
      </c>
      <c r="DL65" t="n">
        <v>0</v>
      </c>
      <c r="DM65" t="n">
        <v>0</v>
      </c>
      <c r="DN65" t="n">
        <v>0</v>
      </c>
      <c r="DO65" t="n">
        <v>0</v>
      </c>
      <c r="DP65" t="n">
        <v>0</v>
      </c>
      <c r="DQ65" t="n">
        <v>0</v>
      </c>
      <c r="DR65" t="n">
        <v>0</v>
      </c>
      <c r="DS65" t="n">
        <v>131</v>
      </c>
      <c r="DT65" t="n">
        <v>192</v>
      </c>
      <c r="DU65" t="n">
        <v>48</v>
      </c>
      <c r="DV65" t="n">
        <v>0</v>
      </c>
      <c r="DW65" t="n">
        <v>0</v>
      </c>
      <c r="DX65" t="n">
        <v>0</v>
      </c>
      <c r="DY65" t="n">
        <v>0</v>
      </c>
      <c r="DZ65" t="n">
        <v>832</v>
      </c>
      <c r="EA65" t="n">
        <v>20</v>
      </c>
      <c r="EB65" t="n">
        <v>1158</v>
      </c>
      <c r="EC65" t="n">
        <v>20</v>
      </c>
      <c r="ED65" t="n">
        <v>386</v>
      </c>
      <c r="EE65" t="n">
        <v>1644</v>
      </c>
      <c r="EF65" t="n">
        <v>0</v>
      </c>
      <c r="EG65" t="n">
        <v>0.13</v>
      </c>
      <c r="EH65" t="n">
        <v>1</v>
      </c>
      <c r="EI65" t="n">
        <v>1.6</v>
      </c>
      <c r="EJ65" t="n">
        <v>0.2</v>
      </c>
      <c r="EK65" t="n">
        <v>2</v>
      </c>
    </row>
    <row r="66">
      <c r="A66">
        <f>[1]ingredient!B65</f>
        <v/>
      </c>
      <c r="B66" t="inlineStr">
        <is>
          <t>https://www.naehrwertrechner.de/naehrwerte/K701111/Champignon+frisch/?menge=100</t>
        </is>
      </c>
      <c r="C66" s="7">
        <f>_xlfn.XLOOKUP(A66,[1]ingredient!$B$2:$B$521,[1]ingredient!$A$2:$A$521)</f>
        <v/>
      </c>
      <c r="D66" t="n">
        <v>15</v>
      </c>
      <c r="E66" t="n">
        <v>0.24</v>
      </c>
      <c r="F66" t="n">
        <v>3</v>
      </c>
      <c r="G66" t="n">
        <v>1</v>
      </c>
      <c r="H66" t="n">
        <v>2</v>
      </c>
      <c r="I66" t="n">
        <v>0.11</v>
      </c>
      <c r="J66" t="n">
        <v>0.08</v>
      </c>
      <c r="K66" t="n">
        <v>93</v>
      </c>
      <c r="L66" t="n">
        <v>2</v>
      </c>
      <c r="M66" t="n">
        <v>1</v>
      </c>
      <c r="N66" t="n">
        <v>0</v>
      </c>
      <c r="O66" t="n">
        <v>10</v>
      </c>
      <c r="P66" t="n">
        <v>100</v>
      </c>
      <c r="Q66" t="n">
        <v>440</v>
      </c>
      <c r="R66" t="n">
        <v>5200</v>
      </c>
      <c r="S66" t="n">
        <v>5567</v>
      </c>
      <c r="T66" t="n">
        <v>2100</v>
      </c>
      <c r="U66" t="n">
        <v>65</v>
      </c>
      <c r="V66" t="n">
        <v>16</v>
      </c>
      <c r="W66" t="n">
        <v>25</v>
      </c>
      <c r="X66" t="n">
        <v>0</v>
      </c>
      <c r="Y66" t="n">
        <v>4900</v>
      </c>
      <c r="Z66" t="n">
        <v>2</v>
      </c>
      <c r="AA66" t="n">
        <v>116</v>
      </c>
      <c r="AB66" t="n">
        <v>14</v>
      </c>
      <c r="AC66" t="n">
        <v>8</v>
      </c>
      <c r="AD66" t="n">
        <v>422</v>
      </c>
      <c r="AE66" t="n">
        <v>11</v>
      </c>
      <c r="AF66" t="n">
        <v>13</v>
      </c>
      <c r="AG66" t="n">
        <v>123</v>
      </c>
      <c r="AH66" t="n">
        <v>34</v>
      </c>
      <c r="AI66" t="n">
        <v>67</v>
      </c>
      <c r="AJ66" t="n">
        <v>1186</v>
      </c>
      <c r="AK66" t="n">
        <v>540</v>
      </c>
      <c r="AL66" t="n">
        <v>400</v>
      </c>
      <c r="AM66" t="n">
        <v>89</v>
      </c>
      <c r="AN66" t="n">
        <v>31</v>
      </c>
      <c r="AO66" t="n">
        <v>18</v>
      </c>
      <c r="AP66" t="n">
        <v>448</v>
      </c>
      <c r="AQ66" t="n">
        <v>0</v>
      </c>
      <c r="AR66" t="n">
        <v>0</v>
      </c>
      <c r="AS66" t="n">
        <v>448</v>
      </c>
      <c r="AT66" t="n">
        <v>67</v>
      </c>
      <c r="AU66" t="n">
        <v>28</v>
      </c>
      <c r="AV66" t="n">
        <v>0</v>
      </c>
      <c r="AW66" t="n">
        <v>95</v>
      </c>
      <c r="AX66" t="n">
        <v>17</v>
      </c>
      <c r="AY66" t="n">
        <v>0</v>
      </c>
      <c r="AZ66" t="n">
        <v>0</v>
      </c>
      <c r="BA66" t="n">
        <v>17</v>
      </c>
      <c r="BB66" t="n">
        <v>0</v>
      </c>
      <c r="BC66" t="n">
        <v>0</v>
      </c>
      <c r="BD66" t="n">
        <v>0</v>
      </c>
      <c r="BE66" t="n">
        <v>0</v>
      </c>
      <c r="BF66" t="n">
        <v>0</v>
      </c>
      <c r="BG66">
        <f>IF($F66=0,"0",MIN(
BH66/(30*$F66),
BI66/(61*$F66),
BJ66/(48*$F66),
(BK66+BL66)/(23*$F66),
(BM66+BN66)/(41*$F66),
BO66/(25*$F66),
BP66/(6.6*$F66),
BQ66/(40*$F66),
BS66/(16*$F66)
)*100)</f>
        <v/>
      </c>
      <c r="BH66" t="n">
        <v>110</v>
      </c>
      <c r="BI66" t="n">
        <v>118</v>
      </c>
      <c r="BJ66" t="n">
        <v>170</v>
      </c>
      <c r="BK66" t="n">
        <v>25</v>
      </c>
      <c r="BL66" t="n">
        <v>16</v>
      </c>
      <c r="BM66" t="n">
        <v>74</v>
      </c>
      <c r="BN66" t="n">
        <v>66</v>
      </c>
      <c r="BO66" t="n">
        <v>85</v>
      </c>
      <c r="BP66" t="n">
        <v>22</v>
      </c>
      <c r="BQ66" t="n">
        <v>88</v>
      </c>
      <c r="BR66" t="n">
        <v>190</v>
      </c>
      <c r="BS66" t="n">
        <v>55</v>
      </c>
      <c r="BT66" t="n">
        <v>1019</v>
      </c>
      <c r="BU66" t="n">
        <v>137</v>
      </c>
      <c r="BV66" t="n">
        <v>126</v>
      </c>
      <c r="BW66" t="n">
        <v>192</v>
      </c>
      <c r="BX66" t="n">
        <v>74</v>
      </c>
      <c r="BY66" t="n">
        <v>151</v>
      </c>
      <c r="BZ66" t="n">
        <v>82</v>
      </c>
      <c r="CA66" t="n">
        <v>762</v>
      </c>
      <c r="CB66" t="n">
        <v>60</v>
      </c>
      <c r="CC66" t="n">
        <v>25</v>
      </c>
      <c r="CD66" t="n">
        <v>106</v>
      </c>
      <c r="CE66" t="n">
        <v>25</v>
      </c>
      <c r="CF66" t="n">
        <v>0.24</v>
      </c>
      <c r="CG66" t="n">
        <v>0</v>
      </c>
      <c r="CH66" t="n">
        <v>0</v>
      </c>
      <c r="CI66" t="n">
        <v>0</v>
      </c>
      <c r="CJ66" t="n">
        <v>0</v>
      </c>
      <c r="CK66" t="n">
        <v>0</v>
      </c>
      <c r="CL66" t="n">
        <v>1</v>
      </c>
      <c r="CM66" t="n">
        <v>0</v>
      </c>
      <c r="CN66" t="n">
        <v>53</v>
      </c>
      <c r="CO66" t="n">
        <v>0</v>
      </c>
      <c r="CP66" t="n">
        <v>4</v>
      </c>
      <c r="CQ66" t="n">
        <v>0</v>
      </c>
      <c r="CR66" t="n">
        <v>0</v>
      </c>
      <c r="CS66" t="n">
        <v>0</v>
      </c>
      <c r="CT66" t="n">
        <v>58</v>
      </c>
      <c r="CU66" t="n">
        <v>0</v>
      </c>
      <c r="CV66" t="n">
        <v>0</v>
      </c>
      <c r="CW66" t="n">
        <v>1</v>
      </c>
      <c r="CX66" t="n">
        <v>0</v>
      </c>
      <c r="CY66" t="n">
        <v>2</v>
      </c>
      <c r="CZ66" t="n">
        <v>0</v>
      </c>
      <c r="DA66" t="n">
        <v>0</v>
      </c>
      <c r="DB66" t="n">
        <v>0</v>
      </c>
      <c r="DC66" t="n">
        <v>3</v>
      </c>
      <c r="DD66" t="n">
        <v>0</v>
      </c>
      <c r="DE66" t="n">
        <v>0</v>
      </c>
      <c r="DF66" t="n">
        <v>25</v>
      </c>
      <c r="DG66" t="n">
        <v>106</v>
      </c>
      <c r="DH66" t="n">
        <v>0</v>
      </c>
      <c r="DI66" t="n">
        <v>0</v>
      </c>
      <c r="DJ66" t="n">
        <v>0</v>
      </c>
      <c r="DK66" t="n">
        <v>0</v>
      </c>
      <c r="DL66" t="n">
        <v>0</v>
      </c>
      <c r="DM66" t="n">
        <v>0</v>
      </c>
      <c r="DN66" t="n">
        <v>0</v>
      </c>
      <c r="DO66" t="n">
        <v>0</v>
      </c>
      <c r="DP66" t="n">
        <v>0</v>
      </c>
      <c r="DQ66" t="n">
        <v>0</v>
      </c>
      <c r="DR66" t="n">
        <v>0</v>
      </c>
      <c r="DS66" t="n">
        <v>131</v>
      </c>
      <c r="DT66" t="n">
        <v>192</v>
      </c>
      <c r="DU66" t="n">
        <v>48</v>
      </c>
      <c r="DV66" t="n">
        <v>0</v>
      </c>
      <c r="DW66" t="n">
        <v>0</v>
      </c>
      <c r="DX66" t="n">
        <v>0</v>
      </c>
      <c r="DY66" t="n">
        <v>0</v>
      </c>
      <c r="DZ66" t="n">
        <v>832</v>
      </c>
      <c r="EA66" t="n">
        <v>20</v>
      </c>
      <c r="EB66" t="n">
        <v>1158</v>
      </c>
      <c r="EC66" t="n">
        <v>20</v>
      </c>
      <c r="ED66" t="n">
        <v>386</v>
      </c>
      <c r="EE66" t="n">
        <v>1644</v>
      </c>
      <c r="EF66" t="n">
        <v>0</v>
      </c>
      <c r="EG66" t="n">
        <v>0.13</v>
      </c>
      <c r="EH66" t="n">
        <v>1</v>
      </c>
      <c r="EI66" t="n">
        <v>1.6</v>
      </c>
      <c r="EJ66" t="n">
        <v>0.2</v>
      </c>
      <c r="EK66" t="n">
        <v>2</v>
      </c>
    </row>
    <row r="67">
      <c r="A67">
        <f>[1]ingredient!B66</f>
        <v/>
      </c>
      <c r="C67" s="7">
        <f>_xlfn.XLOOKUP(A67,[1]ingredient!$B$2:$B$521,[1]ingredient!$A$2:$A$521)</f>
        <v/>
      </c>
      <c r="D67" t="n">
        <v>355</v>
      </c>
      <c r="E67" t="n">
        <v>6</v>
      </c>
      <c r="F67" t="n">
        <v>20</v>
      </c>
      <c r="G67" t="n">
        <v>55</v>
      </c>
      <c r="H67" t="n">
        <v>12</v>
      </c>
      <c r="J67" t="n">
        <v>0.1</v>
      </c>
      <c r="K67" t="n">
        <v>0</v>
      </c>
      <c r="BG67">
        <f>IF($F67=0,"0",MIN(
BH67/(30*$F67),
BI67/(61*$F67),
BJ67/(48*$F67),
(BK67+BL67)/(23*$F67),
(BM67+BN67)/(41*$F67),
BO67/(25*$F67),
BP67/(6.6*$F67),
BQ67/(40*$F67),
BS67/(16*$F67)
)*100)</f>
        <v/>
      </c>
      <c r="CT67" t="n">
        <v>1</v>
      </c>
    </row>
    <row r="68">
      <c r="A68">
        <f>[1]ingredient!B67</f>
        <v/>
      </c>
      <c r="B68" s="11" t="inlineStr">
        <is>
          <t>https://www.naehrwertrechner.de/naehrwerte/F524111/Cherimoya+frisch/?menge=100</t>
        </is>
      </c>
      <c r="C68" s="7">
        <f>_xlfn.XLOOKUP(A68,[1]ingredient!$B$2:$B$521,[1]ingredient!$A$2:$A$521)</f>
        <v/>
      </c>
      <c r="D68" t="n">
        <v>65</v>
      </c>
      <c r="E68" t="n">
        <v>0.3</v>
      </c>
      <c r="F68" t="n">
        <v>2</v>
      </c>
      <c r="G68" t="n">
        <v>13</v>
      </c>
      <c r="H68" t="n">
        <v>7</v>
      </c>
      <c r="I68" t="n">
        <v>13</v>
      </c>
      <c r="J68" t="n">
        <v>0.03</v>
      </c>
      <c r="K68" t="n">
        <v>76</v>
      </c>
      <c r="L68" t="n">
        <v>1</v>
      </c>
      <c r="M68" t="n">
        <v>1</v>
      </c>
      <c r="N68" t="n">
        <v>0</v>
      </c>
      <c r="O68" t="n">
        <v>6</v>
      </c>
      <c r="P68" t="n">
        <v>90</v>
      </c>
      <c r="Q68" t="n">
        <v>110</v>
      </c>
      <c r="R68" t="n">
        <v>1100</v>
      </c>
      <c r="S68" t="n">
        <v>1350</v>
      </c>
      <c r="T68" t="n">
        <v>450</v>
      </c>
      <c r="U68" t="n">
        <v>100</v>
      </c>
      <c r="V68" t="n">
        <v>2</v>
      </c>
      <c r="W68" t="n">
        <v>7</v>
      </c>
      <c r="X68" t="n">
        <v>0</v>
      </c>
      <c r="Y68" t="n">
        <v>15000</v>
      </c>
      <c r="Z68" t="n">
        <v>0</v>
      </c>
      <c r="AA68" t="n">
        <v>500</v>
      </c>
      <c r="AB68" t="n">
        <v>10</v>
      </c>
      <c r="AC68" t="n">
        <v>13</v>
      </c>
      <c r="AD68" t="n">
        <v>400</v>
      </c>
      <c r="AE68" t="n">
        <v>13</v>
      </c>
      <c r="AF68" t="n">
        <v>25</v>
      </c>
      <c r="AG68" t="n">
        <v>32</v>
      </c>
      <c r="AH68" t="n">
        <v>13</v>
      </c>
      <c r="AI68" t="n">
        <v>18</v>
      </c>
      <c r="AJ68" t="n">
        <v>400</v>
      </c>
      <c r="AK68" t="n">
        <v>120</v>
      </c>
      <c r="AL68" t="n">
        <v>80</v>
      </c>
      <c r="AM68" t="n">
        <v>60</v>
      </c>
      <c r="AN68" t="n">
        <v>20</v>
      </c>
      <c r="AO68" t="n">
        <v>2</v>
      </c>
      <c r="AP68" t="n">
        <v>0</v>
      </c>
      <c r="AQ68" t="n">
        <v>0</v>
      </c>
      <c r="AR68" t="n">
        <v>0</v>
      </c>
      <c r="AS68" t="n">
        <v>0</v>
      </c>
      <c r="AT68" t="n">
        <v>4422</v>
      </c>
      <c r="AU68" t="n">
        <v>4422</v>
      </c>
      <c r="AV68" t="n">
        <v>0</v>
      </c>
      <c r="AW68" t="n">
        <v>8844</v>
      </c>
      <c r="AX68" t="n">
        <v>4556</v>
      </c>
      <c r="AY68" t="n">
        <v>0</v>
      </c>
      <c r="AZ68" t="n">
        <v>0</v>
      </c>
      <c r="BA68" t="n">
        <v>0</v>
      </c>
      <c r="BB68" t="n">
        <v>0</v>
      </c>
      <c r="BC68" t="n">
        <v>0</v>
      </c>
      <c r="BD68" t="n">
        <v>0</v>
      </c>
      <c r="BE68" t="n">
        <v>0</v>
      </c>
      <c r="BF68" t="n">
        <v>0</v>
      </c>
      <c r="BG68">
        <f>IF($F68=0,"0",MIN(
BH68/(30*$F68),
BI68/(61*$F68),
BJ68/(48*$F68),
(BK68+BL68)/(23*$F68),
(BM68+BN68)/(41*$F68),
BO68/(25*$F68),
BP68/(6.6*$F68),
BQ68/(40*$F68),
BS68/(16*$F68)
)*100)</f>
        <v/>
      </c>
      <c r="BH68" t="n">
        <v>45</v>
      </c>
      <c r="BI68" t="n">
        <v>75</v>
      </c>
      <c r="BJ68" t="n">
        <v>75</v>
      </c>
      <c r="BK68" t="n">
        <v>15</v>
      </c>
      <c r="BL68" t="n">
        <v>8</v>
      </c>
      <c r="BM68" t="n">
        <v>38</v>
      </c>
      <c r="BN68" t="n">
        <v>30</v>
      </c>
      <c r="BO68" t="n">
        <v>45</v>
      </c>
      <c r="BP68" t="n">
        <v>15</v>
      </c>
      <c r="BQ68" t="n">
        <v>53</v>
      </c>
      <c r="BR68" t="n">
        <v>53</v>
      </c>
      <c r="BS68" t="n">
        <v>23</v>
      </c>
      <c r="BT68" t="n">
        <v>475</v>
      </c>
      <c r="BU68" t="n">
        <v>68</v>
      </c>
      <c r="BV68" t="n">
        <v>135</v>
      </c>
      <c r="BW68" t="n">
        <v>146</v>
      </c>
      <c r="BX68" t="n">
        <v>53</v>
      </c>
      <c r="BY68" t="n">
        <v>53</v>
      </c>
      <c r="BZ68" t="n">
        <v>60</v>
      </c>
      <c r="CA68" t="n">
        <v>515</v>
      </c>
      <c r="CB68" t="n">
        <v>15</v>
      </c>
      <c r="CC68" t="n">
        <v>6</v>
      </c>
      <c r="CD68" t="n">
        <v>23</v>
      </c>
      <c r="CE68" t="n">
        <v>96</v>
      </c>
      <c r="CF68" t="n">
        <v>4.17</v>
      </c>
      <c r="CG68" t="n">
        <v>0</v>
      </c>
      <c r="CH68" t="n">
        <v>0</v>
      </c>
      <c r="CI68" t="n">
        <v>0</v>
      </c>
      <c r="CJ68" t="n">
        <v>0</v>
      </c>
      <c r="CK68" t="n">
        <v>1</v>
      </c>
      <c r="CL68" t="n">
        <v>2</v>
      </c>
      <c r="CM68" t="n">
        <v>0</v>
      </c>
      <c r="CN68" t="n">
        <v>58</v>
      </c>
      <c r="CO68" t="n">
        <v>0</v>
      </c>
      <c r="CP68" t="n">
        <v>10</v>
      </c>
      <c r="CQ68" t="n">
        <v>0</v>
      </c>
      <c r="CR68" t="n">
        <v>0</v>
      </c>
      <c r="CS68" t="n">
        <v>0</v>
      </c>
      <c r="CT68" t="n">
        <v>71</v>
      </c>
      <c r="CU68" t="n">
        <v>0</v>
      </c>
      <c r="CV68" t="n">
        <v>0</v>
      </c>
      <c r="CW68" t="n">
        <v>2</v>
      </c>
      <c r="CX68" t="n">
        <v>0</v>
      </c>
      <c r="CY68" t="n">
        <v>48</v>
      </c>
      <c r="CZ68" t="n">
        <v>0</v>
      </c>
      <c r="DA68" t="n">
        <v>0</v>
      </c>
      <c r="DB68" t="n">
        <v>0</v>
      </c>
      <c r="DC68" t="n">
        <v>50</v>
      </c>
      <c r="DD68" t="n">
        <v>0</v>
      </c>
      <c r="DE68" t="n">
        <v>0</v>
      </c>
      <c r="DF68" t="n">
        <v>96</v>
      </c>
      <c r="DG68" t="n">
        <v>23</v>
      </c>
      <c r="DH68" t="n">
        <v>0</v>
      </c>
      <c r="DI68" t="n">
        <v>0</v>
      </c>
      <c r="DJ68" t="n">
        <v>0</v>
      </c>
      <c r="DK68" t="n">
        <v>0</v>
      </c>
      <c r="DL68" t="n">
        <v>0</v>
      </c>
      <c r="DM68" t="n">
        <v>0</v>
      </c>
      <c r="DN68" t="n">
        <v>0</v>
      </c>
      <c r="DO68" t="n">
        <v>0</v>
      </c>
      <c r="DP68" t="n">
        <v>0</v>
      </c>
      <c r="DQ68" t="n">
        <v>0</v>
      </c>
      <c r="DR68" t="n">
        <v>0</v>
      </c>
      <c r="DS68" t="n">
        <v>119</v>
      </c>
      <c r="DT68" t="n">
        <v>240</v>
      </c>
      <c r="DU68" t="n">
        <v>60</v>
      </c>
      <c r="DV68" t="n">
        <v>0</v>
      </c>
      <c r="DW68" t="n">
        <v>0</v>
      </c>
      <c r="DX68" t="n">
        <v>0</v>
      </c>
      <c r="DY68" t="n">
        <v>1050</v>
      </c>
      <c r="DZ68" t="n">
        <v>1400</v>
      </c>
      <c r="EA68" t="n">
        <v>1400</v>
      </c>
      <c r="EB68" t="n">
        <v>1400</v>
      </c>
      <c r="EC68" t="n">
        <v>1750</v>
      </c>
      <c r="ED68" t="n">
        <v>1750</v>
      </c>
      <c r="EE68" t="n">
        <v>5250</v>
      </c>
      <c r="EF68" t="n">
        <v>0</v>
      </c>
      <c r="EG68" t="n">
        <v>1</v>
      </c>
      <c r="EH68" t="n">
        <v>0.8</v>
      </c>
      <c r="EI68" t="n">
        <v>5.3</v>
      </c>
      <c r="EJ68" t="n">
        <v>0.3</v>
      </c>
      <c r="EK68" t="n">
        <v>1</v>
      </c>
    </row>
    <row r="69">
      <c r="A69">
        <f>[1]ingredient!B68</f>
        <v/>
      </c>
      <c r="B69" t="inlineStr">
        <is>
          <t>naehrwertrechner.de/naehrwerte/H-Chia/Chiasamen/?menge=100</t>
        </is>
      </c>
      <c r="C69" s="7">
        <f>_xlfn.XLOOKUP(A69,[1]ingredient!$B$2:$B$521,[1]ingredient!$A$2:$A$521)</f>
        <v/>
      </c>
      <c r="D69" t="n">
        <v>455</v>
      </c>
      <c r="E69" t="n">
        <v>32</v>
      </c>
      <c r="F69" t="n">
        <v>21</v>
      </c>
      <c r="G69" t="n">
        <v>5</v>
      </c>
      <c r="H69" t="n">
        <v>30</v>
      </c>
      <c r="I69" t="n">
        <v>1</v>
      </c>
      <c r="J69" t="n">
        <v>0.03</v>
      </c>
      <c r="K69" t="n">
        <v>9</v>
      </c>
      <c r="L69" t="n">
        <v>0</v>
      </c>
      <c r="M69" t="n">
        <v>0</v>
      </c>
      <c r="N69" t="n">
        <v>0</v>
      </c>
      <c r="O69" t="n">
        <v>0</v>
      </c>
      <c r="P69" t="n">
        <v>500</v>
      </c>
      <c r="Q69" t="n">
        <v>200</v>
      </c>
      <c r="R69" t="n">
        <v>2600</v>
      </c>
      <c r="S69" t="n">
        <v>8900</v>
      </c>
      <c r="T69" t="n">
        <v>0</v>
      </c>
      <c r="U69" t="n">
        <v>400</v>
      </c>
      <c r="V69" t="n">
        <v>16</v>
      </c>
      <c r="W69" t="n">
        <v>73</v>
      </c>
      <c r="X69" t="n">
        <v>0</v>
      </c>
      <c r="Y69" t="n">
        <v>0</v>
      </c>
      <c r="Z69" t="n">
        <v>3</v>
      </c>
      <c r="AA69" t="n">
        <v>0</v>
      </c>
      <c r="AB69" t="n">
        <v>4</v>
      </c>
      <c r="AC69" t="n">
        <v>10</v>
      </c>
      <c r="AD69" t="n">
        <v>731</v>
      </c>
      <c r="AE69" t="n">
        <v>206</v>
      </c>
      <c r="AF69" t="n">
        <v>323</v>
      </c>
      <c r="AG69" t="n">
        <v>533</v>
      </c>
      <c r="AH69" t="n">
        <v>220</v>
      </c>
      <c r="AI69" t="n">
        <v>16</v>
      </c>
      <c r="AJ69" t="n">
        <v>6800</v>
      </c>
      <c r="AK69" t="n">
        <v>4200</v>
      </c>
      <c r="AL69" t="n">
        <v>1200</v>
      </c>
      <c r="AM69" t="n">
        <v>2300</v>
      </c>
      <c r="AN69" t="n">
        <v>100</v>
      </c>
      <c r="AO69" t="n">
        <v>2</v>
      </c>
      <c r="AP69" t="n">
        <v>0</v>
      </c>
      <c r="AQ69" t="n">
        <v>0</v>
      </c>
      <c r="AR69" t="n">
        <v>0</v>
      </c>
      <c r="AS69" t="n">
        <v>0</v>
      </c>
      <c r="AT69" t="n">
        <v>0</v>
      </c>
      <c r="AU69" t="n">
        <v>0</v>
      </c>
      <c r="AV69" t="n">
        <v>0</v>
      </c>
      <c r="AW69" t="n">
        <v>0</v>
      </c>
      <c r="AX69" t="n">
        <v>500</v>
      </c>
      <c r="AY69" t="n">
        <v>0</v>
      </c>
      <c r="AZ69" t="n">
        <v>0</v>
      </c>
      <c r="BA69" t="n">
        <v>500</v>
      </c>
      <c r="BB69" t="n">
        <v>4700</v>
      </c>
      <c r="BC69" t="n">
        <v>0</v>
      </c>
      <c r="BD69" t="n">
        <v>0</v>
      </c>
      <c r="BE69" t="n">
        <v>0</v>
      </c>
      <c r="BF69" t="n">
        <v>0</v>
      </c>
      <c r="BG69">
        <f>IF($F69=0,"0",MIN(
BH69/(30*$F69),
BI69/(61*$F69),
BJ69/(48*$F69),
(BK69+BL69)/(23*$F69),
(BM69+BN69)/(41*$F69),
BO69/(25*$F69),
BP69/(6.6*$F69),
BQ69/(40*$F69),
BS69/(16*$F69)
)*100)</f>
        <v/>
      </c>
      <c r="BH69" t="n">
        <v>915</v>
      </c>
      <c r="BI69" t="n">
        <v>1303</v>
      </c>
      <c r="BJ69" t="n">
        <v>876</v>
      </c>
      <c r="BK69" t="n">
        <v>428</v>
      </c>
      <c r="BL69" t="n">
        <v>408</v>
      </c>
      <c r="BM69" t="n">
        <v>1064</v>
      </c>
      <c r="BN69" t="n">
        <v>567</v>
      </c>
      <c r="BO69" t="n">
        <v>835</v>
      </c>
      <c r="BP69" t="n">
        <v>378</v>
      </c>
      <c r="BQ69" t="n">
        <v>1104</v>
      </c>
      <c r="BR69" t="n">
        <v>2148</v>
      </c>
      <c r="BS69" t="n">
        <v>497</v>
      </c>
      <c r="BT69" t="n">
        <v>10521</v>
      </c>
      <c r="BU69" t="n">
        <v>1024</v>
      </c>
      <c r="BV69" t="n">
        <v>2138</v>
      </c>
      <c r="BW69" t="n">
        <v>4515</v>
      </c>
      <c r="BX69" t="n">
        <v>1322</v>
      </c>
      <c r="BY69" t="n">
        <v>816</v>
      </c>
      <c r="BZ69" t="n">
        <v>1064</v>
      </c>
      <c r="CA69" t="n">
        <v>10879</v>
      </c>
      <c r="CB69" t="n">
        <v>0</v>
      </c>
      <c r="CC69" t="n">
        <v>0</v>
      </c>
      <c r="CD69" t="n">
        <v>20900</v>
      </c>
      <c r="CE69" t="n">
        <v>5607</v>
      </c>
      <c r="CF69" t="n">
        <v>0.27</v>
      </c>
      <c r="CG69" t="n">
        <v>0</v>
      </c>
      <c r="CH69" t="n">
        <v>0</v>
      </c>
      <c r="CI69" t="n">
        <v>0</v>
      </c>
      <c r="CJ69" t="n">
        <v>0</v>
      </c>
      <c r="CK69" t="n">
        <v>4</v>
      </c>
      <c r="CL69" t="n">
        <v>17</v>
      </c>
      <c r="CM69" t="n">
        <v>7</v>
      </c>
      <c r="CN69" t="n">
        <v>1892</v>
      </c>
      <c r="CO69" t="n">
        <v>21</v>
      </c>
      <c r="CP69" t="n">
        <v>1420</v>
      </c>
      <c r="CQ69" t="n">
        <v>54</v>
      </c>
      <c r="CR69" t="n">
        <v>54</v>
      </c>
      <c r="CS69" t="n">
        <v>32</v>
      </c>
      <c r="CT69" t="n">
        <v>3500</v>
      </c>
      <c r="CU69" t="n">
        <v>0</v>
      </c>
      <c r="CV69" t="n">
        <v>0</v>
      </c>
      <c r="CW69" t="n">
        <v>8</v>
      </c>
      <c r="CX69" t="n">
        <v>4</v>
      </c>
      <c r="CY69" t="n">
        <v>2073</v>
      </c>
      <c r="CZ69" t="n">
        <v>14</v>
      </c>
      <c r="DA69" t="n">
        <v>0</v>
      </c>
      <c r="DB69" t="n">
        <v>1</v>
      </c>
      <c r="DC69" t="n">
        <v>2100</v>
      </c>
      <c r="DD69" t="n">
        <v>0</v>
      </c>
      <c r="DE69" t="n">
        <v>0</v>
      </c>
      <c r="DF69" t="n">
        <v>5600</v>
      </c>
      <c r="DG69" t="n">
        <v>20900</v>
      </c>
      <c r="DH69" t="n">
        <v>0</v>
      </c>
      <c r="DI69" t="n">
        <v>0</v>
      </c>
      <c r="DJ69" t="n">
        <v>7</v>
      </c>
      <c r="DK69" t="n">
        <v>0</v>
      </c>
      <c r="DL69" t="n">
        <v>0</v>
      </c>
      <c r="DM69" t="n">
        <v>0</v>
      </c>
      <c r="DN69" t="n">
        <v>0</v>
      </c>
      <c r="DO69" t="n">
        <v>0</v>
      </c>
      <c r="DP69" t="n">
        <v>0</v>
      </c>
      <c r="DQ69" t="n">
        <v>0</v>
      </c>
      <c r="DR69" t="n">
        <v>0</v>
      </c>
      <c r="DS69" t="n">
        <v>26500</v>
      </c>
      <c r="DT69" t="n">
        <v>32100</v>
      </c>
      <c r="DU69" t="n">
        <v>100</v>
      </c>
      <c r="DV69" t="n">
        <v>0</v>
      </c>
      <c r="DW69" t="n">
        <v>0</v>
      </c>
      <c r="DX69" t="n">
        <v>0</v>
      </c>
      <c r="DY69" t="n">
        <v>0</v>
      </c>
      <c r="DZ69" t="n">
        <v>0</v>
      </c>
      <c r="EA69" t="n">
        <v>0</v>
      </c>
      <c r="EB69" t="n">
        <v>0</v>
      </c>
      <c r="EC69" t="n">
        <v>0</v>
      </c>
      <c r="ED69" t="n">
        <v>14600</v>
      </c>
      <c r="EE69" t="n">
        <v>15000</v>
      </c>
      <c r="EF69" t="n">
        <v>0</v>
      </c>
      <c r="EG69" t="n">
        <v>0</v>
      </c>
      <c r="EH69" t="n">
        <v>2.1</v>
      </c>
      <c r="EI69" t="n">
        <v>15</v>
      </c>
      <c r="EJ69" t="n">
        <v>32.2</v>
      </c>
      <c r="EK69" t="n">
        <v>21.4</v>
      </c>
    </row>
    <row r="70">
      <c r="A70">
        <f>[1]ingredient!B69</f>
        <v/>
      </c>
      <c r="B70" t="inlineStr">
        <is>
          <t>https://www.naehrwertrechner.de/naehrwerte/G101111/Chicoree+frisch/?menge=100</t>
        </is>
      </c>
      <c r="C70" s="7">
        <f>_xlfn.XLOOKUP(A70,[1]ingredient!$B$2:$B$521,[1]ingredient!$A$2:$A$521)</f>
        <v/>
      </c>
      <c r="D70" t="n">
        <v>17</v>
      </c>
      <c r="E70" t="n">
        <v>0.18</v>
      </c>
      <c r="F70" t="n">
        <v>1</v>
      </c>
      <c r="G70" t="n">
        <v>2</v>
      </c>
      <c r="H70" t="n">
        <v>1</v>
      </c>
      <c r="I70" t="n">
        <v>2</v>
      </c>
      <c r="J70" t="n">
        <v>0.03</v>
      </c>
      <c r="K70" t="n">
        <v>92</v>
      </c>
      <c r="L70" t="n">
        <v>572</v>
      </c>
      <c r="M70" t="n">
        <v>286</v>
      </c>
      <c r="N70" t="n">
        <v>0</v>
      </c>
      <c r="O70" t="n">
        <v>3430</v>
      </c>
      <c r="P70" t="n">
        <v>58</v>
      </c>
      <c r="Q70" t="n">
        <v>34</v>
      </c>
      <c r="R70" t="n">
        <v>240</v>
      </c>
      <c r="S70" t="n">
        <v>473</v>
      </c>
      <c r="T70" t="n">
        <v>400</v>
      </c>
      <c r="U70" t="n">
        <v>50</v>
      </c>
      <c r="V70" t="n">
        <v>5</v>
      </c>
      <c r="W70" t="n">
        <v>52</v>
      </c>
      <c r="X70" t="n">
        <v>0</v>
      </c>
      <c r="Y70" t="n">
        <v>8689</v>
      </c>
      <c r="Z70" t="n">
        <v>0</v>
      </c>
      <c r="AA70" t="n">
        <v>100</v>
      </c>
      <c r="AB70" t="n">
        <v>200</v>
      </c>
      <c r="AC70" t="n">
        <v>4</v>
      </c>
      <c r="AD70" t="n">
        <v>194</v>
      </c>
      <c r="AE70" t="n">
        <v>26</v>
      </c>
      <c r="AF70" t="n">
        <v>13</v>
      </c>
      <c r="AG70" t="n">
        <v>26</v>
      </c>
      <c r="AH70" t="n">
        <v>13</v>
      </c>
      <c r="AI70" t="n">
        <v>25</v>
      </c>
      <c r="AJ70" t="n">
        <v>740</v>
      </c>
      <c r="AK70" t="n">
        <v>190</v>
      </c>
      <c r="AL70" t="n">
        <v>140</v>
      </c>
      <c r="AM70" t="n">
        <v>300</v>
      </c>
      <c r="AN70" t="n">
        <v>70</v>
      </c>
      <c r="AO70" t="n">
        <v>1</v>
      </c>
      <c r="AP70" t="n">
        <v>0</v>
      </c>
      <c r="AQ70" t="n">
        <v>0</v>
      </c>
      <c r="AR70" t="n">
        <v>0</v>
      </c>
      <c r="AS70" t="n">
        <v>0</v>
      </c>
      <c r="AT70" t="n">
        <v>1381</v>
      </c>
      <c r="AU70" t="n">
        <v>725</v>
      </c>
      <c r="AV70" t="n">
        <v>0</v>
      </c>
      <c r="AW70" t="n">
        <v>2106</v>
      </c>
      <c r="AX70" t="n">
        <v>187</v>
      </c>
      <c r="AY70" t="n">
        <v>0</v>
      </c>
      <c r="AZ70" t="n">
        <v>0</v>
      </c>
      <c r="BA70" t="n">
        <v>187</v>
      </c>
      <c r="BB70" t="n">
        <v>0</v>
      </c>
      <c r="BC70" t="n">
        <v>1490</v>
      </c>
      <c r="BD70" t="n">
        <v>0</v>
      </c>
      <c r="BE70" t="n">
        <v>47</v>
      </c>
      <c r="BF70" t="n">
        <v>47</v>
      </c>
      <c r="BG70">
        <f>IF($F70=0,"0",MIN(
BH70/(30*$F70),
BI70/(61*$F70),
BJ70/(48*$F70),
(BK70+BL70)/(23*$F70),
(BM70+BN70)/(41*$F70),
BO70/(25*$F70),
BP70/(6.6*$F70),
BQ70/(40*$F70),
BS70/(16*$F70)
)*100)</f>
        <v/>
      </c>
      <c r="BH70" t="n">
        <v>85</v>
      </c>
      <c r="BI70" t="n">
        <v>87</v>
      </c>
      <c r="BJ70" t="n">
        <v>65</v>
      </c>
      <c r="BK70" t="n">
        <v>16</v>
      </c>
      <c r="BL70" t="n">
        <v>9</v>
      </c>
      <c r="BM70" t="n">
        <v>59</v>
      </c>
      <c r="BN70" t="n">
        <v>36</v>
      </c>
      <c r="BO70" t="n">
        <v>49</v>
      </c>
      <c r="BP70" t="n">
        <v>14</v>
      </c>
      <c r="BQ70" t="n">
        <v>65</v>
      </c>
      <c r="BR70" t="n">
        <v>62</v>
      </c>
      <c r="BS70" t="n">
        <v>21</v>
      </c>
      <c r="BT70" t="n">
        <v>568</v>
      </c>
      <c r="BU70" t="n">
        <v>56</v>
      </c>
      <c r="BV70" t="n">
        <v>143</v>
      </c>
      <c r="BW70" t="n">
        <v>159</v>
      </c>
      <c r="BX70" t="n">
        <v>52</v>
      </c>
      <c r="BY70" t="n">
        <v>68</v>
      </c>
      <c r="BZ70" t="n">
        <v>46</v>
      </c>
      <c r="CA70" t="n">
        <v>524</v>
      </c>
      <c r="CB70" t="n">
        <v>15</v>
      </c>
      <c r="CC70" t="n">
        <v>6</v>
      </c>
      <c r="CD70" t="n">
        <v>29</v>
      </c>
      <c r="CE70" t="n">
        <v>74</v>
      </c>
      <c r="CF70" t="n">
        <v>2.55</v>
      </c>
      <c r="CG70" t="n">
        <v>0</v>
      </c>
      <c r="CH70" t="n">
        <v>0</v>
      </c>
      <c r="CI70" t="n">
        <v>0</v>
      </c>
      <c r="CJ70" t="n">
        <v>0</v>
      </c>
      <c r="CK70" t="n">
        <v>0</v>
      </c>
      <c r="CL70" t="n">
        <v>3</v>
      </c>
      <c r="CM70" t="n">
        <v>0</v>
      </c>
      <c r="CN70" t="n">
        <v>32</v>
      </c>
      <c r="CO70" t="n">
        <v>0</v>
      </c>
      <c r="CP70" t="n">
        <v>2</v>
      </c>
      <c r="CQ70" t="n">
        <v>0</v>
      </c>
      <c r="CR70" t="n">
        <v>0</v>
      </c>
      <c r="CS70" t="n">
        <v>0</v>
      </c>
      <c r="CT70" t="n">
        <v>37</v>
      </c>
      <c r="CU70" t="n">
        <v>0</v>
      </c>
      <c r="CV70" t="n">
        <v>0</v>
      </c>
      <c r="CW70" t="n">
        <v>0</v>
      </c>
      <c r="CX70" t="n">
        <v>0</v>
      </c>
      <c r="CY70" t="n">
        <v>4</v>
      </c>
      <c r="CZ70" t="n">
        <v>0</v>
      </c>
      <c r="DA70" t="n">
        <v>0</v>
      </c>
      <c r="DB70" t="n">
        <v>0</v>
      </c>
      <c r="DC70" t="n">
        <v>4</v>
      </c>
      <c r="DD70" t="n">
        <v>0</v>
      </c>
      <c r="DE70" t="n">
        <v>0</v>
      </c>
      <c r="DF70" t="n">
        <v>74</v>
      </c>
      <c r="DG70" t="n">
        <v>29</v>
      </c>
      <c r="DH70" t="n">
        <v>0</v>
      </c>
      <c r="DI70" t="n">
        <v>0</v>
      </c>
      <c r="DJ70" t="n">
        <v>0</v>
      </c>
      <c r="DK70" t="n">
        <v>0</v>
      </c>
      <c r="DL70" t="n">
        <v>0</v>
      </c>
      <c r="DM70" t="n">
        <v>0</v>
      </c>
      <c r="DN70" t="n">
        <v>0</v>
      </c>
      <c r="DO70" t="n">
        <v>0</v>
      </c>
      <c r="DP70" t="n">
        <v>0</v>
      </c>
      <c r="DQ70" t="n">
        <v>0</v>
      </c>
      <c r="DR70" t="n">
        <v>0</v>
      </c>
      <c r="DS70" t="n">
        <v>103</v>
      </c>
      <c r="DT70" t="n">
        <v>144</v>
      </c>
      <c r="DU70" t="n">
        <v>36</v>
      </c>
      <c r="DV70" t="n">
        <v>0</v>
      </c>
      <c r="DW70" t="n">
        <v>0</v>
      </c>
      <c r="DX70" t="n">
        <v>0</v>
      </c>
      <c r="DY70" t="n">
        <v>221</v>
      </c>
      <c r="DZ70" t="n">
        <v>156</v>
      </c>
      <c r="EA70" t="n">
        <v>468</v>
      </c>
      <c r="EB70" t="n">
        <v>416</v>
      </c>
      <c r="EC70" t="n">
        <v>39</v>
      </c>
      <c r="ED70" t="n">
        <v>390</v>
      </c>
      <c r="EE70" t="n">
        <v>910</v>
      </c>
      <c r="EF70" t="n">
        <v>0</v>
      </c>
      <c r="EG70" t="n">
        <v>0.3</v>
      </c>
      <c r="EH70" t="n">
        <v>1</v>
      </c>
      <c r="EI70" t="n">
        <v>0.9</v>
      </c>
      <c r="EJ70" t="n">
        <v>0.2</v>
      </c>
      <c r="EK70" t="n">
        <v>1.1</v>
      </c>
    </row>
    <row r="71">
      <c r="A71">
        <f>[1]ingredient!B70</f>
        <v/>
      </c>
      <c r="B71" t="inlineStr">
        <is>
          <t>https://www.naehrwertrechner.de/naehrwerte/R252211/Chili+rot+%28Pulver%29/?menge=100</t>
        </is>
      </c>
      <c r="C71" s="7">
        <f>_xlfn.XLOOKUP(A71,[1]ingredient!$B$2:$B$521,[1]ingredient!$A$2:$A$521)</f>
        <v/>
      </c>
      <c r="D71" t="n">
        <v>329</v>
      </c>
      <c r="E71" t="n">
        <v>17</v>
      </c>
      <c r="F71" t="n">
        <v>12</v>
      </c>
      <c r="G71" t="n">
        <v>32</v>
      </c>
      <c r="H71" t="n">
        <v>25</v>
      </c>
      <c r="I71" t="n">
        <v>30</v>
      </c>
      <c r="J71" t="n">
        <v>0.23</v>
      </c>
      <c r="K71" t="n">
        <v>8</v>
      </c>
      <c r="L71" t="n">
        <v>4167</v>
      </c>
      <c r="M71" t="n">
        <v>2083</v>
      </c>
      <c r="N71" t="n">
        <v>0</v>
      </c>
      <c r="O71" t="n">
        <v>25000</v>
      </c>
      <c r="P71" t="n">
        <v>330</v>
      </c>
      <c r="Q71" t="n">
        <v>920</v>
      </c>
      <c r="R71" t="n">
        <v>8700</v>
      </c>
      <c r="S71" t="n">
        <v>10700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76000</v>
      </c>
      <c r="Z71" t="n">
        <v>0</v>
      </c>
      <c r="AA71" t="n">
        <v>0</v>
      </c>
      <c r="AB71" t="n">
        <v>0</v>
      </c>
      <c r="AC71" t="n">
        <v>30</v>
      </c>
      <c r="AD71" t="n">
        <v>2014</v>
      </c>
      <c r="AE71" t="n">
        <v>148</v>
      </c>
      <c r="AF71" t="n">
        <v>152</v>
      </c>
      <c r="AG71" t="n">
        <v>293</v>
      </c>
      <c r="AH71" t="n">
        <v>100</v>
      </c>
      <c r="AI71" t="n">
        <v>200</v>
      </c>
      <c r="AJ71" t="n">
        <v>7800</v>
      </c>
      <c r="AK71" t="n">
        <v>2480</v>
      </c>
      <c r="AL71" t="n">
        <v>800</v>
      </c>
      <c r="AM71" t="n">
        <v>500</v>
      </c>
      <c r="AN71" t="n">
        <v>400</v>
      </c>
      <c r="AO71" t="n">
        <v>5</v>
      </c>
      <c r="AP71" t="n">
        <v>0</v>
      </c>
      <c r="AQ71" t="n">
        <v>0</v>
      </c>
      <c r="AR71" t="n">
        <v>0</v>
      </c>
      <c r="AS71" t="n">
        <v>0</v>
      </c>
      <c r="AT71" t="n">
        <v>16000</v>
      </c>
      <c r="AU71" t="n">
        <v>13120</v>
      </c>
      <c r="AV71" t="n">
        <v>0</v>
      </c>
      <c r="AW71" t="n">
        <v>29120</v>
      </c>
      <c r="AX71" t="n">
        <v>1280</v>
      </c>
      <c r="AY71" t="n">
        <v>0</v>
      </c>
      <c r="AZ71" t="n">
        <v>0</v>
      </c>
      <c r="BA71" t="n">
        <v>1280</v>
      </c>
      <c r="BB71" t="n">
        <v>0</v>
      </c>
      <c r="BC71" t="n">
        <v>0</v>
      </c>
      <c r="BD71" t="n">
        <v>0</v>
      </c>
      <c r="BE71" t="n">
        <v>1600</v>
      </c>
      <c r="BF71" t="n">
        <v>1600</v>
      </c>
      <c r="BG71">
        <f>IF($F71=0,"0",MIN(
BH71/(30*$F71),
BI71/(61*$F71),
BJ71/(48*$F71),
(BK71+BL71)/(23*$F71),
(BM71+BN71)/(41*$F71),
BO71/(25*$F71),
BP71/(6.6*$F71),
BQ71/(40*$F71),
BS71/(16*$F71)
)*100)</f>
        <v/>
      </c>
      <c r="BH71" t="n">
        <v>360</v>
      </c>
      <c r="BI71" t="n">
        <v>600</v>
      </c>
      <c r="BJ71" t="n">
        <v>600</v>
      </c>
      <c r="BK71" t="n">
        <v>180</v>
      </c>
      <c r="BL71" t="n">
        <v>120</v>
      </c>
      <c r="BM71" t="n">
        <v>420</v>
      </c>
      <c r="BN71" t="n">
        <v>240</v>
      </c>
      <c r="BO71" t="n">
        <v>300</v>
      </c>
      <c r="BP71" t="n">
        <v>120</v>
      </c>
      <c r="BQ71" t="n">
        <v>480</v>
      </c>
      <c r="BR71" t="n">
        <v>540</v>
      </c>
      <c r="BS71" t="n">
        <v>180</v>
      </c>
      <c r="BT71" t="n">
        <v>4140</v>
      </c>
      <c r="BU71" t="n">
        <v>720</v>
      </c>
      <c r="BV71" t="n">
        <v>1800</v>
      </c>
      <c r="BW71" t="n">
        <v>1680</v>
      </c>
      <c r="BX71" t="n">
        <v>480</v>
      </c>
      <c r="BY71" t="n">
        <v>420</v>
      </c>
      <c r="BZ71" t="n">
        <v>480</v>
      </c>
      <c r="CA71" t="n">
        <v>5580</v>
      </c>
      <c r="CB71" t="n">
        <v>149</v>
      </c>
      <c r="CC71" t="n">
        <v>62</v>
      </c>
      <c r="CD71" t="n">
        <v>636</v>
      </c>
      <c r="CE71" t="n">
        <v>7581</v>
      </c>
      <c r="CF71" t="n">
        <v>11.92</v>
      </c>
      <c r="CG71" t="n">
        <v>0</v>
      </c>
      <c r="CH71" t="n">
        <v>0</v>
      </c>
      <c r="CI71" t="n">
        <v>0</v>
      </c>
      <c r="CJ71" t="n">
        <v>28</v>
      </c>
      <c r="CK71" t="n">
        <v>28</v>
      </c>
      <c r="CL71" t="n">
        <v>99</v>
      </c>
      <c r="CM71" t="n">
        <v>0</v>
      </c>
      <c r="CN71" t="n">
        <v>2574</v>
      </c>
      <c r="CO71" t="n">
        <v>0</v>
      </c>
      <c r="CP71" t="n">
        <v>495</v>
      </c>
      <c r="CQ71" t="n">
        <v>0</v>
      </c>
      <c r="CR71" t="n">
        <v>0</v>
      </c>
      <c r="CS71" t="n">
        <v>0</v>
      </c>
      <c r="CT71" t="n">
        <v>3224</v>
      </c>
      <c r="CU71" t="n">
        <v>0</v>
      </c>
      <c r="CV71" t="n">
        <v>0</v>
      </c>
      <c r="CW71" t="n">
        <v>226</v>
      </c>
      <c r="CX71" t="n">
        <v>0</v>
      </c>
      <c r="CY71" t="n">
        <v>2475</v>
      </c>
      <c r="CZ71" t="n">
        <v>0</v>
      </c>
      <c r="DA71" t="n">
        <v>0</v>
      </c>
      <c r="DB71" t="n">
        <v>0</v>
      </c>
      <c r="DC71" t="n">
        <v>2701</v>
      </c>
      <c r="DD71" t="n">
        <v>0</v>
      </c>
      <c r="DE71" t="n">
        <v>0</v>
      </c>
      <c r="DF71" t="n">
        <v>7581</v>
      </c>
      <c r="DG71" t="n">
        <v>636</v>
      </c>
      <c r="DH71" t="n">
        <v>0</v>
      </c>
      <c r="DI71" t="n">
        <v>0</v>
      </c>
      <c r="DJ71" t="n">
        <v>0</v>
      </c>
      <c r="DK71" t="n">
        <v>0</v>
      </c>
      <c r="DL71" t="n">
        <v>0</v>
      </c>
      <c r="DM71" t="n">
        <v>0</v>
      </c>
      <c r="DN71" t="n">
        <v>0</v>
      </c>
      <c r="DO71" t="n">
        <v>0</v>
      </c>
      <c r="DP71" t="n">
        <v>0</v>
      </c>
      <c r="DQ71" t="n">
        <v>0</v>
      </c>
      <c r="DR71" t="n">
        <v>0</v>
      </c>
      <c r="DS71" t="n">
        <v>8217</v>
      </c>
      <c r="DT71" t="n">
        <v>14114</v>
      </c>
      <c r="DU71" t="n">
        <v>2856</v>
      </c>
      <c r="DV71" t="n">
        <v>0</v>
      </c>
      <c r="DW71" t="n">
        <v>0</v>
      </c>
      <c r="DX71" t="n">
        <v>28</v>
      </c>
      <c r="DY71" t="n">
        <v>5478</v>
      </c>
      <c r="DZ71" t="n">
        <v>4482</v>
      </c>
      <c r="EA71" t="n">
        <v>4980</v>
      </c>
      <c r="EB71" t="n">
        <v>4980</v>
      </c>
      <c r="EC71" t="n">
        <v>4980</v>
      </c>
      <c r="ED71" t="n">
        <v>7470</v>
      </c>
      <c r="EE71" t="n">
        <v>17430</v>
      </c>
      <c r="EF71" t="n">
        <v>0</v>
      </c>
      <c r="EG71" t="n">
        <v>0.09</v>
      </c>
      <c r="EH71" t="n">
        <v>6</v>
      </c>
      <c r="EI71" t="n">
        <v>17.4</v>
      </c>
      <c r="EJ71" t="n">
        <v>17</v>
      </c>
      <c r="EK71" t="n">
        <v>10.2</v>
      </c>
    </row>
    <row r="72">
      <c r="A72">
        <f>[1]ingredient!B71</f>
        <v/>
      </c>
      <c r="B72" t="inlineStr">
        <is>
          <t>https://www.naehrwertrechner.de/naehrwerte/R252211/Chili+rot+%28Pulver%29/?menge=100</t>
        </is>
      </c>
      <c r="C72" s="7">
        <f>_xlfn.XLOOKUP(A72,[1]ingredient!$B$2:$B$521,[1]ingredient!$A$2:$A$521)</f>
        <v/>
      </c>
      <c r="D72" t="n">
        <v>329</v>
      </c>
      <c r="E72" t="n">
        <v>17</v>
      </c>
      <c r="F72" t="n">
        <v>12</v>
      </c>
      <c r="G72" t="n">
        <v>32</v>
      </c>
      <c r="H72" t="n">
        <v>25</v>
      </c>
      <c r="I72" t="n">
        <v>30</v>
      </c>
      <c r="J72" t="n">
        <v>0.23</v>
      </c>
      <c r="K72" t="n">
        <v>8</v>
      </c>
      <c r="L72" t="n">
        <v>4167</v>
      </c>
      <c r="M72" t="n">
        <v>2083</v>
      </c>
      <c r="N72" t="n">
        <v>0</v>
      </c>
      <c r="O72" t="n">
        <v>25000</v>
      </c>
      <c r="P72" t="n">
        <v>330</v>
      </c>
      <c r="Q72" t="n">
        <v>920</v>
      </c>
      <c r="R72" t="n">
        <v>8700</v>
      </c>
      <c r="S72" t="n">
        <v>10700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76000</v>
      </c>
      <c r="Z72" t="n">
        <v>0</v>
      </c>
      <c r="AA72" t="n">
        <v>0</v>
      </c>
      <c r="AB72" t="n">
        <v>0</v>
      </c>
      <c r="AC72" t="n">
        <v>30</v>
      </c>
      <c r="AD72" t="n">
        <v>2014</v>
      </c>
      <c r="AE72" t="n">
        <v>148</v>
      </c>
      <c r="AF72" t="n">
        <v>152</v>
      </c>
      <c r="AG72" t="n">
        <v>293</v>
      </c>
      <c r="AH72" t="n">
        <v>100</v>
      </c>
      <c r="AI72" t="n">
        <v>200</v>
      </c>
      <c r="AJ72" t="n">
        <v>7800</v>
      </c>
      <c r="AK72" t="n">
        <v>2480</v>
      </c>
      <c r="AL72" t="n">
        <v>800</v>
      </c>
      <c r="AM72" t="n">
        <v>500</v>
      </c>
      <c r="AN72" t="n">
        <v>400</v>
      </c>
      <c r="AO72" t="n">
        <v>5</v>
      </c>
      <c r="AP72" t="n">
        <v>0</v>
      </c>
      <c r="AQ72" t="n">
        <v>0</v>
      </c>
      <c r="AR72" t="n">
        <v>0</v>
      </c>
      <c r="AS72" t="n">
        <v>0</v>
      </c>
      <c r="AT72" t="n">
        <v>16000</v>
      </c>
      <c r="AU72" t="n">
        <v>13120</v>
      </c>
      <c r="AV72" t="n">
        <v>0</v>
      </c>
      <c r="AW72" t="n">
        <v>29120</v>
      </c>
      <c r="AX72" t="n">
        <v>1280</v>
      </c>
      <c r="AY72" t="n">
        <v>0</v>
      </c>
      <c r="AZ72" t="n">
        <v>0</v>
      </c>
      <c r="BA72" t="n">
        <v>1280</v>
      </c>
      <c r="BB72" t="n">
        <v>0</v>
      </c>
      <c r="BC72" t="n">
        <v>0</v>
      </c>
      <c r="BD72" t="n">
        <v>0</v>
      </c>
      <c r="BE72" t="n">
        <v>1600</v>
      </c>
      <c r="BF72" t="n">
        <v>1600</v>
      </c>
      <c r="BG72">
        <f>IF($F72=0,"0",MIN(
BH72/(30*$F72),
BI72/(61*$F72),
BJ72/(48*$F72),
(BK72+BL72)/(23*$F72),
(BM72+BN72)/(41*$F72),
BO72/(25*$F72),
BP72/(6.6*$F72),
BQ72/(40*$F72),
BS72/(16*$F72)
)*100)</f>
        <v/>
      </c>
      <c r="BH72" t="n">
        <v>360</v>
      </c>
      <c r="BI72" t="n">
        <v>600</v>
      </c>
      <c r="BJ72" t="n">
        <v>600</v>
      </c>
      <c r="BK72" t="n">
        <v>180</v>
      </c>
      <c r="BL72" t="n">
        <v>120</v>
      </c>
      <c r="BM72" t="n">
        <v>420</v>
      </c>
      <c r="BN72" t="n">
        <v>240</v>
      </c>
      <c r="BO72" t="n">
        <v>300</v>
      </c>
      <c r="BP72" t="n">
        <v>120</v>
      </c>
      <c r="BQ72" t="n">
        <v>480</v>
      </c>
      <c r="BR72" t="n">
        <v>540</v>
      </c>
      <c r="BS72" t="n">
        <v>180</v>
      </c>
      <c r="BT72" t="n">
        <v>4140</v>
      </c>
      <c r="BU72" t="n">
        <v>720</v>
      </c>
      <c r="BV72" t="n">
        <v>1800</v>
      </c>
      <c r="BW72" t="n">
        <v>1680</v>
      </c>
      <c r="BX72" t="n">
        <v>480</v>
      </c>
      <c r="BY72" t="n">
        <v>420</v>
      </c>
      <c r="BZ72" t="n">
        <v>480</v>
      </c>
      <c r="CA72" t="n">
        <v>5580</v>
      </c>
      <c r="CB72" t="n">
        <v>149</v>
      </c>
      <c r="CC72" t="n">
        <v>62</v>
      </c>
      <c r="CD72" t="n">
        <v>636</v>
      </c>
      <c r="CE72" t="n">
        <v>7581</v>
      </c>
      <c r="CF72" t="n">
        <v>11.92</v>
      </c>
      <c r="CG72" t="n">
        <v>0</v>
      </c>
      <c r="CH72" t="n">
        <v>0</v>
      </c>
      <c r="CI72" t="n">
        <v>0</v>
      </c>
      <c r="CJ72" t="n">
        <v>28</v>
      </c>
      <c r="CK72" t="n">
        <v>28</v>
      </c>
      <c r="CL72" t="n">
        <v>99</v>
      </c>
      <c r="CM72" t="n">
        <v>0</v>
      </c>
      <c r="CN72" t="n">
        <v>2574</v>
      </c>
      <c r="CO72" t="n">
        <v>0</v>
      </c>
      <c r="CP72" t="n">
        <v>495</v>
      </c>
      <c r="CQ72" t="n">
        <v>0</v>
      </c>
      <c r="CR72" t="n">
        <v>0</v>
      </c>
      <c r="CS72" t="n">
        <v>0</v>
      </c>
      <c r="CT72" t="n">
        <v>3224</v>
      </c>
      <c r="CU72" t="n">
        <v>0</v>
      </c>
      <c r="CV72" t="n">
        <v>0</v>
      </c>
      <c r="CW72" t="n">
        <v>226</v>
      </c>
      <c r="CX72" t="n">
        <v>0</v>
      </c>
      <c r="CY72" t="n">
        <v>2475</v>
      </c>
      <c r="CZ72" t="n">
        <v>0</v>
      </c>
      <c r="DA72" t="n">
        <v>0</v>
      </c>
      <c r="DB72" t="n">
        <v>0</v>
      </c>
      <c r="DC72" t="n">
        <v>2701</v>
      </c>
      <c r="DD72" t="n">
        <v>0</v>
      </c>
      <c r="DE72" t="n">
        <v>0</v>
      </c>
      <c r="DF72" t="n">
        <v>7581</v>
      </c>
      <c r="DG72" t="n">
        <v>636</v>
      </c>
      <c r="DH72" t="n">
        <v>0</v>
      </c>
      <c r="DI72" t="n">
        <v>0</v>
      </c>
      <c r="DJ72" t="n">
        <v>0</v>
      </c>
      <c r="DK72" t="n">
        <v>0</v>
      </c>
      <c r="DL72" t="n">
        <v>0</v>
      </c>
      <c r="DM72" t="n">
        <v>0</v>
      </c>
      <c r="DN72" t="n">
        <v>0</v>
      </c>
      <c r="DO72" t="n">
        <v>0</v>
      </c>
      <c r="DP72" t="n">
        <v>0</v>
      </c>
      <c r="DQ72" t="n">
        <v>0</v>
      </c>
      <c r="DR72" t="n">
        <v>0</v>
      </c>
      <c r="DS72" t="n">
        <v>8217</v>
      </c>
      <c r="DT72" t="n">
        <v>14114</v>
      </c>
      <c r="DU72" t="n">
        <v>2856</v>
      </c>
      <c r="DV72" t="n">
        <v>0</v>
      </c>
      <c r="DW72" t="n">
        <v>0</v>
      </c>
      <c r="DX72" t="n">
        <v>28</v>
      </c>
      <c r="DY72" t="n">
        <v>5478</v>
      </c>
      <c r="DZ72" t="n">
        <v>4482</v>
      </c>
      <c r="EA72" t="n">
        <v>4980</v>
      </c>
      <c r="EB72" t="n">
        <v>4980</v>
      </c>
      <c r="EC72" t="n">
        <v>4980</v>
      </c>
      <c r="ED72" t="n">
        <v>7470</v>
      </c>
      <c r="EE72" t="n">
        <v>17430</v>
      </c>
      <c r="EF72" t="n">
        <v>0</v>
      </c>
      <c r="EG72" t="n">
        <v>0.09</v>
      </c>
      <c r="EH72" t="n">
        <v>6</v>
      </c>
      <c r="EI72" t="n">
        <v>17.4</v>
      </c>
      <c r="EJ72" t="n">
        <v>17</v>
      </c>
      <c r="EK72" t="n">
        <v>10.2</v>
      </c>
    </row>
    <row r="73">
      <c r="A73">
        <f>[1]ingredient!B72</f>
        <v/>
      </c>
      <c r="B73" t="inlineStr">
        <is>
          <t>https://www.naehrwertrechner.de/naehrwerte/G554111-1/Chilischote+rot+frisch/?menge=100</t>
        </is>
      </c>
      <c r="C73" s="7">
        <f>_xlfn.XLOOKUP(A73,[1]ingredient!$B$2:$B$521,[1]ingredient!$A$2:$A$521)</f>
        <v/>
      </c>
      <c r="D73" t="n">
        <v>28</v>
      </c>
      <c r="E73" t="n">
        <v>0.3</v>
      </c>
      <c r="F73" t="n">
        <v>2</v>
      </c>
      <c r="G73" t="n">
        <v>4</v>
      </c>
      <c r="H73" t="n">
        <v>4</v>
      </c>
      <c r="I73" t="n">
        <v>4</v>
      </c>
      <c r="J73" t="n">
        <v>0.03</v>
      </c>
      <c r="K73" t="n">
        <v>89</v>
      </c>
      <c r="L73" t="n">
        <v>684</v>
      </c>
      <c r="M73" t="n">
        <v>342</v>
      </c>
      <c r="N73" t="n">
        <v>0</v>
      </c>
      <c r="O73" t="n">
        <v>4105</v>
      </c>
      <c r="P73" t="n">
        <v>120</v>
      </c>
      <c r="Q73" t="n">
        <v>150</v>
      </c>
      <c r="R73" t="n">
        <v>2200</v>
      </c>
      <c r="S73" t="n">
        <v>2500</v>
      </c>
      <c r="T73" t="n">
        <v>60</v>
      </c>
      <c r="U73" t="n">
        <v>280</v>
      </c>
      <c r="V73" t="n">
        <v>3</v>
      </c>
      <c r="W73" t="n">
        <v>52</v>
      </c>
      <c r="X73" t="n">
        <v>0</v>
      </c>
      <c r="Y73" t="n">
        <v>225000</v>
      </c>
      <c r="Z73" t="n">
        <v>0</v>
      </c>
      <c r="AA73" t="n">
        <v>2900</v>
      </c>
      <c r="AB73" t="n">
        <v>5</v>
      </c>
      <c r="AC73" t="n">
        <v>12</v>
      </c>
      <c r="AD73" t="n">
        <v>440</v>
      </c>
      <c r="AE73" t="n">
        <v>16</v>
      </c>
      <c r="AF73" t="n">
        <v>21</v>
      </c>
      <c r="AG73" t="n">
        <v>39</v>
      </c>
      <c r="AH73" t="n">
        <v>15</v>
      </c>
      <c r="AI73" t="n">
        <v>20</v>
      </c>
      <c r="AJ73" t="n">
        <v>1000</v>
      </c>
      <c r="AK73" t="n">
        <v>300</v>
      </c>
      <c r="AL73" t="n">
        <v>170</v>
      </c>
      <c r="AM73" t="n">
        <v>200</v>
      </c>
      <c r="AN73" t="n">
        <v>20</v>
      </c>
      <c r="AO73" t="n">
        <v>2</v>
      </c>
      <c r="AP73" t="n">
        <v>0</v>
      </c>
      <c r="AQ73" t="n">
        <v>0</v>
      </c>
      <c r="AR73" t="n">
        <v>0</v>
      </c>
      <c r="AS73" t="n">
        <v>0</v>
      </c>
      <c r="AT73" t="n">
        <v>2100</v>
      </c>
      <c r="AU73" t="n">
        <v>1722</v>
      </c>
      <c r="AV73" t="n">
        <v>0</v>
      </c>
      <c r="AW73" t="n">
        <v>3822</v>
      </c>
      <c r="AX73" t="n">
        <v>168</v>
      </c>
      <c r="AY73" t="n">
        <v>0</v>
      </c>
      <c r="AZ73" t="n">
        <v>0</v>
      </c>
      <c r="BA73" t="n">
        <v>168</v>
      </c>
      <c r="BB73" t="n">
        <v>0</v>
      </c>
      <c r="BC73" t="n">
        <v>0</v>
      </c>
      <c r="BD73" t="n">
        <v>0</v>
      </c>
      <c r="BE73" t="n">
        <v>210</v>
      </c>
      <c r="BF73" t="n">
        <v>210</v>
      </c>
      <c r="BG73">
        <f>IF($F73=0,"0",MIN(
BH73/(30*$F73),
BI73/(61*$F73),
BJ73/(48*$F73),
(BK73+BL73)/(23*$F73),
(BM73+BN73)/(41*$F73),
BO73/(25*$F73),
BP73/(6.6*$F73),
BQ73/(40*$F73),
BS73/(16*$F73)
)*100)</f>
        <v/>
      </c>
      <c r="BH73" t="n">
        <v>59</v>
      </c>
      <c r="BI73" t="n">
        <v>83</v>
      </c>
      <c r="BJ73" t="n">
        <v>77</v>
      </c>
      <c r="BK73" t="n">
        <v>16</v>
      </c>
      <c r="BL73" t="n">
        <v>32</v>
      </c>
      <c r="BM73" t="n">
        <v>68</v>
      </c>
      <c r="BN73" t="n">
        <v>36</v>
      </c>
      <c r="BO73" t="n">
        <v>63</v>
      </c>
      <c r="BP73" t="n">
        <v>18</v>
      </c>
      <c r="BQ73" t="n">
        <v>65</v>
      </c>
      <c r="BR73" t="n">
        <v>68</v>
      </c>
      <c r="BS73" t="n">
        <v>27</v>
      </c>
      <c r="BT73" t="n">
        <v>612</v>
      </c>
      <c r="BU73" t="n">
        <v>72</v>
      </c>
      <c r="BV73" t="n">
        <v>257</v>
      </c>
      <c r="BW73" t="n">
        <v>245</v>
      </c>
      <c r="BX73" t="n">
        <v>65</v>
      </c>
      <c r="BY73" t="n">
        <v>72</v>
      </c>
      <c r="BZ73" t="n">
        <v>81</v>
      </c>
      <c r="CA73" t="n">
        <v>792</v>
      </c>
      <c r="CB73" t="n">
        <v>10</v>
      </c>
      <c r="CC73" t="n">
        <v>4</v>
      </c>
      <c r="CD73" t="n">
        <v>16</v>
      </c>
      <c r="CE73" t="n">
        <v>155</v>
      </c>
      <c r="CF73" t="n">
        <v>9.69</v>
      </c>
      <c r="CG73" t="n">
        <v>0</v>
      </c>
      <c r="CH73" t="n">
        <v>0</v>
      </c>
      <c r="CI73" t="n">
        <v>0</v>
      </c>
      <c r="CJ73" t="n">
        <v>0</v>
      </c>
      <c r="CK73" t="n">
        <v>0</v>
      </c>
      <c r="CL73" t="n">
        <v>1</v>
      </c>
      <c r="CM73" t="n">
        <v>0</v>
      </c>
      <c r="CN73" t="n">
        <v>35</v>
      </c>
      <c r="CO73" t="n">
        <v>0</v>
      </c>
      <c r="CP73" t="n">
        <v>12</v>
      </c>
      <c r="CQ73" t="n">
        <v>0</v>
      </c>
      <c r="CR73" t="n">
        <v>0</v>
      </c>
      <c r="CS73" t="n">
        <v>0</v>
      </c>
      <c r="CT73" t="n">
        <v>48</v>
      </c>
      <c r="CU73" t="n">
        <v>0</v>
      </c>
      <c r="CV73" t="n">
        <v>0</v>
      </c>
      <c r="CW73" t="n">
        <v>2</v>
      </c>
      <c r="CX73" t="n">
        <v>0</v>
      </c>
      <c r="CY73" t="n">
        <v>19</v>
      </c>
      <c r="CZ73" t="n">
        <v>0</v>
      </c>
      <c r="DA73" t="n">
        <v>0</v>
      </c>
      <c r="DB73" t="n">
        <v>0</v>
      </c>
      <c r="DC73" t="n">
        <v>21</v>
      </c>
      <c r="DD73" t="n">
        <v>0</v>
      </c>
      <c r="DE73" t="n">
        <v>0</v>
      </c>
      <c r="DF73" t="n">
        <v>155</v>
      </c>
      <c r="DG73" t="n">
        <v>16</v>
      </c>
      <c r="DH73" t="n">
        <v>0</v>
      </c>
      <c r="DI73" t="n">
        <v>0</v>
      </c>
      <c r="DJ73" t="n">
        <v>0</v>
      </c>
      <c r="DK73" t="n">
        <v>0</v>
      </c>
      <c r="DL73" t="n">
        <v>0</v>
      </c>
      <c r="DM73" t="n">
        <v>0</v>
      </c>
      <c r="DN73" t="n">
        <v>0</v>
      </c>
      <c r="DO73" t="n">
        <v>0</v>
      </c>
      <c r="DP73" t="n">
        <v>0</v>
      </c>
      <c r="DQ73" t="n">
        <v>0</v>
      </c>
      <c r="DR73" t="n">
        <v>0</v>
      </c>
      <c r="DS73" t="n">
        <v>171</v>
      </c>
      <c r="DT73" t="n">
        <v>240</v>
      </c>
      <c r="DU73" t="n">
        <v>60</v>
      </c>
      <c r="DV73" t="n">
        <v>0</v>
      </c>
      <c r="DW73" t="n">
        <v>0</v>
      </c>
      <c r="DX73" t="n">
        <v>0</v>
      </c>
      <c r="DY73" t="n">
        <v>251</v>
      </c>
      <c r="DZ73" t="n">
        <v>431</v>
      </c>
      <c r="EA73" t="n">
        <v>1257</v>
      </c>
      <c r="EB73" t="n">
        <v>1149</v>
      </c>
      <c r="EC73" t="n">
        <v>503</v>
      </c>
      <c r="ED73" t="n">
        <v>539</v>
      </c>
      <c r="EE73" t="n">
        <v>3052</v>
      </c>
      <c r="EF73" t="n">
        <v>0</v>
      </c>
      <c r="EG73" t="n">
        <v>0.3</v>
      </c>
      <c r="EH73" t="n">
        <v>0.6</v>
      </c>
      <c r="EI73" t="n">
        <v>3.1</v>
      </c>
      <c r="EJ73" t="n">
        <v>0.3</v>
      </c>
      <c r="EK73" t="n">
        <v>1.4</v>
      </c>
    </row>
    <row r="74">
      <c r="A74">
        <f>[1]ingredient!B73</f>
        <v/>
      </c>
      <c r="B74" t="inlineStr">
        <is>
          <t>https://www.naehrwertrechner.de/naehrwerte/G321111/Chinakohl+frisch/?menge=100</t>
        </is>
      </c>
      <c r="C74" s="7">
        <f>_xlfn.XLOOKUP(A74,[1]ingredient!$B$2:$B$521,[1]ingredient!$A$2:$A$521)</f>
        <v/>
      </c>
      <c r="D74" t="n">
        <v>14</v>
      </c>
      <c r="E74" t="n">
        <v>0.3</v>
      </c>
      <c r="F74" t="n">
        <v>1</v>
      </c>
      <c r="G74" t="n">
        <v>1</v>
      </c>
      <c r="H74" t="n">
        <v>2</v>
      </c>
      <c r="I74" t="n">
        <v>1</v>
      </c>
      <c r="J74" t="n">
        <v>0.04</v>
      </c>
      <c r="K74" t="n">
        <v>94</v>
      </c>
      <c r="L74" t="n">
        <v>71</v>
      </c>
      <c r="M74" t="n">
        <v>35</v>
      </c>
      <c r="N74" t="n">
        <v>0</v>
      </c>
      <c r="O74" t="n">
        <v>425</v>
      </c>
      <c r="P74" t="n">
        <v>30</v>
      </c>
      <c r="Q74" t="n">
        <v>40</v>
      </c>
      <c r="R74" t="n">
        <v>400</v>
      </c>
      <c r="S74" t="n">
        <v>633</v>
      </c>
      <c r="T74" t="n">
        <v>200</v>
      </c>
      <c r="U74" t="n">
        <v>110</v>
      </c>
      <c r="V74" t="n">
        <v>1</v>
      </c>
      <c r="W74" t="n">
        <v>83</v>
      </c>
      <c r="X74" t="n">
        <v>0</v>
      </c>
      <c r="Y74" t="n">
        <v>26000</v>
      </c>
      <c r="Z74" t="n">
        <v>0</v>
      </c>
      <c r="AA74" t="n">
        <v>240</v>
      </c>
      <c r="AB74" t="n">
        <v>250</v>
      </c>
      <c r="AC74" t="n">
        <v>19</v>
      </c>
      <c r="AD74" t="n">
        <v>144</v>
      </c>
      <c r="AE74" t="n">
        <v>40</v>
      </c>
      <c r="AF74" t="n">
        <v>11</v>
      </c>
      <c r="AG74" t="n">
        <v>30</v>
      </c>
      <c r="AH74" t="n">
        <v>60</v>
      </c>
      <c r="AI74" t="n">
        <v>18</v>
      </c>
      <c r="AJ74" t="n">
        <v>600</v>
      </c>
      <c r="AK74" t="n">
        <v>340</v>
      </c>
      <c r="AL74" t="n">
        <v>20</v>
      </c>
      <c r="AM74" t="n">
        <v>280</v>
      </c>
      <c r="AN74" t="n">
        <v>15</v>
      </c>
      <c r="AO74" t="n">
        <v>0.3</v>
      </c>
      <c r="AP74" t="n">
        <v>0</v>
      </c>
      <c r="AQ74" t="n">
        <v>0</v>
      </c>
      <c r="AR74" t="n">
        <v>0</v>
      </c>
      <c r="AS74" t="n">
        <v>0</v>
      </c>
      <c r="AT74" t="n">
        <v>417</v>
      </c>
      <c r="AU74" t="n">
        <v>427</v>
      </c>
      <c r="AV74" t="n">
        <v>0</v>
      </c>
      <c r="AW74" t="n">
        <v>844</v>
      </c>
      <c r="AX74" t="n">
        <v>298</v>
      </c>
      <c r="AY74" t="n">
        <v>0</v>
      </c>
      <c r="AZ74" t="n">
        <v>0</v>
      </c>
      <c r="BA74" t="n">
        <v>298</v>
      </c>
      <c r="BB74" t="n">
        <v>0</v>
      </c>
      <c r="BC74" t="n">
        <v>0</v>
      </c>
      <c r="BD74" t="n">
        <v>0</v>
      </c>
      <c r="BE74" t="n">
        <v>48</v>
      </c>
      <c r="BF74" t="n">
        <v>48</v>
      </c>
      <c r="BG74">
        <f>IF($F74=0,"0",MIN(
BH74/(30*$F74),
BI74/(61*$F74),
BJ74/(48*$F74),
(BK74+BL74)/(23*$F74),
(BM74+BN74)/(41*$F74),
BO74/(25*$F74),
BP74/(6.6*$F74),
BQ74/(40*$F74),
BS74/(16*$F74)
)*100)</f>
        <v/>
      </c>
      <c r="BH74" t="n">
        <v>67</v>
      </c>
      <c r="BI74" t="n">
        <v>69</v>
      </c>
      <c r="BJ74" t="n">
        <v>62</v>
      </c>
      <c r="BK74" t="n">
        <v>12</v>
      </c>
      <c r="BL74" t="n">
        <v>11</v>
      </c>
      <c r="BM74" t="n">
        <v>39</v>
      </c>
      <c r="BN74" t="n">
        <v>29</v>
      </c>
      <c r="BO74" t="n">
        <v>44</v>
      </c>
      <c r="BP74" t="n">
        <v>14</v>
      </c>
      <c r="BQ74" t="n">
        <v>57</v>
      </c>
      <c r="BR74" t="n">
        <v>71</v>
      </c>
      <c r="BS74" t="n">
        <v>21</v>
      </c>
      <c r="BT74" t="n">
        <v>496</v>
      </c>
      <c r="BU74" t="n">
        <v>68</v>
      </c>
      <c r="BV74" t="n">
        <v>86</v>
      </c>
      <c r="BW74" t="n">
        <v>286</v>
      </c>
      <c r="BX74" t="n">
        <v>33</v>
      </c>
      <c r="BY74" t="n">
        <v>24</v>
      </c>
      <c r="BZ74" t="n">
        <v>38</v>
      </c>
      <c r="CA74" t="n">
        <v>535</v>
      </c>
      <c r="CB74" t="n">
        <v>25</v>
      </c>
      <c r="CC74" t="n">
        <v>10</v>
      </c>
      <c r="CD74" t="n">
        <v>99</v>
      </c>
      <c r="CE74" t="n">
        <v>26</v>
      </c>
      <c r="CF74" t="n">
        <v>0.26</v>
      </c>
      <c r="CG74" t="n">
        <v>0</v>
      </c>
      <c r="CH74" t="n">
        <v>0</v>
      </c>
      <c r="CI74" t="n">
        <v>0</v>
      </c>
      <c r="CJ74" t="n">
        <v>0</v>
      </c>
      <c r="CK74" t="n">
        <v>0</v>
      </c>
      <c r="CL74" t="n">
        <v>0</v>
      </c>
      <c r="CM74" t="n">
        <v>0</v>
      </c>
      <c r="CN74" t="n">
        <v>66</v>
      </c>
      <c r="CO74" t="n">
        <v>0</v>
      </c>
      <c r="CP74" t="n">
        <v>8</v>
      </c>
      <c r="CQ74" t="n">
        <v>0</v>
      </c>
      <c r="CR74" t="n">
        <v>0</v>
      </c>
      <c r="CS74" t="n">
        <v>0</v>
      </c>
      <c r="CT74" t="n">
        <v>74</v>
      </c>
      <c r="CU74" t="n">
        <v>0</v>
      </c>
      <c r="CV74" t="n">
        <v>0</v>
      </c>
      <c r="CW74" t="n">
        <v>4</v>
      </c>
      <c r="CX74" t="n">
        <v>0</v>
      </c>
      <c r="CY74" t="n">
        <v>37</v>
      </c>
      <c r="CZ74" t="n">
        <v>0</v>
      </c>
      <c r="DA74" t="n">
        <v>0</v>
      </c>
      <c r="DB74" t="n">
        <v>0</v>
      </c>
      <c r="DC74" t="n">
        <v>41</v>
      </c>
      <c r="DD74" t="n">
        <v>0</v>
      </c>
      <c r="DE74" t="n">
        <v>0</v>
      </c>
      <c r="DF74" t="n">
        <v>26</v>
      </c>
      <c r="DG74" t="n">
        <v>99</v>
      </c>
      <c r="DH74" t="n">
        <v>0</v>
      </c>
      <c r="DI74" t="n">
        <v>0</v>
      </c>
      <c r="DJ74" t="n">
        <v>0</v>
      </c>
      <c r="DK74" t="n">
        <v>0</v>
      </c>
      <c r="DL74" t="n">
        <v>0</v>
      </c>
      <c r="DM74" t="n">
        <v>0</v>
      </c>
      <c r="DN74" t="n">
        <v>0</v>
      </c>
      <c r="DO74" t="n">
        <v>0</v>
      </c>
      <c r="DP74" t="n">
        <v>0</v>
      </c>
      <c r="DQ74" t="n">
        <v>0</v>
      </c>
      <c r="DR74" t="n">
        <v>0</v>
      </c>
      <c r="DS74" t="n">
        <v>125</v>
      </c>
      <c r="DT74" t="n">
        <v>240</v>
      </c>
      <c r="DU74" t="n">
        <v>60</v>
      </c>
      <c r="DV74" t="n">
        <v>0</v>
      </c>
      <c r="DW74" t="n">
        <v>0</v>
      </c>
      <c r="DX74" t="n">
        <v>0</v>
      </c>
      <c r="DY74" t="n">
        <v>399</v>
      </c>
      <c r="DZ74" t="n">
        <v>323</v>
      </c>
      <c r="EA74" t="n">
        <v>475</v>
      </c>
      <c r="EB74" t="n">
        <v>646</v>
      </c>
      <c r="EC74" t="n">
        <v>57</v>
      </c>
      <c r="ED74" t="n">
        <v>190</v>
      </c>
      <c r="EE74" t="n">
        <v>1710</v>
      </c>
      <c r="EF74" t="n">
        <v>0</v>
      </c>
      <c r="EG74" t="n">
        <v>0.4</v>
      </c>
      <c r="EH74" t="n">
        <v>0.6</v>
      </c>
      <c r="EI74" t="n">
        <v>1.7</v>
      </c>
      <c r="EJ74" t="n">
        <v>0.3</v>
      </c>
      <c r="EK74" t="n">
        <v>1.1</v>
      </c>
    </row>
    <row r="75">
      <c r="A75">
        <f>[1]ingredient!B74</f>
        <v/>
      </c>
      <c r="B75" t="inlineStr">
        <is>
          <t>https://www.naehrwertrechner.de/naehrwerte/G321111/Chinakohl+frisch/?menge=100</t>
        </is>
      </c>
      <c r="C75" s="7">
        <f>_xlfn.XLOOKUP(A75,[1]ingredient!$B$2:$B$521,[1]ingredient!$A$2:$A$521)</f>
        <v/>
      </c>
      <c r="D75" t="n">
        <v>14</v>
      </c>
      <c r="E75" t="n">
        <v>0.3</v>
      </c>
      <c r="F75" t="n">
        <v>1</v>
      </c>
      <c r="G75" t="n">
        <v>1</v>
      </c>
      <c r="H75" t="n">
        <v>2</v>
      </c>
      <c r="I75" t="n">
        <v>1</v>
      </c>
      <c r="J75" t="n">
        <v>0.04</v>
      </c>
      <c r="K75" t="n">
        <v>94</v>
      </c>
      <c r="L75" t="n">
        <v>71</v>
      </c>
      <c r="M75" t="n">
        <v>35</v>
      </c>
      <c r="N75" t="n">
        <v>0</v>
      </c>
      <c r="O75" t="n">
        <v>425</v>
      </c>
      <c r="P75" t="n">
        <v>30</v>
      </c>
      <c r="Q75" t="n">
        <v>40</v>
      </c>
      <c r="R75" t="n">
        <v>400</v>
      </c>
      <c r="S75" t="n">
        <v>633</v>
      </c>
      <c r="T75" t="n">
        <v>200</v>
      </c>
      <c r="U75" t="n">
        <v>110</v>
      </c>
      <c r="V75" t="n">
        <v>1</v>
      </c>
      <c r="W75" t="n">
        <v>83</v>
      </c>
      <c r="X75" t="n">
        <v>0</v>
      </c>
      <c r="Y75" t="n">
        <v>26000</v>
      </c>
      <c r="Z75" t="n">
        <v>0</v>
      </c>
      <c r="AA75" t="n">
        <v>240</v>
      </c>
      <c r="AB75" t="n">
        <v>250</v>
      </c>
      <c r="AC75" t="n">
        <v>19</v>
      </c>
      <c r="AD75" t="n">
        <v>144</v>
      </c>
      <c r="AE75" t="n">
        <v>40</v>
      </c>
      <c r="AF75" t="n">
        <v>11</v>
      </c>
      <c r="AG75" t="n">
        <v>30</v>
      </c>
      <c r="AH75" t="n">
        <v>60</v>
      </c>
      <c r="AI75" t="n">
        <v>18</v>
      </c>
      <c r="AJ75" t="n">
        <v>600</v>
      </c>
      <c r="AK75" t="n">
        <v>340</v>
      </c>
      <c r="AL75" t="n">
        <v>20</v>
      </c>
      <c r="AM75" t="n">
        <v>280</v>
      </c>
      <c r="AN75" t="n">
        <v>15</v>
      </c>
      <c r="AO75" t="n">
        <v>0.3</v>
      </c>
      <c r="AP75" t="n">
        <v>0</v>
      </c>
      <c r="AQ75" t="n">
        <v>0</v>
      </c>
      <c r="AR75" t="n">
        <v>0</v>
      </c>
      <c r="AS75" t="n">
        <v>0</v>
      </c>
      <c r="AT75" t="n">
        <v>417</v>
      </c>
      <c r="AU75" t="n">
        <v>427</v>
      </c>
      <c r="AV75" t="n">
        <v>0</v>
      </c>
      <c r="AW75" t="n">
        <v>844</v>
      </c>
      <c r="AX75" t="n">
        <v>298</v>
      </c>
      <c r="AY75" t="n">
        <v>0</v>
      </c>
      <c r="AZ75" t="n">
        <v>0</v>
      </c>
      <c r="BA75" t="n">
        <v>298</v>
      </c>
      <c r="BB75" t="n">
        <v>0</v>
      </c>
      <c r="BC75" t="n">
        <v>0</v>
      </c>
      <c r="BD75" t="n">
        <v>0</v>
      </c>
      <c r="BE75" t="n">
        <v>48</v>
      </c>
      <c r="BF75" t="n">
        <v>48</v>
      </c>
      <c r="BG75">
        <f>IF($F75=0,"0",MIN(
BH75/(30*$F75),
BI75/(61*$F75),
BJ75/(48*$F75),
(BK75+BL75)/(23*$F75),
(BM75+BN75)/(41*$F75),
BO75/(25*$F75),
BP75/(6.6*$F75),
BQ75/(40*$F75),
BS75/(16*$F75)
)*100)</f>
        <v/>
      </c>
      <c r="BH75" t="n">
        <v>67</v>
      </c>
      <c r="BI75" t="n">
        <v>69</v>
      </c>
      <c r="BJ75" t="n">
        <v>62</v>
      </c>
      <c r="BK75" t="n">
        <v>12</v>
      </c>
      <c r="BL75" t="n">
        <v>11</v>
      </c>
      <c r="BM75" t="n">
        <v>39</v>
      </c>
      <c r="BN75" t="n">
        <v>29</v>
      </c>
      <c r="BO75" t="n">
        <v>44</v>
      </c>
      <c r="BP75" t="n">
        <v>14</v>
      </c>
      <c r="BQ75" t="n">
        <v>57</v>
      </c>
      <c r="BR75" t="n">
        <v>71</v>
      </c>
      <c r="BS75" t="n">
        <v>21</v>
      </c>
      <c r="BT75" t="n">
        <v>496</v>
      </c>
      <c r="BU75" t="n">
        <v>68</v>
      </c>
      <c r="BV75" t="n">
        <v>86</v>
      </c>
      <c r="BW75" t="n">
        <v>286</v>
      </c>
      <c r="BX75" t="n">
        <v>33</v>
      </c>
      <c r="BY75" t="n">
        <v>24</v>
      </c>
      <c r="BZ75" t="n">
        <v>38</v>
      </c>
      <c r="CA75" t="n">
        <v>535</v>
      </c>
      <c r="CB75" t="n">
        <v>25</v>
      </c>
      <c r="CC75" t="n">
        <v>10</v>
      </c>
      <c r="CD75" t="n">
        <v>99</v>
      </c>
      <c r="CE75" t="n">
        <v>26</v>
      </c>
      <c r="CF75" t="n">
        <v>0.26</v>
      </c>
      <c r="CG75" t="n">
        <v>0</v>
      </c>
      <c r="CH75" t="n">
        <v>0</v>
      </c>
      <c r="CI75" t="n">
        <v>0</v>
      </c>
      <c r="CJ75" t="n">
        <v>0</v>
      </c>
      <c r="CK75" t="n">
        <v>0</v>
      </c>
      <c r="CL75" t="n">
        <v>0</v>
      </c>
      <c r="CM75" t="n">
        <v>0</v>
      </c>
      <c r="CN75" t="n">
        <v>66</v>
      </c>
      <c r="CO75" t="n">
        <v>0</v>
      </c>
      <c r="CP75" t="n">
        <v>8</v>
      </c>
      <c r="CQ75" t="n">
        <v>0</v>
      </c>
      <c r="CR75" t="n">
        <v>0</v>
      </c>
      <c r="CS75" t="n">
        <v>0</v>
      </c>
      <c r="CT75" t="n">
        <v>74</v>
      </c>
      <c r="CU75" t="n">
        <v>0</v>
      </c>
      <c r="CV75" t="n">
        <v>0</v>
      </c>
      <c r="CW75" t="n">
        <v>4</v>
      </c>
      <c r="CX75" t="n">
        <v>0</v>
      </c>
      <c r="CY75" t="n">
        <v>37</v>
      </c>
      <c r="CZ75" t="n">
        <v>0</v>
      </c>
      <c r="DA75" t="n">
        <v>0</v>
      </c>
      <c r="DB75" t="n">
        <v>0</v>
      </c>
      <c r="DC75" t="n">
        <v>41</v>
      </c>
      <c r="DD75" t="n">
        <v>0</v>
      </c>
      <c r="DE75" t="n">
        <v>0</v>
      </c>
      <c r="DF75" t="n">
        <v>26</v>
      </c>
      <c r="DG75" t="n">
        <v>99</v>
      </c>
      <c r="DH75" t="n">
        <v>0</v>
      </c>
      <c r="DI75" t="n">
        <v>0</v>
      </c>
      <c r="DJ75" t="n">
        <v>0</v>
      </c>
      <c r="DK75" t="n">
        <v>0</v>
      </c>
      <c r="DL75" t="n">
        <v>0</v>
      </c>
      <c r="DM75" t="n">
        <v>0</v>
      </c>
      <c r="DN75" t="n">
        <v>0</v>
      </c>
      <c r="DO75" t="n">
        <v>0</v>
      </c>
      <c r="DP75" t="n">
        <v>0</v>
      </c>
      <c r="DQ75" t="n">
        <v>0</v>
      </c>
      <c r="DR75" t="n">
        <v>0</v>
      </c>
      <c r="DS75" t="n">
        <v>125</v>
      </c>
      <c r="DT75" t="n">
        <v>240</v>
      </c>
      <c r="DU75" t="n">
        <v>60</v>
      </c>
      <c r="DV75" t="n">
        <v>0</v>
      </c>
      <c r="DW75" t="n">
        <v>0</v>
      </c>
      <c r="DX75" t="n">
        <v>0</v>
      </c>
      <c r="DY75" t="n">
        <v>399</v>
      </c>
      <c r="DZ75" t="n">
        <v>323</v>
      </c>
      <c r="EA75" t="n">
        <v>475</v>
      </c>
      <c r="EB75" t="n">
        <v>646</v>
      </c>
      <c r="EC75" t="n">
        <v>57</v>
      </c>
      <c r="ED75" t="n">
        <v>190</v>
      </c>
      <c r="EE75" t="n">
        <v>1710</v>
      </c>
      <c r="EF75" t="n">
        <v>0</v>
      </c>
      <c r="EG75" t="n">
        <v>0.4</v>
      </c>
      <c r="EH75" t="n">
        <v>0.6</v>
      </c>
      <c r="EI75" t="n">
        <v>1.7</v>
      </c>
      <c r="EJ75" t="n">
        <v>0.3</v>
      </c>
      <c r="EK75" t="n">
        <v>1.1</v>
      </c>
    </row>
    <row r="76">
      <c r="A76">
        <f>[1]ingredient!B75</f>
        <v/>
      </c>
      <c r="B76" t="inlineStr">
        <is>
          <t>https://www.naehrwertrechner.de/naehrwerte/F607000/Clementine/?menge=100</t>
        </is>
      </c>
      <c r="C76" s="7">
        <f>_xlfn.XLOOKUP(A76,[1]ingredient!$B$2:$B$521,[1]ingredient!$A$2:$A$521)</f>
        <v/>
      </c>
      <c r="D76" t="n">
        <v>46</v>
      </c>
      <c r="E76" t="n">
        <v>0.3</v>
      </c>
      <c r="F76" t="n">
        <v>1</v>
      </c>
      <c r="G76" t="n">
        <v>9</v>
      </c>
      <c r="H76" t="n">
        <v>2</v>
      </c>
      <c r="I76" t="n">
        <v>9</v>
      </c>
      <c r="J76" t="n">
        <v>0.01</v>
      </c>
      <c r="K76" t="n">
        <v>86</v>
      </c>
      <c r="L76" t="n">
        <v>50</v>
      </c>
      <c r="M76" t="n">
        <v>25</v>
      </c>
      <c r="N76" t="n">
        <v>0</v>
      </c>
      <c r="O76" t="n">
        <v>300</v>
      </c>
      <c r="P76" t="n">
        <v>70</v>
      </c>
      <c r="Q76" t="n">
        <v>20</v>
      </c>
      <c r="R76" t="n">
        <v>200</v>
      </c>
      <c r="S76" t="n">
        <v>317</v>
      </c>
      <c r="T76" t="n">
        <v>200</v>
      </c>
      <c r="U76" t="n">
        <v>50</v>
      </c>
      <c r="V76" t="n">
        <v>1</v>
      </c>
      <c r="W76" t="n">
        <v>15</v>
      </c>
      <c r="X76" t="n">
        <v>0</v>
      </c>
      <c r="Y76" t="n">
        <v>30000</v>
      </c>
      <c r="Z76" t="n">
        <v>0</v>
      </c>
      <c r="AA76" t="n">
        <v>300</v>
      </c>
      <c r="AB76" t="n">
        <v>3</v>
      </c>
      <c r="AC76" t="n">
        <v>2</v>
      </c>
      <c r="AD76" t="n">
        <v>180</v>
      </c>
      <c r="AE76" t="n">
        <v>35</v>
      </c>
      <c r="AF76" t="n">
        <v>11</v>
      </c>
      <c r="AG76" t="n">
        <v>20</v>
      </c>
      <c r="AH76" t="n">
        <v>10</v>
      </c>
      <c r="AI76" t="n">
        <v>3</v>
      </c>
      <c r="AJ76" t="n">
        <v>300</v>
      </c>
      <c r="AK76" t="n">
        <v>100</v>
      </c>
      <c r="AL76" t="n">
        <v>90</v>
      </c>
      <c r="AM76" t="n">
        <v>40</v>
      </c>
      <c r="AN76" t="n">
        <v>10</v>
      </c>
      <c r="AO76" t="n">
        <v>1</v>
      </c>
      <c r="AP76" t="n">
        <v>0</v>
      </c>
      <c r="AQ76" t="n">
        <v>0</v>
      </c>
      <c r="AR76" t="n">
        <v>0</v>
      </c>
      <c r="AS76" t="n">
        <v>0</v>
      </c>
      <c r="AT76" t="n">
        <v>1530</v>
      </c>
      <c r="AU76" t="n">
        <v>1692</v>
      </c>
      <c r="AV76" t="n">
        <v>0</v>
      </c>
      <c r="AW76" t="n">
        <v>3222</v>
      </c>
      <c r="AX76" t="n">
        <v>5778</v>
      </c>
      <c r="AY76" t="n">
        <v>0</v>
      </c>
      <c r="AZ76" t="n">
        <v>0</v>
      </c>
      <c r="BA76" t="n">
        <v>5778</v>
      </c>
      <c r="BB76" t="n">
        <v>0</v>
      </c>
      <c r="BC76" t="n">
        <v>0</v>
      </c>
      <c r="BD76" t="n">
        <v>0</v>
      </c>
      <c r="BE76" t="n">
        <v>0</v>
      </c>
      <c r="BF76" t="n">
        <v>0</v>
      </c>
      <c r="BG76">
        <f>IF($F76=0,"0",MIN(
BH76/(30*$F76),
BI76/(61*$F76),
BJ76/(48*$F76),
(BK76+BL76)/(23*$F76),
(BM76+BN76)/(41*$F76),
BO76/(25*$F76),
BP76/(6.6*$F76),
BQ76/(40*$F76),
BS76/(16*$F76)
)*100)</f>
        <v/>
      </c>
      <c r="BH76" t="n">
        <v>17</v>
      </c>
      <c r="BI76" t="n">
        <v>17</v>
      </c>
      <c r="BJ76" t="n">
        <v>31</v>
      </c>
      <c r="BK76" t="n">
        <v>10</v>
      </c>
      <c r="BL76" t="n">
        <v>7</v>
      </c>
      <c r="BM76" t="n">
        <v>21</v>
      </c>
      <c r="BN76" t="n">
        <v>10</v>
      </c>
      <c r="BO76" t="n">
        <v>10</v>
      </c>
      <c r="BP76" t="n">
        <v>7</v>
      </c>
      <c r="BQ76" t="n">
        <v>24</v>
      </c>
      <c r="BR76" t="n">
        <v>45</v>
      </c>
      <c r="BS76" t="n">
        <v>10</v>
      </c>
      <c r="BT76" t="n">
        <v>209</v>
      </c>
      <c r="BU76" t="n">
        <v>35</v>
      </c>
      <c r="BV76" t="n">
        <v>103</v>
      </c>
      <c r="BW76" t="n">
        <v>70</v>
      </c>
      <c r="BX76" t="n">
        <v>56</v>
      </c>
      <c r="BY76" t="n">
        <v>38</v>
      </c>
      <c r="BZ76" t="n">
        <v>24</v>
      </c>
      <c r="CA76" t="n">
        <v>326</v>
      </c>
      <c r="CB76" t="n">
        <v>20</v>
      </c>
      <c r="CC76" t="n">
        <v>8</v>
      </c>
      <c r="CD76" t="n">
        <v>36</v>
      </c>
      <c r="CE76" t="n">
        <v>87</v>
      </c>
      <c r="CF76" t="n">
        <v>2.42</v>
      </c>
      <c r="CG76" t="n">
        <v>0</v>
      </c>
      <c r="CH76" t="n">
        <v>0</v>
      </c>
      <c r="CI76" t="n">
        <v>0</v>
      </c>
      <c r="CJ76" t="n">
        <v>0</v>
      </c>
      <c r="CK76" t="n">
        <v>0</v>
      </c>
      <c r="CL76" t="n">
        <v>2</v>
      </c>
      <c r="CM76" t="n">
        <v>0</v>
      </c>
      <c r="CN76" t="n">
        <v>57</v>
      </c>
      <c r="CO76" t="n">
        <v>0</v>
      </c>
      <c r="CP76" t="n">
        <v>2</v>
      </c>
      <c r="CQ76" t="n">
        <v>0</v>
      </c>
      <c r="CR76" t="n">
        <v>0</v>
      </c>
      <c r="CS76" t="n">
        <v>0</v>
      </c>
      <c r="CT76" t="n">
        <v>61</v>
      </c>
      <c r="CU76" t="n">
        <v>0</v>
      </c>
      <c r="CV76" t="n">
        <v>0</v>
      </c>
      <c r="CW76" t="n">
        <v>7</v>
      </c>
      <c r="CX76" t="n">
        <v>0</v>
      </c>
      <c r="CY76" t="n">
        <v>48</v>
      </c>
      <c r="CZ76" t="n">
        <v>0</v>
      </c>
      <c r="DA76" t="n">
        <v>0</v>
      </c>
      <c r="DB76" t="n">
        <v>0</v>
      </c>
      <c r="DC76" t="n">
        <v>55</v>
      </c>
      <c r="DD76" t="n">
        <v>0</v>
      </c>
      <c r="DE76" t="n">
        <v>0</v>
      </c>
      <c r="DF76" t="n">
        <v>87</v>
      </c>
      <c r="DG76" t="n">
        <v>36</v>
      </c>
      <c r="DH76" t="n">
        <v>0</v>
      </c>
      <c r="DI76" t="n">
        <v>0</v>
      </c>
      <c r="DJ76" t="n">
        <v>0</v>
      </c>
      <c r="DK76" t="n">
        <v>0</v>
      </c>
      <c r="DL76" t="n">
        <v>0</v>
      </c>
      <c r="DM76" t="n">
        <v>0</v>
      </c>
      <c r="DN76" t="n">
        <v>0</v>
      </c>
      <c r="DO76" t="n">
        <v>0</v>
      </c>
      <c r="DP76" t="n">
        <v>0</v>
      </c>
      <c r="DQ76" t="n">
        <v>0</v>
      </c>
      <c r="DR76" t="n">
        <v>0</v>
      </c>
      <c r="DS76" t="n">
        <v>123</v>
      </c>
      <c r="DT76" t="n">
        <v>239</v>
      </c>
      <c r="DU76" t="n">
        <v>60</v>
      </c>
      <c r="DV76" t="n">
        <v>0</v>
      </c>
      <c r="DW76" t="n">
        <v>0</v>
      </c>
      <c r="DX76" t="n">
        <v>0</v>
      </c>
      <c r="DY76" t="n">
        <v>400</v>
      </c>
      <c r="DZ76" t="n">
        <v>300</v>
      </c>
      <c r="EA76" t="n">
        <v>600</v>
      </c>
      <c r="EB76" t="n">
        <v>400</v>
      </c>
      <c r="EC76" t="n">
        <v>300</v>
      </c>
      <c r="ED76" t="n">
        <v>788</v>
      </c>
      <c r="EE76" t="n">
        <v>1212</v>
      </c>
      <c r="EF76" t="n">
        <v>0</v>
      </c>
      <c r="EG76" t="n">
        <v>1</v>
      </c>
      <c r="EH76" t="n">
        <v>0.7</v>
      </c>
      <c r="EI76" t="n">
        <v>1.2</v>
      </c>
      <c r="EJ76" t="n">
        <v>0.3</v>
      </c>
      <c r="EK76" t="n">
        <v>0.6</v>
      </c>
    </row>
    <row r="77">
      <c r="A77">
        <f>[1]ingredient!B76</f>
        <v/>
      </c>
      <c r="B77" t="inlineStr">
        <is>
          <t>https://www.naehrwertrechner.de/naehrwerte/C119200/Couscous+roh/?menge=100</t>
        </is>
      </c>
      <c r="C77" s="7">
        <f>_xlfn.XLOOKUP(A77,[1]ingredient!$B$2:$B$521,[1]ingredient!$A$2:$A$521)</f>
        <v/>
      </c>
      <c r="D77" t="n">
        <v>341</v>
      </c>
      <c r="E77" t="n">
        <v>2</v>
      </c>
      <c r="F77" t="n">
        <v>12</v>
      </c>
      <c r="G77" t="n">
        <v>69</v>
      </c>
      <c r="H77" t="n">
        <v>6</v>
      </c>
      <c r="I77" t="n">
        <v>1</v>
      </c>
      <c r="J77" t="n">
        <v>0.14</v>
      </c>
      <c r="K77" t="n">
        <v>11</v>
      </c>
      <c r="L77" t="n">
        <v>0</v>
      </c>
      <c r="M77" t="n">
        <v>0</v>
      </c>
      <c r="N77" t="n">
        <v>0</v>
      </c>
      <c r="O77" t="n">
        <v>0</v>
      </c>
      <c r="P77" t="n">
        <v>273</v>
      </c>
      <c r="Q77" t="n">
        <v>17</v>
      </c>
      <c r="R77" t="n">
        <v>1300</v>
      </c>
      <c r="S77" t="n">
        <v>3267</v>
      </c>
      <c r="T77" t="n">
        <v>500</v>
      </c>
      <c r="U77" t="n">
        <v>33</v>
      </c>
      <c r="V77" t="n">
        <v>1</v>
      </c>
      <c r="W77" t="n">
        <v>17</v>
      </c>
      <c r="X77" t="n">
        <v>0</v>
      </c>
      <c r="Y77" t="n">
        <v>0</v>
      </c>
      <c r="Z77" t="n">
        <v>0</v>
      </c>
      <c r="AA77" t="n">
        <v>800</v>
      </c>
      <c r="AB77" t="n">
        <v>0</v>
      </c>
      <c r="AC77" t="n">
        <v>6</v>
      </c>
      <c r="AD77" t="n">
        <v>335</v>
      </c>
      <c r="AE77" t="n">
        <v>26</v>
      </c>
      <c r="AF77" t="n">
        <v>71</v>
      </c>
      <c r="AG77" t="n">
        <v>254</v>
      </c>
      <c r="AH77" t="n">
        <v>194</v>
      </c>
      <c r="AI77" t="n">
        <v>130</v>
      </c>
      <c r="AJ77" t="n">
        <v>2577</v>
      </c>
      <c r="AK77" t="n">
        <v>2051</v>
      </c>
      <c r="AL77" t="n">
        <v>406</v>
      </c>
      <c r="AM77" t="n">
        <v>1284</v>
      </c>
      <c r="AN77" t="n">
        <v>89</v>
      </c>
      <c r="AO77" t="n">
        <v>3</v>
      </c>
      <c r="AP77" t="n">
        <v>0</v>
      </c>
      <c r="AQ77" t="n">
        <v>0</v>
      </c>
      <c r="AR77" t="n">
        <v>0</v>
      </c>
      <c r="AS77" t="n">
        <v>0</v>
      </c>
      <c r="AT77" t="n">
        <v>69</v>
      </c>
      <c r="AU77" t="n">
        <v>69</v>
      </c>
      <c r="AV77" t="n">
        <v>0</v>
      </c>
      <c r="AW77" t="n">
        <v>138</v>
      </c>
      <c r="AX77" t="n">
        <v>687</v>
      </c>
      <c r="AY77" t="n">
        <v>0</v>
      </c>
      <c r="AZ77" t="n">
        <v>0</v>
      </c>
      <c r="BA77" t="n">
        <v>687</v>
      </c>
      <c r="BB77" t="n">
        <v>412</v>
      </c>
      <c r="BC77" t="n">
        <v>0</v>
      </c>
      <c r="BD77" t="n">
        <v>0</v>
      </c>
      <c r="BE77" t="n">
        <v>67453</v>
      </c>
      <c r="BF77" t="n">
        <v>67453</v>
      </c>
      <c r="BG77">
        <f>IF($F77=0,"0",MIN(
BH77/(30*$F77),
BI77/(61*$F77),
BJ77/(48*$F77),
(BK77+BL77)/(23*$F77),
(BM77+BN77)/(41*$F77),
BO77/(25*$F77),
BP77/(6.6*$F77),
BQ77/(40*$F77),
BS77/(16*$F77)
)*100)</f>
        <v/>
      </c>
      <c r="BH77" t="n">
        <v>461</v>
      </c>
      <c r="BI77" t="n">
        <v>791</v>
      </c>
      <c r="BJ77" t="n">
        <v>319</v>
      </c>
      <c r="BK77" t="n">
        <v>178</v>
      </c>
      <c r="BL77" t="n">
        <v>236</v>
      </c>
      <c r="BM77" t="n">
        <v>544</v>
      </c>
      <c r="BN77" t="n">
        <v>354</v>
      </c>
      <c r="BO77" t="n">
        <v>343</v>
      </c>
      <c r="BP77" t="n">
        <v>118</v>
      </c>
      <c r="BQ77" t="n">
        <v>532</v>
      </c>
      <c r="BR77" t="n">
        <v>532</v>
      </c>
      <c r="BS77" t="n">
        <v>225</v>
      </c>
      <c r="BT77" t="n">
        <v>4633</v>
      </c>
      <c r="BU77" t="n">
        <v>414</v>
      </c>
      <c r="BV77" t="n">
        <v>579</v>
      </c>
      <c r="BW77" t="n">
        <v>3575</v>
      </c>
      <c r="BX77" t="n">
        <v>543</v>
      </c>
      <c r="BY77" t="n">
        <v>1346</v>
      </c>
      <c r="BZ77" t="n">
        <v>601</v>
      </c>
      <c r="CA77" t="n">
        <v>7058</v>
      </c>
      <c r="CB77" t="n">
        <v>80</v>
      </c>
      <c r="CC77" t="n">
        <v>33</v>
      </c>
      <c r="CD77" t="n">
        <v>50</v>
      </c>
      <c r="CE77" t="n">
        <v>727</v>
      </c>
      <c r="CF77" t="n">
        <v>14.54</v>
      </c>
      <c r="CG77" t="n">
        <v>0</v>
      </c>
      <c r="CH77" t="n">
        <v>0</v>
      </c>
      <c r="CI77" t="n">
        <v>0</v>
      </c>
      <c r="CJ77" t="n">
        <v>0</v>
      </c>
      <c r="CK77" t="n">
        <v>2</v>
      </c>
      <c r="CL77" t="n">
        <v>2</v>
      </c>
      <c r="CM77" t="n">
        <v>2</v>
      </c>
      <c r="CN77" t="n">
        <v>220</v>
      </c>
      <c r="CO77" t="n">
        <v>0</v>
      </c>
      <c r="CP77" t="n">
        <v>13</v>
      </c>
      <c r="CQ77" t="n">
        <v>11</v>
      </c>
      <c r="CR77" t="n">
        <v>0</v>
      </c>
      <c r="CS77" t="n">
        <v>0</v>
      </c>
      <c r="CT77" t="n">
        <v>250</v>
      </c>
      <c r="CU77" t="n">
        <v>0</v>
      </c>
      <c r="CV77" t="n">
        <v>0</v>
      </c>
      <c r="CW77" t="n">
        <v>6</v>
      </c>
      <c r="CX77" t="n">
        <v>0</v>
      </c>
      <c r="CY77" t="n">
        <v>187</v>
      </c>
      <c r="CZ77" t="n">
        <v>4</v>
      </c>
      <c r="DA77" t="n">
        <v>0</v>
      </c>
      <c r="DB77" t="n">
        <v>0</v>
      </c>
      <c r="DC77" t="n">
        <v>197</v>
      </c>
      <c r="DD77" t="n">
        <v>0</v>
      </c>
      <c r="DE77" t="n">
        <v>0</v>
      </c>
      <c r="DF77" t="n">
        <v>725</v>
      </c>
      <c r="DG77" t="n">
        <v>50</v>
      </c>
      <c r="DH77" t="n">
        <v>0</v>
      </c>
      <c r="DI77" t="n">
        <v>0</v>
      </c>
      <c r="DJ77" t="n">
        <v>0</v>
      </c>
      <c r="DK77" t="n">
        <v>0</v>
      </c>
      <c r="DL77" t="n">
        <v>2</v>
      </c>
      <c r="DM77" t="n">
        <v>0</v>
      </c>
      <c r="DN77" t="n">
        <v>0</v>
      </c>
      <c r="DO77" t="n">
        <v>0</v>
      </c>
      <c r="DP77" t="n">
        <v>0</v>
      </c>
      <c r="DQ77" t="n">
        <v>0</v>
      </c>
      <c r="DR77" t="n">
        <v>0</v>
      </c>
      <c r="DS77" t="n">
        <v>777</v>
      </c>
      <c r="DT77" t="n">
        <v>1224</v>
      </c>
      <c r="DU77" t="n">
        <v>476</v>
      </c>
      <c r="DV77" t="n">
        <v>0</v>
      </c>
      <c r="DW77" t="n">
        <v>0</v>
      </c>
      <c r="DX77" t="n">
        <v>0</v>
      </c>
      <c r="DY77" t="n">
        <v>2468</v>
      </c>
      <c r="DZ77" t="n">
        <v>1851</v>
      </c>
      <c r="EA77" t="n">
        <v>432</v>
      </c>
      <c r="EB77" t="n">
        <v>1111</v>
      </c>
      <c r="EC77" t="n">
        <v>309</v>
      </c>
      <c r="ED77" t="n">
        <v>1880</v>
      </c>
      <c r="EE77" t="n">
        <v>4290</v>
      </c>
      <c r="EF77" t="n">
        <v>0</v>
      </c>
      <c r="EG77" t="n">
        <v>0</v>
      </c>
      <c r="EH77" t="n">
        <v>0.7</v>
      </c>
      <c r="EI77" t="n">
        <v>4.3</v>
      </c>
      <c r="EJ77" t="n">
        <v>1.7</v>
      </c>
      <c r="EK77" t="n">
        <v>12</v>
      </c>
    </row>
    <row r="78">
      <c r="A78">
        <f>[1]ingredient!B77</f>
        <v/>
      </c>
      <c r="B78" t="inlineStr">
        <is>
          <t>https://www.naehrwertrechner.de/naehrwerte/F407000/Moosbeere/?menge=100</t>
        </is>
      </c>
      <c r="C78" s="7">
        <f>_xlfn.XLOOKUP(A78,[1]ingredient!$B$2:$B$521,[1]ingredient!$A$2:$A$521)</f>
        <v/>
      </c>
      <c r="D78" t="n">
        <v>36</v>
      </c>
      <c r="E78" t="n">
        <v>1</v>
      </c>
      <c r="F78" t="n">
        <v>0.4</v>
      </c>
      <c r="G78" t="n">
        <v>4</v>
      </c>
      <c r="H78" t="n">
        <v>4</v>
      </c>
      <c r="I78" t="n">
        <v>4</v>
      </c>
      <c r="J78" t="n">
        <v>0</v>
      </c>
      <c r="K78" t="n">
        <v>87</v>
      </c>
      <c r="L78" t="n">
        <v>4</v>
      </c>
      <c r="M78" t="n">
        <v>2</v>
      </c>
      <c r="N78" t="n">
        <v>0</v>
      </c>
      <c r="O78" t="n">
        <v>22</v>
      </c>
      <c r="P78" t="n">
        <v>30</v>
      </c>
      <c r="Q78" t="n">
        <v>20</v>
      </c>
      <c r="R78" t="n">
        <v>100</v>
      </c>
      <c r="S78" t="n">
        <v>233</v>
      </c>
      <c r="T78" t="n">
        <v>220</v>
      </c>
      <c r="U78" t="n">
        <v>70</v>
      </c>
      <c r="V78" t="n">
        <v>2</v>
      </c>
      <c r="W78" t="n">
        <v>2</v>
      </c>
      <c r="X78" t="n">
        <v>0</v>
      </c>
      <c r="Y78" t="n">
        <v>11000</v>
      </c>
      <c r="Z78" t="n">
        <v>0</v>
      </c>
      <c r="AA78" t="n">
        <v>500</v>
      </c>
      <c r="AB78" t="n">
        <v>10</v>
      </c>
      <c r="AC78" t="n">
        <v>2</v>
      </c>
      <c r="AD78" t="n">
        <v>90</v>
      </c>
      <c r="AE78" t="n">
        <v>14</v>
      </c>
      <c r="AF78" t="n">
        <v>7</v>
      </c>
      <c r="AG78" t="n">
        <v>10</v>
      </c>
      <c r="AH78" t="n">
        <v>11</v>
      </c>
      <c r="AI78" t="n">
        <v>1</v>
      </c>
      <c r="AJ78" t="n">
        <v>900</v>
      </c>
      <c r="AK78" t="n">
        <v>200</v>
      </c>
      <c r="AL78" t="n">
        <v>140</v>
      </c>
      <c r="AM78" t="n">
        <v>100</v>
      </c>
      <c r="AN78" t="n">
        <v>50</v>
      </c>
      <c r="AO78" t="n">
        <v>2</v>
      </c>
      <c r="AP78" t="n">
        <v>0</v>
      </c>
      <c r="AQ78" t="n">
        <v>0</v>
      </c>
      <c r="AR78" t="n">
        <v>0</v>
      </c>
      <c r="AS78" t="n">
        <v>0</v>
      </c>
      <c r="AT78" t="n">
        <v>1833</v>
      </c>
      <c r="AU78" t="n">
        <v>1833</v>
      </c>
      <c r="AV78" t="n">
        <v>0</v>
      </c>
      <c r="AW78" t="n">
        <v>3666</v>
      </c>
      <c r="AX78" t="n">
        <v>234</v>
      </c>
      <c r="AY78" t="n">
        <v>0</v>
      </c>
      <c r="AZ78" t="n">
        <v>0</v>
      </c>
      <c r="BA78" t="n">
        <v>234</v>
      </c>
      <c r="BB78" t="n">
        <v>0</v>
      </c>
      <c r="BC78" t="n">
        <v>0</v>
      </c>
      <c r="BD78" t="n">
        <v>0</v>
      </c>
      <c r="BE78" t="n">
        <v>0</v>
      </c>
      <c r="BF78" t="n">
        <v>0</v>
      </c>
      <c r="BG78">
        <f>IF($F78=0,"0",MIN(
BH78/(30*$F78),
BI78/(61*$F78),
BJ78/(48*$F78),
(BK78+BL78)/(23*$F78),
(BM78+BN78)/(41*$F78),
BO78/(25*$F78),
BP78/(6.6*$F78),
BQ78/(40*$F78),
BS78/(16*$F78)
)*100)</f>
        <v/>
      </c>
      <c r="BH78" t="n">
        <v>16</v>
      </c>
      <c r="BI78" t="n">
        <v>39</v>
      </c>
      <c r="BJ78" t="n">
        <v>16</v>
      </c>
      <c r="BK78" t="n">
        <v>8</v>
      </c>
      <c r="BL78" t="n">
        <v>9</v>
      </c>
      <c r="BM78" t="n">
        <v>24</v>
      </c>
      <c r="BN78" t="n">
        <v>31</v>
      </c>
      <c r="BO78" t="n">
        <v>16</v>
      </c>
      <c r="BP78" t="n">
        <v>8</v>
      </c>
      <c r="BQ78" t="n">
        <v>20</v>
      </c>
      <c r="BR78" t="n">
        <v>28</v>
      </c>
      <c r="BS78" t="n">
        <v>9</v>
      </c>
      <c r="BT78" t="n">
        <v>224</v>
      </c>
      <c r="BU78" t="n">
        <v>18</v>
      </c>
      <c r="BV78" t="n">
        <v>35</v>
      </c>
      <c r="BW78" t="n">
        <v>58</v>
      </c>
      <c r="BX78" t="n">
        <v>22</v>
      </c>
      <c r="BY78" t="n">
        <v>15</v>
      </c>
      <c r="BZ78" t="n">
        <v>19</v>
      </c>
      <c r="CA78" t="n">
        <v>167</v>
      </c>
      <c r="CB78" t="n">
        <v>15</v>
      </c>
      <c r="CC78" t="n">
        <v>6</v>
      </c>
      <c r="CD78" t="n">
        <v>179</v>
      </c>
      <c r="CE78" t="n">
        <v>252</v>
      </c>
      <c r="CF78" t="n">
        <v>1.41</v>
      </c>
      <c r="CG78" t="n">
        <v>0</v>
      </c>
      <c r="CH78" t="n">
        <v>0</v>
      </c>
      <c r="CI78" t="n">
        <v>0</v>
      </c>
      <c r="CJ78" t="n">
        <v>0</v>
      </c>
      <c r="CK78" t="n">
        <v>0</v>
      </c>
      <c r="CL78" t="n">
        <v>0</v>
      </c>
      <c r="CM78" t="n">
        <v>0</v>
      </c>
      <c r="CN78" t="n">
        <v>31</v>
      </c>
      <c r="CO78" t="n">
        <v>0</v>
      </c>
      <c r="CP78" t="n">
        <v>11</v>
      </c>
      <c r="CQ78" t="n">
        <v>0</v>
      </c>
      <c r="CR78" t="n">
        <v>0</v>
      </c>
      <c r="CS78" t="n">
        <v>0</v>
      </c>
      <c r="CT78" t="n">
        <v>42</v>
      </c>
      <c r="CU78" t="n">
        <v>0</v>
      </c>
      <c r="CV78" t="n">
        <v>0</v>
      </c>
      <c r="CW78" t="n">
        <v>3</v>
      </c>
      <c r="CX78" t="n">
        <v>0</v>
      </c>
      <c r="CY78" t="n">
        <v>84</v>
      </c>
      <c r="CZ78" t="n">
        <v>0</v>
      </c>
      <c r="DA78" t="n">
        <v>0</v>
      </c>
      <c r="DB78" t="n">
        <v>0</v>
      </c>
      <c r="DC78" t="n">
        <v>87</v>
      </c>
      <c r="DD78" t="n">
        <v>0</v>
      </c>
      <c r="DE78" t="n">
        <v>0</v>
      </c>
      <c r="DF78" t="n">
        <v>252</v>
      </c>
      <c r="DG78" t="n">
        <v>179</v>
      </c>
      <c r="DH78" t="n">
        <v>0</v>
      </c>
      <c r="DI78" t="n">
        <v>0</v>
      </c>
      <c r="DJ78" t="n">
        <v>0</v>
      </c>
      <c r="DK78" t="n">
        <v>0</v>
      </c>
      <c r="DL78" t="n">
        <v>0</v>
      </c>
      <c r="DM78" t="n">
        <v>0</v>
      </c>
      <c r="DN78" t="n">
        <v>0</v>
      </c>
      <c r="DO78" t="n">
        <v>0</v>
      </c>
      <c r="DP78" t="n">
        <v>0</v>
      </c>
      <c r="DQ78" t="n">
        <v>0</v>
      </c>
      <c r="DR78" t="n">
        <v>0</v>
      </c>
      <c r="DS78" t="n">
        <v>431</v>
      </c>
      <c r="DT78" t="n">
        <v>560</v>
      </c>
      <c r="DU78" t="n">
        <v>140</v>
      </c>
      <c r="DV78" t="n">
        <v>0</v>
      </c>
      <c r="DW78" t="n">
        <v>0</v>
      </c>
      <c r="DX78" t="n">
        <v>0</v>
      </c>
      <c r="DY78" t="n">
        <v>570</v>
      </c>
      <c r="DZ78" t="n">
        <v>380</v>
      </c>
      <c r="EA78" t="n">
        <v>950</v>
      </c>
      <c r="EB78" t="n">
        <v>760</v>
      </c>
      <c r="EC78" t="n">
        <v>1140</v>
      </c>
      <c r="ED78" t="n">
        <v>950</v>
      </c>
      <c r="EE78" t="n">
        <v>2850</v>
      </c>
      <c r="EF78" t="n">
        <v>0</v>
      </c>
      <c r="EG78" t="n">
        <v>4</v>
      </c>
      <c r="EH78" t="n">
        <v>0.2</v>
      </c>
      <c r="EI78" t="n">
        <v>2.9</v>
      </c>
      <c r="EJ78" t="n">
        <v>0.7</v>
      </c>
      <c r="EK78" t="n">
        <v>0.4</v>
      </c>
    </row>
    <row r="79">
      <c r="A79">
        <f>[1]ingredient!B78</f>
        <v/>
      </c>
      <c r="B79" t="inlineStr">
        <is>
          <t>https://www.naehrwertrechner.de/naehrwerte/R289011/Currypulver/?menge=100</t>
        </is>
      </c>
      <c r="C79" s="7">
        <f>_xlfn.XLOOKUP(A79,[1]ingredient!$B$2:$B$521,[1]ingredient!$A$2:$A$521)</f>
        <v/>
      </c>
      <c r="D79" t="n">
        <v>319</v>
      </c>
      <c r="E79" t="n">
        <v>9</v>
      </c>
      <c r="F79" t="n">
        <v>10</v>
      </c>
      <c r="G79" t="n">
        <v>49</v>
      </c>
      <c r="H79" t="n">
        <v>11</v>
      </c>
      <c r="I79" t="n">
        <v>44</v>
      </c>
      <c r="J79" t="n">
        <v>5</v>
      </c>
      <c r="K79" t="n">
        <v>8</v>
      </c>
      <c r="L79" t="n">
        <v>422</v>
      </c>
      <c r="M79" t="n">
        <v>211</v>
      </c>
      <c r="N79" t="n">
        <v>0</v>
      </c>
      <c r="O79" t="n">
        <v>2529</v>
      </c>
      <c r="P79" t="n">
        <v>207</v>
      </c>
      <c r="Q79" t="n">
        <v>299</v>
      </c>
      <c r="R79" t="n">
        <v>4328</v>
      </c>
      <c r="S79" t="n">
        <v>5778</v>
      </c>
      <c r="T79" t="n">
        <v>233</v>
      </c>
      <c r="U79" t="n">
        <v>119</v>
      </c>
      <c r="V79" t="n">
        <v>3</v>
      </c>
      <c r="W79" t="n">
        <v>26</v>
      </c>
      <c r="X79" t="n">
        <v>0</v>
      </c>
      <c r="Y79" t="n">
        <v>16330</v>
      </c>
      <c r="Z79" t="n">
        <v>0</v>
      </c>
      <c r="AA79" t="n">
        <v>21</v>
      </c>
      <c r="AB79" t="n">
        <v>19</v>
      </c>
      <c r="AC79" t="n">
        <v>1984</v>
      </c>
      <c r="AD79" t="n">
        <v>1862</v>
      </c>
      <c r="AE79" t="n">
        <v>241</v>
      </c>
      <c r="AF79" t="n">
        <v>187</v>
      </c>
      <c r="AG79" t="n">
        <v>263</v>
      </c>
      <c r="AH79" t="n">
        <v>105</v>
      </c>
      <c r="AI79" t="n">
        <v>3148</v>
      </c>
      <c r="AJ79" t="n">
        <v>29664</v>
      </c>
      <c r="AK79" t="n">
        <v>3444</v>
      </c>
      <c r="AL79" t="n">
        <v>451</v>
      </c>
      <c r="AM79" t="n">
        <v>6784</v>
      </c>
      <c r="AN79" t="n">
        <v>110</v>
      </c>
      <c r="AO79" t="n">
        <v>5</v>
      </c>
      <c r="AP79" t="n">
        <v>0</v>
      </c>
      <c r="AQ79" t="n">
        <v>0</v>
      </c>
      <c r="AR79" t="n">
        <v>0</v>
      </c>
      <c r="AS79" t="n">
        <v>0</v>
      </c>
      <c r="AT79" t="n">
        <v>18554</v>
      </c>
      <c r="AU79" t="n">
        <v>17573</v>
      </c>
      <c r="AV79" t="n">
        <v>0</v>
      </c>
      <c r="AW79" t="n">
        <v>36127</v>
      </c>
      <c r="AX79" t="n">
        <v>7556</v>
      </c>
      <c r="AY79" t="n">
        <v>0</v>
      </c>
      <c r="AZ79" t="n">
        <v>0</v>
      </c>
      <c r="BA79" t="n">
        <v>7556</v>
      </c>
      <c r="BB79" t="n">
        <v>319</v>
      </c>
      <c r="BC79" t="n">
        <v>443</v>
      </c>
      <c r="BD79" t="n">
        <v>0</v>
      </c>
      <c r="BE79" t="n">
        <v>5109</v>
      </c>
      <c r="BF79" t="n">
        <v>5109</v>
      </c>
      <c r="BG79">
        <f>IF($F79=0,"0",MIN(
BH79/(30*$F79),
BI79/(61*$F79),
BJ79/(48*$F79),
(BK79+BL79)/(23*$F79),
(BM79+BN79)/(41*$F79),
BO79/(25*$F79),
BP79/(6.6*$F79),
BQ79/(40*$F79),
BS79/(16*$F79)
)*100)</f>
        <v/>
      </c>
      <c r="BH79" t="n">
        <v>368</v>
      </c>
      <c r="BI79" t="n">
        <v>561</v>
      </c>
      <c r="BJ79" t="n">
        <v>474</v>
      </c>
      <c r="BK79" t="n">
        <v>100</v>
      </c>
      <c r="BL79" t="n">
        <v>75</v>
      </c>
      <c r="BM79" t="n">
        <v>349</v>
      </c>
      <c r="BN79" t="n">
        <v>209</v>
      </c>
      <c r="BO79" t="n">
        <v>278</v>
      </c>
      <c r="BP79" t="n">
        <v>87</v>
      </c>
      <c r="BQ79" t="n">
        <v>451</v>
      </c>
      <c r="BR79" t="n">
        <v>452</v>
      </c>
      <c r="BS79" t="n">
        <v>193</v>
      </c>
      <c r="BT79" t="n">
        <v>3597</v>
      </c>
      <c r="BU79" t="n">
        <v>320</v>
      </c>
      <c r="BV79" t="n">
        <v>1177</v>
      </c>
      <c r="BW79" t="n">
        <v>1298</v>
      </c>
      <c r="BX79" t="n">
        <v>319</v>
      </c>
      <c r="BY79" t="n">
        <v>314</v>
      </c>
      <c r="BZ79" t="n">
        <v>356</v>
      </c>
      <c r="CA79" t="n">
        <v>3784</v>
      </c>
      <c r="CB79" t="n">
        <v>82</v>
      </c>
      <c r="CC79" t="n">
        <v>34</v>
      </c>
      <c r="CD79" t="n">
        <v>369</v>
      </c>
      <c r="CE79" t="n">
        <v>1893</v>
      </c>
      <c r="CF79" t="n">
        <v>5.13</v>
      </c>
      <c r="CG79" t="n">
        <v>0</v>
      </c>
      <c r="CH79" t="n">
        <v>0</v>
      </c>
      <c r="CI79" t="n">
        <v>46</v>
      </c>
      <c r="CJ79" t="n">
        <v>97</v>
      </c>
      <c r="CK79" t="n">
        <v>283</v>
      </c>
      <c r="CL79" t="n">
        <v>177</v>
      </c>
      <c r="CM79" t="n">
        <v>0</v>
      </c>
      <c r="CN79" t="n">
        <v>1308</v>
      </c>
      <c r="CO79" t="n">
        <v>0</v>
      </c>
      <c r="CP79" t="n">
        <v>267</v>
      </c>
      <c r="CQ79" t="n">
        <v>4</v>
      </c>
      <c r="CR79" t="n">
        <v>0</v>
      </c>
      <c r="CS79" t="n">
        <v>0</v>
      </c>
      <c r="CT79" t="n">
        <v>2182</v>
      </c>
      <c r="CU79" t="n">
        <v>0</v>
      </c>
      <c r="CV79" t="n">
        <v>0</v>
      </c>
      <c r="CW79" t="n">
        <v>181</v>
      </c>
      <c r="CX79" t="n">
        <v>0</v>
      </c>
      <c r="CY79" t="n">
        <v>2137</v>
      </c>
      <c r="CZ79" t="n">
        <v>57</v>
      </c>
      <c r="DA79" t="n">
        <v>0</v>
      </c>
      <c r="DB79" t="n">
        <v>0</v>
      </c>
      <c r="DC79" t="n">
        <v>2375</v>
      </c>
      <c r="DD79" t="n">
        <v>0</v>
      </c>
      <c r="DE79" t="n">
        <v>0</v>
      </c>
      <c r="DF79" t="n">
        <v>1893</v>
      </c>
      <c r="DG79" t="n">
        <v>369</v>
      </c>
      <c r="DH79" t="n">
        <v>0</v>
      </c>
      <c r="DI79" t="n">
        <v>0</v>
      </c>
      <c r="DJ79" t="n">
        <v>0</v>
      </c>
      <c r="DK79" t="n">
        <v>0</v>
      </c>
      <c r="DL79" t="n">
        <v>0</v>
      </c>
      <c r="DM79" t="n">
        <v>0</v>
      </c>
      <c r="DN79" t="n">
        <v>0</v>
      </c>
      <c r="DO79" t="n">
        <v>0</v>
      </c>
      <c r="DP79" t="n">
        <v>0</v>
      </c>
      <c r="DQ79" t="n">
        <v>0</v>
      </c>
      <c r="DR79" t="n">
        <v>0</v>
      </c>
      <c r="DS79" t="n">
        <v>2262</v>
      </c>
      <c r="DT79" t="n">
        <v>6676</v>
      </c>
      <c r="DU79" t="n">
        <v>2079</v>
      </c>
      <c r="DV79" t="n">
        <v>0</v>
      </c>
      <c r="DW79" t="n">
        <v>0</v>
      </c>
      <c r="DX79" t="n">
        <v>143</v>
      </c>
      <c r="DY79" t="n">
        <v>1941</v>
      </c>
      <c r="DZ79" t="n">
        <v>2126</v>
      </c>
      <c r="EA79" t="n">
        <v>2336</v>
      </c>
      <c r="EB79" t="n">
        <v>3256</v>
      </c>
      <c r="EC79" t="n">
        <v>1151</v>
      </c>
      <c r="ED79" t="n">
        <v>3464</v>
      </c>
      <c r="EE79" t="n">
        <v>7347</v>
      </c>
      <c r="EF79" t="n">
        <v>0</v>
      </c>
      <c r="EG79" t="n">
        <v>0.19</v>
      </c>
      <c r="EH79" t="n">
        <v>12.8</v>
      </c>
      <c r="EI79" t="n">
        <v>7.3</v>
      </c>
      <c r="EJ79" t="n">
        <v>8.9</v>
      </c>
      <c r="EK79" t="n">
        <v>7.7</v>
      </c>
    </row>
    <row r="80">
      <c r="A80">
        <f>[1]ingredient!B79</f>
        <v/>
      </c>
      <c r="B80" t="inlineStr">
        <is>
          <t>https://www.naehrwertrechner.de/naehrwerte/R289011/Currypulver/?menge=100</t>
        </is>
      </c>
      <c r="C80" s="7">
        <f>_xlfn.XLOOKUP(A80,[1]ingredient!$B$2:$B$521,[1]ingredient!$A$2:$A$521)</f>
        <v/>
      </c>
      <c r="D80" t="n">
        <v>319</v>
      </c>
      <c r="E80" t="n">
        <v>9</v>
      </c>
      <c r="F80" t="n">
        <v>10</v>
      </c>
      <c r="G80" t="n">
        <v>49</v>
      </c>
      <c r="H80" t="n">
        <v>11</v>
      </c>
      <c r="I80" t="n">
        <v>44</v>
      </c>
      <c r="J80" t="n">
        <v>5</v>
      </c>
      <c r="K80" t="n">
        <v>8</v>
      </c>
      <c r="L80" t="n">
        <v>422</v>
      </c>
      <c r="M80" t="n">
        <v>211</v>
      </c>
      <c r="N80" t="n">
        <v>0</v>
      </c>
      <c r="O80" t="n">
        <v>2529</v>
      </c>
      <c r="P80" t="n">
        <v>207</v>
      </c>
      <c r="Q80" t="n">
        <v>299</v>
      </c>
      <c r="R80" t="n">
        <v>4328</v>
      </c>
      <c r="S80" t="n">
        <v>5778</v>
      </c>
      <c r="T80" t="n">
        <v>233</v>
      </c>
      <c r="U80" t="n">
        <v>119</v>
      </c>
      <c r="V80" t="n">
        <v>3</v>
      </c>
      <c r="W80" t="n">
        <v>26</v>
      </c>
      <c r="X80" t="n">
        <v>0</v>
      </c>
      <c r="Y80" t="n">
        <v>16330</v>
      </c>
      <c r="Z80" t="n">
        <v>0</v>
      </c>
      <c r="AA80" t="n">
        <v>21</v>
      </c>
      <c r="AB80" t="n">
        <v>19</v>
      </c>
      <c r="AC80" t="n">
        <v>1984</v>
      </c>
      <c r="AD80" t="n">
        <v>1862</v>
      </c>
      <c r="AE80" t="n">
        <v>241</v>
      </c>
      <c r="AF80" t="n">
        <v>187</v>
      </c>
      <c r="AG80" t="n">
        <v>263</v>
      </c>
      <c r="AH80" t="n">
        <v>105</v>
      </c>
      <c r="AI80" t="n">
        <v>3148</v>
      </c>
      <c r="AJ80" t="n">
        <v>29664</v>
      </c>
      <c r="AK80" t="n">
        <v>3444</v>
      </c>
      <c r="AL80" t="n">
        <v>451</v>
      </c>
      <c r="AM80" t="n">
        <v>6784</v>
      </c>
      <c r="AN80" t="n">
        <v>110</v>
      </c>
      <c r="AO80" t="n">
        <v>5</v>
      </c>
      <c r="AP80" t="n">
        <v>0</v>
      </c>
      <c r="AQ80" t="n">
        <v>0</v>
      </c>
      <c r="AR80" t="n">
        <v>0</v>
      </c>
      <c r="AS80" t="n">
        <v>0</v>
      </c>
      <c r="AT80" t="n">
        <v>18554</v>
      </c>
      <c r="AU80" t="n">
        <v>17573</v>
      </c>
      <c r="AV80" t="n">
        <v>0</v>
      </c>
      <c r="AW80" t="n">
        <v>36127</v>
      </c>
      <c r="AX80" t="n">
        <v>7556</v>
      </c>
      <c r="AY80" t="n">
        <v>0</v>
      </c>
      <c r="AZ80" t="n">
        <v>0</v>
      </c>
      <c r="BA80" t="n">
        <v>7556</v>
      </c>
      <c r="BB80" t="n">
        <v>319</v>
      </c>
      <c r="BC80" t="n">
        <v>443</v>
      </c>
      <c r="BD80" t="n">
        <v>0</v>
      </c>
      <c r="BE80" t="n">
        <v>5109</v>
      </c>
      <c r="BF80" t="n">
        <v>5109</v>
      </c>
      <c r="BG80">
        <f>IF($F80=0,"0",MIN(
BH80/(30*$F80),
BI80/(61*$F80),
BJ80/(48*$F80),
(BK80+BL80)/(23*$F80),
(BM80+BN80)/(41*$F80),
BO80/(25*$F80),
BP80/(6.6*$F80),
BQ80/(40*$F80),
BS80/(16*$F80)
)*100)</f>
        <v/>
      </c>
      <c r="BH80" t="n">
        <v>368</v>
      </c>
      <c r="BI80" t="n">
        <v>561</v>
      </c>
      <c r="BJ80" t="n">
        <v>474</v>
      </c>
      <c r="BK80" t="n">
        <v>100</v>
      </c>
      <c r="BL80" t="n">
        <v>75</v>
      </c>
      <c r="BM80" t="n">
        <v>349</v>
      </c>
      <c r="BN80" t="n">
        <v>209</v>
      </c>
      <c r="BO80" t="n">
        <v>278</v>
      </c>
      <c r="BP80" t="n">
        <v>87</v>
      </c>
      <c r="BQ80" t="n">
        <v>451</v>
      </c>
      <c r="BR80" t="n">
        <v>452</v>
      </c>
      <c r="BS80" t="n">
        <v>193</v>
      </c>
      <c r="BT80" t="n">
        <v>3597</v>
      </c>
      <c r="BU80" t="n">
        <v>320</v>
      </c>
      <c r="BV80" t="n">
        <v>1177</v>
      </c>
      <c r="BW80" t="n">
        <v>1298</v>
      </c>
      <c r="BX80" t="n">
        <v>319</v>
      </c>
      <c r="BY80" t="n">
        <v>314</v>
      </c>
      <c r="BZ80" t="n">
        <v>356</v>
      </c>
      <c r="CA80" t="n">
        <v>3784</v>
      </c>
      <c r="CB80" t="n">
        <v>82</v>
      </c>
      <c r="CC80" t="n">
        <v>34</v>
      </c>
      <c r="CD80" t="n">
        <v>369</v>
      </c>
      <c r="CE80" t="n">
        <v>1893</v>
      </c>
      <c r="CF80" t="n">
        <v>5.13</v>
      </c>
      <c r="CG80" t="n">
        <v>0</v>
      </c>
      <c r="CH80" t="n">
        <v>0</v>
      </c>
      <c r="CI80" t="n">
        <v>46</v>
      </c>
      <c r="CJ80" t="n">
        <v>97</v>
      </c>
      <c r="CK80" t="n">
        <v>283</v>
      </c>
      <c r="CL80" t="n">
        <v>177</v>
      </c>
      <c r="CM80" t="n">
        <v>0</v>
      </c>
      <c r="CN80" t="n">
        <v>1308</v>
      </c>
      <c r="CO80" t="n">
        <v>0</v>
      </c>
      <c r="CP80" t="n">
        <v>267</v>
      </c>
      <c r="CQ80" t="n">
        <v>4</v>
      </c>
      <c r="CR80" t="n">
        <v>0</v>
      </c>
      <c r="CS80" t="n">
        <v>0</v>
      </c>
      <c r="CT80" t="n">
        <v>2182</v>
      </c>
      <c r="CU80" t="n">
        <v>0</v>
      </c>
      <c r="CV80" t="n">
        <v>0</v>
      </c>
      <c r="CW80" t="n">
        <v>181</v>
      </c>
      <c r="CX80" t="n">
        <v>0</v>
      </c>
      <c r="CY80" t="n">
        <v>2137</v>
      </c>
      <c r="CZ80" t="n">
        <v>57</v>
      </c>
      <c r="DA80" t="n">
        <v>0</v>
      </c>
      <c r="DB80" t="n">
        <v>0</v>
      </c>
      <c r="DC80" t="n">
        <v>2375</v>
      </c>
      <c r="DD80" t="n">
        <v>0</v>
      </c>
      <c r="DE80" t="n">
        <v>0</v>
      </c>
      <c r="DF80" t="n">
        <v>1893</v>
      </c>
      <c r="DG80" t="n">
        <v>369</v>
      </c>
      <c r="DH80" t="n">
        <v>0</v>
      </c>
      <c r="DI80" t="n">
        <v>0</v>
      </c>
      <c r="DJ80" t="n">
        <v>0</v>
      </c>
      <c r="DK80" t="n">
        <v>0</v>
      </c>
      <c r="DL80" t="n">
        <v>0</v>
      </c>
      <c r="DM80" t="n">
        <v>0</v>
      </c>
      <c r="DN80" t="n">
        <v>0</v>
      </c>
      <c r="DO80" t="n">
        <v>0</v>
      </c>
      <c r="DP80" t="n">
        <v>0</v>
      </c>
      <c r="DQ80" t="n">
        <v>0</v>
      </c>
      <c r="DR80" t="n">
        <v>0</v>
      </c>
      <c r="DS80" t="n">
        <v>2262</v>
      </c>
      <c r="DT80" t="n">
        <v>6676</v>
      </c>
      <c r="DU80" t="n">
        <v>2079</v>
      </c>
      <c r="DV80" t="n">
        <v>0</v>
      </c>
      <c r="DW80" t="n">
        <v>0</v>
      </c>
      <c r="DX80" t="n">
        <v>143</v>
      </c>
      <c r="DY80" t="n">
        <v>1941</v>
      </c>
      <c r="DZ80" t="n">
        <v>2126</v>
      </c>
      <c r="EA80" t="n">
        <v>2336</v>
      </c>
      <c r="EB80" t="n">
        <v>3256</v>
      </c>
      <c r="EC80" t="n">
        <v>1151</v>
      </c>
      <c r="ED80" t="n">
        <v>3464</v>
      </c>
      <c r="EE80" t="n">
        <v>7347</v>
      </c>
      <c r="EF80" t="n">
        <v>0</v>
      </c>
      <c r="EG80" t="n">
        <v>0.19</v>
      </c>
      <c r="EH80" t="n">
        <v>12.8</v>
      </c>
      <c r="EI80" t="n">
        <v>7.3</v>
      </c>
      <c r="EJ80" t="n">
        <v>8.9</v>
      </c>
      <c r="EK80" t="n">
        <v>7.7</v>
      </c>
    </row>
    <row r="81">
      <c r="A81">
        <f>[1]ingredient!B80</f>
        <v/>
      </c>
      <c r="B81" t="inlineStr">
        <is>
          <t>https://www.naehrwertrechner.de/naehrwerte/F504400/Dattel+getrocknet/?menge=100</t>
        </is>
      </c>
      <c r="C81" s="7">
        <f>_xlfn.XLOOKUP(A81,[1]ingredient!$B$2:$B$521,[1]ingredient!$A$2:$A$521)</f>
        <v/>
      </c>
      <c r="D81" t="n">
        <v>285</v>
      </c>
      <c r="E81" t="n">
        <v>1</v>
      </c>
      <c r="F81" t="n">
        <v>2</v>
      </c>
      <c r="G81" t="n">
        <v>66</v>
      </c>
      <c r="H81" t="n">
        <v>9</v>
      </c>
      <c r="I81" t="n">
        <v>66</v>
      </c>
      <c r="J81" t="n">
        <v>0.19</v>
      </c>
      <c r="K81" t="n">
        <v>20</v>
      </c>
      <c r="L81" t="n">
        <v>6</v>
      </c>
      <c r="M81" t="n">
        <v>3</v>
      </c>
      <c r="N81" t="n">
        <v>0</v>
      </c>
      <c r="O81" t="n">
        <v>33</v>
      </c>
      <c r="P81" t="n">
        <v>57</v>
      </c>
      <c r="Q81" t="n">
        <v>57</v>
      </c>
      <c r="R81" t="n">
        <v>1627</v>
      </c>
      <c r="S81" t="n">
        <v>2477</v>
      </c>
      <c r="T81" t="n">
        <v>651</v>
      </c>
      <c r="U81" t="n">
        <v>114</v>
      </c>
      <c r="V81" t="n">
        <v>4</v>
      </c>
      <c r="W81" t="n">
        <v>17</v>
      </c>
      <c r="X81" t="n">
        <v>0</v>
      </c>
      <c r="Y81" t="n">
        <v>2441</v>
      </c>
      <c r="Z81" t="n">
        <v>0</v>
      </c>
      <c r="AA81" t="n">
        <v>183</v>
      </c>
      <c r="AB81" t="n">
        <v>9</v>
      </c>
      <c r="AC81" t="n">
        <v>5</v>
      </c>
      <c r="AD81" t="n">
        <v>659</v>
      </c>
      <c r="AE81" t="n">
        <v>66</v>
      </c>
      <c r="AF81" t="n">
        <v>51</v>
      </c>
      <c r="AG81" t="n">
        <v>61</v>
      </c>
      <c r="AH81" t="n">
        <v>61</v>
      </c>
      <c r="AI81" t="n">
        <v>183</v>
      </c>
      <c r="AJ81" t="n">
        <v>1933</v>
      </c>
      <c r="AK81" t="n">
        <v>346</v>
      </c>
      <c r="AL81" t="n">
        <v>305</v>
      </c>
      <c r="AM81" t="n">
        <v>153</v>
      </c>
      <c r="AN81" t="n">
        <v>20</v>
      </c>
      <c r="AO81" t="n">
        <v>1</v>
      </c>
      <c r="AP81" t="n">
        <v>0</v>
      </c>
      <c r="AQ81" t="n">
        <v>0</v>
      </c>
      <c r="AR81" t="n">
        <v>0</v>
      </c>
      <c r="AS81" t="n">
        <v>0</v>
      </c>
      <c r="AT81" t="n">
        <v>34182</v>
      </c>
      <c r="AU81" t="n">
        <v>31868</v>
      </c>
      <c r="AV81" t="n">
        <v>0</v>
      </c>
      <c r="AW81" t="n">
        <v>66050</v>
      </c>
      <c r="AX81" t="n">
        <v>66</v>
      </c>
      <c r="AY81" t="n">
        <v>0</v>
      </c>
      <c r="AZ81" t="n">
        <v>0</v>
      </c>
      <c r="BA81" t="n">
        <v>66</v>
      </c>
      <c r="BB81" t="n">
        <v>0</v>
      </c>
      <c r="BC81" t="n">
        <v>0</v>
      </c>
      <c r="BD81" t="n">
        <v>0</v>
      </c>
      <c r="BE81" t="n">
        <v>0</v>
      </c>
      <c r="BF81" t="n">
        <v>0</v>
      </c>
      <c r="BG81">
        <f>IF($F81=0,"0",MIN(
BH81/(30*$F81),
BI81/(61*$F81),
BJ81/(48*$F81),
(BK81+BL81)/(23*$F81),
(BM81+BN81)/(41*$F81),
BO81/(25*$F81),
BP81/(6.6*$F81),
BQ81/(40*$F81),
BS81/(16*$F81)
)*100)</f>
        <v/>
      </c>
      <c r="BH81" t="n">
        <v>49</v>
      </c>
      <c r="BI81" t="n">
        <v>92</v>
      </c>
      <c r="BJ81" t="n">
        <v>61</v>
      </c>
      <c r="BK81" t="n">
        <v>22</v>
      </c>
      <c r="BL81" t="n">
        <v>47</v>
      </c>
      <c r="BM81" t="n">
        <v>57</v>
      </c>
      <c r="BN81" t="n">
        <v>31</v>
      </c>
      <c r="BO81" t="n">
        <v>53</v>
      </c>
      <c r="BP81" t="n">
        <v>51</v>
      </c>
      <c r="BQ81" t="n">
        <v>69</v>
      </c>
      <c r="BR81" t="n">
        <v>69</v>
      </c>
      <c r="BS81" t="n">
        <v>31</v>
      </c>
      <c r="BT81" t="n">
        <v>632</v>
      </c>
      <c r="BU81" t="n">
        <v>104</v>
      </c>
      <c r="BV81" t="n">
        <v>130</v>
      </c>
      <c r="BW81" t="n">
        <v>218</v>
      </c>
      <c r="BX81" t="n">
        <v>98</v>
      </c>
      <c r="BY81" t="n">
        <v>110</v>
      </c>
      <c r="BZ81" t="n">
        <v>69</v>
      </c>
      <c r="CA81" t="n">
        <v>729</v>
      </c>
      <c r="CB81" t="n">
        <v>15</v>
      </c>
      <c r="CC81" t="n">
        <v>6</v>
      </c>
      <c r="CD81" t="n">
        <v>39</v>
      </c>
      <c r="CE81" t="n">
        <v>163</v>
      </c>
      <c r="CF81" t="n">
        <v>4.18</v>
      </c>
      <c r="CG81" t="n">
        <v>0</v>
      </c>
      <c r="CH81" t="n">
        <v>0</v>
      </c>
      <c r="CI81" t="n">
        <v>0</v>
      </c>
      <c r="CJ81" t="n">
        <v>0</v>
      </c>
      <c r="CK81" t="n">
        <v>2</v>
      </c>
      <c r="CL81" t="n">
        <v>4</v>
      </c>
      <c r="CM81" t="n">
        <v>0</v>
      </c>
      <c r="CN81" t="n">
        <v>98</v>
      </c>
      <c r="CO81" t="n">
        <v>0</v>
      </c>
      <c r="CP81" t="n">
        <v>16</v>
      </c>
      <c r="CQ81" t="n">
        <v>0</v>
      </c>
      <c r="CR81" t="n">
        <v>0</v>
      </c>
      <c r="CS81" t="n">
        <v>0</v>
      </c>
      <c r="CT81" t="n">
        <v>120</v>
      </c>
      <c r="CU81" t="n">
        <v>0</v>
      </c>
      <c r="CV81" t="n">
        <v>0</v>
      </c>
      <c r="CW81" t="n">
        <v>4</v>
      </c>
      <c r="CX81" t="n">
        <v>0</v>
      </c>
      <c r="CY81" t="n">
        <v>81</v>
      </c>
      <c r="CZ81" t="n">
        <v>0</v>
      </c>
      <c r="DA81" t="n">
        <v>0</v>
      </c>
      <c r="DB81" t="n">
        <v>0</v>
      </c>
      <c r="DC81" t="n">
        <v>85</v>
      </c>
      <c r="DD81" t="n">
        <v>0</v>
      </c>
      <c r="DE81" t="n">
        <v>0</v>
      </c>
      <c r="DF81" t="n">
        <v>163</v>
      </c>
      <c r="DG81" t="n">
        <v>39</v>
      </c>
      <c r="DH81" t="n">
        <v>0</v>
      </c>
      <c r="DI81" t="n">
        <v>0</v>
      </c>
      <c r="DJ81" t="n">
        <v>0</v>
      </c>
      <c r="DK81" t="n">
        <v>0</v>
      </c>
      <c r="DL81" t="n">
        <v>0</v>
      </c>
      <c r="DM81" t="n">
        <v>0</v>
      </c>
      <c r="DN81" t="n">
        <v>0</v>
      </c>
      <c r="DO81" t="n">
        <v>0</v>
      </c>
      <c r="DP81" t="n">
        <v>0</v>
      </c>
      <c r="DQ81" t="n">
        <v>0</v>
      </c>
      <c r="DR81" t="n">
        <v>0</v>
      </c>
      <c r="DS81" t="n">
        <v>202</v>
      </c>
      <c r="DT81" t="n">
        <v>407</v>
      </c>
      <c r="DU81" t="n">
        <v>102</v>
      </c>
      <c r="DV81" t="n">
        <v>0</v>
      </c>
      <c r="DW81" t="n">
        <v>0</v>
      </c>
      <c r="DX81" t="n">
        <v>0</v>
      </c>
      <c r="DY81" t="n">
        <v>1327</v>
      </c>
      <c r="DZ81" t="n">
        <v>1770</v>
      </c>
      <c r="EA81" t="n">
        <v>1770</v>
      </c>
      <c r="EB81" t="n">
        <v>1770</v>
      </c>
      <c r="EC81" t="n">
        <v>2212</v>
      </c>
      <c r="ED81" t="n">
        <v>1638</v>
      </c>
      <c r="EE81" t="n">
        <v>7213</v>
      </c>
      <c r="EF81" t="n">
        <v>0</v>
      </c>
      <c r="EG81" t="n">
        <v>1</v>
      </c>
      <c r="EH81" t="n">
        <v>1.2</v>
      </c>
      <c r="EI81" t="n">
        <v>7.2</v>
      </c>
      <c r="EJ81" t="n">
        <v>0.5</v>
      </c>
      <c r="EK81" t="n">
        <v>1.4</v>
      </c>
    </row>
    <row r="82">
      <c r="A82">
        <f>[1]ingredient!B81</f>
        <v/>
      </c>
      <c r="B82" t="inlineStr">
        <is>
          <t>https://www.naehrwertrechner.de/naehrwerte/G065100/Dill+frisch/?menge=100</t>
        </is>
      </c>
      <c r="C82" s="7">
        <f>_xlfn.XLOOKUP(A82,[1]ingredient!$B$2:$B$521,[1]ingredient!$A$2:$A$521)</f>
        <v/>
      </c>
      <c r="D82" t="n">
        <v>55</v>
      </c>
      <c r="E82" t="n">
        <v>1</v>
      </c>
      <c r="F82" t="n">
        <v>4</v>
      </c>
      <c r="G82" t="n">
        <v>8</v>
      </c>
      <c r="H82" t="n">
        <v>5</v>
      </c>
      <c r="I82" t="n">
        <v>8</v>
      </c>
      <c r="J82" t="n">
        <v>0.1</v>
      </c>
      <c r="K82" t="n">
        <v>80</v>
      </c>
      <c r="L82" t="n">
        <v>1017</v>
      </c>
      <c r="M82" t="n">
        <v>508</v>
      </c>
      <c r="N82" t="n">
        <v>0</v>
      </c>
      <c r="O82" t="n">
        <v>6100</v>
      </c>
      <c r="P82" t="n">
        <v>190</v>
      </c>
      <c r="Q82" t="n">
        <v>430</v>
      </c>
      <c r="R82" t="n">
        <v>2400</v>
      </c>
      <c r="S82" t="n">
        <v>3217</v>
      </c>
      <c r="T82" t="n">
        <v>300</v>
      </c>
      <c r="U82" t="n">
        <v>300</v>
      </c>
      <c r="V82" t="n">
        <v>2</v>
      </c>
      <c r="W82" t="n">
        <v>50</v>
      </c>
      <c r="X82" t="n">
        <v>0</v>
      </c>
      <c r="Y82" t="n">
        <v>70000</v>
      </c>
      <c r="Z82" t="n">
        <v>0</v>
      </c>
      <c r="AA82" t="n">
        <v>1700</v>
      </c>
      <c r="AB82" t="n">
        <v>0</v>
      </c>
      <c r="AC82" t="n">
        <v>27</v>
      </c>
      <c r="AD82" t="n">
        <v>647</v>
      </c>
      <c r="AE82" t="n">
        <v>230</v>
      </c>
      <c r="AF82" t="n">
        <v>28</v>
      </c>
      <c r="AG82" t="n">
        <v>85</v>
      </c>
      <c r="AH82" t="n">
        <v>50</v>
      </c>
      <c r="AI82" t="n">
        <v>70</v>
      </c>
      <c r="AJ82" t="n">
        <v>5500</v>
      </c>
      <c r="AK82" t="n">
        <v>1800</v>
      </c>
      <c r="AL82" t="n">
        <v>220</v>
      </c>
      <c r="AM82" t="n">
        <v>2700</v>
      </c>
      <c r="AN82" t="n">
        <v>70</v>
      </c>
      <c r="AO82" t="n">
        <v>4</v>
      </c>
      <c r="AP82" t="n">
        <v>0</v>
      </c>
      <c r="AQ82" t="n">
        <v>0</v>
      </c>
      <c r="AR82" t="n">
        <v>0</v>
      </c>
      <c r="AS82" t="n">
        <v>0</v>
      </c>
      <c r="AT82" t="n">
        <v>3200</v>
      </c>
      <c r="AU82" t="n">
        <v>3200</v>
      </c>
      <c r="AV82" t="n">
        <v>0</v>
      </c>
      <c r="AW82" t="n">
        <v>6400</v>
      </c>
      <c r="AX82" t="n">
        <v>1520</v>
      </c>
      <c r="AY82" t="n">
        <v>0</v>
      </c>
      <c r="AZ82" t="n">
        <v>0</v>
      </c>
      <c r="BA82" t="n">
        <v>1520</v>
      </c>
      <c r="BB82" t="n">
        <v>0</v>
      </c>
      <c r="BC82" t="n">
        <v>0</v>
      </c>
      <c r="BD82" t="n">
        <v>0</v>
      </c>
      <c r="BE82" t="n">
        <v>80</v>
      </c>
      <c r="BF82" t="n">
        <v>80</v>
      </c>
      <c r="BG82">
        <f>IF($F82=0,"0",MIN(
BH82/(30*$F82),
BI82/(61*$F82),
BJ82/(48*$F82),
(BK82+BL82)/(23*$F82),
(BM82+BN82)/(41*$F82),
BO82/(25*$F82),
BP82/(6.6*$F82),
BQ82/(40*$F82),
BS82/(16*$F82)
)*100)</f>
        <v/>
      </c>
      <c r="BH82" t="n">
        <v>195</v>
      </c>
      <c r="BI82" t="n">
        <v>292</v>
      </c>
      <c r="BJ82" t="n">
        <v>243</v>
      </c>
      <c r="BK82" t="n">
        <v>59</v>
      </c>
      <c r="BL82" t="n">
        <v>49</v>
      </c>
      <c r="BM82" t="n">
        <v>146</v>
      </c>
      <c r="BN82" t="n">
        <v>97</v>
      </c>
      <c r="BO82" t="n">
        <v>171</v>
      </c>
      <c r="BP82" t="n">
        <v>49</v>
      </c>
      <c r="BQ82" t="n">
        <v>195</v>
      </c>
      <c r="BR82" t="n">
        <v>195</v>
      </c>
      <c r="BS82" t="n">
        <v>74</v>
      </c>
      <c r="BT82" t="n">
        <v>1764</v>
      </c>
      <c r="BU82" t="n">
        <v>243</v>
      </c>
      <c r="BV82" t="n">
        <v>487</v>
      </c>
      <c r="BW82" t="n">
        <v>730</v>
      </c>
      <c r="BX82" t="n">
        <v>137</v>
      </c>
      <c r="BY82" t="n">
        <v>195</v>
      </c>
      <c r="BZ82" t="n">
        <v>146</v>
      </c>
      <c r="CA82" t="n">
        <v>1938</v>
      </c>
      <c r="CB82" t="n">
        <v>15</v>
      </c>
      <c r="CC82" t="n">
        <v>6</v>
      </c>
      <c r="CD82" t="n">
        <v>192</v>
      </c>
      <c r="CE82" t="n">
        <v>257</v>
      </c>
      <c r="CF82" t="n">
        <v>1.34</v>
      </c>
      <c r="CG82" t="n">
        <v>0</v>
      </c>
      <c r="CH82" t="n">
        <v>0</v>
      </c>
      <c r="CI82" t="n">
        <v>0</v>
      </c>
      <c r="CJ82" t="n">
        <v>0</v>
      </c>
      <c r="CK82" t="n">
        <v>0</v>
      </c>
      <c r="CL82" t="n">
        <v>3</v>
      </c>
      <c r="CM82" t="n">
        <v>0</v>
      </c>
      <c r="CN82" t="n">
        <v>125</v>
      </c>
      <c r="CO82" t="n">
        <v>0</v>
      </c>
      <c r="CP82" t="n">
        <v>19</v>
      </c>
      <c r="CQ82" t="n">
        <v>0</v>
      </c>
      <c r="CR82" t="n">
        <v>0</v>
      </c>
      <c r="CS82" t="n">
        <v>0</v>
      </c>
      <c r="CT82" t="n">
        <v>147</v>
      </c>
      <c r="CU82" t="n">
        <v>0</v>
      </c>
      <c r="CV82" t="n">
        <v>0</v>
      </c>
      <c r="CW82" t="n">
        <v>6</v>
      </c>
      <c r="CX82" t="n">
        <v>0</v>
      </c>
      <c r="CY82" t="n">
        <v>38</v>
      </c>
      <c r="CZ82" t="n">
        <v>0</v>
      </c>
      <c r="DA82" t="n">
        <v>0</v>
      </c>
      <c r="DB82" t="n">
        <v>0</v>
      </c>
      <c r="DC82" t="n">
        <v>44</v>
      </c>
      <c r="DD82" t="n">
        <v>0</v>
      </c>
      <c r="DE82" t="n">
        <v>0</v>
      </c>
      <c r="DF82" t="n">
        <v>257</v>
      </c>
      <c r="DG82" t="n">
        <v>192</v>
      </c>
      <c r="DH82" t="n">
        <v>0</v>
      </c>
      <c r="DI82" t="n">
        <v>0</v>
      </c>
      <c r="DJ82" t="n">
        <v>0</v>
      </c>
      <c r="DK82" t="n">
        <v>0</v>
      </c>
      <c r="DL82" t="n">
        <v>0</v>
      </c>
      <c r="DM82" t="n">
        <v>0</v>
      </c>
      <c r="DN82" t="n">
        <v>0</v>
      </c>
      <c r="DO82" t="n">
        <v>0</v>
      </c>
      <c r="DP82" t="n">
        <v>0</v>
      </c>
      <c r="DQ82" t="n">
        <v>0</v>
      </c>
      <c r="DR82" t="n">
        <v>0</v>
      </c>
      <c r="DS82" t="n">
        <v>449</v>
      </c>
      <c r="DT82" t="n">
        <v>640</v>
      </c>
      <c r="DU82" t="n">
        <v>160</v>
      </c>
      <c r="DV82" t="n">
        <v>0</v>
      </c>
      <c r="DW82" t="n">
        <v>0</v>
      </c>
      <c r="DX82" t="n">
        <v>0</v>
      </c>
      <c r="DY82" t="n">
        <v>795</v>
      </c>
      <c r="DZ82" t="n">
        <v>1060</v>
      </c>
      <c r="EA82" t="n">
        <v>1431</v>
      </c>
      <c r="EB82" t="n">
        <v>1855</v>
      </c>
      <c r="EC82" t="n">
        <v>159</v>
      </c>
      <c r="ED82" t="n">
        <v>1590</v>
      </c>
      <c r="EE82" t="n">
        <v>3710</v>
      </c>
      <c r="EF82" t="n">
        <v>0</v>
      </c>
      <c r="EG82" t="n">
        <v>0.25</v>
      </c>
      <c r="EH82" t="n">
        <v>2</v>
      </c>
      <c r="EI82" t="n">
        <v>3.7</v>
      </c>
      <c r="EJ82" t="n">
        <v>0.8</v>
      </c>
      <c r="EK82" t="n">
        <v>3.8</v>
      </c>
    </row>
    <row r="83">
      <c r="A83">
        <f>[1]ingredient!B82</f>
        <v/>
      </c>
      <c r="B83" t="inlineStr">
        <is>
          <t>https://www.naehrwertrechner.de/naehrwerte/G065400/Dill+getrocknet/?menge=100</t>
        </is>
      </c>
      <c r="C83" s="7">
        <f>_xlfn.XLOOKUP(A83,[1]ingredient!$B$2:$B$521,[1]ingredient!$A$2:$A$521)</f>
        <v/>
      </c>
      <c r="D83" t="n">
        <v>260</v>
      </c>
      <c r="E83" t="n">
        <v>4</v>
      </c>
      <c r="F83" t="n">
        <v>18</v>
      </c>
      <c r="G83" t="n">
        <v>37</v>
      </c>
      <c r="H83" t="n">
        <v>26</v>
      </c>
      <c r="I83" t="n">
        <v>36</v>
      </c>
      <c r="J83" t="n">
        <v>0.41</v>
      </c>
      <c r="K83" t="n">
        <v>6</v>
      </c>
      <c r="L83" t="n">
        <v>4424</v>
      </c>
      <c r="M83" t="n">
        <v>2211</v>
      </c>
      <c r="N83" t="n">
        <v>0</v>
      </c>
      <c r="O83" t="n">
        <v>26531</v>
      </c>
      <c r="P83" t="n">
        <v>778</v>
      </c>
      <c r="Q83" t="n">
        <v>1974</v>
      </c>
      <c r="R83" t="n">
        <v>11020</v>
      </c>
      <c r="S83" t="n">
        <v>14937</v>
      </c>
      <c r="T83" t="n">
        <v>1307</v>
      </c>
      <c r="U83" t="n">
        <v>1379</v>
      </c>
      <c r="V83" t="n">
        <v>10</v>
      </c>
      <c r="W83" t="n">
        <v>240</v>
      </c>
      <c r="X83" t="n">
        <v>0</v>
      </c>
      <c r="Y83" t="n">
        <v>186059</v>
      </c>
      <c r="Z83" t="n">
        <v>0</v>
      </c>
      <c r="AA83" t="n">
        <v>7393</v>
      </c>
      <c r="AB83" t="n">
        <v>0</v>
      </c>
      <c r="AC83" t="n">
        <v>110</v>
      </c>
      <c r="AD83" t="n">
        <v>2656</v>
      </c>
      <c r="AE83" t="n">
        <v>999</v>
      </c>
      <c r="AF83" t="n">
        <v>120</v>
      </c>
      <c r="AG83" t="n">
        <v>370</v>
      </c>
      <c r="AH83" t="n">
        <v>216</v>
      </c>
      <c r="AI83" t="n">
        <v>303</v>
      </c>
      <c r="AJ83" t="n">
        <v>22592</v>
      </c>
      <c r="AK83" t="n">
        <v>7830</v>
      </c>
      <c r="AL83" t="n">
        <v>956</v>
      </c>
      <c r="AM83" t="n">
        <v>11745</v>
      </c>
      <c r="AN83" t="n">
        <v>303</v>
      </c>
      <c r="AO83" t="n">
        <v>17</v>
      </c>
      <c r="AP83" t="n">
        <v>0</v>
      </c>
      <c r="AQ83" t="n">
        <v>0</v>
      </c>
      <c r="AR83" t="n">
        <v>0</v>
      </c>
      <c r="AS83" t="n">
        <v>0</v>
      </c>
      <c r="AT83" t="n">
        <v>14693</v>
      </c>
      <c r="AU83" t="n">
        <v>14693</v>
      </c>
      <c r="AV83" t="n">
        <v>0</v>
      </c>
      <c r="AW83" t="n">
        <v>29386</v>
      </c>
      <c r="AX83" t="n">
        <v>6979</v>
      </c>
      <c r="AY83" t="n">
        <v>0</v>
      </c>
      <c r="AZ83" t="n">
        <v>0</v>
      </c>
      <c r="BA83" t="n">
        <v>6979</v>
      </c>
      <c r="BB83" t="n">
        <v>0</v>
      </c>
      <c r="BC83" t="n">
        <v>0</v>
      </c>
      <c r="BD83" t="n">
        <v>0</v>
      </c>
      <c r="BE83" t="n">
        <v>365</v>
      </c>
      <c r="BF83" t="n">
        <v>365</v>
      </c>
      <c r="BG83">
        <f>IF($F83=0,"0",MIN(
BH83/(30*$F83),
BI83/(61*$F83),
BJ83/(48*$F83),
(BK83+BL83)/(23*$F83),
(BM83+BN83)/(41*$F83),
BO83/(25*$F83),
BP83/(6.6*$F83),
BQ83/(40*$F83),
BS83/(16*$F83)
)*100)</f>
        <v/>
      </c>
      <c r="BH83" t="n">
        <v>942</v>
      </c>
      <c r="BI83" t="n">
        <v>1412</v>
      </c>
      <c r="BJ83" t="n">
        <v>1172</v>
      </c>
      <c r="BK83" t="n">
        <v>279</v>
      </c>
      <c r="BL83" t="n">
        <v>235</v>
      </c>
      <c r="BM83" t="n">
        <v>706</v>
      </c>
      <c r="BN83" t="n">
        <v>471</v>
      </c>
      <c r="BO83" t="n">
        <v>826</v>
      </c>
      <c r="BP83" t="n">
        <v>235</v>
      </c>
      <c r="BQ83" t="n">
        <v>942</v>
      </c>
      <c r="BR83" t="n">
        <v>942</v>
      </c>
      <c r="BS83" t="n">
        <v>355</v>
      </c>
      <c r="BT83" t="n">
        <v>8517</v>
      </c>
      <c r="BU83" t="n">
        <v>1172</v>
      </c>
      <c r="BV83" t="n">
        <v>2354</v>
      </c>
      <c r="BW83" t="n">
        <v>3526</v>
      </c>
      <c r="BX83" t="n">
        <v>663</v>
      </c>
      <c r="BY83" t="n">
        <v>942</v>
      </c>
      <c r="BZ83" t="n">
        <v>706</v>
      </c>
      <c r="CA83" t="n">
        <v>9363</v>
      </c>
      <c r="CB83" t="n">
        <v>72</v>
      </c>
      <c r="CC83" t="n">
        <v>30</v>
      </c>
      <c r="CD83" t="n">
        <v>927</v>
      </c>
      <c r="CE83" t="n">
        <v>1245</v>
      </c>
      <c r="CF83" t="n">
        <v>1.34</v>
      </c>
      <c r="CG83" t="n">
        <v>0</v>
      </c>
      <c r="CH83" t="n">
        <v>0</v>
      </c>
      <c r="CI83" t="n">
        <v>0</v>
      </c>
      <c r="CJ83" t="n">
        <v>0</v>
      </c>
      <c r="CK83" t="n">
        <v>0</v>
      </c>
      <c r="CL83" t="n">
        <v>14</v>
      </c>
      <c r="CM83" t="n">
        <v>0</v>
      </c>
      <c r="CN83" t="n">
        <v>605</v>
      </c>
      <c r="CO83" t="n">
        <v>0</v>
      </c>
      <c r="CP83" t="n">
        <v>91</v>
      </c>
      <c r="CQ83" t="n">
        <v>0</v>
      </c>
      <c r="CR83" t="n">
        <v>0</v>
      </c>
      <c r="CS83" t="n">
        <v>0</v>
      </c>
      <c r="CT83" t="n">
        <v>710</v>
      </c>
      <c r="CU83" t="n">
        <v>0</v>
      </c>
      <c r="CV83" t="n">
        <v>0</v>
      </c>
      <c r="CW83" t="n">
        <v>29</v>
      </c>
      <c r="CX83" t="n">
        <v>0</v>
      </c>
      <c r="CY83" t="n">
        <v>183</v>
      </c>
      <c r="CZ83" t="n">
        <v>0</v>
      </c>
      <c r="DA83" t="n">
        <v>0</v>
      </c>
      <c r="DB83" t="n">
        <v>0</v>
      </c>
      <c r="DC83" t="n">
        <v>212</v>
      </c>
      <c r="DD83" t="n">
        <v>0</v>
      </c>
      <c r="DE83" t="n">
        <v>0</v>
      </c>
      <c r="DF83" t="n">
        <v>1245</v>
      </c>
      <c r="DG83" t="n">
        <v>927</v>
      </c>
      <c r="DH83" t="n">
        <v>0</v>
      </c>
      <c r="DI83" t="n">
        <v>0</v>
      </c>
      <c r="DJ83" t="n">
        <v>0</v>
      </c>
      <c r="DK83" t="n">
        <v>0</v>
      </c>
      <c r="DL83" t="n">
        <v>0</v>
      </c>
      <c r="DM83" t="n">
        <v>0</v>
      </c>
      <c r="DN83" t="n">
        <v>0</v>
      </c>
      <c r="DO83" t="n">
        <v>0</v>
      </c>
      <c r="DP83" t="n">
        <v>0</v>
      </c>
      <c r="DQ83" t="n">
        <v>0</v>
      </c>
      <c r="DR83" t="n">
        <v>0</v>
      </c>
      <c r="DS83" t="n">
        <v>2172</v>
      </c>
      <c r="DT83" t="n">
        <v>3094</v>
      </c>
      <c r="DU83" t="n">
        <v>773</v>
      </c>
      <c r="DV83" t="n">
        <v>0</v>
      </c>
      <c r="DW83" t="n">
        <v>0</v>
      </c>
      <c r="DX83" t="n">
        <v>0</v>
      </c>
      <c r="DY83" t="n">
        <v>3843</v>
      </c>
      <c r="DZ83" t="n">
        <v>5121</v>
      </c>
      <c r="EA83" t="n">
        <v>6917</v>
      </c>
      <c r="EB83" t="n">
        <v>8964</v>
      </c>
      <c r="EC83" t="n">
        <v>769</v>
      </c>
      <c r="ED83" t="n">
        <v>7686</v>
      </c>
      <c r="EE83" t="n">
        <v>17928</v>
      </c>
      <c r="EF83" t="n">
        <v>0</v>
      </c>
      <c r="EG83" t="n">
        <v>1</v>
      </c>
      <c r="EH83" t="n">
        <v>8.699999999999999</v>
      </c>
      <c r="EI83" t="n">
        <v>17.9</v>
      </c>
      <c r="EJ83" t="n">
        <v>3.9</v>
      </c>
      <c r="EK83" t="n">
        <v>18.1</v>
      </c>
    </row>
    <row r="84">
      <c r="A84">
        <f>[1]ingredient!B83</f>
        <v/>
      </c>
      <c r="B84" t="inlineStr">
        <is>
          <t>https://www.naehrwertrechner.de/naehrwerte/C236000/Dinkel+ganzes+Korn+roh/?menge=100</t>
        </is>
      </c>
      <c r="C84" s="7">
        <f>_xlfn.XLOOKUP(A84,[1]ingredient!$B$2:$B$521,[1]ingredient!$A$2:$A$521)</f>
        <v/>
      </c>
      <c r="D84" t="n">
        <v>329</v>
      </c>
      <c r="E84" t="n">
        <v>2</v>
      </c>
      <c r="F84" t="n">
        <v>17</v>
      </c>
      <c r="G84" t="n">
        <v>60</v>
      </c>
      <c r="H84" t="n">
        <v>10</v>
      </c>
      <c r="I84" t="n">
        <v>1</v>
      </c>
      <c r="J84" t="n">
        <v>0.02</v>
      </c>
      <c r="K84" t="n">
        <v>9</v>
      </c>
      <c r="L84" t="n">
        <v>0</v>
      </c>
      <c r="M84" t="n">
        <v>0</v>
      </c>
      <c r="N84" t="n">
        <v>0</v>
      </c>
      <c r="O84" t="n">
        <v>0</v>
      </c>
      <c r="P84" t="n">
        <v>303</v>
      </c>
      <c r="Q84" t="n">
        <v>155</v>
      </c>
      <c r="R84" t="n">
        <v>6590</v>
      </c>
      <c r="S84" t="n">
        <v>9457</v>
      </c>
      <c r="T84" t="n">
        <v>1200</v>
      </c>
      <c r="U84" t="n">
        <v>300</v>
      </c>
      <c r="V84" t="n">
        <v>6</v>
      </c>
      <c r="W84" t="n">
        <v>50</v>
      </c>
      <c r="X84" t="n">
        <v>0</v>
      </c>
      <c r="Y84" t="n">
        <v>0</v>
      </c>
      <c r="Z84" t="n">
        <v>0</v>
      </c>
      <c r="AA84" t="n">
        <v>220</v>
      </c>
      <c r="AB84" t="n">
        <v>0</v>
      </c>
      <c r="AC84" t="n">
        <v>1</v>
      </c>
      <c r="AD84" t="n">
        <v>415</v>
      </c>
      <c r="AE84" t="n">
        <v>25</v>
      </c>
      <c r="AF84" t="n">
        <v>136</v>
      </c>
      <c r="AG84" t="n">
        <v>422</v>
      </c>
      <c r="AH84" t="n">
        <v>129</v>
      </c>
      <c r="AI84" t="n">
        <v>18</v>
      </c>
      <c r="AJ84" t="n">
        <v>4350</v>
      </c>
      <c r="AK84" t="n">
        <v>3650</v>
      </c>
      <c r="AL84" t="n">
        <v>400</v>
      </c>
      <c r="AM84" t="n">
        <v>4410</v>
      </c>
      <c r="AN84" t="n">
        <v>55</v>
      </c>
      <c r="AO84" t="n">
        <v>1</v>
      </c>
      <c r="AP84" t="n">
        <v>0</v>
      </c>
      <c r="AQ84" t="n">
        <v>0</v>
      </c>
      <c r="AR84" t="n">
        <v>0</v>
      </c>
      <c r="AS84" t="n">
        <v>0</v>
      </c>
      <c r="AT84" t="n">
        <v>60</v>
      </c>
      <c r="AU84" t="n">
        <v>60</v>
      </c>
      <c r="AV84" t="n">
        <v>0</v>
      </c>
      <c r="AW84" t="n">
        <v>120</v>
      </c>
      <c r="AX84" t="n">
        <v>603</v>
      </c>
      <c r="AY84" t="n">
        <v>0</v>
      </c>
      <c r="AZ84" t="n">
        <v>0</v>
      </c>
      <c r="BA84" t="n">
        <v>603</v>
      </c>
      <c r="BB84" t="n">
        <v>362</v>
      </c>
      <c r="BC84" t="n">
        <v>0</v>
      </c>
      <c r="BD84" t="n">
        <v>0</v>
      </c>
      <c r="BE84" t="n">
        <v>59215</v>
      </c>
      <c r="BF84" t="n">
        <v>59215</v>
      </c>
      <c r="BG84">
        <f>IF($F84=0,"0",MIN(
BH84/(30*$F84),
BI84/(61*$F84),
BJ84/(48*$F84),
(BK84+BL84)/(23*$F84),
(BM84+BN84)/(41*$F84),
BO84/(25*$F84),
BP84/(6.6*$F84),
BQ84/(40*$F84),
BS84/(16*$F84)
)*100)</f>
        <v/>
      </c>
      <c r="BH84" t="n">
        <v>683</v>
      </c>
      <c r="BI84" t="n">
        <v>1234</v>
      </c>
      <c r="BJ84" t="n">
        <v>449</v>
      </c>
      <c r="BK84" t="n">
        <v>318</v>
      </c>
      <c r="BL84" t="n">
        <v>414</v>
      </c>
      <c r="BM84" t="n">
        <v>939</v>
      </c>
      <c r="BN84" t="n">
        <v>586</v>
      </c>
      <c r="BO84" t="n">
        <v>609</v>
      </c>
      <c r="BP84" t="n">
        <v>172</v>
      </c>
      <c r="BQ84" t="n">
        <v>844</v>
      </c>
      <c r="BR84" t="n">
        <v>888</v>
      </c>
      <c r="BS84" t="n">
        <v>444</v>
      </c>
      <c r="BT84" t="n">
        <v>7580</v>
      </c>
      <c r="BU84" t="n">
        <v>803</v>
      </c>
      <c r="BV84" t="n">
        <v>1052</v>
      </c>
      <c r="BW84" t="n">
        <v>5266</v>
      </c>
      <c r="BX84" t="n">
        <v>952</v>
      </c>
      <c r="BY84" t="n">
        <v>1888</v>
      </c>
      <c r="BZ84" t="n">
        <v>923</v>
      </c>
      <c r="CA84" t="n">
        <v>10884</v>
      </c>
      <c r="CB84" t="n">
        <v>125</v>
      </c>
      <c r="CC84" t="n">
        <v>52</v>
      </c>
      <c r="CD84" t="n">
        <v>49</v>
      </c>
      <c r="CE84" t="n">
        <v>727</v>
      </c>
      <c r="CF84" t="n">
        <v>14.84</v>
      </c>
      <c r="CG84" t="n">
        <v>0</v>
      </c>
      <c r="CH84" t="n">
        <v>0</v>
      </c>
      <c r="CI84" t="n">
        <v>0</v>
      </c>
      <c r="CJ84" t="n">
        <v>0</v>
      </c>
      <c r="CK84" t="n">
        <v>1</v>
      </c>
      <c r="CL84" t="n">
        <v>3</v>
      </c>
      <c r="CM84" t="n">
        <v>1</v>
      </c>
      <c r="CN84" t="n">
        <v>220</v>
      </c>
      <c r="CO84" t="n">
        <v>0</v>
      </c>
      <c r="CP84" t="n">
        <v>12</v>
      </c>
      <c r="CQ84" t="n">
        <v>10</v>
      </c>
      <c r="CR84" t="n">
        <v>0</v>
      </c>
      <c r="CS84" t="n">
        <v>0</v>
      </c>
      <c r="CT84" t="n">
        <v>247</v>
      </c>
      <c r="CU84" t="n">
        <v>0</v>
      </c>
      <c r="CV84" t="n">
        <v>0</v>
      </c>
      <c r="CW84" t="n">
        <v>6</v>
      </c>
      <c r="CX84" t="n">
        <v>0</v>
      </c>
      <c r="CY84" t="n">
        <v>187</v>
      </c>
      <c r="CZ84" t="n">
        <v>5</v>
      </c>
      <c r="DA84" t="n">
        <v>0</v>
      </c>
      <c r="DB84" t="n">
        <v>0</v>
      </c>
      <c r="DC84" t="n">
        <v>198</v>
      </c>
      <c r="DD84" t="n">
        <v>0</v>
      </c>
      <c r="DE84" t="n">
        <v>0</v>
      </c>
      <c r="DF84" t="n">
        <v>724</v>
      </c>
      <c r="DG84" t="n">
        <v>49</v>
      </c>
      <c r="DH84" t="n">
        <v>0</v>
      </c>
      <c r="DI84" t="n">
        <v>0</v>
      </c>
      <c r="DJ84" t="n">
        <v>0</v>
      </c>
      <c r="DK84" t="n">
        <v>0</v>
      </c>
      <c r="DL84" t="n">
        <v>3</v>
      </c>
      <c r="DM84" t="n">
        <v>0</v>
      </c>
      <c r="DN84" t="n">
        <v>0</v>
      </c>
      <c r="DO84" t="n">
        <v>0</v>
      </c>
      <c r="DP84" t="n">
        <v>0</v>
      </c>
      <c r="DQ84" t="n">
        <v>0</v>
      </c>
      <c r="DR84" t="n">
        <v>0</v>
      </c>
      <c r="DS84" t="n">
        <v>776</v>
      </c>
      <c r="DT84" t="n">
        <v>1221</v>
      </c>
      <c r="DU84" t="n">
        <v>474</v>
      </c>
      <c r="DV84" t="n">
        <v>0</v>
      </c>
      <c r="DW84" t="n">
        <v>0</v>
      </c>
      <c r="DX84" t="n">
        <v>0</v>
      </c>
      <c r="DY84" t="n">
        <v>4681</v>
      </c>
      <c r="DZ84" t="n">
        <v>2988</v>
      </c>
      <c r="EA84" t="n">
        <v>598</v>
      </c>
      <c r="EB84" t="n">
        <v>1195</v>
      </c>
      <c r="EC84" t="n">
        <v>498</v>
      </c>
      <c r="ED84" t="n">
        <v>1277</v>
      </c>
      <c r="EE84" t="n">
        <v>8666</v>
      </c>
      <c r="EF84" t="n">
        <v>0</v>
      </c>
      <c r="EG84" t="n">
        <v>0</v>
      </c>
      <c r="EH84" t="n">
        <v>1.8</v>
      </c>
      <c r="EI84" t="n">
        <v>8.699999999999999</v>
      </c>
      <c r="EJ84" t="n">
        <v>1.7</v>
      </c>
      <c r="EK84" t="n">
        <v>18.9</v>
      </c>
    </row>
    <row r="85">
      <c r="A85">
        <f>[1]ingredient!B84</f>
        <v/>
      </c>
      <c r="B85" t="inlineStr">
        <is>
          <t>https://www.naehrwertrechner.de/naehrwerte/C237000/Dinkelflocken/?menge=100</t>
        </is>
      </c>
      <c r="C85" s="7">
        <f>_xlfn.XLOOKUP(A85,[1]ingredient!$B$2:$B$521,[1]ingredient!$A$2:$A$521)</f>
        <v/>
      </c>
      <c r="D85" t="n">
        <v>388</v>
      </c>
      <c r="E85" t="n">
        <v>2</v>
      </c>
      <c r="F85" t="n">
        <v>11</v>
      </c>
      <c r="G85" t="n">
        <v>77</v>
      </c>
      <c r="H85" t="n">
        <v>8</v>
      </c>
      <c r="I85" t="n">
        <v>1</v>
      </c>
      <c r="J85" t="n">
        <v>0.06</v>
      </c>
      <c r="K85" t="n">
        <v>0.3</v>
      </c>
      <c r="L85" t="n">
        <v>0</v>
      </c>
      <c r="M85" t="n">
        <v>0</v>
      </c>
      <c r="N85" t="n">
        <v>0</v>
      </c>
      <c r="O85" t="n">
        <v>0</v>
      </c>
      <c r="P85" t="n">
        <v>500</v>
      </c>
      <c r="Q85" t="n">
        <v>100</v>
      </c>
      <c r="R85" t="n">
        <v>5300</v>
      </c>
      <c r="S85" t="n">
        <v>7200</v>
      </c>
      <c r="T85" t="n">
        <v>1100</v>
      </c>
      <c r="U85" t="n">
        <v>400</v>
      </c>
      <c r="V85" t="n">
        <v>6</v>
      </c>
      <c r="W85" t="n">
        <v>54</v>
      </c>
      <c r="X85" t="n">
        <v>0</v>
      </c>
      <c r="Y85" t="n">
        <v>0</v>
      </c>
      <c r="Z85" t="n">
        <v>0</v>
      </c>
      <c r="AA85" t="n">
        <v>0</v>
      </c>
      <c r="AB85" t="n">
        <v>19</v>
      </c>
      <c r="AC85" t="n">
        <v>4</v>
      </c>
      <c r="AD85" t="n">
        <v>373</v>
      </c>
      <c r="AE85" t="n">
        <v>35</v>
      </c>
      <c r="AF85" t="n">
        <v>119</v>
      </c>
      <c r="AG85" t="n">
        <v>331</v>
      </c>
      <c r="AH85" t="n">
        <v>140</v>
      </c>
      <c r="AI85" t="n">
        <v>53</v>
      </c>
      <c r="AJ85" t="n">
        <v>3400</v>
      </c>
      <c r="AK85" t="n">
        <v>2700</v>
      </c>
      <c r="AL85" t="n">
        <v>400</v>
      </c>
      <c r="AM85" t="n">
        <v>3600</v>
      </c>
      <c r="AN85" t="n">
        <v>100</v>
      </c>
      <c r="AO85" t="n">
        <v>3</v>
      </c>
      <c r="AP85" t="n">
        <v>0</v>
      </c>
      <c r="AQ85" t="n">
        <v>0</v>
      </c>
      <c r="AR85" t="n">
        <v>0</v>
      </c>
      <c r="AS85" t="n">
        <v>0</v>
      </c>
      <c r="AT85" t="n">
        <v>97</v>
      </c>
      <c r="AU85" t="n">
        <v>87</v>
      </c>
      <c r="AV85" t="n">
        <v>0</v>
      </c>
      <c r="AW85" t="n">
        <v>184</v>
      </c>
      <c r="AX85" t="n">
        <v>1000</v>
      </c>
      <c r="AY85" t="n">
        <v>0</v>
      </c>
      <c r="AZ85" t="n">
        <v>0</v>
      </c>
      <c r="BA85" t="n">
        <v>1016</v>
      </c>
      <c r="BB85" t="n">
        <v>300</v>
      </c>
      <c r="BC85" t="n">
        <v>170</v>
      </c>
      <c r="BD85" t="n">
        <v>0</v>
      </c>
      <c r="BE85" t="n">
        <v>75500</v>
      </c>
      <c r="BF85" t="n">
        <v>0</v>
      </c>
      <c r="BG85">
        <f>IF($F85=0,"0",MIN(
BH85/(30*$F85),
BI85/(61*$F85),
BJ85/(48*$F85),
(BK85+BL85)/(23*$F85),
(BM85+BN85)/(41*$F85),
BO85/(25*$F85),
BP85/(6.6*$F85),
BQ85/(40*$F85),
BS85/(16*$F85)
)*100)</f>
        <v/>
      </c>
      <c r="BH85" t="n">
        <v>427</v>
      </c>
      <c r="BI85" t="n">
        <v>751</v>
      </c>
      <c r="BJ85" t="n">
        <v>294</v>
      </c>
      <c r="BK85" t="n">
        <v>167</v>
      </c>
      <c r="BL85" t="n">
        <v>231</v>
      </c>
      <c r="BM85" t="n">
        <v>519</v>
      </c>
      <c r="BN85" t="n">
        <v>319</v>
      </c>
      <c r="BO85" t="n">
        <v>317</v>
      </c>
      <c r="BP85" t="n">
        <v>116</v>
      </c>
      <c r="BQ85" t="n">
        <v>500</v>
      </c>
      <c r="BR85" t="n">
        <v>491</v>
      </c>
      <c r="BS85" t="n">
        <v>220</v>
      </c>
      <c r="BT85" t="n">
        <v>4350</v>
      </c>
      <c r="BU85" t="n">
        <v>386</v>
      </c>
      <c r="BV85" t="n">
        <v>541</v>
      </c>
      <c r="BW85" t="n">
        <v>3432</v>
      </c>
      <c r="BX85" t="n">
        <v>485</v>
      </c>
      <c r="BY85" t="n">
        <v>1257</v>
      </c>
      <c r="BZ85" t="n">
        <v>549</v>
      </c>
      <c r="CA85" t="n">
        <v>6650</v>
      </c>
      <c r="CB85" t="n">
        <v>90</v>
      </c>
      <c r="CC85" t="n">
        <v>38</v>
      </c>
      <c r="CD85" t="n">
        <v>100</v>
      </c>
      <c r="CE85" t="n">
        <v>903</v>
      </c>
      <c r="CF85" t="n">
        <v>9.029999999999999</v>
      </c>
      <c r="CG85" t="n">
        <v>0</v>
      </c>
      <c r="CH85" t="n">
        <v>0</v>
      </c>
      <c r="CI85" t="n">
        <v>0</v>
      </c>
      <c r="CJ85" t="n">
        <v>0</v>
      </c>
      <c r="CK85" t="n">
        <v>1</v>
      </c>
      <c r="CL85" t="n">
        <v>2</v>
      </c>
      <c r="CM85" t="n">
        <v>1</v>
      </c>
      <c r="CN85" t="n">
        <v>180</v>
      </c>
      <c r="CO85" t="n">
        <v>0</v>
      </c>
      <c r="CP85" t="n">
        <v>9</v>
      </c>
      <c r="CQ85" t="n">
        <v>8</v>
      </c>
      <c r="CR85" t="n">
        <v>0</v>
      </c>
      <c r="CS85" t="n">
        <v>0</v>
      </c>
      <c r="CT85" t="n">
        <v>200</v>
      </c>
      <c r="CU85" t="n">
        <v>0</v>
      </c>
      <c r="CV85" t="n">
        <v>0</v>
      </c>
      <c r="CW85" t="n">
        <v>8</v>
      </c>
      <c r="CX85" t="n">
        <v>0</v>
      </c>
      <c r="CY85" t="n">
        <v>249</v>
      </c>
      <c r="CZ85" t="n">
        <v>7</v>
      </c>
      <c r="DA85" t="n">
        <v>0</v>
      </c>
      <c r="DB85" t="n">
        <v>0</v>
      </c>
      <c r="DC85" t="n">
        <v>300</v>
      </c>
      <c r="DD85" t="n">
        <v>0</v>
      </c>
      <c r="DE85" t="n">
        <v>0</v>
      </c>
      <c r="DF85" t="n">
        <v>900</v>
      </c>
      <c r="DG85" t="n">
        <v>100</v>
      </c>
      <c r="DH85" t="n">
        <v>0</v>
      </c>
      <c r="DI85" t="n">
        <v>0</v>
      </c>
      <c r="DJ85" t="n">
        <v>0</v>
      </c>
      <c r="DK85" t="n">
        <v>0</v>
      </c>
      <c r="DL85" t="n">
        <v>3</v>
      </c>
      <c r="DM85" t="n">
        <v>0</v>
      </c>
      <c r="DN85" t="n">
        <v>0</v>
      </c>
      <c r="DO85" t="n">
        <v>0</v>
      </c>
      <c r="DP85" t="n">
        <v>0</v>
      </c>
      <c r="DQ85" t="n">
        <v>0</v>
      </c>
      <c r="DR85" t="n">
        <v>0</v>
      </c>
      <c r="DS85" t="n">
        <v>1000</v>
      </c>
      <c r="DT85" t="n">
        <v>1470</v>
      </c>
      <c r="DU85" t="n">
        <v>630</v>
      </c>
      <c r="DV85" t="n">
        <v>0</v>
      </c>
      <c r="DW85" t="n">
        <v>0</v>
      </c>
      <c r="DX85" t="n">
        <v>0</v>
      </c>
      <c r="DY85" t="n">
        <v>3360</v>
      </c>
      <c r="DZ85" t="n">
        <v>2520</v>
      </c>
      <c r="EA85" t="n">
        <v>588</v>
      </c>
      <c r="EB85" t="n">
        <v>1512</v>
      </c>
      <c r="EC85" t="n">
        <v>420</v>
      </c>
      <c r="ED85" t="n">
        <v>2100</v>
      </c>
      <c r="EE85" t="n">
        <v>6300</v>
      </c>
      <c r="EF85" t="n">
        <v>0</v>
      </c>
      <c r="EG85" t="n">
        <v>0</v>
      </c>
      <c r="EH85" t="n">
        <v>1.1</v>
      </c>
      <c r="EI85" t="n">
        <v>6.3</v>
      </c>
      <c r="EJ85" t="n">
        <v>2.1</v>
      </c>
      <c r="EK85" t="n">
        <v>11.3</v>
      </c>
    </row>
    <row r="86">
      <c r="A86">
        <f>[1]ingredient!B85</f>
        <v/>
      </c>
      <c r="B86" t="inlineStr">
        <is>
          <t>https://www.naehrwertrechner.de/naehrwerte/C235000/Dinkel+Vollkornmehl/?menge=100</t>
        </is>
      </c>
      <c r="C86" s="7">
        <f>_xlfn.XLOOKUP(A86,[1]ingredient!$B$2:$B$521,[1]ingredient!$A$2:$A$521)</f>
        <v/>
      </c>
      <c r="D86" t="n">
        <v>342</v>
      </c>
      <c r="E86" t="n">
        <v>4</v>
      </c>
      <c r="F86" t="n">
        <v>13</v>
      </c>
      <c r="G86" t="n">
        <v>64</v>
      </c>
      <c r="H86" t="n">
        <v>8</v>
      </c>
      <c r="I86" t="n">
        <v>4</v>
      </c>
      <c r="J86" t="n">
        <v>0.01</v>
      </c>
      <c r="K86" t="n">
        <v>11</v>
      </c>
      <c r="L86" t="n">
        <v>0</v>
      </c>
      <c r="M86" t="n">
        <v>0</v>
      </c>
      <c r="N86" t="n">
        <v>0</v>
      </c>
      <c r="O86" t="n">
        <v>0</v>
      </c>
      <c r="P86" t="n">
        <v>510</v>
      </c>
      <c r="Q86" t="n">
        <v>26</v>
      </c>
      <c r="R86" t="n">
        <v>1500</v>
      </c>
      <c r="S86" t="n">
        <v>4500</v>
      </c>
      <c r="T86" t="n">
        <v>1200</v>
      </c>
      <c r="U86" t="n">
        <v>175</v>
      </c>
      <c r="V86" t="n">
        <v>6</v>
      </c>
      <c r="W86" t="n">
        <v>50</v>
      </c>
      <c r="X86" t="n">
        <v>0</v>
      </c>
      <c r="Y86" t="n">
        <v>0</v>
      </c>
      <c r="Z86" t="n">
        <v>0</v>
      </c>
      <c r="AA86" t="n">
        <v>1400</v>
      </c>
      <c r="AB86" t="n">
        <v>0</v>
      </c>
      <c r="AC86" t="n">
        <v>2</v>
      </c>
      <c r="AD86" t="n">
        <v>407</v>
      </c>
      <c r="AE86" t="n">
        <v>8</v>
      </c>
      <c r="AF86" t="n">
        <v>109</v>
      </c>
      <c r="AG86" t="n">
        <v>286</v>
      </c>
      <c r="AH86" t="n">
        <v>58</v>
      </c>
      <c r="AI86" t="n">
        <v>8</v>
      </c>
      <c r="AJ86" t="n">
        <v>9680</v>
      </c>
      <c r="AK86" t="n">
        <v>3363</v>
      </c>
      <c r="AL86" t="n">
        <v>460</v>
      </c>
      <c r="AM86" t="n">
        <v>3261</v>
      </c>
      <c r="AN86" t="n">
        <v>25</v>
      </c>
      <c r="AO86" t="n">
        <v>1</v>
      </c>
      <c r="AP86" t="n">
        <v>0</v>
      </c>
      <c r="AQ86" t="n">
        <v>0</v>
      </c>
      <c r="AR86" t="n">
        <v>0</v>
      </c>
      <c r="AS86" t="n">
        <v>0</v>
      </c>
      <c r="AT86" t="n">
        <v>180</v>
      </c>
      <c r="AU86" t="n">
        <v>100</v>
      </c>
      <c r="AV86" t="n">
        <v>0</v>
      </c>
      <c r="AW86" t="n">
        <v>280</v>
      </c>
      <c r="AX86" t="n">
        <v>540</v>
      </c>
      <c r="AY86" t="n">
        <v>3040</v>
      </c>
      <c r="AZ86" t="n">
        <v>0</v>
      </c>
      <c r="BA86" t="n">
        <v>3580</v>
      </c>
      <c r="BB86" t="n">
        <v>382</v>
      </c>
      <c r="BC86" t="n">
        <v>0</v>
      </c>
      <c r="BD86" t="n">
        <v>0</v>
      </c>
      <c r="BE86" t="n">
        <v>57000</v>
      </c>
      <c r="BF86" t="n">
        <v>57000</v>
      </c>
      <c r="BG86">
        <f>IF($F86=0,"0",MIN(
BH86/(30*$F86),
BI86/(61*$F86),
BJ86/(48*$F86),
(BK86+BL86)/(23*$F86),
(BM86+BN86)/(41*$F86),
BO86/(25*$F86),
BP86/(6.6*$F86),
BQ86/(40*$F86),
BS86/(16*$F86)
)*100)</f>
        <v/>
      </c>
      <c r="BH86" t="n">
        <v>555</v>
      </c>
      <c r="BI86" t="n">
        <v>1023</v>
      </c>
      <c r="BJ86" t="n">
        <v>353</v>
      </c>
      <c r="BK86" t="n">
        <v>230</v>
      </c>
      <c r="BL86" t="n">
        <v>470</v>
      </c>
      <c r="BM86" t="n">
        <v>760</v>
      </c>
      <c r="BN86" t="n">
        <v>540</v>
      </c>
      <c r="BO86" t="n">
        <v>505</v>
      </c>
      <c r="BP86" t="n">
        <v>180</v>
      </c>
      <c r="BQ86" t="n">
        <v>653</v>
      </c>
      <c r="BR86" t="n">
        <v>700</v>
      </c>
      <c r="BS86" t="n">
        <v>360</v>
      </c>
      <c r="BT86" t="n">
        <v>6328</v>
      </c>
      <c r="BU86" t="n">
        <v>470</v>
      </c>
      <c r="BV86" t="n">
        <v>550</v>
      </c>
      <c r="BW86" t="n">
        <v>5170</v>
      </c>
      <c r="BX86" t="n">
        <v>580</v>
      </c>
      <c r="BY86" t="n">
        <v>1740</v>
      </c>
      <c r="BZ86" t="n">
        <v>740</v>
      </c>
      <c r="CA86" t="n">
        <v>9250</v>
      </c>
      <c r="CB86" t="n">
        <v>125</v>
      </c>
      <c r="CC86" t="n">
        <v>52</v>
      </c>
      <c r="CD86" t="n">
        <v>0</v>
      </c>
      <c r="CE86" t="n">
        <v>1388</v>
      </c>
      <c r="CG86" t="n">
        <v>0</v>
      </c>
      <c r="CH86" t="n">
        <v>0</v>
      </c>
      <c r="CI86" t="n">
        <v>0</v>
      </c>
      <c r="CJ86" t="n">
        <v>0</v>
      </c>
      <c r="CK86" t="n">
        <v>7</v>
      </c>
      <c r="CL86" t="n">
        <v>1</v>
      </c>
      <c r="CM86" t="n">
        <v>0</v>
      </c>
      <c r="CN86" t="n">
        <v>409</v>
      </c>
      <c r="CO86" t="n">
        <v>0</v>
      </c>
      <c r="CP86" t="n">
        <v>28</v>
      </c>
      <c r="CQ86" t="n">
        <v>4</v>
      </c>
      <c r="CR86" t="n">
        <v>4</v>
      </c>
      <c r="CS86" t="n">
        <v>0</v>
      </c>
      <c r="CT86" t="n">
        <v>454</v>
      </c>
      <c r="CU86" t="n">
        <v>0</v>
      </c>
      <c r="CV86" t="n">
        <v>0</v>
      </c>
      <c r="CW86" t="n">
        <v>4</v>
      </c>
      <c r="CX86" t="n">
        <v>0</v>
      </c>
      <c r="CY86" t="n">
        <v>508</v>
      </c>
      <c r="CZ86" t="n">
        <v>21</v>
      </c>
      <c r="DA86" t="n">
        <v>0</v>
      </c>
      <c r="DB86" t="n">
        <v>0</v>
      </c>
      <c r="DC86" t="n">
        <v>533</v>
      </c>
      <c r="DD86" t="n">
        <v>0</v>
      </c>
      <c r="DE86" t="n">
        <v>0</v>
      </c>
      <c r="DF86" t="n">
        <v>1386</v>
      </c>
      <c r="DG86" t="n">
        <v>0</v>
      </c>
      <c r="DH86" t="n">
        <v>0</v>
      </c>
      <c r="DI86" t="n">
        <v>0</v>
      </c>
      <c r="DJ86" t="n">
        <v>2</v>
      </c>
      <c r="DK86" t="n">
        <v>0</v>
      </c>
      <c r="DL86" t="n">
        <v>0</v>
      </c>
      <c r="DM86" t="n">
        <v>0</v>
      </c>
      <c r="DN86" t="n">
        <v>1</v>
      </c>
      <c r="DO86" t="n">
        <v>0</v>
      </c>
      <c r="DP86" t="n">
        <v>0</v>
      </c>
      <c r="DQ86" t="n">
        <v>0</v>
      </c>
      <c r="DR86" t="n">
        <v>0</v>
      </c>
      <c r="DS86" t="n">
        <v>1388</v>
      </c>
      <c r="DT86" t="n">
        <v>2376</v>
      </c>
      <c r="DU86" t="n">
        <v>1002</v>
      </c>
      <c r="DV86" t="n">
        <v>0</v>
      </c>
      <c r="DW86" t="n">
        <v>0</v>
      </c>
      <c r="DX86" t="n">
        <v>0</v>
      </c>
      <c r="DY86" t="n">
        <v>3882</v>
      </c>
      <c r="DZ86" t="n">
        <v>2478</v>
      </c>
      <c r="EA86" t="n">
        <v>496</v>
      </c>
      <c r="EB86" t="n">
        <v>991</v>
      </c>
      <c r="EC86" t="n">
        <v>413</v>
      </c>
      <c r="ED86" t="n">
        <v>1090</v>
      </c>
      <c r="EE86" t="n">
        <v>7290</v>
      </c>
      <c r="EF86" t="n">
        <v>0</v>
      </c>
      <c r="EG86" t="n">
        <v>0</v>
      </c>
      <c r="EH86" t="n">
        <v>0.8</v>
      </c>
      <c r="EI86" t="n">
        <v>7.3</v>
      </c>
      <c r="EJ86" t="n">
        <v>3.6</v>
      </c>
      <c r="EK86" t="n">
        <v>16</v>
      </c>
    </row>
    <row r="87">
      <c r="A87">
        <f>[1]ingredient!B86</f>
        <v/>
      </c>
      <c r="B87" t="inlineStr">
        <is>
          <t>https://www.naehrwertrechner.de/naehrwerte/C139000/Haferdrink/?menge=100</t>
        </is>
      </c>
      <c r="C87" s="7">
        <f>_xlfn.XLOOKUP(A87,[1]ingredient!$B$2:$B$521,[1]ingredient!$A$2:$A$521)</f>
        <v/>
      </c>
      <c r="D87" t="n">
        <v>46</v>
      </c>
      <c r="E87" t="n">
        <v>2</v>
      </c>
      <c r="F87" t="n">
        <v>1</v>
      </c>
      <c r="G87" t="n">
        <v>7</v>
      </c>
      <c r="H87" t="n">
        <v>1</v>
      </c>
      <c r="I87" t="n">
        <v>4</v>
      </c>
      <c r="J87" t="n">
        <v>0.11</v>
      </c>
      <c r="K87" t="n">
        <v>90</v>
      </c>
      <c r="L87" t="n">
        <v>0</v>
      </c>
      <c r="M87" t="n">
        <v>0</v>
      </c>
      <c r="N87" t="n">
        <v>0</v>
      </c>
      <c r="O87" t="n">
        <v>0</v>
      </c>
      <c r="P87" t="n">
        <v>100</v>
      </c>
      <c r="Q87" t="n">
        <v>200</v>
      </c>
      <c r="R87" t="n">
        <v>100</v>
      </c>
      <c r="S87" t="n">
        <v>400</v>
      </c>
      <c r="T87" t="n">
        <v>100</v>
      </c>
      <c r="U87" t="n">
        <v>0</v>
      </c>
      <c r="V87" t="n">
        <v>2</v>
      </c>
      <c r="W87" t="n">
        <v>6</v>
      </c>
      <c r="X87" t="n">
        <v>0.4</v>
      </c>
      <c r="Y87" t="n">
        <v>0</v>
      </c>
      <c r="Z87" t="n">
        <v>1</v>
      </c>
      <c r="AA87" t="n">
        <v>0</v>
      </c>
      <c r="AB87" t="n">
        <v>2</v>
      </c>
      <c r="AC87" t="n">
        <v>40</v>
      </c>
      <c r="AD87" t="n">
        <v>27</v>
      </c>
      <c r="AE87" t="n">
        <v>120</v>
      </c>
      <c r="AF87" t="n">
        <v>14</v>
      </c>
      <c r="AG87" t="n">
        <v>41</v>
      </c>
      <c r="AH87" t="n">
        <v>17</v>
      </c>
      <c r="AI87" t="n">
        <v>70</v>
      </c>
      <c r="AJ87" t="n">
        <v>400</v>
      </c>
      <c r="AK87" t="n">
        <v>300</v>
      </c>
      <c r="AL87" t="n">
        <v>0</v>
      </c>
      <c r="AM87" t="n">
        <v>400</v>
      </c>
      <c r="AN87" t="n">
        <v>0</v>
      </c>
      <c r="AO87" t="n">
        <v>23</v>
      </c>
      <c r="AP87" t="n">
        <v>0</v>
      </c>
      <c r="AQ87" t="n">
        <v>0</v>
      </c>
      <c r="AR87" t="n">
        <v>0</v>
      </c>
      <c r="AS87" t="n">
        <v>0</v>
      </c>
      <c r="AT87" t="n">
        <v>1900</v>
      </c>
      <c r="AU87" t="n">
        <v>100</v>
      </c>
      <c r="AV87" t="n">
        <v>0</v>
      </c>
      <c r="AW87" t="n">
        <v>2000</v>
      </c>
      <c r="AX87" t="n">
        <v>200</v>
      </c>
      <c r="AY87" t="n">
        <v>1900</v>
      </c>
      <c r="AZ87" t="n">
        <v>0</v>
      </c>
      <c r="BA87" t="n">
        <v>2100</v>
      </c>
      <c r="BB87" t="n">
        <v>600</v>
      </c>
      <c r="BC87" t="n">
        <v>28</v>
      </c>
      <c r="BD87" t="n">
        <v>0</v>
      </c>
      <c r="BE87" t="n">
        <v>2000</v>
      </c>
      <c r="BF87" t="n">
        <v>0</v>
      </c>
      <c r="BG87">
        <f>IF($F87=0,"0",MIN(
BH87/(30*$F87),
BI87/(61*$F87),
BJ87/(48*$F87),
(BK87+BL87)/(23*$F87),
(BM87+BN87)/(41*$F87),
BO87/(25*$F87),
BP87/(6.6*$F87),
BQ87/(40*$F87),
BS87/(16*$F87)
)*100)</f>
        <v/>
      </c>
      <c r="BH87" t="n">
        <v>41</v>
      </c>
      <c r="BI87" t="n">
        <v>77</v>
      </c>
      <c r="BJ87" t="n">
        <v>40</v>
      </c>
      <c r="BK87" t="n">
        <v>18</v>
      </c>
      <c r="BL87" t="n">
        <v>34</v>
      </c>
      <c r="BM87" t="n">
        <v>52</v>
      </c>
      <c r="BN87" t="n">
        <v>31</v>
      </c>
      <c r="BO87" t="n">
        <v>36</v>
      </c>
      <c r="BP87" t="n">
        <v>15</v>
      </c>
      <c r="BQ87" t="n">
        <v>54</v>
      </c>
      <c r="BR87" t="n">
        <v>62</v>
      </c>
      <c r="BS87" t="n">
        <v>20</v>
      </c>
      <c r="BT87" t="n">
        <v>480</v>
      </c>
      <c r="BU87" t="n">
        <v>53</v>
      </c>
      <c r="BV87" t="n">
        <v>83</v>
      </c>
      <c r="BW87" t="n">
        <v>217</v>
      </c>
      <c r="BX87" t="n">
        <v>53</v>
      </c>
      <c r="BY87" t="n">
        <v>59</v>
      </c>
      <c r="BZ87" t="n">
        <v>54</v>
      </c>
      <c r="CA87" t="n">
        <v>520</v>
      </c>
      <c r="CB87" t="n">
        <v>15</v>
      </c>
      <c r="CC87" t="n">
        <v>6</v>
      </c>
      <c r="CD87" t="n">
        <v>100</v>
      </c>
      <c r="CE87" t="n">
        <v>401</v>
      </c>
      <c r="CF87" t="n">
        <v>4.01</v>
      </c>
      <c r="CG87" t="n">
        <v>0</v>
      </c>
      <c r="CH87" t="n">
        <v>0</v>
      </c>
      <c r="CI87" t="n">
        <v>0</v>
      </c>
      <c r="CJ87" t="n">
        <v>0</v>
      </c>
      <c r="CK87" t="n">
        <v>1</v>
      </c>
      <c r="CL87" t="n">
        <v>2</v>
      </c>
      <c r="CM87" t="n">
        <v>0.3</v>
      </c>
      <c r="CN87" t="n">
        <v>160</v>
      </c>
      <c r="CO87" t="n">
        <v>1</v>
      </c>
      <c r="CP87" t="n">
        <v>27</v>
      </c>
      <c r="CQ87" t="n">
        <v>6</v>
      </c>
      <c r="CR87" t="n">
        <v>3</v>
      </c>
      <c r="CS87" t="n">
        <v>1</v>
      </c>
      <c r="CT87" t="n">
        <v>200</v>
      </c>
      <c r="CU87" t="n">
        <v>0</v>
      </c>
      <c r="CV87" t="n">
        <v>0</v>
      </c>
      <c r="CW87" t="n">
        <v>5</v>
      </c>
      <c r="CX87" t="n">
        <v>0</v>
      </c>
      <c r="CY87" t="n">
        <v>673</v>
      </c>
      <c r="CZ87" t="n">
        <v>28</v>
      </c>
      <c r="DA87" t="n">
        <v>3</v>
      </c>
      <c r="DB87" t="n">
        <v>1</v>
      </c>
      <c r="DC87" t="n">
        <v>700</v>
      </c>
      <c r="DD87" t="n">
        <v>0</v>
      </c>
      <c r="DE87" t="n">
        <v>0</v>
      </c>
      <c r="DF87" t="n">
        <v>400</v>
      </c>
      <c r="DG87" t="n">
        <v>100</v>
      </c>
      <c r="DH87" t="n">
        <v>0</v>
      </c>
      <c r="DI87" t="n">
        <v>0</v>
      </c>
      <c r="DJ87" t="n">
        <v>0.1</v>
      </c>
      <c r="DK87" t="n">
        <v>0</v>
      </c>
      <c r="DL87" t="n">
        <v>1</v>
      </c>
      <c r="DM87" t="n">
        <v>0</v>
      </c>
      <c r="DN87" t="n">
        <v>0</v>
      </c>
      <c r="DO87" t="n">
        <v>0</v>
      </c>
      <c r="DP87" t="n">
        <v>0</v>
      </c>
      <c r="DQ87" t="n">
        <v>0</v>
      </c>
      <c r="DR87" t="n">
        <v>0</v>
      </c>
      <c r="DS87" t="n">
        <v>500</v>
      </c>
      <c r="DT87" t="n">
        <v>1418</v>
      </c>
      <c r="DU87" t="n">
        <v>82</v>
      </c>
      <c r="DV87" t="n">
        <v>0</v>
      </c>
      <c r="DW87" t="n">
        <v>0</v>
      </c>
      <c r="DX87" t="n">
        <v>0</v>
      </c>
      <c r="DY87" t="n">
        <v>256</v>
      </c>
      <c r="DZ87" t="n">
        <v>360</v>
      </c>
      <c r="EA87" t="n">
        <v>40</v>
      </c>
      <c r="EB87" t="n">
        <v>96</v>
      </c>
      <c r="EC87" t="n">
        <v>48</v>
      </c>
      <c r="ED87" t="n">
        <v>240</v>
      </c>
      <c r="EE87" t="n">
        <v>560</v>
      </c>
      <c r="EF87" t="n">
        <v>0</v>
      </c>
      <c r="EG87" t="n">
        <v>20</v>
      </c>
      <c r="EH87" t="n">
        <v>0.3</v>
      </c>
      <c r="EI87" t="n">
        <v>0.6</v>
      </c>
      <c r="EJ87" t="n">
        <v>1.5</v>
      </c>
      <c r="EK87" t="n">
        <v>1</v>
      </c>
    </row>
    <row r="88">
      <c r="A88">
        <f>[1]ingredient!B87</f>
        <v/>
      </c>
      <c r="B88" t="inlineStr">
        <is>
          <t>https://www.naehrwertrechner.de/naehrwerte/E520011/Vollkornteigwaren+eifrei/?menge=100</t>
        </is>
      </c>
      <c r="C88" s="7">
        <f>_xlfn.XLOOKUP(A88,[1]ingredient!$B$2:$B$521,[1]ingredient!$A$2:$A$521)</f>
        <v/>
      </c>
      <c r="D88" t="n">
        <v>337</v>
      </c>
      <c r="E88" t="n">
        <v>2.1</v>
      </c>
      <c r="F88" t="n">
        <v>13</v>
      </c>
      <c r="G88" t="n">
        <v>63</v>
      </c>
      <c r="H88" t="n">
        <v>12</v>
      </c>
      <c r="I88" t="n">
        <v>2</v>
      </c>
      <c r="J88" t="n">
        <v>0.001</v>
      </c>
      <c r="K88" t="n">
        <v>11</v>
      </c>
      <c r="L88" t="n">
        <v>0</v>
      </c>
      <c r="M88" t="n">
        <v>0</v>
      </c>
      <c r="N88" t="n">
        <v>0</v>
      </c>
      <c r="O88" t="n">
        <v>0</v>
      </c>
      <c r="P88" t="n">
        <v>670</v>
      </c>
      <c r="Q88" t="n">
        <v>110</v>
      </c>
      <c r="R88" t="n">
        <v>3100</v>
      </c>
      <c r="S88" t="n">
        <v>5333</v>
      </c>
      <c r="T88" t="n">
        <v>800</v>
      </c>
      <c r="U88" t="n">
        <v>200</v>
      </c>
      <c r="V88" t="n">
        <v>1</v>
      </c>
      <c r="W88" t="n">
        <v>40</v>
      </c>
      <c r="X88" t="n">
        <v>0</v>
      </c>
      <c r="Y88" t="n">
        <v>0</v>
      </c>
      <c r="Z88" t="n">
        <v>0</v>
      </c>
      <c r="AA88" t="n">
        <v>250</v>
      </c>
      <c r="AB88" t="n">
        <v>0</v>
      </c>
      <c r="AC88" t="n">
        <v>5</v>
      </c>
      <c r="AD88" t="n">
        <v>390</v>
      </c>
      <c r="AE88" t="n">
        <v>34</v>
      </c>
      <c r="AF88" t="n">
        <v>120</v>
      </c>
      <c r="AG88" t="n">
        <v>370</v>
      </c>
      <c r="AH88" t="n">
        <v>190</v>
      </c>
      <c r="AI88" t="n">
        <v>22</v>
      </c>
      <c r="AJ88" t="n">
        <v>3900</v>
      </c>
      <c r="AK88" t="n">
        <v>3000</v>
      </c>
      <c r="AL88" t="n">
        <v>510</v>
      </c>
      <c r="AM88" t="n">
        <v>264</v>
      </c>
      <c r="AN88" t="n">
        <v>40</v>
      </c>
      <c r="AO88" t="n">
        <v>2</v>
      </c>
      <c r="AP88" t="n">
        <v>0</v>
      </c>
      <c r="AQ88" t="n">
        <v>0</v>
      </c>
      <c r="AR88" t="n">
        <v>0</v>
      </c>
      <c r="AS88" t="n">
        <v>0</v>
      </c>
      <c r="AT88" t="n">
        <v>61</v>
      </c>
      <c r="AU88" t="n">
        <v>61</v>
      </c>
      <c r="AV88" t="n">
        <v>0</v>
      </c>
      <c r="AW88" t="n">
        <v>122</v>
      </c>
      <c r="AX88" t="n">
        <v>606</v>
      </c>
      <c r="AY88" t="n">
        <v>0</v>
      </c>
      <c r="AZ88" t="n">
        <v>0</v>
      </c>
      <c r="BA88" t="n">
        <v>606</v>
      </c>
      <c r="BB88" t="n">
        <v>364</v>
      </c>
      <c r="BC88" t="n">
        <v>0</v>
      </c>
      <c r="BD88" t="n">
        <v>0</v>
      </c>
      <c r="BE88" t="n">
        <v>59508</v>
      </c>
      <c r="BF88" t="n">
        <v>59508</v>
      </c>
      <c r="BG88">
        <f>IF($F88=0,"0",MIN(
BH88/(30*$F88),
BI88/(61*$F88),
BJ88/(48*$F88),
(BK88+BL88)/(23*$F88),
(BM88+BN88)/(41*$F88),
BO88/(25*$F88),
BP88/(6.6*$F88),
BQ88/(40*$F88),
BS88/(16*$F88)
)*100)</f>
        <v/>
      </c>
      <c r="BH88" t="n">
        <v>523</v>
      </c>
      <c r="BI88" t="n">
        <v>898</v>
      </c>
      <c r="BJ88" t="n">
        <v>362</v>
      </c>
      <c r="BK88" t="n">
        <v>201</v>
      </c>
      <c r="BL88" t="n">
        <v>268</v>
      </c>
      <c r="BM88" t="n">
        <v>616</v>
      </c>
      <c r="BN88" t="n">
        <v>402</v>
      </c>
      <c r="BO88" t="n">
        <v>389</v>
      </c>
      <c r="BP88" t="n">
        <v>134</v>
      </c>
      <c r="BQ88" t="n">
        <v>603</v>
      </c>
      <c r="BR88" t="n">
        <v>603</v>
      </c>
      <c r="BS88" t="n">
        <v>255</v>
      </c>
      <c r="BT88" t="n">
        <v>5254</v>
      </c>
      <c r="BU88" t="n">
        <v>469</v>
      </c>
      <c r="BV88" t="n">
        <v>657</v>
      </c>
      <c r="BW88" t="n">
        <v>4059</v>
      </c>
      <c r="BX88" t="n">
        <v>616</v>
      </c>
      <c r="BY88" t="n">
        <v>1528</v>
      </c>
      <c r="BZ88" t="n">
        <v>683</v>
      </c>
      <c r="CA88" t="n">
        <v>8012</v>
      </c>
      <c r="CB88" t="n">
        <v>80</v>
      </c>
      <c r="CC88" t="n">
        <v>33</v>
      </c>
      <c r="CD88" t="n">
        <v>72</v>
      </c>
      <c r="CE88" t="n">
        <v>1073</v>
      </c>
      <c r="CF88" t="n">
        <v>14.9</v>
      </c>
      <c r="CG88" t="n">
        <v>0</v>
      </c>
      <c r="CH88" t="n">
        <v>0</v>
      </c>
      <c r="CI88" t="n">
        <v>0</v>
      </c>
      <c r="CJ88" t="n">
        <v>0</v>
      </c>
      <c r="CK88" t="n">
        <v>2</v>
      </c>
      <c r="CL88" t="n">
        <v>4</v>
      </c>
      <c r="CM88" t="n">
        <v>2</v>
      </c>
      <c r="CN88" t="n">
        <v>324</v>
      </c>
      <c r="CO88" t="n">
        <v>0</v>
      </c>
      <c r="CP88" t="n">
        <v>18</v>
      </c>
      <c r="CQ88" t="n">
        <v>14</v>
      </c>
      <c r="CR88" t="n">
        <v>0</v>
      </c>
      <c r="CS88" t="n">
        <v>0</v>
      </c>
      <c r="CT88" t="n">
        <v>364</v>
      </c>
      <c r="CU88" t="n">
        <v>0</v>
      </c>
      <c r="CV88" t="n">
        <v>0</v>
      </c>
      <c r="CW88" t="n">
        <v>9</v>
      </c>
      <c r="CX88" t="n">
        <v>0</v>
      </c>
      <c r="CY88" t="n">
        <v>275</v>
      </c>
      <c r="CZ88" t="n">
        <v>7</v>
      </c>
      <c r="DA88" t="n">
        <v>0</v>
      </c>
      <c r="DB88" t="n">
        <v>0</v>
      </c>
      <c r="DC88" t="n">
        <v>291</v>
      </c>
      <c r="DD88" t="n">
        <v>0</v>
      </c>
      <c r="DE88" t="n">
        <v>0</v>
      </c>
      <c r="DF88" t="n">
        <v>1069</v>
      </c>
      <c r="DG88" t="n">
        <v>72</v>
      </c>
      <c r="DH88" t="n">
        <v>0</v>
      </c>
      <c r="DI88" t="n">
        <v>0</v>
      </c>
      <c r="DJ88" t="n">
        <v>0</v>
      </c>
      <c r="DK88" t="n">
        <v>0</v>
      </c>
      <c r="DL88" t="n">
        <v>4</v>
      </c>
      <c r="DM88" t="n">
        <v>0</v>
      </c>
      <c r="DN88" t="n">
        <v>0</v>
      </c>
      <c r="DO88" t="n">
        <v>0</v>
      </c>
      <c r="DP88" t="n">
        <v>0</v>
      </c>
      <c r="DQ88" t="n">
        <v>0</v>
      </c>
      <c r="DR88" t="n">
        <v>0</v>
      </c>
      <c r="DS88" t="n">
        <v>1145</v>
      </c>
      <c r="DT88" t="n">
        <v>1800</v>
      </c>
      <c r="DU88" t="n">
        <v>700</v>
      </c>
      <c r="DV88" t="n">
        <v>0</v>
      </c>
      <c r="DW88" t="n">
        <v>0</v>
      </c>
      <c r="DX88" t="n">
        <v>0</v>
      </c>
      <c r="DY88" t="n">
        <v>4600</v>
      </c>
      <c r="DZ88" t="n">
        <v>3450</v>
      </c>
      <c r="EA88" t="n">
        <v>805</v>
      </c>
      <c r="EB88" t="n">
        <v>2070</v>
      </c>
      <c r="EC88" t="n">
        <v>575</v>
      </c>
      <c r="ED88" t="n">
        <v>2875</v>
      </c>
      <c r="EE88" t="n">
        <v>8625</v>
      </c>
      <c r="EF88" t="n">
        <v>0</v>
      </c>
      <c r="EG88" t="n">
        <v>0</v>
      </c>
      <c r="EH88" t="n">
        <v>1.5</v>
      </c>
      <c r="EI88" t="n">
        <v>8.6</v>
      </c>
      <c r="EJ88" t="n">
        <v>2.5</v>
      </c>
      <c r="EK88" t="n">
        <v>13.5</v>
      </c>
    </row>
    <row r="89">
      <c r="A89">
        <f>[1]ingredient!B88</f>
        <v/>
      </c>
      <c r="B89" t="inlineStr">
        <is>
          <t>https://www.naehrwertrechner.de/naehrwerte/E520011/Vollkornteigwaren+eifrei/?menge=100</t>
        </is>
      </c>
      <c r="C89" s="7">
        <f>_xlfn.XLOOKUP(A89,[1]ingredient!$B$2:$B$521,[1]ingredient!$A$2:$A$521)</f>
        <v/>
      </c>
      <c r="D89" t="n">
        <v>337</v>
      </c>
      <c r="E89" t="n">
        <v>2.1</v>
      </c>
      <c r="F89" t="n">
        <v>13</v>
      </c>
      <c r="G89" t="n">
        <v>63</v>
      </c>
      <c r="H89" t="n">
        <v>12</v>
      </c>
      <c r="I89" t="n">
        <v>2</v>
      </c>
      <c r="J89" t="n">
        <v>0.001</v>
      </c>
      <c r="K89" t="n">
        <v>11</v>
      </c>
      <c r="L89" t="n">
        <v>0</v>
      </c>
      <c r="M89" t="n">
        <v>0</v>
      </c>
      <c r="N89" t="n">
        <v>0</v>
      </c>
      <c r="O89" t="n">
        <v>0</v>
      </c>
      <c r="P89" t="n">
        <v>670</v>
      </c>
      <c r="Q89" t="n">
        <v>110</v>
      </c>
      <c r="R89" t="n">
        <v>3100</v>
      </c>
      <c r="S89" t="n">
        <v>5333</v>
      </c>
      <c r="T89" t="n">
        <v>800</v>
      </c>
      <c r="U89" t="n">
        <v>200</v>
      </c>
      <c r="V89" t="n">
        <v>1</v>
      </c>
      <c r="W89" t="n">
        <v>40</v>
      </c>
      <c r="X89" t="n">
        <v>0</v>
      </c>
      <c r="Y89" t="n">
        <v>0</v>
      </c>
      <c r="Z89" t="n">
        <v>0</v>
      </c>
      <c r="AA89" t="n">
        <v>250</v>
      </c>
      <c r="AB89" t="n">
        <v>0</v>
      </c>
      <c r="AC89" t="n">
        <v>5</v>
      </c>
      <c r="AD89" t="n">
        <v>390</v>
      </c>
      <c r="AE89" t="n">
        <v>34</v>
      </c>
      <c r="AF89" t="n">
        <v>120</v>
      </c>
      <c r="AG89" t="n">
        <v>370</v>
      </c>
      <c r="AH89" t="n">
        <v>190</v>
      </c>
      <c r="AI89" t="n">
        <v>22</v>
      </c>
      <c r="AJ89" t="n">
        <v>3900</v>
      </c>
      <c r="AK89" t="n">
        <v>3000</v>
      </c>
      <c r="AL89" t="n">
        <v>510</v>
      </c>
      <c r="AM89" t="n">
        <v>264</v>
      </c>
      <c r="AN89" t="n">
        <v>40</v>
      </c>
      <c r="AO89" t="n">
        <v>2</v>
      </c>
      <c r="AP89" t="n">
        <v>0</v>
      </c>
      <c r="AQ89" t="n">
        <v>0</v>
      </c>
      <c r="AR89" t="n">
        <v>0</v>
      </c>
      <c r="AS89" t="n">
        <v>0</v>
      </c>
      <c r="AT89" t="n">
        <v>61</v>
      </c>
      <c r="AU89" t="n">
        <v>61</v>
      </c>
      <c r="AV89" t="n">
        <v>0</v>
      </c>
      <c r="AW89" t="n">
        <v>122</v>
      </c>
      <c r="AX89" t="n">
        <v>606</v>
      </c>
      <c r="AY89" t="n">
        <v>0</v>
      </c>
      <c r="AZ89" t="n">
        <v>0</v>
      </c>
      <c r="BA89" t="n">
        <v>606</v>
      </c>
      <c r="BB89" t="n">
        <v>364</v>
      </c>
      <c r="BC89" t="n">
        <v>0</v>
      </c>
      <c r="BD89" t="n">
        <v>0</v>
      </c>
      <c r="BE89" t="n">
        <v>59508</v>
      </c>
      <c r="BF89" t="n">
        <v>59508</v>
      </c>
      <c r="BG89">
        <f>IF($F89=0,"0",MIN(
BH89/(30*$F89),
BI89/(61*$F89),
BJ89/(48*$F89),
(BK89+BL89)/(23*$F89),
(BM89+BN89)/(41*$F89),
BO89/(25*$F89),
BP89/(6.6*$F89),
BQ89/(40*$F89),
BS89/(16*$F89)
)*100)</f>
        <v/>
      </c>
      <c r="BH89" t="n">
        <v>523</v>
      </c>
      <c r="BI89" t="n">
        <v>898</v>
      </c>
      <c r="BJ89" t="n">
        <v>362</v>
      </c>
      <c r="BK89" t="n">
        <v>201</v>
      </c>
      <c r="BL89" t="n">
        <v>268</v>
      </c>
      <c r="BM89" t="n">
        <v>616</v>
      </c>
      <c r="BN89" t="n">
        <v>402</v>
      </c>
      <c r="BO89" t="n">
        <v>389</v>
      </c>
      <c r="BP89" t="n">
        <v>134</v>
      </c>
      <c r="BQ89" t="n">
        <v>603</v>
      </c>
      <c r="BR89" t="n">
        <v>603</v>
      </c>
      <c r="BS89" t="n">
        <v>255</v>
      </c>
      <c r="BT89" t="n">
        <v>5254</v>
      </c>
      <c r="BU89" t="n">
        <v>469</v>
      </c>
      <c r="BV89" t="n">
        <v>657</v>
      </c>
      <c r="BW89" t="n">
        <v>4059</v>
      </c>
      <c r="BX89" t="n">
        <v>616</v>
      </c>
      <c r="BY89" t="n">
        <v>1528</v>
      </c>
      <c r="BZ89" t="n">
        <v>683</v>
      </c>
      <c r="CA89" t="n">
        <v>8012</v>
      </c>
      <c r="CB89" t="n">
        <v>80</v>
      </c>
      <c r="CC89" t="n">
        <v>33</v>
      </c>
      <c r="CD89" t="n">
        <v>72</v>
      </c>
      <c r="CE89" t="n">
        <v>1073</v>
      </c>
      <c r="CF89" t="n">
        <v>14.9</v>
      </c>
      <c r="CG89" t="n">
        <v>0</v>
      </c>
      <c r="CH89" t="n">
        <v>0</v>
      </c>
      <c r="CI89" t="n">
        <v>0</v>
      </c>
      <c r="CJ89" t="n">
        <v>0</v>
      </c>
      <c r="CK89" t="n">
        <v>2</v>
      </c>
      <c r="CL89" t="n">
        <v>4</v>
      </c>
      <c r="CM89" t="n">
        <v>2</v>
      </c>
      <c r="CN89" t="n">
        <v>324</v>
      </c>
      <c r="CO89" t="n">
        <v>0</v>
      </c>
      <c r="CP89" t="n">
        <v>18</v>
      </c>
      <c r="CQ89" t="n">
        <v>14</v>
      </c>
      <c r="CR89" t="n">
        <v>0</v>
      </c>
      <c r="CS89" t="n">
        <v>0</v>
      </c>
      <c r="CT89" t="n">
        <v>364</v>
      </c>
      <c r="CU89" t="n">
        <v>0</v>
      </c>
      <c r="CV89" t="n">
        <v>0</v>
      </c>
      <c r="CW89" t="n">
        <v>9</v>
      </c>
      <c r="CX89" t="n">
        <v>0</v>
      </c>
      <c r="CY89" t="n">
        <v>275</v>
      </c>
      <c r="CZ89" t="n">
        <v>7</v>
      </c>
      <c r="DA89" t="n">
        <v>0</v>
      </c>
      <c r="DB89" t="n">
        <v>0</v>
      </c>
      <c r="DC89" t="n">
        <v>291</v>
      </c>
      <c r="DD89" t="n">
        <v>0</v>
      </c>
      <c r="DE89" t="n">
        <v>0</v>
      </c>
      <c r="DF89" t="n">
        <v>1069</v>
      </c>
      <c r="DG89" t="n">
        <v>72</v>
      </c>
      <c r="DH89" t="n">
        <v>0</v>
      </c>
      <c r="DI89" t="n">
        <v>0</v>
      </c>
      <c r="DJ89" t="n">
        <v>0</v>
      </c>
      <c r="DK89" t="n">
        <v>0</v>
      </c>
      <c r="DL89" t="n">
        <v>4</v>
      </c>
      <c r="DM89" t="n">
        <v>0</v>
      </c>
      <c r="DN89" t="n">
        <v>0</v>
      </c>
      <c r="DO89" t="n">
        <v>0</v>
      </c>
      <c r="DP89" t="n">
        <v>0</v>
      </c>
      <c r="DQ89" t="n">
        <v>0</v>
      </c>
      <c r="DR89" t="n">
        <v>0</v>
      </c>
      <c r="DS89" t="n">
        <v>1145</v>
      </c>
      <c r="DT89" t="n">
        <v>1800</v>
      </c>
      <c r="DU89" t="n">
        <v>700</v>
      </c>
      <c r="DV89" t="n">
        <v>0</v>
      </c>
      <c r="DW89" t="n">
        <v>0</v>
      </c>
      <c r="DX89" t="n">
        <v>0</v>
      </c>
      <c r="DY89" t="n">
        <v>4600</v>
      </c>
      <c r="DZ89" t="n">
        <v>3450</v>
      </c>
      <c r="EA89" t="n">
        <v>805</v>
      </c>
      <c r="EB89" t="n">
        <v>2070</v>
      </c>
      <c r="EC89" t="n">
        <v>575</v>
      </c>
      <c r="ED89" t="n">
        <v>2875</v>
      </c>
      <c r="EE89" t="n">
        <v>8625</v>
      </c>
      <c r="EF89" t="n">
        <v>0</v>
      </c>
      <c r="EG89" t="n">
        <v>0</v>
      </c>
      <c r="EH89" t="n">
        <v>1.5</v>
      </c>
      <c r="EI89" t="n">
        <v>8.6</v>
      </c>
      <c r="EJ89" t="n">
        <v>2.5</v>
      </c>
      <c r="EK89" t="n">
        <v>13.5</v>
      </c>
    </row>
    <row r="90">
      <c r="A90">
        <f>[1]ingredient!B89</f>
        <v/>
      </c>
      <c r="B90" t="inlineStr">
        <is>
          <t>https://www.naehrwertrechner.de/naehrwerte/E520011/Vollkornteigwaren+eifrei/?menge=100</t>
        </is>
      </c>
      <c r="C90" s="7">
        <f>_xlfn.XLOOKUP(A90,[1]ingredient!$B$2:$B$521,[1]ingredient!$A$2:$A$521)</f>
        <v/>
      </c>
      <c r="D90" t="n">
        <v>337</v>
      </c>
      <c r="E90" t="n">
        <v>2.1</v>
      </c>
      <c r="F90" t="n">
        <v>13</v>
      </c>
      <c r="G90" t="n">
        <v>63</v>
      </c>
      <c r="H90" t="n">
        <v>12</v>
      </c>
      <c r="I90" t="n">
        <v>2</v>
      </c>
      <c r="J90" t="n">
        <v>0.001</v>
      </c>
      <c r="K90" t="n">
        <v>11</v>
      </c>
      <c r="L90" t="n">
        <v>0</v>
      </c>
      <c r="M90" t="n">
        <v>0</v>
      </c>
      <c r="N90" t="n">
        <v>0</v>
      </c>
      <c r="O90" t="n">
        <v>0</v>
      </c>
      <c r="P90" t="n">
        <v>670</v>
      </c>
      <c r="Q90" t="n">
        <v>110</v>
      </c>
      <c r="R90" t="n">
        <v>3100</v>
      </c>
      <c r="S90" t="n">
        <v>5333</v>
      </c>
      <c r="T90" t="n">
        <v>800</v>
      </c>
      <c r="U90" t="n">
        <v>200</v>
      </c>
      <c r="V90" t="n">
        <v>1</v>
      </c>
      <c r="W90" t="n">
        <v>40</v>
      </c>
      <c r="X90" t="n">
        <v>0</v>
      </c>
      <c r="Y90" t="n">
        <v>0</v>
      </c>
      <c r="Z90" t="n">
        <v>0</v>
      </c>
      <c r="AA90" t="n">
        <v>250</v>
      </c>
      <c r="AB90" t="n">
        <v>0</v>
      </c>
      <c r="AC90" t="n">
        <v>5</v>
      </c>
      <c r="AD90" t="n">
        <v>390</v>
      </c>
      <c r="AE90" t="n">
        <v>34</v>
      </c>
      <c r="AF90" t="n">
        <v>120</v>
      </c>
      <c r="AG90" t="n">
        <v>370</v>
      </c>
      <c r="AH90" t="n">
        <v>190</v>
      </c>
      <c r="AI90" t="n">
        <v>22</v>
      </c>
      <c r="AJ90" t="n">
        <v>3900</v>
      </c>
      <c r="AK90" t="n">
        <v>3000</v>
      </c>
      <c r="AL90" t="n">
        <v>510</v>
      </c>
      <c r="AM90" t="n">
        <v>264</v>
      </c>
      <c r="AN90" t="n">
        <v>40</v>
      </c>
      <c r="AO90" t="n">
        <v>2</v>
      </c>
      <c r="AP90" t="n">
        <v>0</v>
      </c>
      <c r="AQ90" t="n">
        <v>0</v>
      </c>
      <c r="AR90" t="n">
        <v>0</v>
      </c>
      <c r="AS90" t="n">
        <v>0</v>
      </c>
      <c r="AT90" t="n">
        <v>61</v>
      </c>
      <c r="AU90" t="n">
        <v>61</v>
      </c>
      <c r="AV90" t="n">
        <v>0</v>
      </c>
      <c r="AW90" t="n">
        <v>122</v>
      </c>
      <c r="AX90" t="n">
        <v>606</v>
      </c>
      <c r="AY90" t="n">
        <v>0</v>
      </c>
      <c r="AZ90" t="n">
        <v>0</v>
      </c>
      <c r="BA90" t="n">
        <v>606</v>
      </c>
      <c r="BB90" t="n">
        <v>364</v>
      </c>
      <c r="BC90" t="n">
        <v>0</v>
      </c>
      <c r="BD90" t="n">
        <v>0</v>
      </c>
      <c r="BE90" t="n">
        <v>59508</v>
      </c>
      <c r="BF90" t="n">
        <v>59508</v>
      </c>
      <c r="BG90">
        <f>IF($F90=0,"0",MIN(
BH90/(30*$F90),
BI90/(61*$F90),
BJ90/(48*$F90),
(BK90+BL90)/(23*$F90),
(BM90+BN90)/(41*$F90),
BO90/(25*$F90),
BP90/(6.6*$F90),
BQ90/(40*$F90),
BS90/(16*$F90)
)*100)</f>
        <v/>
      </c>
      <c r="BH90" t="n">
        <v>523</v>
      </c>
      <c r="BI90" t="n">
        <v>898</v>
      </c>
      <c r="BJ90" t="n">
        <v>362</v>
      </c>
      <c r="BK90" t="n">
        <v>201</v>
      </c>
      <c r="BL90" t="n">
        <v>268</v>
      </c>
      <c r="BM90" t="n">
        <v>616</v>
      </c>
      <c r="BN90" t="n">
        <v>402</v>
      </c>
      <c r="BO90" t="n">
        <v>389</v>
      </c>
      <c r="BP90" t="n">
        <v>134</v>
      </c>
      <c r="BQ90" t="n">
        <v>603</v>
      </c>
      <c r="BR90" t="n">
        <v>603</v>
      </c>
      <c r="BS90" t="n">
        <v>255</v>
      </c>
      <c r="BT90" t="n">
        <v>5254</v>
      </c>
      <c r="BU90" t="n">
        <v>469</v>
      </c>
      <c r="BV90" t="n">
        <v>657</v>
      </c>
      <c r="BW90" t="n">
        <v>4059</v>
      </c>
      <c r="BX90" t="n">
        <v>616</v>
      </c>
      <c r="BY90" t="n">
        <v>1528</v>
      </c>
      <c r="BZ90" t="n">
        <v>683</v>
      </c>
      <c r="CA90" t="n">
        <v>8012</v>
      </c>
      <c r="CB90" t="n">
        <v>80</v>
      </c>
      <c r="CC90" t="n">
        <v>33</v>
      </c>
      <c r="CD90" t="n">
        <v>72</v>
      </c>
      <c r="CE90" t="n">
        <v>1073</v>
      </c>
      <c r="CF90" t="n">
        <v>14.9</v>
      </c>
      <c r="CG90" t="n">
        <v>0</v>
      </c>
      <c r="CH90" t="n">
        <v>0</v>
      </c>
      <c r="CI90" t="n">
        <v>0</v>
      </c>
      <c r="CJ90" t="n">
        <v>0</v>
      </c>
      <c r="CK90" t="n">
        <v>2</v>
      </c>
      <c r="CL90" t="n">
        <v>4</v>
      </c>
      <c r="CM90" t="n">
        <v>2</v>
      </c>
      <c r="CN90" t="n">
        <v>324</v>
      </c>
      <c r="CO90" t="n">
        <v>0</v>
      </c>
      <c r="CP90" t="n">
        <v>18</v>
      </c>
      <c r="CQ90" t="n">
        <v>14</v>
      </c>
      <c r="CR90" t="n">
        <v>0</v>
      </c>
      <c r="CS90" t="n">
        <v>0</v>
      </c>
      <c r="CT90" t="n">
        <v>364</v>
      </c>
      <c r="CU90" t="n">
        <v>0</v>
      </c>
      <c r="CV90" t="n">
        <v>0</v>
      </c>
      <c r="CW90" t="n">
        <v>9</v>
      </c>
      <c r="CX90" t="n">
        <v>0</v>
      </c>
      <c r="CY90" t="n">
        <v>275</v>
      </c>
      <c r="CZ90" t="n">
        <v>7</v>
      </c>
      <c r="DA90" t="n">
        <v>0</v>
      </c>
      <c r="DB90" t="n">
        <v>0</v>
      </c>
      <c r="DC90" t="n">
        <v>291</v>
      </c>
      <c r="DD90" t="n">
        <v>0</v>
      </c>
      <c r="DE90" t="n">
        <v>0</v>
      </c>
      <c r="DF90" t="n">
        <v>1069</v>
      </c>
      <c r="DG90" t="n">
        <v>72</v>
      </c>
      <c r="DH90" t="n">
        <v>0</v>
      </c>
      <c r="DI90" t="n">
        <v>0</v>
      </c>
      <c r="DJ90" t="n">
        <v>0</v>
      </c>
      <c r="DK90" t="n">
        <v>0</v>
      </c>
      <c r="DL90" t="n">
        <v>4</v>
      </c>
      <c r="DM90" t="n">
        <v>0</v>
      </c>
      <c r="DN90" t="n">
        <v>0</v>
      </c>
      <c r="DO90" t="n">
        <v>0</v>
      </c>
      <c r="DP90" t="n">
        <v>0</v>
      </c>
      <c r="DQ90" t="n">
        <v>0</v>
      </c>
      <c r="DR90" t="n">
        <v>0</v>
      </c>
      <c r="DS90" t="n">
        <v>1145</v>
      </c>
      <c r="DT90" t="n">
        <v>1800</v>
      </c>
      <c r="DU90" t="n">
        <v>700</v>
      </c>
      <c r="DV90" t="n">
        <v>0</v>
      </c>
      <c r="DW90" t="n">
        <v>0</v>
      </c>
      <c r="DX90" t="n">
        <v>0</v>
      </c>
      <c r="DY90" t="n">
        <v>4600</v>
      </c>
      <c r="DZ90" t="n">
        <v>3450</v>
      </c>
      <c r="EA90" t="n">
        <v>805</v>
      </c>
      <c r="EB90" t="n">
        <v>2070</v>
      </c>
      <c r="EC90" t="n">
        <v>575</v>
      </c>
      <c r="ED90" t="n">
        <v>2875</v>
      </c>
      <c r="EE90" t="n">
        <v>8625</v>
      </c>
      <c r="EF90" t="n">
        <v>0</v>
      </c>
      <c r="EG90" t="n">
        <v>0</v>
      </c>
      <c r="EH90" t="n">
        <v>1.5</v>
      </c>
      <c r="EI90" t="n">
        <v>8.6</v>
      </c>
      <c r="EJ90" t="n">
        <v>2.5</v>
      </c>
      <c r="EK90" t="n">
        <v>13.5</v>
      </c>
    </row>
    <row r="91">
      <c r="A91">
        <f>[1]ingredient!B90</f>
        <v/>
      </c>
      <c r="B91" t="inlineStr">
        <is>
          <t>https://www.naehrwertrechner.de/naehrwerte/E520011/Vollkornteigwaren+eifrei/?menge=100</t>
        </is>
      </c>
      <c r="C91" s="7">
        <f>_xlfn.XLOOKUP(A91,[1]ingredient!$B$2:$B$521,[1]ingredient!$A$2:$A$521)</f>
        <v/>
      </c>
      <c r="D91" t="n">
        <v>337</v>
      </c>
      <c r="E91" t="n">
        <v>2.1</v>
      </c>
      <c r="F91" t="n">
        <v>13</v>
      </c>
      <c r="G91" t="n">
        <v>63</v>
      </c>
      <c r="H91" t="n">
        <v>12</v>
      </c>
      <c r="I91" t="n">
        <v>2</v>
      </c>
      <c r="J91" t="n">
        <v>0.001</v>
      </c>
      <c r="K91" t="n">
        <v>11</v>
      </c>
      <c r="L91" t="n">
        <v>0</v>
      </c>
      <c r="M91" t="n">
        <v>0</v>
      </c>
      <c r="N91" t="n">
        <v>0</v>
      </c>
      <c r="O91" t="n">
        <v>0</v>
      </c>
      <c r="P91" t="n">
        <v>670</v>
      </c>
      <c r="Q91" t="n">
        <v>110</v>
      </c>
      <c r="R91" t="n">
        <v>3100</v>
      </c>
      <c r="S91" t="n">
        <v>5333</v>
      </c>
      <c r="T91" t="n">
        <v>800</v>
      </c>
      <c r="U91" t="n">
        <v>200</v>
      </c>
      <c r="V91" t="n">
        <v>1</v>
      </c>
      <c r="W91" t="n">
        <v>40</v>
      </c>
      <c r="X91" t="n">
        <v>0</v>
      </c>
      <c r="Y91" t="n">
        <v>0</v>
      </c>
      <c r="Z91" t="n">
        <v>0</v>
      </c>
      <c r="AA91" t="n">
        <v>250</v>
      </c>
      <c r="AB91" t="n">
        <v>0</v>
      </c>
      <c r="AC91" t="n">
        <v>5</v>
      </c>
      <c r="AD91" t="n">
        <v>390</v>
      </c>
      <c r="AE91" t="n">
        <v>34</v>
      </c>
      <c r="AF91" t="n">
        <v>120</v>
      </c>
      <c r="AG91" t="n">
        <v>370</v>
      </c>
      <c r="AH91" t="n">
        <v>190</v>
      </c>
      <c r="AI91" t="n">
        <v>22</v>
      </c>
      <c r="AJ91" t="n">
        <v>3900</v>
      </c>
      <c r="AK91" t="n">
        <v>3000</v>
      </c>
      <c r="AL91" t="n">
        <v>510</v>
      </c>
      <c r="AM91" t="n">
        <v>264</v>
      </c>
      <c r="AN91" t="n">
        <v>40</v>
      </c>
      <c r="AO91" t="n">
        <v>2</v>
      </c>
      <c r="AP91" t="n">
        <v>0</v>
      </c>
      <c r="AQ91" t="n">
        <v>0</v>
      </c>
      <c r="AR91" t="n">
        <v>0</v>
      </c>
      <c r="AS91" t="n">
        <v>0</v>
      </c>
      <c r="AT91" t="n">
        <v>61</v>
      </c>
      <c r="AU91" t="n">
        <v>61</v>
      </c>
      <c r="AV91" t="n">
        <v>0</v>
      </c>
      <c r="AW91" t="n">
        <v>122</v>
      </c>
      <c r="AX91" t="n">
        <v>606</v>
      </c>
      <c r="AY91" t="n">
        <v>0</v>
      </c>
      <c r="AZ91" t="n">
        <v>0</v>
      </c>
      <c r="BA91" t="n">
        <v>606</v>
      </c>
      <c r="BB91" t="n">
        <v>364</v>
      </c>
      <c r="BC91" t="n">
        <v>0</v>
      </c>
      <c r="BD91" t="n">
        <v>0</v>
      </c>
      <c r="BE91" t="n">
        <v>59508</v>
      </c>
      <c r="BF91" t="n">
        <v>59508</v>
      </c>
      <c r="BG91">
        <f>IF($F91=0,"0",MIN(
BH91/(30*$F91),
BI91/(61*$F91),
BJ91/(48*$F91),
(BK91+BL91)/(23*$F91),
(BM91+BN91)/(41*$F91),
BO91/(25*$F91),
BP91/(6.6*$F91),
BQ91/(40*$F91),
BS91/(16*$F91)
)*100)</f>
        <v/>
      </c>
      <c r="BH91" t="n">
        <v>523</v>
      </c>
      <c r="BI91" t="n">
        <v>898</v>
      </c>
      <c r="BJ91" t="n">
        <v>362</v>
      </c>
      <c r="BK91" t="n">
        <v>201</v>
      </c>
      <c r="BL91" t="n">
        <v>268</v>
      </c>
      <c r="BM91" t="n">
        <v>616</v>
      </c>
      <c r="BN91" t="n">
        <v>402</v>
      </c>
      <c r="BO91" t="n">
        <v>389</v>
      </c>
      <c r="BP91" t="n">
        <v>134</v>
      </c>
      <c r="BQ91" t="n">
        <v>603</v>
      </c>
      <c r="BR91" t="n">
        <v>603</v>
      </c>
      <c r="BS91" t="n">
        <v>255</v>
      </c>
      <c r="BT91" t="n">
        <v>5254</v>
      </c>
      <c r="BU91" t="n">
        <v>469</v>
      </c>
      <c r="BV91" t="n">
        <v>657</v>
      </c>
      <c r="BW91" t="n">
        <v>4059</v>
      </c>
      <c r="BX91" t="n">
        <v>616</v>
      </c>
      <c r="BY91" t="n">
        <v>1528</v>
      </c>
      <c r="BZ91" t="n">
        <v>683</v>
      </c>
      <c r="CA91" t="n">
        <v>8012</v>
      </c>
      <c r="CB91" t="n">
        <v>80</v>
      </c>
      <c r="CC91" t="n">
        <v>33</v>
      </c>
      <c r="CD91" t="n">
        <v>72</v>
      </c>
      <c r="CE91" t="n">
        <v>1073</v>
      </c>
      <c r="CF91" t="n">
        <v>14.9</v>
      </c>
      <c r="CG91" t="n">
        <v>0</v>
      </c>
      <c r="CH91" t="n">
        <v>0</v>
      </c>
      <c r="CI91" t="n">
        <v>0</v>
      </c>
      <c r="CJ91" t="n">
        <v>0</v>
      </c>
      <c r="CK91" t="n">
        <v>2</v>
      </c>
      <c r="CL91" t="n">
        <v>4</v>
      </c>
      <c r="CM91" t="n">
        <v>2</v>
      </c>
      <c r="CN91" t="n">
        <v>324</v>
      </c>
      <c r="CO91" t="n">
        <v>0</v>
      </c>
      <c r="CP91" t="n">
        <v>18</v>
      </c>
      <c r="CQ91" t="n">
        <v>14</v>
      </c>
      <c r="CR91" t="n">
        <v>0</v>
      </c>
      <c r="CS91" t="n">
        <v>0</v>
      </c>
      <c r="CT91" t="n">
        <v>364</v>
      </c>
      <c r="CU91" t="n">
        <v>0</v>
      </c>
      <c r="CV91" t="n">
        <v>0</v>
      </c>
      <c r="CW91" t="n">
        <v>9</v>
      </c>
      <c r="CX91" t="n">
        <v>0</v>
      </c>
      <c r="CY91" t="n">
        <v>275</v>
      </c>
      <c r="CZ91" t="n">
        <v>7</v>
      </c>
      <c r="DA91" t="n">
        <v>0</v>
      </c>
      <c r="DB91" t="n">
        <v>0</v>
      </c>
      <c r="DC91" t="n">
        <v>291</v>
      </c>
      <c r="DD91" t="n">
        <v>0</v>
      </c>
      <c r="DE91" t="n">
        <v>0</v>
      </c>
      <c r="DF91" t="n">
        <v>1069</v>
      </c>
      <c r="DG91" t="n">
        <v>72</v>
      </c>
      <c r="DH91" t="n">
        <v>0</v>
      </c>
      <c r="DI91" t="n">
        <v>0</v>
      </c>
      <c r="DJ91" t="n">
        <v>0</v>
      </c>
      <c r="DK91" t="n">
        <v>0</v>
      </c>
      <c r="DL91" t="n">
        <v>4</v>
      </c>
      <c r="DM91" t="n">
        <v>0</v>
      </c>
      <c r="DN91" t="n">
        <v>0</v>
      </c>
      <c r="DO91" t="n">
        <v>0</v>
      </c>
      <c r="DP91" t="n">
        <v>0</v>
      </c>
      <c r="DQ91" t="n">
        <v>0</v>
      </c>
      <c r="DR91" t="n">
        <v>0</v>
      </c>
      <c r="DS91" t="n">
        <v>1145</v>
      </c>
      <c r="DT91" t="n">
        <v>1800</v>
      </c>
      <c r="DU91" t="n">
        <v>700</v>
      </c>
      <c r="DV91" t="n">
        <v>0</v>
      </c>
      <c r="DW91" t="n">
        <v>0</v>
      </c>
      <c r="DX91" t="n">
        <v>0</v>
      </c>
      <c r="DY91" t="n">
        <v>4600</v>
      </c>
      <c r="DZ91" t="n">
        <v>3450</v>
      </c>
      <c r="EA91" t="n">
        <v>805</v>
      </c>
      <c r="EB91" t="n">
        <v>2070</v>
      </c>
      <c r="EC91" t="n">
        <v>575</v>
      </c>
      <c r="ED91" t="n">
        <v>2875</v>
      </c>
      <c r="EE91" t="n">
        <v>8625</v>
      </c>
      <c r="EF91" t="n">
        <v>0</v>
      </c>
      <c r="EG91" t="n">
        <v>0</v>
      </c>
      <c r="EH91" t="n">
        <v>1.5</v>
      </c>
      <c r="EI91" t="n">
        <v>8.6</v>
      </c>
      <c r="EJ91" t="n">
        <v>2.5</v>
      </c>
      <c r="EK91" t="n">
        <v>13.5</v>
      </c>
    </row>
    <row r="92">
      <c r="A92">
        <f>[1]ingredient!B91</f>
        <v/>
      </c>
      <c r="B92" t="inlineStr">
        <is>
          <t>https://www.naehrwertrechner.de/naehrwerte/E520011/Vollkornteigwaren+eifrei/?menge=100</t>
        </is>
      </c>
      <c r="C92" s="7">
        <f>_xlfn.XLOOKUP(A92,[1]ingredient!$B$2:$B$521,[1]ingredient!$A$2:$A$521)</f>
        <v/>
      </c>
      <c r="D92" t="n">
        <v>337</v>
      </c>
      <c r="E92" t="n">
        <v>2.1</v>
      </c>
      <c r="F92" t="n">
        <v>13</v>
      </c>
      <c r="G92" t="n">
        <v>63</v>
      </c>
      <c r="H92" t="n">
        <v>12</v>
      </c>
      <c r="I92" t="n">
        <v>2</v>
      </c>
      <c r="J92" t="n">
        <v>0.001</v>
      </c>
      <c r="K92" t="n">
        <v>11</v>
      </c>
      <c r="L92" t="n">
        <v>0</v>
      </c>
      <c r="M92" t="n">
        <v>0</v>
      </c>
      <c r="N92" t="n">
        <v>0</v>
      </c>
      <c r="O92" t="n">
        <v>0</v>
      </c>
      <c r="P92" t="n">
        <v>670</v>
      </c>
      <c r="Q92" t="n">
        <v>110</v>
      </c>
      <c r="R92" t="n">
        <v>3100</v>
      </c>
      <c r="S92" t="n">
        <v>5333</v>
      </c>
      <c r="T92" t="n">
        <v>800</v>
      </c>
      <c r="U92" t="n">
        <v>200</v>
      </c>
      <c r="V92" t="n">
        <v>1</v>
      </c>
      <c r="W92" t="n">
        <v>40</v>
      </c>
      <c r="X92" t="n">
        <v>0</v>
      </c>
      <c r="Y92" t="n">
        <v>0</v>
      </c>
      <c r="Z92" t="n">
        <v>0</v>
      </c>
      <c r="AA92" t="n">
        <v>250</v>
      </c>
      <c r="AB92" t="n">
        <v>0</v>
      </c>
      <c r="AC92" t="n">
        <v>5</v>
      </c>
      <c r="AD92" t="n">
        <v>390</v>
      </c>
      <c r="AE92" t="n">
        <v>34</v>
      </c>
      <c r="AF92" t="n">
        <v>120</v>
      </c>
      <c r="AG92" t="n">
        <v>370</v>
      </c>
      <c r="AH92" t="n">
        <v>190</v>
      </c>
      <c r="AI92" t="n">
        <v>22</v>
      </c>
      <c r="AJ92" t="n">
        <v>3900</v>
      </c>
      <c r="AK92" t="n">
        <v>3000</v>
      </c>
      <c r="AL92" t="n">
        <v>510</v>
      </c>
      <c r="AM92" t="n">
        <v>264</v>
      </c>
      <c r="AN92" t="n">
        <v>40</v>
      </c>
      <c r="AO92" t="n">
        <v>2</v>
      </c>
      <c r="AP92" t="n">
        <v>0</v>
      </c>
      <c r="AQ92" t="n">
        <v>0</v>
      </c>
      <c r="AR92" t="n">
        <v>0</v>
      </c>
      <c r="AS92" t="n">
        <v>0</v>
      </c>
      <c r="AT92" t="n">
        <v>61</v>
      </c>
      <c r="AU92" t="n">
        <v>61</v>
      </c>
      <c r="AV92" t="n">
        <v>0</v>
      </c>
      <c r="AW92" t="n">
        <v>122</v>
      </c>
      <c r="AX92" t="n">
        <v>606</v>
      </c>
      <c r="AY92" t="n">
        <v>0</v>
      </c>
      <c r="AZ92" t="n">
        <v>0</v>
      </c>
      <c r="BA92" t="n">
        <v>606</v>
      </c>
      <c r="BB92" t="n">
        <v>364</v>
      </c>
      <c r="BC92" t="n">
        <v>0</v>
      </c>
      <c r="BD92" t="n">
        <v>0</v>
      </c>
      <c r="BE92" t="n">
        <v>59508</v>
      </c>
      <c r="BF92" t="n">
        <v>59508</v>
      </c>
      <c r="BG92">
        <f>IF($F92=0,"0",MIN(
BH92/(30*$F92),
BI92/(61*$F92),
BJ92/(48*$F92),
(BK92+BL92)/(23*$F92),
(BM92+BN92)/(41*$F92),
BO92/(25*$F92),
BP92/(6.6*$F92),
BQ92/(40*$F92),
BS92/(16*$F92)
)*100)</f>
        <v/>
      </c>
      <c r="BH92" t="n">
        <v>523</v>
      </c>
      <c r="BI92" t="n">
        <v>898</v>
      </c>
      <c r="BJ92" t="n">
        <v>362</v>
      </c>
      <c r="BK92" t="n">
        <v>201</v>
      </c>
      <c r="BL92" t="n">
        <v>268</v>
      </c>
      <c r="BM92" t="n">
        <v>616</v>
      </c>
      <c r="BN92" t="n">
        <v>402</v>
      </c>
      <c r="BO92" t="n">
        <v>389</v>
      </c>
      <c r="BP92" t="n">
        <v>134</v>
      </c>
      <c r="BQ92" t="n">
        <v>603</v>
      </c>
      <c r="BR92" t="n">
        <v>603</v>
      </c>
      <c r="BS92" t="n">
        <v>255</v>
      </c>
      <c r="BT92" t="n">
        <v>5254</v>
      </c>
      <c r="BU92" t="n">
        <v>469</v>
      </c>
      <c r="BV92" t="n">
        <v>657</v>
      </c>
      <c r="BW92" t="n">
        <v>4059</v>
      </c>
      <c r="BX92" t="n">
        <v>616</v>
      </c>
      <c r="BY92" t="n">
        <v>1528</v>
      </c>
      <c r="BZ92" t="n">
        <v>683</v>
      </c>
      <c r="CA92" t="n">
        <v>8012</v>
      </c>
      <c r="CB92" t="n">
        <v>80</v>
      </c>
      <c r="CC92" t="n">
        <v>33</v>
      </c>
      <c r="CD92" t="n">
        <v>72</v>
      </c>
      <c r="CE92" t="n">
        <v>1073</v>
      </c>
      <c r="CF92" t="n">
        <v>14.9</v>
      </c>
      <c r="CG92" t="n">
        <v>0</v>
      </c>
      <c r="CH92" t="n">
        <v>0</v>
      </c>
      <c r="CI92" t="n">
        <v>0</v>
      </c>
      <c r="CJ92" t="n">
        <v>0</v>
      </c>
      <c r="CK92" t="n">
        <v>2</v>
      </c>
      <c r="CL92" t="n">
        <v>4</v>
      </c>
      <c r="CM92" t="n">
        <v>2</v>
      </c>
      <c r="CN92" t="n">
        <v>324</v>
      </c>
      <c r="CO92" t="n">
        <v>0</v>
      </c>
      <c r="CP92" t="n">
        <v>18</v>
      </c>
      <c r="CQ92" t="n">
        <v>14</v>
      </c>
      <c r="CR92" t="n">
        <v>0</v>
      </c>
      <c r="CS92" t="n">
        <v>0</v>
      </c>
      <c r="CT92" t="n">
        <v>364</v>
      </c>
      <c r="CU92" t="n">
        <v>0</v>
      </c>
      <c r="CV92" t="n">
        <v>0</v>
      </c>
      <c r="CW92" t="n">
        <v>9</v>
      </c>
      <c r="CX92" t="n">
        <v>0</v>
      </c>
      <c r="CY92" t="n">
        <v>275</v>
      </c>
      <c r="CZ92" t="n">
        <v>7</v>
      </c>
      <c r="DA92" t="n">
        <v>0</v>
      </c>
      <c r="DB92" t="n">
        <v>0</v>
      </c>
      <c r="DC92" t="n">
        <v>291</v>
      </c>
      <c r="DD92" t="n">
        <v>0</v>
      </c>
      <c r="DE92" t="n">
        <v>0</v>
      </c>
      <c r="DF92" t="n">
        <v>1069</v>
      </c>
      <c r="DG92" t="n">
        <v>72</v>
      </c>
      <c r="DH92" t="n">
        <v>0</v>
      </c>
      <c r="DI92" t="n">
        <v>0</v>
      </c>
      <c r="DJ92" t="n">
        <v>0</v>
      </c>
      <c r="DK92" t="n">
        <v>0</v>
      </c>
      <c r="DL92" t="n">
        <v>4</v>
      </c>
      <c r="DM92" t="n">
        <v>0</v>
      </c>
      <c r="DN92" t="n">
        <v>0</v>
      </c>
      <c r="DO92" t="n">
        <v>0</v>
      </c>
      <c r="DP92" t="n">
        <v>0</v>
      </c>
      <c r="DQ92" t="n">
        <v>0</v>
      </c>
      <c r="DR92" t="n">
        <v>0</v>
      </c>
      <c r="DS92" t="n">
        <v>1145</v>
      </c>
      <c r="DT92" t="n">
        <v>1800</v>
      </c>
      <c r="DU92" t="n">
        <v>700</v>
      </c>
      <c r="DV92" t="n">
        <v>0</v>
      </c>
      <c r="DW92" t="n">
        <v>0</v>
      </c>
      <c r="DX92" t="n">
        <v>0</v>
      </c>
      <c r="DY92" t="n">
        <v>4600</v>
      </c>
      <c r="DZ92" t="n">
        <v>3450</v>
      </c>
      <c r="EA92" t="n">
        <v>805</v>
      </c>
      <c r="EB92" t="n">
        <v>2070</v>
      </c>
      <c r="EC92" t="n">
        <v>575</v>
      </c>
      <c r="ED92" t="n">
        <v>2875</v>
      </c>
      <c r="EE92" t="n">
        <v>8625</v>
      </c>
      <c r="EF92" t="n">
        <v>0</v>
      </c>
      <c r="EG92" t="n">
        <v>0</v>
      </c>
      <c r="EH92" t="n">
        <v>1.5</v>
      </c>
      <c r="EI92" t="n">
        <v>8.6</v>
      </c>
      <c r="EJ92" t="n">
        <v>2.5</v>
      </c>
      <c r="EK92" t="n">
        <v>13.5</v>
      </c>
    </row>
    <row r="93">
      <c r="A93">
        <f>[1]ingredient!B92</f>
        <v/>
      </c>
      <c r="B93" t="inlineStr">
        <is>
          <t>https://www.naehrwertrechner.de/naehrwerte/E520011/Vollkornteigwaren+eifrei/?menge=100</t>
        </is>
      </c>
      <c r="C93" s="7">
        <f>_xlfn.XLOOKUP(A93,[1]ingredient!$B$2:$B$521,[1]ingredient!$A$2:$A$521)</f>
        <v/>
      </c>
      <c r="D93" t="n">
        <v>337</v>
      </c>
      <c r="E93" t="n">
        <v>2.1</v>
      </c>
      <c r="F93" t="n">
        <v>13</v>
      </c>
      <c r="G93" t="n">
        <v>63</v>
      </c>
      <c r="H93" t="n">
        <v>12</v>
      </c>
      <c r="I93" t="n">
        <v>2</v>
      </c>
      <c r="J93" t="n">
        <v>0.001</v>
      </c>
      <c r="K93" t="n">
        <v>11</v>
      </c>
      <c r="L93" t="n">
        <v>0</v>
      </c>
      <c r="M93" t="n">
        <v>0</v>
      </c>
      <c r="N93" t="n">
        <v>0</v>
      </c>
      <c r="O93" t="n">
        <v>0</v>
      </c>
      <c r="P93" t="n">
        <v>670</v>
      </c>
      <c r="Q93" t="n">
        <v>110</v>
      </c>
      <c r="R93" t="n">
        <v>3100</v>
      </c>
      <c r="S93" t="n">
        <v>5333</v>
      </c>
      <c r="T93" t="n">
        <v>800</v>
      </c>
      <c r="U93" t="n">
        <v>200</v>
      </c>
      <c r="V93" t="n">
        <v>1</v>
      </c>
      <c r="W93" t="n">
        <v>40</v>
      </c>
      <c r="X93" t="n">
        <v>0</v>
      </c>
      <c r="Y93" t="n">
        <v>0</v>
      </c>
      <c r="Z93" t="n">
        <v>0</v>
      </c>
      <c r="AA93" t="n">
        <v>250</v>
      </c>
      <c r="AB93" t="n">
        <v>0</v>
      </c>
      <c r="AC93" t="n">
        <v>5</v>
      </c>
      <c r="AD93" t="n">
        <v>390</v>
      </c>
      <c r="AE93" t="n">
        <v>34</v>
      </c>
      <c r="AF93" t="n">
        <v>120</v>
      </c>
      <c r="AG93" t="n">
        <v>370</v>
      </c>
      <c r="AH93" t="n">
        <v>190</v>
      </c>
      <c r="AI93" t="n">
        <v>22</v>
      </c>
      <c r="AJ93" t="n">
        <v>3900</v>
      </c>
      <c r="AK93" t="n">
        <v>3000</v>
      </c>
      <c r="AL93" t="n">
        <v>510</v>
      </c>
      <c r="AM93" t="n">
        <v>264</v>
      </c>
      <c r="AN93" t="n">
        <v>40</v>
      </c>
      <c r="AO93" t="n">
        <v>2</v>
      </c>
      <c r="AP93" t="n">
        <v>0</v>
      </c>
      <c r="AQ93" t="n">
        <v>0</v>
      </c>
      <c r="AR93" t="n">
        <v>0</v>
      </c>
      <c r="AS93" t="n">
        <v>0</v>
      </c>
      <c r="AT93" t="n">
        <v>61</v>
      </c>
      <c r="AU93" t="n">
        <v>61</v>
      </c>
      <c r="AV93" t="n">
        <v>0</v>
      </c>
      <c r="AW93" t="n">
        <v>122</v>
      </c>
      <c r="AX93" t="n">
        <v>606</v>
      </c>
      <c r="AY93" t="n">
        <v>0</v>
      </c>
      <c r="AZ93" t="n">
        <v>0</v>
      </c>
      <c r="BA93" t="n">
        <v>606</v>
      </c>
      <c r="BB93" t="n">
        <v>364</v>
      </c>
      <c r="BC93" t="n">
        <v>0</v>
      </c>
      <c r="BD93" t="n">
        <v>0</v>
      </c>
      <c r="BE93" t="n">
        <v>59508</v>
      </c>
      <c r="BF93" t="n">
        <v>59508</v>
      </c>
      <c r="BG93">
        <f>IF($F93=0,"0",MIN(
BH93/(30*$F93),
BI93/(61*$F93),
BJ93/(48*$F93),
(BK93+BL93)/(23*$F93),
(BM93+BN93)/(41*$F93),
BO93/(25*$F93),
BP93/(6.6*$F93),
BQ93/(40*$F93),
BS93/(16*$F93)
)*100)</f>
        <v/>
      </c>
      <c r="BH93" t="n">
        <v>523</v>
      </c>
      <c r="BI93" t="n">
        <v>898</v>
      </c>
      <c r="BJ93" t="n">
        <v>362</v>
      </c>
      <c r="BK93" t="n">
        <v>201</v>
      </c>
      <c r="BL93" t="n">
        <v>268</v>
      </c>
      <c r="BM93" t="n">
        <v>616</v>
      </c>
      <c r="BN93" t="n">
        <v>402</v>
      </c>
      <c r="BO93" t="n">
        <v>389</v>
      </c>
      <c r="BP93" t="n">
        <v>134</v>
      </c>
      <c r="BQ93" t="n">
        <v>603</v>
      </c>
      <c r="BR93" t="n">
        <v>603</v>
      </c>
      <c r="BS93" t="n">
        <v>255</v>
      </c>
      <c r="BT93" t="n">
        <v>5254</v>
      </c>
      <c r="BU93" t="n">
        <v>469</v>
      </c>
      <c r="BV93" t="n">
        <v>657</v>
      </c>
      <c r="BW93" t="n">
        <v>4059</v>
      </c>
      <c r="BX93" t="n">
        <v>616</v>
      </c>
      <c r="BY93" t="n">
        <v>1528</v>
      </c>
      <c r="BZ93" t="n">
        <v>683</v>
      </c>
      <c r="CA93" t="n">
        <v>8012</v>
      </c>
      <c r="CB93" t="n">
        <v>80</v>
      </c>
      <c r="CC93" t="n">
        <v>33</v>
      </c>
      <c r="CD93" t="n">
        <v>72</v>
      </c>
      <c r="CE93" t="n">
        <v>1073</v>
      </c>
      <c r="CF93" t="n">
        <v>14.9</v>
      </c>
      <c r="CG93" t="n">
        <v>0</v>
      </c>
      <c r="CH93" t="n">
        <v>0</v>
      </c>
      <c r="CI93" t="n">
        <v>0</v>
      </c>
      <c r="CJ93" t="n">
        <v>0</v>
      </c>
      <c r="CK93" t="n">
        <v>2</v>
      </c>
      <c r="CL93" t="n">
        <v>4</v>
      </c>
      <c r="CM93" t="n">
        <v>2</v>
      </c>
      <c r="CN93" t="n">
        <v>324</v>
      </c>
      <c r="CO93" t="n">
        <v>0</v>
      </c>
      <c r="CP93" t="n">
        <v>18</v>
      </c>
      <c r="CQ93" t="n">
        <v>14</v>
      </c>
      <c r="CR93" t="n">
        <v>0</v>
      </c>
      <c r="CS93" t="n">
        <v>0</v>
      </c>
      <c r="CT93" t="n">
        <v>364</v>
      </c>
      <c r="CU93" t="n">
        <v>0</v>
      </c>
      <c r="CV93" t="n">
        <v>0</v>
      </c>
      <c r="CW93" t="n">
        <v>9</v>
      </c>
      <c r="CX93" t="n">
        <v>0</v>
      </c>
      <c r="CY93" t="n">
        <v>275</v>
      </c>
      <c r="CZ93" t="n">
        <v>7</v>
      </c>
      <c r="DA93" t="n">
        <v>0</v>
      </c>
      <c r="DB93" t="n">
        <v>0</v>
      </c>
      <c r="DC93" t="n">
        <v>291</v>
      </c>
      <c r="DD93" t="n">
        <v>0</v>
      </c>
      <c r="DE93" t="n">
        <v>0</v>
      </c>
      <c r="DF93" t="n">
        <v>1069</v>
      </c>
      <c r="DG93" t="n">
        <v>72</v>
      </c>
      <c r="DH93" t="n">
        <v>0</v>
      </c>
      <c r="DI93" t="n">
        <v>0</v>
      </c>
      <c r="DJ93" t="n">
        <v>0</v>
      </c>
      <c r="DK93" t="n">
        <v>0</v>
      </c>
      <c r="DL93" t="n">
        <v>4</v>
      </c>
      <c r="DM93" t="n">
        <v>0</v>
      </c>
      <c r="DN93" t="n">
        <v>0</v>
      </c>
      <c r="DO93" t="n">
        <v>0</v>
      </c>
      <c r="DP93" t="n">
        <v>0</v>
      </c>
      <c r="DQ93" t="n">
        <v>0</v>
      </c>
      <c r="DR93" t="n">
        <v>0</v>
      </c>
      <c r="DS93" t="n">
        <v>1145</v>
      </c>
      <c r="DT93" t="n">
        <v>1800</v>
      </c>
      <c r="DU93" t="n">
        <v>700</v>
      </c>
      <c r="DV93" t="n">
        <v>0</v>
      </c>
      <c r="DW93" t="n">
        <v>0</v>
      </c>
      <c r="DX93" t="n">
        <v>0</v>
      </c>
      <c r="DY93" t="n">
        <v>4600</v>
      </c>
      <c r="DZ93" t="n">
        <v>3450</v>
      </c>
      <c r="EA93" t="n">
        <v>805</v>
      </c>
      <c r="EB93" t="n">
        <v>2070</v>
      </c>
      <c r="EC93" t="n">
        <v>575</v>
      </c>
      <c r="ED93" t="n">
        <v>2875</v>
      </c>
      <c r="EE93" t="n">
        <v>8625</v>
      </c>
      <c r="EF93" t="n">
        <v>0</v>
      </c>
      <c r="EG93" t="n">
        <v>0</v>
      </c>
      <c r="EH93" t="n">
        <v>1.5</v>
      </c>
      <c r="EI93" t="n">
        <v>8.6</v>
      </c>
      <c r="EJ93" t="n">
        <v>2.5</v>
      </c>
      <c r="EK93" t="n">
        <v>13.5</v>
      </c>
    </row>
    <row r="94">
      <c r="A94">
        <f>[1]ingredient!B93</f>
        <v/>
      </c>
      <c r="C94" s="7">
        <f>_xlfn.XLOOKUP(A94,[1]ingredient!$B$2:$B$521,[1]ingredient!$A$2:$A$521)</f>
        <v/>
      </c>
      <c r="D94" t="n">
        <v>48</v>
      </c>
      <c r="E94" t="n">
        <v>0.4</v>
      </c>
      <c r="F94" t="n">
        <v>1</v>
      </c>
      <c r="G94" t="n">
        <v>7.1</v>
      </c>
      <c r="H94" t="n">
        <v>0.5</v>
      </c>
      <c r="I94" t="n">
        <v>6.9</v>
      </c>
      <c r="J94" t="n">
        <v>0</v>
      </c>
      <c r="L94" t="n">
        <v>0</v>
      </c>
      <c r="P94" t="n">
        <v>0</v>
      </c>
      <c r="Q94" t="n">
        <v>0</v>
      </c>
      <c r="T94" t="n">
        <v>0</v>
      </c>
      <c r="U94" t="n">
        <v>0.1</v>
      </c>
      <c r="Y94" t="n">
        <v>3000</v>
      </c>
      <c r="AD94" t="n">
        <v>240</v>
      </c>
      <c r="AE94" t="n">
        <v>54</v>
      </c>
      <c r="AF94" t="n">
        <v>20</v>
      </c>
      <c r="AG94" t="n">
        <v>32</v>
      </c>
      <c r="AH94" t="n">
        <v>13</v>
      </c>
      <c r="AI94" t="n">
        <v>18</v>
      </c>
      <c r="AJ94" t="n">
        <v>0.6</v>
      </c>
      <c r="AK94" t="n">
        <v>0.3</v>
      </c>
      <c r="AL94" t="n">
        <v>0.1</v>
      </c>
      <c r="AM94" t="n">
        <v>0.1</v>
      </c>
      <c r="BG94">
        <f>IF($F94=0,"0",MIN(
BH94/(30*$F94),
BI94/(61*$F94),
BJ94/(48*$F94),
(BK94+BL94)/(23*$F94),
(BM94+BN94)/(41*$F94),
BO94/(25*$F94),
BP94/(6.6*$F94),
BQ94/(40*$F94),
BS94/(16*$F94)
)*100)</f>
        <v/>
      </c>
    </row>
    <row r="95">
      <c r="A95">
        <f>[1]ingredient!B94</f>
        <v/>
      </c>
      <c r="B95" t="inlineStr">
        <is>
          <t>https://www.naehrwertrechner.de/naehrwerte/H690211/Edamame+gegart/?menge=100</t>
        </is>
      </c>
      <c r="C95" s="7">
        <f>_xlfn.XLOOKUP(A95,[1]ingredient!$B$2:$B$521,[1]ingredient!$A$2:$A$521)</f>
        <v/>
      </c>
      <c r="D95" t="n">
        <v>147</v>
      </c>
      <c r="E95" t="n">
        <v>6</v>
      </c>
      <c r="F95" t="n">
        <v>12</v>
      </c>
      <c r="G95" t="n">
        <v>9</v>
      </c>
      <c r="H95" t="n">
        <v>5</v>
      </c>
      <c r="I95" t="n">
        <v>3</v>
      </c>
      <c r="J95" t="n">
        <v>1</v>
      </c>
      <c r="K95" t="n">
        <v>67</v>
      </c>
      <c r="L95" t="n">
        <v>0</v>
      </c>
      <c r="M95" t="n">
        <v>25</v>
      </c>
      <c r="N95" t="n">
        <v>0</v>
      </c>
      <c r="O95" t="n">
        <v>300</v>
      </c>
      <c r="P95" t="n">
        <v>200</v>
      </c>
      <c r="Q95" t="n">
        <v>100</v>
      </c>
      <c r="R95" t="n">
        <v>100</v>
      </c>
      <c r="S95" t="n">
        <v>2500</v>
      </c>
      <c r="T95" t="n">
        <v>400</v>
      </c>
      <c r="U95" t="n">
        <v>100</v>
      </c>
      <c r="V95" t="n">
        <v>2</v>
      </c>
      <c r="W95" t="n">
        <v>260</v>
      </c>
      <c r="X95" t="n">
        <v>0</v>
      </c>
      <c r="Y95" t="n">
        <v>15000</v>
      </c>
      <c r="Z95" t="n">
        <v>0</v>
      </c>
      <c r="AA95" t="n">
        <v>0</v>
      </c>
      <c r="AB95" t="n">
        <v>33</v>
      </c>
      <c r="AC95" t="n">
        <v>2</v>
      </c>
      <c r="AD95" t="n">
        <v>490</v>
      </c>
      <c r="AE95" t="n">
        <v>76</v>
      </c>
      <c r="AF95" t="n">
        <v>72</v>
      </c>
      <c r="AG95" t="n">
        <v>170</v>
      </c>
      <c r="AH95" t="n">
        <v>26</v>
      </c>
      <c r="AI95" t="n">
        <v>504</v>
      </c>
      <c r="AJ95" t="n">
        <v>2500</v>
      </c>
      <c r="AK95" t="n">
        <v>1300</v>
      </c>
      <c r="AL95" t="n">
        <v>400</v>
      </c>
      <c r="AM95" t="n">
        <v>700</v>
      </c>
      <c r="AN95" t="n">
        <v>0</v>
      </c>
      <c r="AO95" t="n">
        <v>3</v>
      </c>
      <c r="AP95" t="n">
        <v>0</v>
      </c>
      <c r="AQ95" t="n">
        <v>0</v>
      </c>
      <c r="AR95" t="n">
        <v>0</v>
      </c>
      <c r="AS95" t="n">
        <v>0</v>
      </c>
      <c r="AT95" t="n">
        <v>1239</v>
      </c>
      <c r="AU95" t="n">
        <v>1605</v>
      </c>
      <c r="AV95" t="n">
        <v>0</v>
      </c>
      <c r="AW95" t="n">
        <v>2844</v>
      </c>
      <c r="AX95" t="n">
        <v>600</v>
      </c>
      <c r="AY95" t="n">
        <v>0</v>
      </c>
      <c r="AZ95" t="n">
        <v>0</v>
      </c>
      <c r="BA95" t="n">
        <v>551</v>
      </c>
      <c r="BB95" t="n">
        <v>1836</v>
      </c>
      <c r="BC95" t="n">
        <v>0</v>
      </c>
      <c r="BD95" t="n">
        <v>0</v>
      </c>
      <c r="BE95" t="n">
        <v>3669</v>
      </c>
      <c r="BF95" t="n">
        <v>0</v>
      </c>
      <c r="BG95">
        <f>IF($F95=0,"0",MIN(
BH95/(30*$F95),
BI95/(61*$F95),
BJ95/(48*$F95),
(BK95+BL95)/(23*$F95),
(BM95+BN95)/(41*$F95),
BO95/(25*$F95),
BP95/(6.6*$F95),
BQ95/(40*$F95),
BS95/(16*$F95)
)*100)</f>
        <v/>
      </c>
      <c r="BH95" t="n">
        <v>535</v>
      </c>
      <c r="BI95" t="n">
        <v>841</v>
      </c>
      <c r="BJ95" t="n">
        <v>712</v>
      </c>
      <c r="BK95" t="n">
        <v>118</v>
      </c>
      <c r="BL95" t="n">
        <v>95</v>
      </c>
      <c r="BM95" t="n">
        <v>545</v>
      </c>
      <c r="BN95" t="n">
        <v>415</v>
      </c>
      <c r="BO95" t="n">
        <v>461</v>
      </c>
      <c r="BP95" t="n">
        <v>141</v>
      </c>
      <c r="BQ95" t="n">
        <v>535</v>
      </c>
      <c r="BR95" t="n">
        <v>949</v>
      </c>
      <c r="BS95" t="n">
        <v>308</v>
      </c>
      <c r="BT95" t="n">
        <v>5656</v>
      </c>
      <c r="BU95" t="n">
        <v>523</v>
      </c>
      <c r="BV95" t="n">
        <v>1363</v>
      </c>
      <c r="BW95" t="n">
        <v>2252</v>
      </c>
      <c r="BX95" t="n">
        <v>498</v>
      </c>
      <c r="BY95" t="n">
        <v>545</v>
      </c>
      <c r="BZ95" t="n">
        <v>663</v>
      </c>
      <c r="CA95" t="n">
        <v>5844</v>
      </c>
      <c r="CB95" t="n">
        <v>45</v>
      </c>
      <c r="CC95" t="n">
        <v>15</v>
      </c>
      <c r="CD95" t="n">
        <v>300</v>
      </c>
      <c r="CE95" t="n">
        <v>2300</v>
      </c>
      <c r="CF95" t="n">
        <v>7.67</v>
      </c>
      <c r="CG95" t="n">
        <v>0</v>
      </c>
      <c r="CH95" t="n">
        <v>0</v>
      </c>
      <c r="CI95" t="n">
        <v>0</v>
      </c>
      <c r="CJ95" t="n">
        <v>0</v>
      </c>
      <c r="CK95" t="n">
        <v>5</v>
      </c>
      <c r="CL95" t="n">
        <v>11</v>
      </c>
      <c r="CM95" t="n">
        <v>0</v>
      </c>
      <c r="CN95" t="n">
        <v>544</v>
      </c>
      <c r="CO95" t="n">
        <v>5</v>
      </c>
      <c r="CP95" t="n">
        <v>214</v>
      </c>
      <c r="CQ95" t="n">
        <v>16</v>
      </c>
      <c r="CR95" t="n">
        <v>11</v>
      </c>
      <c r="CS95" t="n">
        <v>5</v>
      </c>
      <c r="CT95" t="n">
        <v>800</v>
      </c>
      <c r="CU95" t="n">
        <v>0</v>
      </c>
      <c r="CV95" t="n">
        <v>0</v>
      </c>
      <c r="CW95" t="n">
        <v>9</v>
      </c>
      <c r="CX95" t="n">
        <v>0</v>
      </c>
      <c r="CY95" t="n">
        <v>1171</v>
      </c>
      <c r="CZ95" t="n">
        <v>9</v>
      </c>
      <c r="DA95" t="n">
        <v>0</v>
      </c>
      <c r="DB95" t="n">
        <v>0</v>
      </c>
      <c r="DC95" t="n">
        <v>1200</v>
      </c>
      <c r="DD95" t="n">
        <v>0</v>
      </c>
      <c r="DE95" t="n">
        <v>0</v>
      </c>
      <c r="DF95" t="n">
        <v>2300</v>
      </c>
      <c r="DG95" t="n">
        <v>300</v>
      </c>
      <c r="DH95" t="n">
        <v>0</v>
      </c>
      <c r="DI95" t="n">
        <v>0</v>
      </c>
      <c r="DJ95" t="n">
        <v>0</v>
      </c>
      <c r="DK95" t="n">
        <v>0</v>
      </c>
      <c r="DL95" t="n">
        <v>0</v>
      </c>
      <c r="DM95" t="n">
        <v>0</v>
      </c>
      <c r="DN95" t="n">
        <v>0</v>
      </c>
      <c r="DO95" t="n">
        <v>0</v>
      </c>
      <c r="DP95" t="n">
        <v>0</v>
      </c>
      <c r="DQ95" t="n">
        <v>0</v>
      </c>
      <c r="DR95" t="n">
        <v>0</v>
      </c>
      <c r="DS95" t="n">
        <v>2700</v>
      </c>
      <c r="DT95" t="n">
        <v>4670</v>
      </c>
      <c r="DU95" t="n">
        <v>1430</v>
      </c>
      <c r="DV95" t="n">
        <v>0</v>
      </c>
      <c r="DW95" t="n">
        <v>0</v>
      </c>
      <c r="DX95" t="n">
        <v>0</v>
      </c>
      <c r="DY95" t="n">
        <v>598</v>
      </c>
      <c r="DZ95" t="n">
        <v>1609</v>
      </c>
      <c r="EA95" t="n">
        <v>598</v>
      </c>
      <c r="EB95" t="n">
        <v>1701</v>
      </c>
      <c r="EC95" t="n">
        <v>93</v>
      </c>
      <c r="ED95" t="n">
        <v>2301</v>
      </c>
      <c r="EE95" t="n">
        <v>2301</v>
      </c>
      <c r="EF95" t="n">
        <v>0</v>
      </c>
      <c r="EG95" t="n">
        <v>267</v>
      </c>
      <c r="EH95" t="n">
        <v>1.3</v>
      </c>
      <c r="EI95" t="n">
        <v>2.3</v>
      </c>
      <c r="EJ95" t="n">
        <v>6.1</v>
      </c>
      <c r="EK95" t="n">
        <v>11.6</v>
      </c>
    </row>
    <row r="96">
      <c r="A96">
        <f>[1]ingredient!B95</f>
        <v/>
      </c>
      <c r="B96" t="inlineStr">
        <is>
          <t>https://www.naehrwertrechner.de/naehrwerte/C670011/Einkorn+Vollkornmehl/?menge=100</t>
        </is>
      </c>
      <c r="C96" s="7">
        <f>_xlfn.XLOOKUP(A96,[1]ingredient!$B$2:$B$521,[1]ingredient!$A$2:$A$521)</f>
        <v/>
      </c>
      <c r="D96" t="n">
        <v>337</v>
      </c>
      <c r="E96" t="n">
        <v>3</v>
      </c>
      <c r="F96" t="n">
        <v>12</v>
      </c>
      <c r="G96" t="n">
        <v>61</v>
      </c>
      <c r="H96" t="n">
        <v>9</v>
      </c>
      <c r="I96" t="n">
        <v>3</v>
      </c>
      <c r="J96" t="n">
        <v>0.06</v>
      </c>
      <c r="K96" t="n">
        <v>15</v>
      </c>
      <c r="L96" t="n">
        <v>0</v>
      </c>
      <c r="M96" t="n">
        <v>0</v>
      </c>
      <c r="N96" t="n">
        <v>0</v>
      </c>
      <c r="O96" t="n">
        <v>0</v>
      </c>
      <c r="P96" t="n">
        <v>100</v>
      </c>
      <c r="Q96" t="n">
        <v>0</v>
      </c>
      <c r="R96" t="n">
        <v>800</v>
      </c>
      <c r="S96" t="n">
        <v>3000</v>
      </c>
      <c r="T96" t="n">
        <v>200</v>
      </c>
      <c r="U96" t="n">
        <v>200</v>
      </c>
      <c r="V96" t="n">
        <v>2</v>
      </c>
      <c r="W96" t="n">
        <v>11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7</v>
      </c>
      <c r="AD96" t="n">
        <v>120</v>
      </c>
      <c r="AE96" t="n">
        <v>14</v>
      </c>
      <c r="AF96" t="n">
        <v>17</v>
      </c>
      <c r="AG96" t="n">
        <v>95</v>
      </c>
      <c r="AH96" t="n">
        <v>100</v>
      </c>
      <c r="AI96" t="n">
        <v>52</v>
      </c>
      <c r="AJ96" t="n">
        <v>1200</v>
      </c>
      <c r="AK96" t="n">
        <v>1200</v>
      </c>
      <c r="AL96" t="n">
        <v>200</v>
      </c>
      <c r="AM96" t="n">
        <v>600</v>
      </c>
      <c r="AN96" t="n">
        <v>0</v>
      </c>
      <c r="AO96" t="n">
        <v>1</v>
      </c>
      <c r="AP96" t="n">
        <v>0</v>
      </c>
      <c r="AQ96" t="n">
        <v>0</v>
      </c>
      <c r="AR96" t="n">
        <v>0</v>
      </c>
      <c r="AS96" t="n">
        <v>0</v>
      </c>
      <c r="AT96" t="n">
        <v>687</v>
      </c>
      <c r="AU96" t="n">
        <v>100</v>
      </c>
      <c r="AV96" t="n">
        <v>0</v>
      </c>
      <c r="AW96" t="n">
        <v>787</v>
      </c>
      <c r="AX96" t="n">
        <v>2200</v>
      </c>
      <c r="AY96" t="n">
        <v>0</v>
      </c>
      <c r="AZ96" t="n">
        <v>0</v>
      </c>
      <c r="BA96" t="n">
        <v>2213</v>
      </c>
      <c r="BB96" t="n">
        <v>600</v>
      </c>
      <c r="BC96" t="n">
        <v>50</v>
      </c>
      <c r="BD96" t="n">
        <v>0</v>
      </c>
      <c r="BE96" t="n">
        <v>57000</v>
      </c>
      <c r="BF96" t="n">
        <v>0</v>
      </c>
      <c r="BG96">
        <f>IF($F96=0,"0",MIN(
BH96/(30*$F96),
BI96/(61*$F96),
BJ96/(48*$F96),
(BK96+BL96)/(23*$F96),
(BM96+BN96)/(41*$F96),
BO96/(25*$F96),
BP96/(6.6*$F96),
BQ96/(40*$F96),
BS96/(16*$F96)
)*100)</f>
        <v/>
      </c>
      <c r="BH96" t="n">
        <v>472</v>
      </c>
      <c r="BI96" t="n">
        <v>878</v>
      </c>
      <c r="BJ96" t="n">
        <v>251</v>
      </c>
      <c r="BK96" t="n">
        <v>183</v>
      </c>
      <c r="BL96" t="n">
        <v>264</v>
      </c>
      <c r="BM96" t="n">
        <v>610</v>
      </c>
      <c r="BN96" t="n">
        <v>326</v>
      </c>
      <c r="BO96" t="n">
        <v>338</v>
      </c>
      <c r="BP96" t="n">
        <v>130</v>
      </c>
      <c r="BQ96" t="n">
        <v>530</v>
      </c>
      <c r="BR96" t="n">
        <v>449</v>
      </c>
      <c r="BS96" t="n">
        <v>240</v>
      </c>
      <c r="BT96" t="n">
        <v>4671</v>
      </c>
      <c r="BU96" t="n">
        <v>382</v>
      </c>
      <c r="BV96" t="n">
        <v>525</v>
      </c>
      <c r="BW96" t="n">
        <v>4231</v>
      </c>
      <c r="BX96" t="n">
        <v>457</v>
      </c>
      <c r="BY96" t="n">
        <v>1490</v>
      </c>
      <c r="BZ96" t="n">
        <v>644</v>
      </c>
      <c r="CA96" t="n">
        <v>7730</v>
      </c>
      <c r="CB96" t="n">
        <v>40</v>
      </c>
      <c r="CC96" t="n">
        <v>17</v>
      </c>
      <c r="CD96" t="n">
        <v>0</v>
      </c>
      <c r="CE96" t="n">
        <v>602</v>
      </c>
      <c r="CG96" t="n">
        <v>0</v>
      </c>
      <c r="CH96" t="n">
        <v>0</v>
      </c>
      <c r="CI96" t="n">
        <v>0</v>
      </c>
      <c r="CJ96" t="n">
        <v>0</v>
      </c>
      <c r="CK96" t="n">
        <v>2</v>
      </c>
      <c r="CL96" t="n">
        <v>14</v>
      </c>
      <c r="CM96" t="n">
        <v>1</v>
      </c>
      <c r="CN96" t="n">
        <v>1167</v>
      </c>
      <c r="CO96" t="n">
        <v>0</v>
      </c>
      <c r="CP96" t="n">
        <v>110</v>
      </c>
      <c r="CQ96" t="n">
        <v>8</v>
      </c>
      <c r="CR96" t="n">
        <v>0</v>
      </c>
      <c r="CS96" t="n">
        <v>0</v>
      </c>
      <c r="CT96" t="n">
        <v>1300</v>
      </c>
      <c r="CU96" t="n">
        <v>0</v>
      </c>
      <c r="CV96" t="n">
        <v>0</v>
      </c>
      <c r="CW96" t="n">
        <v>8</v>
      </c>
      <c r="CX96" t="n">
        <v>0</v>
      </c>
      <c r="CY96" t="n">
        <v>848</v>
      </c>
      <c r="CZ96" t="n">
        <v>7</v>
      </c>
      <c r="DA96" t="n">
        <v>0</v>
      </c>
      <c r="DB96" t="n">
        <v>0</v>
      </c>
      <c r="DC96" t="n">
        <v>900</v>
      </c>
      <c r="DD96" t="n">
        <v>0</v>
      </c>
      <c r="DE96" t="n">
        <v>0</v>
      </c>
      <c r="DF96" t="n">
        <v>600</v>
      </c>
      <c r="DG96" t="n">
        <v>0</v>
      </c>
      <c r="DH96" t="n">
        <v>0</v>
      </c>
      <c r="DI96" t="n">
        <v>0</v>
      </c>
      <c r="DJ96" t="n">
        <v>0</v>
      </c>
      <c r="DK96" t="n">
        <v>0</v>
      </c>
      <c r="DL96" t="n">
        <v>2</v>
      </c>
      <c r="DM96" t="n">
        <v>0</v>
      </c>
      <c r="DN96" t="n">
        <v>0</v>
      </c>
      <c r="DO96" t="n">
        <v>0</v>
      </c>
      <c r="DP96" t="n">
        <v>0</v>
      </c>
      <c r="DQ96" t="n">
        <v>0</v>
      </c>
      <c r="DR96" t="n">
        <v>0</v>
      </c>
      <c r="DS96" t="n">
        <v>600</v>
      </c>
      <c r="DT96" t="n">
        <v>2810</v>
      </c>
      <c r="DU96" t="n">
        <v>191</v>
      </c>
      <c r="DV96" t="n">
        <v>0</v>
      </c>
      <c r="DW96" t="n">
        <v>0</v>
      </c>
      <c r="DX96" t="n">
        <v>0</v>
      </c>
      <c r="DY96" t="n">
        <v>1000</v>
      </c>
      <c r="DZ96" t="n">
        <v>2400</v>
      </c>
      <c r="EA96" t="n">
        <v>200</v>
      </c>
      <c r="EB96" t="n">
        <v>400</v>
      </c>
      <c r="EC96" t="n">
        <v>0</v>
      </c>
      <c r="ED96" t="n">
        <v>4040</v>
      </c>
      <c r="EE96" t="n">
        <v>4960</v>
      </c>
      <c r="EF96" t="n">
        <v>0</v>
      </c>
      <c r="EG96" t="n">
        <v>0</v>
      </c>
      <c r="EH96" t="n">
        <v>0.4</v>
      </c>
      <c r="EI96" t="n">
        <v>5</v>
      </c>
      <c r="EJ96" t="n">
        <v>3</v>
      </c>
      <c r="EK96" t="n">
        <v>12.5</v>
      </c>
    </row>
    <row r="97">
      <c r="A97">
        <f>[1]ingredient!B96</f>
        <v/>
      </c>
      <c r="B97" t="inlineStr">
        <is>
          <t>https://www.naehrwertrechner.de/naehrwerte/G103000/Eisbergsalat/?menge=100</t>
        </is>
      </c>
      <c r="C97" s="7">
        <f>_xlfn.XLOOKUP(A97,[1]ingredient!$B$2:$B$521,[1]ingredient!$A$2:$A$521)</f>
        <v/>
      </c>
      <c r="D97" t="n">
        <v>13</v>
      </c>
      <c r="E97" t="n">
        <v>0.2</v>
      </c>
      <c r="F97" t="n">
        <v>1</v>
      </c>
      <c r="G97" t="n">
        <v>2</v>
      </c>
      <c r="H97" t="n">
        <v>2</v>
      </c>
      <c r="I97" t="n">
        <v>2</v>
      </c>
      <c r="J97" t="n">
        <v>0.05</v>
      </c>
      <c r="K97" t="n">
        <v>95</v>
      </c>
      <c r="L97" t="n">
        <v>600</v>
      </c>
      <c r="M97" t="n">
        <v>300</v>
      </c>
      <c r="N97" t="n">
        <v>0</v>
      </c>
      <c r="O97" t="n">
        <v>3600</v>
      </c>
      <c r="P97" t="n">
        <v>46</v>
      </c>
      <c r="Q97" t="n">
        <v>30</v>
      </c>
      <c r="R97" t="n">
        <v>200</v>
      </c>
      <c r="S97" t="n">
        <v>383</v>
      </c>
      <c r="T97" t="n">
        <v>46</v>
      </c>
      <c r="U97" t="n">
        <v>30</v>
      </c>
      <c r="V97" t="n">
        <v>1</v>
      </c>
      <c r="W97" t="n">
        <v>53</v>
      </c>
      <c r="X97" t="n">
        <v>0</v>
      </c>
      <c r="Y97" t="n">
        <v>3900</v>
      </c>
      <c r="Z97" t="n">
        <v>0</v>
      </c>
      <c r="AA97" t="n">
        <v>570</v>
      </c>
      <c r="AB97" t="n">
        <v>112</v>
      </c>
      <c r="AC97" t="n">
        <v>12</v>
      </c>
      <c r="AD97" t="n">
        <v>160</v>
      </c>
      <c r="AE97" t="n">
        <v>19</v>
      </c>
      <c r="AF97" t="n">
        <v>7</v>
      </c>
      <c r="AG97" t="n">
        <v>20</v>
      </c>
      <c r="AH97" t="n">
        <v>16</v>
      </c>
      <c r="AI97" t="n">
        <v>42</v>
      </c>
      <c r="AJ97" t="n">
        <v>500</v>
      </c>
      <c r="AK97" t="n">
        <v>220</v>
      </c>
      <c r="AL97" t="n">
        <v>28</v>
      </c>
      <c r="AM97" t="n">
        <v>151</v>
      </c>
      <c r="AN97" t="n">
        <v>100</v>
      </c>
      <c r="AO97" t="n">
        <v>2</v>
      </c>
      <c r="AP97" t="n">
        <v>0</v>
      </c>
      <c r="AQ97" t="n">
        <v>0</v>
      </c>
      <c r="AR97" t="n">
        <v>0</v>
      </c>
      <c r="AS97" t="n">
        <v>0</v>
      </c>
      <c r="AT97" t="n">
        <v>628</v>
      </c>
      <c r="AU97" t="n">
        <v>628</v>
      </c>
      <c r="AV97" t="n">
        <v>0</v>
      </c>
      <c r="AW97" t="n">
        <v>1256</v>
      </c>
      <c r="AX97" t="n">
        <v>298</v>
      </c>
      <c r="AY97" t="n">
        <v>0</v>
      </c>
      <c r="AZ97" t="n">
        <v>0</v>
      </c>
      <c r="BA97" t="n">
        <v>298</v>
      </c>
      <c r="BB97" t="n">
        <v>0</v>
      </c>
      <c r="BC97" t="n">
        <v>0</v>
      </c>
      <c r="BD97" t="n">
        <v>0</v>
      </c>
      <c r="BE97" t="n">
        <v>16</v>
      </c>
      <c r="BF97" t="n">
        <v>16</v>
      </c>
      <c r="BG97">
        <f>IF($F97=0,"0",MIN(
BH97/(30*$F97),
BI97/(61*$F97),
BJ97/(48*$F97),
(BK97+BL97)/(23*$F97),
(BM97+BN97)/(41*$F97),
BO97/(25*$F97),
BP97/(6.6*$F97),
BQ97/(40*$F97),
BS97/(16*$F97)
)*100)</f>
        <v/>
      </c>
      <c r="BH97" t="n">
        <v>65</v>
      </c>
      <c r="BI97" t="n">
        <v>68</v>
      </c>
      <c r="BJ97" t="n">
        <v>50</v>
      </c>
      <c r="BK97" t="n">
        <v>12</v>
      </c>
      <c r="BL97" t="n">
        <v>7</v>
      </c>
      <c r="BM97" t="n">
        <v>45</v>
      </c>
      <c r="BN97" t="n">
        <v>28</v>
      </c>
      <c r="BO97" t="n">
        <v>38</v>
      </c>
      <c r="BP97" t="n">
        <v>11</v>
      </c>
      <c r="BQ97" t="n">
        <v>50</v>
      </c>
      <c r="BR97" t="n">
        <v>48</v>
      </c>
      <c r="BS97" t="n">
        <v>16</v>
      </c>
      <c r="BT97" t="n">
        <v>438</v>
      </c>
      <c r="BU97" t="n">
        <v>43</v>
      </c>
      <c r="BV97" t="n">
        <v>110</v>
      </c>
      <c r="BW97" t="n">
        <v>122</v>
      </c>
      <c r="BX97" t="n">
        <v>40</v>
      </c>
      <c r="BY97" t="n">
        <v>52</v>
      </c>
      <c r="BZ97" t="n">
        <v>35</v>
      </c>
      <c r="CA97" t="n">
        <v>402</v>
      </c>
      <c r="CB97" t="n">
        <v>11</v>
      </c>
      <c r="CC97" t="n">
        <v>5</v>
      </c>
      <c r="CD97" t="n">
        <v>84</v>
      </c>
      <c r="CE97" t="n">
        <v>35</v>
      </c>
      <c r="CF97" t="n">
        <v>0.42</v>
      </c>
      <c r="CG97" t="n">
        <v>0</v>
      </c>
      <c r="CH97" t="n">
        <v>0</v>
      </c>
      <c r="CI97" t="n">
        <v>0</v>
      </c>
      <c r="CJ97" t="n">
        <v>0</v>
      </c>
      <c r="CK97" t="n">
        <v>0</v>
      </c>
      <c r="CL97" t="n">
        <v>0</v>
      </c>
      <c r="CM97" t="n">
        <v>0</v>
      </c>
      <c r="CN97" t="n">
        <v>27</v>
      </c>
      <c r="CO97" t="n">
        <v>0</v>
      </c>
      <c r="CP97" t="n">
        <v>4</v>
      </c>
      <c r="CQ97" t="n">
        <v>0</v>
      </c>
      <c r="CR97" t="n">
        <v>0</v>
      </c>
      <c r="CS97" t="n">
        <v>0</v>
      </c>
      <c r="CT97" t="n">
        <v>31</v>
      </c>
      <c r="CU97" t="n">
        <v>0</v>
      </c>
      <c r="CV97" t="n">
        <v>0</v>
      </c>
      <c r="CW97" t="n">
        <v>3</v>
      </c>
      <c r="CX97" t="n">
        <v>0</v>
      </c>
      <c r="CY97" t="n">
        <v>7</v>
      </c>
      <c r="CZ97" t="n">
        <v>0</v>
      </c>
      <c r="DA97" t="n">
        <v>0</v>
      </c>
      <c r="DB97" t="n">
        <v>0</v>
      </c>
      <c r="DC97" t="n">
        <v>10</v>
      </c>
      <c r="DD97" t="n">
        <v>0</v>
      </c>
      <c r="DE97" t="n">
        <v>0</v>
      </c>
      <c r="DF97" t="n">
        <v>35</v>
      </c>
      <c r="DG97" t="n">
        <v>84</v>
      </c>
      <c r="DH97" t="n">
        <v>0</v>
      </c>
      <c r="DI97" t="n">
        <v>0</v>
      </c>
      <c r="DJ97" t="n">
        <v>0</v>
      </c>
      <c r="DK97" t="n">
        <v>0</v>
      </c>
      <c r="DL97" t="n">
        <v>0</v>
      </c>
      <c r="DM97" t="n">
        <v>0</v>
      </c>
      <c r="DN97" t="n">
        <v>0</v>
      </c>
      <c r="DO97" t="n">
        <v>0</v>
      </c>
      <c r="DP97" t="n">
        <v>0</v>
      </c>
      <c r="DQ97" t="n">
        <v>0</v>
      </c>
      <c r="DR97" t="n">
        <v>0</v>
      </c>
      <c r="DS97" t="n">
        <v>119</v>
      </c>
      <c r="DT97" t="n">
        <v>160</v>
      </c>
      <c r="DU97" t="n">
        <v>40</v>
      </c>
      <c r="DV97" t="n">
        <v>0</v>
      </c>
      <c r="DW97" t="n">
        <v>0</v>
      </c>
      <c r="DX97" t="n">
        <v>0</v>
      </c>
      <c r="DY97" t="n">
        <v>306</v>
      </c>
      <c r="DZ97" t="n">
        <v>216</v>
      </c>
      <c r="EA97" t="n">
        <v>648</v>
      </c>
      <c r="EB97" t="n">
        <v>576</v>
      </c>
      <c r="EC97" t="n">
        <v>54</v>
      </c>
      <c r="ED97" t="n">
        <v>414</v>
      </c>
      <c r="EE97" t="n">
        <v>1386</v>
      </c>
      <c r="EF97" t="n">
        <v>0</v>
      </c>
      <c r="EG97" t="n">
        <v>0.3</v>
      </c>
      <c r="EH97" t="n">
        <v>0.5</v>
      </c>
      <c r="EI97" t="n">
        <v>1.4</v>
      </c>
      <c r="EJ97" t="n">
        <v>0.2</v>
      </c>
      <c r="EK97" t="n">
        <v>0.9</v>
      </c>
    </row>
    <row r="98">
      <c r="A98">
        <f>[1]ingredient!B97</f>
        <v/>
      </c>
      <c r="B98" t="inlineStr">
        <is>
          <t>https://www.naehrwertrechner.de/naehrwerte/C660001/Emmer+%28roh%29/?menge=100</t>
        </is>
      </c>
      <c r="C98" s="7">
        <f>_xlfn.XLOOKUP(A98,[1]ingredient!$B$2:$B$521,[1]ingredient!$A$2:$A$521)</f>
        <v/>
      </c>
      <c r="D98" t="n">
        <v>341</v>
      </c>
      <c r="E98" t="n">
        <v>3</v>
      </c>
      <c r="F98" t="n">
        <v>13</v>
      </c>
      <c r="G98" t="n">
        <v>62</v>
      </c>
      <c r="H98" t="n">
        <v>8</v>
      </c>
      <c r="I98" t="n">
        <v>1</v>
      </c>
      <c r="J98" t="n">
        <v>0.06</v>
      </c>
      <c r="K98" t="n">
        <v>13</v>
      </c>
      <c r="L98" t="n">
        <v>0</v>
      </c>
      <c r="M98" t="n">
        <v>0</v>
      </c>
      <c r="N98" t="n">
        <v>0</v>
      </c>
      <c r="O98" t="n">
        <v>0</v>
      </c>
      <c r="P98" t="n">
        <v>500</v>
      </c>
      <c r="Q98" t="n">
        <v>100</v>
      </c>
      <c r="R98" t="n">
        <v>5100</v>
      </c>
      <c r="S98" t="n">
        <v>7400</v>
      </c>
      <c r="T98" t="n">
        <v>1200</v>
      </c>
      <c r="U98" t="n">
        <v>300</v>
      </c>
      <c r="V98" t="n">
        <v>6</v>
      </c>
      <c r="W98" t="n">
        <v>87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8</v>
      </c>
      <c r="AD98" t="n">
        <v>380</v>
      </c>
      <c r="AE98" t="n">
        <v>33</v>
      </c>
      <c r="AF98" t="n">
        <v>97</v>
      </c>
      <c r="AG98" t="n">
        <v>342</v>
      </c>
      <c r="AH98" t="n">
        <v>140</v>
      </c>
      <c r="AI98" t="n">
        <v>55</v>
      </c>
      <c r="AJ98" t="n">
        <v>3200</v>
      </c>
      <c r="AK98" t="n">
        <v>2600</v>
      </c>
      <c r="AL98" t="n">
        <v>400</v>
      </c>
      <c r="AM98" t="n">
        <v>3100</v>
      </c>
      <c r="AN98" t="n">
        <v>100</v>
      </c>
      <c r="AO98" t="n">
        <v>7</v>
      </c>
      <c r="AP98" t="n">
        <v>0</v>
      </c>
      <c r="AQ98" t="n">
        <v>0</v>
      </c>
      <c r="AR98" t="n">
        <v>0</v>
      </c>
      <c r="AS98" t="n">
        <v>0</v>
      </c>
      <c r="AT98" t="n">
        <v>64</v>
      </c>
      <c r="AU98" t="n">
        <v>44</v>
      </c>
      <c r="AV98" t="n">
        <v>0</v>
      </c>
      <c r="AW98" t="n">
        <v>108</v>
      </c>
      <c r="AX98" t="n">
        <v>600</v>
      </c>
      <c r="AY98" t="n">
        <v>0</v>
      </c>
      <c r="AZ98" t="n">
        <v>0</v>
      </c>
      <c r="BA98" t="n">
        <v>631</v>
      </c>
      <c r="BB98" t="n">
        <v>376</v>
      </c>
      <c r="BC98" t="n">
        <v>170</v>
      </c>
      <c r="BD98" t="n">
        <v>0</v>
      </c>
      <c r="BE98" t="n">
        <v>61186</v>
      </c>
      <c r="BF98" t="n">
        <v>0</v>
      </c>
      <c r="BG98">
        <f>IF($F98=0,"0",MIN(
BH98/(30*$F98),
BI98/(61*$F98),
BJ98/(48*$F98),
(BK98+BL98)/(23*$F98),
(BM98+BN98)/(41*$F98),
BO98/(25*$F98),
BP98/(6.6*$F98),
BQ98/(40*$F98),
BS98/(16*$F98)
)*100)</f>
        <v/>
      </c>
      <c r="BH98" t="n">
        <v>493</v>
      </c>
      <c r="BI98" t="n">
        <v>841</v>
      </c>
      <c r="BJ98" t="n">
        <v>348</v>
      </c>
      <c r="BK98" t="n">
        <v>202</v>
      </c>
      <c r="BL98" t="n">
        <v>265</v>
      </c>
      <c r="BM98" t="n">
        <v>586</v>
      </c>
      <c r="BN98" t="n">
        <v>375</v>
      </c>
      <c r="BO98" t="n">
        <v>393</v>
      </c>
      <c r="BP98" t="n">
        <v>138</v>
      </c>
      <c r="BQ98" t="n">
        <v>567</v>
      </c>
      <c r="BR98" t="n">
        <v>567</v>
      </c>
      <c r="BS98" t="n">
        <v>257</v>
      </c>
      <c r="BT98" t="n">
        <v>5031</v>
      </c>
      <c r="BU98" t="n">
        <v>467</v>
      </c>
      <c r="BV98" t="n">
        <v>640</v>
      </c>
      <c r="BW98" t="n">
        <v>3730</v>
      </c>
      <c r="BX98" t="n">
        <v>658</v>
      </c>
      <c r="BY98" t="n">
        <v>1426</v>
      </c>
      <c r="BZ98" t="n">
        <v>650</v>
      </c>
      <c r="CA98" t="n">
        <v>7569</v>
      </c>
      <c r="CB98" t="n">
        <v>51</v>
      </c>
      <c r="CC98" t="n">
        <v>21</v>
      </c>
      <c r="CD98" t="n">
        <v>100</v>
      </c>
      <c r="CE98" t="n">
        <v>1205</v>
      </c>
      <c r="CF98" t="n">
        <v>12.05</v>
      </c>
      <c r="CG98" t="n">
        <v>0</v>
      </c>
      <c r="CH98" t="n">
        <v>0</v>
      </c>
      <c r="CI98" t="n">
        <v>0</v>
      </c>
      <c r="CJ98" t="n">
        <v>0</v>
      </c>
      <c r="CK98" t="n">
        <v>2</v>
      </c>
      <c r="CL98" t="n">
        <v>2</v>
      </c>
      <c r="CM98" t="n">
        <v>2</v>
      </c>
      <c r="CN98" t="n">
        <v>434</v>
      </c>
      <c r="CO98" t="n">
        <v>0</v>
      </c>
      <c r="CP98" t="n">
        <v>20</v>
      </c>
      <c r="CQ98" t="n">
        <v>17</v>
      </c>
      <c r="CR98" t="n">
        <v>0</v>
      </c>
      <c r="CS98" t="n">
        <v>0</v>
      </c>
      <c r="CT98" t="n">
        <v>500</v>
      </c>
      <c r="CU98" t="n">
        <v>0</v>
      </c>
      <c r="CV98" t="n">
        <v>0</v>
      </c>
      <c r="CW98" t="n">
        <v>12</v>
      </c>
      <c r="CX98" t="n">
        <v>0</v>
      </c>
      <c r="CY98" t="n">
        <v>269</v>
      </c>
      <c r="CZ98" t="n">
        <v>9</v>
      </c>
      <c r="DA98" t="n">
        <v>0</v>
      </c>
      <c r="DB98" t="n">
        <v>0</v>
      </c>
      <c r="DC98" t="n">
        <v>300</v>
      </c>
      <c r="DD98" t="n">
        <v>0</v>
      </c>
      <c r="DE98" t="n">
        <v>0</v>
      </c>
      <c r="DF98" t="n">
        <v>1200</v>
      </c>
      <c r="DG98" t="n">
        <v>100</v>
      </c>
      <c r="DH98" t="n">
        <v>0</v>
      </c>
      <c r="DI98" t="n">
        <v>0</v>
      </c>
      <c r="DJ98" t="n">
        <v>0</v>
      </c>
      <c r="DK98" t="n">
        <v>0</v>
      </c>
      <c r="DL98" t="n">
        <v>5</v>
      </c>
      <c r="DM98" t="n">
        <v>0</v>
      </c>
      <c r="DN98" t="n">
        <v>0</v>
      </c>
      <c r="DO98" t="n">
        <v>0</v>
      </c>
      <c r="DP98" t="n">
        <v>0</v>
      </c>
      <c r="DQ98" t="n">
        <v>0</v>
      </c>
      <c r="DR98" t="n">
        <v>0</v>
      </c>
      <c r="DS98" t="n">
        <v>1200</v>
      </c>
      <c r="DT98" t="n">
        <v>2014</v>
      </c>
      <c r="DU98" t="n">
        <v>786</v>
      </c>
      <c r="DV98" t="n">
        <v>0</v>
      </c>
      <c r="DW98" t="n">
        <v>0</v>
      </c>
      <c r="DX98" t="n">
        <v>0</v>
      </c>
      <c r="DY98" t="n">
        <v>3065</v>
      </c>
      <c r="DZ98" t="n">
        <v>2299</v>
      </c>
      <c r="EA98" t="n">
        <v>536</v>
      </c>
      <c r="EB98" t="n">
        <v>1618</v>
      </c>
      <c r="EC98" t="n">
        <v>383</v>
      </c>
      <c r="ED98" t="n">
        <v>1722</v>
      </c>
      <c r="EE98" t="n">
        <v>6178</v>
      </c>
      <c r="EF98" t="n">
        <v>0</v>
      </c>
      <c r="EG98" t="n">
        <v>0</v>
      </c>
      <c r="EH98" t="n">
        <v>1.1</v>
      </c>
      <c r="EI98" t="n">
        <v>6.2</v>
      </c>
      <c r="EJ98" t="n">
        <v>2.8</v>
      </c>
      <c r="EK98" t="n">
        <v>12.8</v>
      </c>
    </row>
    <row r="99">
      <c r="A99">
        <f>[1]ingredient!B98</f>
        <v/>
      </c>
      <c r="B99" t="inlineStr">
        <is>
          <t>https://www.naehrwertrechner.de/naehrwerte/E520011/Vollkornteigwaren+eifrei/?menge=100</t>
        </is>
      </c>
      <c r="C99" s="7">
        <f>_xlfn.XLOOKUP(A99,[1]ingredient!$B$2:$B$521,[1]ingredient!$A$2:$A$521)</f>
        <v/>
      </c>
      <c r="D99" t="n">
        <v>344</v>
      </c>
      <c r="E99" t="n">
        <v>2.9</v>
      </c>
      <c r="F99" t="n">
        <v>11.5</v>
      </c>
      <c r="G99" t="n">
        <v>65</v>
      </c>
      <c r="H99" t="n">
        <v>5.8</v>
      </c>
      <c r="I99" t="n">
        <v>3.5</v>
      </c>
      <c r="J99" t="n">
        <v>0.01</v>
      </c>
      <c r="K99" t="n">
        <v>11</v>
      </c>
      <c r="L99" t="n">
        <v>0</v>
      </c>
      <c r="M99" t="n">
        <v>0</v>
      </c>
      <c r="N99" t="n">
        <v>0</v>
      </c>
      <c r="O99" t="n">
        <v>0</v>
      </c>
      <c r="P99" t="n">
        <v>670</v>
      </c>
      <c r="Q99" t="n">
        <v>110</v>
      </c>
      <c r="R99" t="n">
        <v>3100</v>
      </c>
      <c r="S99" t="n">
        <v>5333</v>
      </c>
      <c r="T99" t="n">
        <v>800</v>
      </c>
      <c r="U99" t="n">
        <v>200</v>
      </c>
      <c r="V99" t="n">
        <v>1</v>
      </c>
      <c r="W99" t="n">
        <v>40</v>
      </c>
      <c r="X99" t="n">
        <v>0</v>
      </c>
      <c r="Y99" t="n">
        <v>0</v>
      </c>
      <c r="Z99" t="n">
        <v>0</v>
      </c>
      <c r="AA99" t="n">
        <v>250</v>
      </c>
      <c r="AB99" t="n">
        <v>0</v>
      </c>
      <c r="AC99" t="n">
        <v>5</v>
      </c>
      <c r="AD99" t="n">
        <v>390</v>
      </c>
      <c r="AE99" t="n">
        <v>34</v>
      </c>
      <c r="AF99" t="n">
        <v>120</v>
      </c>
      <c r="AG99" t="n">
        <v>370</v>
      </c>
      <c r="AH99" t="n">
        <v>190</v>
      </c>
      <c r="AI99" t="n">
        <v>22</v>
      </c>
      <c r="AJ99" t="n">
        <v>3900</v>
      </c>
      <c r="AK99" t="n">
        <v>3000</v>
      </c>
      <c r="AL99" t="n">
        <v>510</v>
      </c>
      <c r="AM99" t="n">
        <v>264</v>
      </c>
      <c r="AN99" t="n">
        <v>40</v>
      </c>
      <c r="AO99" t="n">
        <v>2</v>
      </c>
      <c r="AP99" t="n">
        <v>0</v>
      </c>
      <c r="AQ99" t="n">
        <v>0</v>
      </c>
      <c r="AR99" t="n">
        <v>0</v>
      </c>
      <c r="AS99" t="n">
        <v>0</v>
      </c>
      <c r="AT99" t="n">
        <v>61</v>
      </c>
      <c r="AU99" t="n">
        <v>61</v>
      </c>
      <c r="AV99" t="n">
        <v>0</v>
      </c>
      <c r="AW99" t="n">
        <v>122</v>
      </c>
      <c r="AX99" t="n">
        <v>606</v>
      </c>
      <c r="AY99" t="n">
        <v>0</v>
      </c>
      <c r="AZ99" t="n">
        <v>0</v>
      </c>
      <c r="BA99" t="n">
        <v>606</v>
      </c>
      <c r="BB99" t="n">
        <v>364</v>
      </c>
      <c r="BC99" t="n">
        <v>0</v>
      </c>
      <c r="BD99" t="n">
        <v>0</v>
      </c>
      <c r="BE99" t="n">
        <v>59508</v>
      </c>
      <c r="BF99" t="n">
        <v>59508</v>
      </c>
      <c r="BG99">
        <f>IF($F99=0,"0",MIN(
BH99/(30*$F99),
BI99/(61*$F99),
BJ99/(48*$F99),
(BK99+BL99)/(23*$F99),
(BM99+BN99)/(41*$F99),
BO99/(25*$F99),
BP99/(6.6*$F99),
BQ99/(40*$F99),
BS99/(16*$F99)
)*100)</f>
        <v/>
      </c>
      <c r="BH99" t="n">
        <v>523</v>
      </c>
      <c r="BI99" t="n">
        <v>898</v>
      </c>
      <c r="BJ99" t="n">
        <v>362</v>
      </c>
      <c r="BK99" t="n">
        <v>201</v>
      </c>
      <c r="BL99" t="n">
        <v>268</v>
      </c>
      <c r="BM99" t="n">
        <v>616</v>
      </c>
      <c r="BN99" t="n">
        <v>402</v>
      </c>
      <c r="BO99" t="n">
        <v>389</v>
      </c>
      <c r="BP99" t="n">
        <v>134</v>
      </c>
      <c r="BQ99" t="n">
        <v>603</v>
      </c>
      <c r="BR99" t="n">
        <v>603</v>
      </c>
      <c r="BS99" t="n">
        <v>255</v>
      </c>
      <c r="BT99" t="n">
        <v>5254</v>
      </c>
      <c r="BU99" t="n">
        <v>469</v>
      </c>
      <c r="BV99" t="n">
        <v>657</v>
      </c>
      <c r="BW99" t="n">
        <v>4059</v>
      </c>
      <c r="BX99" t="n">
        <v>616</v>
      </c>
      <c r="BY99" t="n">
        <v>1528</v>
      </c>
      <c r="BZ99" t="n">
        <v>683</v>
      </c>
      <c r="CA99" t="n">
        <v>8012</v>
      </c>
      <c r="CB99" t="n">
        <v>80</v>
      </c>
      <c r="CC99" t="n">
        <v>33</v>
      </c>
      <c r="CD99" t="n">
        <v>72</v>
      </c>
      <c r="CE99" t="n">
        <v>1073</v>
      </c>
      <c r="CF99" t="n">
        <v>14.9</v>
      </c>
      <c r="CG99" t="n">
        <v>0</v>
      </c>
      <c r="CH99" t="n">
        <v>0</v>
      </c>
      <c r="CI99" t="n">
        <v>0</v>
      </c>
      <c r="CJ99" t="n">
        <v>0</v>
      </c>
      <c r="CK99" t="n">
        <v>2</v>
      </c>
      <c r="CL99" t="n">
        <v>4</v>
      </c>
      <c r="CM99" t="n">
        <v>2</v>
      </c>
      <c r="CN99" t="n">
        <v>324</v>
      </c>
      <c r="CO99" t="n">
        <v>0</v>
      </c>
      <c r="CP99" t="n">
        <v>18</v>
      </c>
      <c r="CQ99" t="n">
        <v>14</v>
      </c>
      <c r="CR99" t="n">
        <v>0</v>
      </c>
      <c r="CS99" t="n">
        <v>0</v>
      </c>
      <c r="CT99" t="n">
        <v>364</v>
      </c>
      <c r="CU99" t="n">
        <v>0</v>
      </c>
      <c r="CV99" t="n">
        <v>0</v>
      </c>
      <c r="CW99" t="n">
        <v>9</v>
      </c>
      <c r="CX99" t="n">
        <v>0</v>
      </c>
      <c r="CY99" t="n">
        <v>275</v>
      </c>
      <c r="CZ99" t="n">
        <v>7</v>
      </c>
      <c r="DA99" t="n">
        <v>0</v>
      </c>
      <c r="DB99" t="n">
        <v>0</v>
      </c>
      <c r="DC99" t="n">
        <v>291</v>
      </c>
      <c r="DD99" t="n">
        <v>0</v>
      </c>
      <c r="DE99" t="n">
        <v>0</v>
      </c>
      <c r="DF99" t="n">
        <v>1069</v>
      </c>
      <c r="DG99" t="n">
        <v>72</v>
      </c>
      <c r="DH99" t="n">
        <v>0</v>
      </c>
      <c r="DI99" t="n">
        <v>0</v>
      </c>
      <c r="DJ99" t="n">
        <v>0</v>
      </c>
      <c r="DK99" t="n">
        <v>0</v>
      </c>
      <c r="DL99" t="n">
        <v>4</v>
      </c>
      <c r="DM99" t="n">
        <v>0</v>
      </c>
      <c r="DN99" t="n">
        <v>0</v>
      </c>
      <c r="DO99" t="n">
        <v>0</v>
      </c>
      <c r="DP99" t="n">
        <v>0</v>
      </c>
      <c r="DQ99" t="n">
        <v>0</v>
      </c>
      <c r="DR99" t="n">
        <v>0</v>
      </c>
      <c r="DS99" t="n">
        <v>1145</v>
      </c>
      <c r="DT99" t="n">
        <v>1800</v>
      </c>
      <c r="DU99" t="n">
        <v>700</v>
      </c>
      <c r="DV99" t="n">
        <v>0</v>
      </c>
      <c r="DW99" t="n">
        <v>0</v>
      </c>
      <c r="DX99" t="n">
        <v>0</v>
      </c>
      <c r="DY99" t="n">
        <v>4600</v>
      </c>
      <c r="DZ99" t="n">
        <v>3450</v>
      </c>
      <c r="EA99" t="n">
        <v>805</v>
      </c>
      <c r="EB99" t="n">
        <v>2070</v>
      </c>
      <c r="EC99" t="n">
        <v>575</v>
      </c>
      <c r="ED99" t="n">
        <v>2875</v>
      </c>
      <c r="EE99" t="n">
        <v>8625</v>
      </c>
      <c r="EF99" t="n">
        <v>0</v>
      </c>
      <c r="EG99" t="n">
        <v>0</v>
      </c>
      <c r="EH99" t="n">
        <v>1.5</v>
      </c>
      <c r="EI99" t="n">
        <v>8.6</v>
      </c>
      <c r="EJ99" t="n">
        <v>2.5</v>
      </c>
      <c r="EK99" t="n">
        <v>13.5</v>
      </c>
    </row>
    <row r="100">
      <c r="A100">
        <f>[1]ingredient!B99</f>
        <v/>
      </c>
      <c r="B100" t="inlineStr">
        <is>
          <t>https://www.naehrwertrechner.de/naehrwerte/E520011/Vollkornteigwaren+eifrei/?menge=100</t>
        </is>
      </c>
      <c r="C100" s="7">
        <f>_xlfn.XLOOKUP(A100,[1]ingredient!$B$2:$B$521,[1]ingredient!$A$2:$A$521)</f>
        <v/>
      </c>
      <c r="D100" t="n">
        <v>344</v>
      </c>
      <c r="E100" t="n">
        <v>2.9</v>
      </c>
      <c r="F100" t="n">
        <v>11.5</v>
      </c>
      <c r="G100" t="n">
        <v>65</v>
      </c>
      <c r="H100" t="n">
        <v>5.8</v>
      </c>
      <c r="I100" t="n">
        <v>3.5</v>
      </c>
      <c r="J100" t="n">
        <v>0.01</v>
      </c>
      <c r="K100" t="n">
        <v>11</v>
      </c>
      <c r="L100" t="n">
        <v>0</v>
      </c>
      <c r="M100" t="n">
        <v>0</v>
      </c>
      <c r="N100" t="n">
        <v>0</v>
      </c>
      <c r="O100" t="n">
        <v>0</v>
      </c>
      <c r="P100" t="n">
        <v>670</v>
      </c>
      <c r="Q100" t="n">
        <v>110</v>
      </c>
      <c r="R100" t="n">
        <v>3100</v>
      </c>
      <c r="S100" t="n">
        <v>5333</v>
      </c>
      <c r="T100" t="n">
        <v>800</v>
      </c>
      <c r="U100" t="n">
        <v>200</v>
      </c>
      <c r="V100" t="n">
        <v>1</v>
      </c>
      <c r="W100" t="n">
        <v>40</v>
      </c>
      <c r="X100" t="n">
        <v>0</v>
      </c>
      <c r="Y100" t="n">
        <v>0</v>
      </c>
      <c r="Z100" t="n">
        <v>0</v>
      </c>
      <c r="AA100" t="n">
        <v>250</v>
      </c>
      <c r="AB100" t="n">
        <v>0</v>
      </c>
      <c r="AC100" t="n">
        <v>5</v>
      </c>
      <c r="AD100" t="n">
        <v>390</v>
      </c>
      <c r="AE100" t="n">
        <v>34</v>
      </c>
      <c r="AF100" t="n">
        <v>120</v>
      </c>
      <c r="AG100" t="n">
        <v>370</v>
      </c>
      <c r="AH100" t="n">
        <v>190</v>
      </c>
      <c r="AI100" t="n">
        <v>22</v>
      </c>
      <c r="AJ100" t="n">
        <v>3900</v>
      </c>
      <c r="AK100" t="n">
        <v>3000</v>
      </c>
      <c r="AL100" t="n">
        <v>510</v>
      </c>
      <c r="AM100" t="n">
        <v>264</v>
      </c>
      <c r="AN100" t="n">
        <v>40</v>
      </c>
      <c r="AO100" t="n">
        <v>2</v>
      </c>
      <c r="AP100" t="n">
        <v>0</v>
      </c>
      <c r="AQ100" t="n">
        <v>0</v>
      </c>
      <c r="AR100" t="n">
        <v>0</v>
      </c>
      <c r="AS100" t="n">
        <v>0</v>
      </c>
      <c r="AT100" t="n">
        <v>61</v>
      </c>
      <c r="AU100" t="n">
        <v>61</v>
      </c>
      <c r="AV100" t="n">
        <v>0</v>
      </c>
      <c r="AW100" t="n">
        <v>122</v>
      </c>
      <c r="AX100" t="n">
        <v>606</v>
      </c>
      <c r="AY100" t="n">
        <v>0</v>
      </c>
      <c r="AZ100" t="n">
        <v>0</v>
      </c>
      <c r="BA100" t="n">
        <v>606</v>
      </c>
      <c r="BB100" t="n">
        <v>364</v>
      </c>
      <c r="BC100" t="n">
        <v>0</v>
      </c>
      <c r="BD100" t="n">
        <v>0</v>
      </c>
      <c r="BE100" t="n">
        <v>59508</v>
      </c>
      <c r="BF100" t="n">
        <v>59508</v>
      </c>
      <c r="BG100">
        <f>IF($F100=0,"0",MIN(
BH100/(30*$F100),
BI100/(61*$F100),
BJ100/(48*$F100),
(BK100+BL100)/(23*$F100),
(BM100+BN100)/(41*$F100),
BO100/(25*$F100),
BP100/(6.6*$F100),
BQ100/(40*$F100),
BS100/(16*$F100)
)*100)</f>
        <v/>
      </c>
      <c r="BH100" t="n">
        <v>523</v>
      </c>
      <c r="BI100" t="n">
        <v>898</v>
      </c>
      <c r="BJ100" t="n">
        <v>362</v>
      </c>
      <c r="BK100" t="n">
        <v>201</v>
      </c>
      <c r="BL100" t="n">
        <v>268</v>
      </c>
      <c r="BM100" t="n">
        <v>616</v>
      </c>
      <c r="BN100" t="n">
        <v>402</v>
      </c>
      <c r="BO100" t="n">
        <v>389</v>
      </c>
      <c r="BP100" t="n">
        <v>134</v>
      </c>
      <c r="BQ100" t="n">
        <v>603</v>
      </c>
      <c r="BR100" t="n">
        <v>603</v>
      </c>
      <c r="BS100" t="n">
        <v>255</v>
      </c>
      <c r="BT100" t="n">
        <v>5254</v>
      </c>
      <c r="BU100" t="n">
        <v>469</v>
      </c>
      <c r="BV100" t="n">
        <v>657</v>
      </c>
      <c r="BW100" t="n">
        <v>4059</v>
      </c>
      <c r="BX100" t="n">
        <v>616</v>
      </c>
      <c r="BY100" t="n">
        <v>1528</v>
      </c>
      <c r="BZ100" t="n">
        <v>683</v>
      </c>
      <c r="CA100" t="n">
        <v>8012</v>
      </c>
      <c r="CB100" t="n">
        <v>80</v>
      </c>
      <c r="CC100" t="n">
        <v>33</v>
      </c>
      <c r="CD100" t="n">
        <v>72</v>
      </c>
      <c r="CE100" t="n">
        <v>1073</v>
      </c>
      <c r="CF100" t="n">
        <v>14.9</v>
      </c>
      <c r="CG100" t="n">
        <v>0</v>
      </c>
      <c r="CH100" t="n">
        <v>0</v>
      </c>
      <c r="CI100" t="n">
        <v>0</v>
      </c>
      <c r="CJ100" t="n">
        <v>0</v>
      </c>
      <c r="CK100" t="n">
        <v>2</v>
      </c>
      <c r="CL100" t="n">
        <v>4</v>
      </c>
      <c r="CM100" t="n">
        <v>2</v>
      </c>
      <c r="CN100" t="n">
        <v>324</v>
      </c>
      <c r="CO100" t="n">
        <v>0</v>
      </c>
      <c r="CP100" t="n">
        <v>18</v>
      </c>
      <c r="CQ100" t="n">
        <v>14</v>
      </c>
      <c r="CR100" t="n">
        <v>0</v>
      </c>
      <c r="CS100" t="n">
        <v>0</v>
      </c>
      <c r="CT100" t="n">
        <v>364</v>
      </c>
      <c r="CU100" t="n">
        <v>0</v>
      </c>
      <c r="CV100" t="n">
        <v>0</v>
      </c>
      <c r="CW100" t="n">
        <v>9</v>
      </c>
      <c r="CX100" t="n">
        <v>0</v>
      </c>
      <c r="CY100" t="n">
        <v>275</v>
      </c>
      <c r="CZ100" t="n">
        <v>7</v>
      </c>
      <c r="DA100" t="n">
        <v>0</v>
      </c>
      <c r="DB100" t="n">
        <v>0</v>
      </c>
      <c r="DC100" t="n">
        <v>291</v>
      </c>
      <c r="DD100" t="n">
        <v>0</v>
      </c>
      <c r="DE100" t="n">
        <v>0</v>
      </c>
      <c r="DF100" t="n">
        <v>1069</v>
      </c>
      <c r="DG100" t="n">
        <v>72</v>
      </c>
      <c r="DH100" t="n">
        <v>0</v>
      </c>
      <c r="DI100" t="n">
        <v>0</v>
      </c>
      <c r="DJ100" t="n">
        <v>0</v>
      </c>
      <c r="DK100" t="n">
        <v>0</v>
      </c>
      <c r="DL100" t="n">
        <v>4</v>
      </c>
      <c r="DM100" t="n">
        <v>0</v>
      </c>
      <c r="DN100" t="n">
        <v>0</v>
      </c>
      <c r="DO100" t="n">
        <v>0</v>
      </c>
      <c r="DP100" t="n">
        <v>0</v>
      </c>
      <c r="DQ100" t="n">
        <v>0</v>
      </c>
      <c r="DR100" t="n">
        <v>0</v>
      </c>
      <c r="DS100" t="n">
        <v>1145</v>
      </c>
      <c r="DT100" t="n">
        <v>1800</v>
      </c>
      <c r="DU100" t="n">
        <v>700</v>
      </c>
      <c r="DV100" t="n">
        <v>0</v>
      </c>
      <c r="DW100" t="n">
        <v>0</v>
      </c>
      <c r="DX100" t="n">
        <v>0</v>
      </c>
      <c r="DY100" t="n">
        <v>4600</v>
      </c>
      <c r="DZ100" t="n">
        <v>3450</v>
      </c>
      <c r="EA100" t="n">
        <v>805</v>
      </c>
      <c r="EB100" t="n">
        <v>2070</v>
      </c>
      <c r="EC100" t="n">
        <v>575</v>
      </c>
      <c r="ED100" t="n">
        <v>2875</v>
      </c>
      <c r="EE100" t="n">
        <v>8625</v>
      </c>
      <c r="EF100" t="n">
        <v>0</v>
      </c>
      <c r="EG100" t="n">
        <v>0</v>
      </c>
      <c r="EH100" t="n">
        <v>1.5</v>
      </c>
      <c r="EI100" t="n">
        <v>8.6</v>
      </c>
      <c r="EJ100" t="n">
        <v>2.5</v>
      </c>
      <c r="EK100" t="n">
        <v>13.5</v>
      </c>
    </row>
    <row r="101">
      <c r="A101">
        <f>[1]ingredient!B100</f>
        <v/>
      </c>
      <c r="B101" t="inlineStr">
        <is>
          <t>https://www.naehrwertrechner.de/naehrwerte/G102111/Endivien+frisch/?menge=100</t>
        </is>
      </c>
      <c r="C101" s="7">
        <f>_xlfn.XLOOKUP(A101,[1]ingredient!$B$2:$B$521,[1]ingredient!$A$2:$A$521)</f>
        <v/>
      </c>
      <c r="D101" t="n">
        <v>11</v>
      </c>
      <c r="E101" t="n">
        <v>0.2</v>
      </c>
      <c r="F101" t="n">
        <v>2</v>
      </c>
      <c r="G101" t="n">
        <v>0.3</v>
      </c>
      <c r="H101" t="n">
        <v>1</v>
      </c>
      <c r="I101" t="n">
        <v>0.29</v>
      </c>
      <c r="J101" t="n">
        <v>0.12</v>
      </c>
      <c r="K101" t="n">
        <v>95</v>
      </c>
      <c r="L101" t="n">
        <v>280</v>
      </c>
      <c r="M101" t="n">
        <v>140</v>
      </c>
      <c r="N101" t="n">
        <v>0</v>
      </c>
      <c r="O101" t="n">
        <v>1681</v>
      </c>
      <c r="P101" t="n">
        <v>52</v>
      </c>
      <c r="Q101" t="n">
        <v>120</v>
      </c>
      <c r="R101" t="n">
        <v>410</v>
      </c>
      <c r="S101" t="n">
        <v>727</v>
      </c>
      <c r="T101" t="n">
        <v>900</v>
      </c>
      <c r="U101" t="n">
        <v>50</v>
      </c>
      <c r="V101" t="n">
        <v>1</v>
      </c>
      <c r="W101" t="n">
        <v>49</v>
      </c>
      <c r="X101" t="n">
        <v>0</v>
      </c>
      <c r="Y101" t="n">
        <v>10000</v>
      </c>
      <c r="Z101" t="n">
        <v>0</v>
      </c>
      <c r="AA101" t="n">
        <v>1000</v>
      </c>
      <c r="AB101" t="n">
        <v>200</v>
      </c>
      <c r="AC101" t="n">
        <v>53</v>
      </c>
      <c r="AD101" t="n">
        <v>346</v>
      </c>
      <c r="AE101" t="n">
        <v>54</v>
      </c>
      <c r="AF101" t="n">
        <v>10</v>
      </c>
      <c r="AG101" t="n">
        <v>54</v>
      </c>
      <c r="AH101" t="n">
        <v>26</v>
      </c>
      <c r="AI101" t="n">
        <v>71</v>
      </c>
      <c r="AJ101" t="n">
        <v>1400</v>
      </c>
      <c r="AK101" t="n">
        <v>355</v>
      </c>
      <c r="AL101" t="n">
        <v>44</v>
      </c>
      <c r="AM101" t="n">
        <v>153</v>
      </c>
      <c r="AN101" t="n">
        <v>62</v>
      </c>
      <c r="AO101" t="n">
        <v>6</v>
      </c>
      <c r="AP101" t="n">
        <v>0</v>
      </c>
      <c r="AQ101" t="n">
        <v>0</v>
      </c>
      <c r="AR101" t="n">
        <v>0</v>
      </c>
      <c r="AS101" t="n">
        <v>0</v>
      </c>
      <c r="AT101" t="n">
        <v>21</v>
      </c>
      <c r="AU101" t="n">
        <v>51</v>
      </c>
      <c r="AV101" t="n">
        <v>0</v>
      </c>
      <c r="AW101" t="n">
        <v>72</v>
      </c>
      <c r="AX101" t="n">
        <v>222</v>
      </c>
      <c r="AY101" t="n">
        <v>0</v>
      </c>
      <c r="AZ101" t="n">
        <v>0</v>
      </c>
      <c r="BA101" t="n">
        <v>222</v>
      </c>
      <c r="BB101" t="n">
        <v>0</v>
      </c>
      <c r="BC101" t="n">
        <v>0</v>
      </c>
      <c r="BD101" t="n">
        <v>0</v>
      </c>
      <c r="BE101" t="n">
        <v>6</v>
      </c>
      <c r="BF101" t="n">
        <v>6</v>
      </c>
      <c r="BG101">
        <f>IF($F101=0,"0",MIN(
BH101/(30*$F101),
BI101/(61*$F101),
BJ101/(48*$F101),
(BK101+BL101)/(23*$F101),
(BM101+BN101)/(41*$F101),
BO101/(25*$F101),
BP101/(6.6*$F101),
BQ101/(40*$F101),
BS101/(16*$F101)
)*100)</f>
        <v/>
      </c>
      <c r="BH101" t="n">
        <v>114</v>
      </c>
      <c r="BI101" t="n">
        <v>117</v>
      </c>
      <c r="BJ101" t="n">
        <v>88</v>
      </c>
      <c r="BK101" t="n">
        <v>21</v>
      </c>
      <c r="BL101" t="n">
        <v>12</v>
      </c>
      <c r="BM101" t="n">
        <v>79</v>
      </c>
      <c r="BN101" t="n">
        <v>49</v>
      </c>
      <c r="BO101" t="n">
        <v>67</v>
      </c>
      <c r="BP101" t="n">
        <v>19</v>
      </c>
      <c r="BQ101" t="n">
        <v>88</v>
      </c>
      <c r="BR101" t="n">
        <v>84</v>
      </c>
      <c r="BS101" t="n">
        <v>28</v>
      </c>
      <c r="BT101" t="n">
        <v>766</v>
      </c>
      <c r="BU101" t="n">
        <v>75</v>
      </c>
      <c r="BV101" t="n">
        <v>193</v>
      </c>
      <c r="BW101" t="n">
        <v>214</v>
      </c>
      <c r="BX101" t="n">
        <v>70</v>
      </c>
      <c r="BY101" t="n">
        <v>91</v>
      </c>
      <c r="BZ101" t="n">
        <v>61</v>
      </c>
      <c r="CA101" t="n">
        <v>704</v>
      </c>
      <c r="CB101" t="n">
        <v>11</v>
      </c>
      <c r="CC101" t="n">
        <v>5</v>
      </c>
      <c r="CD101" t="n">
        <v>16</v>
      </c>
      <c r="CE101" t="n">
        <v>86</v>
      </c>
      <c r="CF101" t="n">
        <v>5.38</v>
      </c>
      <c r="CG101" t="n">
        <v>0</v>
      </c>
      <c r="CH101" t="n">
        <v>0</v>
      </c>
      <c r="CI101" t="n">
        <v>0</v>
      </c>
      <c r="CJ101" t="n">
        <v>0</v>
      </c>
      <c r="CK101" t="n">
        <v>0</v>
      </c>
      <c r="CL101" t="n">
        <v>3</v>
      </c>
      <c r="CM101" t="n">
        <v>0</v>
      </c>
      <c r="CN101" t="n">
        <v>48</v>
      </c>
      <c r="CO101" t="n">
        <v>0</v>
      </c>
      <c r="CP101" t="n">
        <v>2</v>
      </c>
      <c r="CQ101" t="n">
        <v>0</v>
      </c>
      <c r="CR101" t="n">
        <v>0</v>
      </c>
      <c r="CS101" t="n">
        <v>0</v>
      </c>
      <c r="CT101" t="n">
        <v>53</v>
      </c>
      <c r="CU101" t="n">
        <v>0</v>
      </c>
      <c r="CV101" t="n">
        <v>0</v>
      </c>
      <c r="CW101" t="n">
        <v>0</v>
      </c>
      <c r="CX101" t="n">
        <v>0</v>
      </c>
      <c r="CY101" t="n">
        <v>5</v>
      </c>
      <c r="CZ101" t="n">
        <v>0</v>
      </c>
      <c r="DA101" t="n">
        <v>0</v>
      </c>
      <c r="DB101" t="n">
        <v>0</v>
      </c>
      <c r="DC101" t="n">
        <v>5</v>
      </c>
      <c r="DD101" t="n">
        <v>0</v>
      </c>
      <c r="DE101" t="n">
        <v>0</v>
      </c>
      <c r="DF101" t="n">
        <v>86</v>
      </c>
      <c r="DG101" t="n">
        <v>16</v>
      </c>
      <c r="DH101" t="n">
        <v>0</v>
      </c>
      <c r="DI101" t="n">
        <v>0</v>
      </c>
      <c r="DJ101" t="n">
        <v>0</v>
      </c>
      <c r="DK101" t="n">
        <v>0</v>
      </c>
      <c r="DL101" t="n">
        <v>0</v>
      </c>
      <c r="DM101" t="n">
        <v>0</v>
      </c>
      <c r="DN101" t="n">
        <v>0</v>
      </c>
      <c r="DO101" t="n">
        <v>0</v>
      </c>
      <c r="DP101" t="n">
        <v>0</v>
      </c>
      <c r="DQ101" t="n">
        <v>0</v>
      </c>
      <c r="DR101" t="n">
        <v>0</v>
      </c>
      <c r="DS101" t="n">
        <v>102</v>
      </c>
      <c r="DT101" t="n">
        <v>160</v>
      </c>
      <c r="DU101" t="n">
        <v>40</v>
      </c>
      <c r="DV101" t="n">
        <v>0</v>
      </c>
      <c r="DW101" t="n">
        <v>0</v>
      </c>
      <c r="DX101" t="n">
        <v>0</v>
      </c>
      <c r="DY101" t="n">
        <v>207</v>
      </c>
      <c r="DZ101" t="n">
        <v>146</v>
      </c>
      <c r="EA101" t="n">
        <v>440</v>
      </c>
      <c r="EB101" t="n">
        <v>390</v>
      </c>
      <c r="EC101" t="n">
        <v>37</v>
      </c>
      <c r="ED101" t="n">
        <v>293</v>
      </c>
      <c r="EE101" t="n">
        <v>927</v>
      </c>
      <c r="EF101" t="n">
        <v>0</v>
      </c>
      <c r="EG101" t="n">
        <v>0.28</v>
      </c>
      <c r="EH101" t="n">
        <v>0.9</v>
      </c>
      <c r="EI101" t="n">
        <v>0.9</v>
      </c>
      <c r="EJ101" t="n">
        <v>0.2</v>
      </c>
      <c r="EK101" t="n">
        <v>1.5</v>
      </c>
    </row>
    <row r="102">
      <c r="A102">
        <f>[1]ingredient!B101</f>
        <v/>
      </c>
      <c r="B102" t="inlineStr">
        <is>
          <t>https://www.naehrwertrechner.de/naehrwerte/K700111/Pilze+frisch/?menge=100</t>
        </is>
      </c>
      <c r="C102" s="7">
        <f>_xlfn.XLOOKUP(A102,[1]ingredient!$B$2:$B$521,[1]ingredient!$A$2:$A$521)</f>
        <v/>
      </c>
      <c r="D102" t="n">
        <v>15</v>
      </c>
      <c r="E102" t="n">
        <v>0.24</v>
      </c>
      <c r="F102" t="n">
        <v>3</v>
      </c>
      <c r="G102" t="n">
        <v>1</v>
      </c>
      <c r="H102" t="n">
        <v>2</v>
      </c>
      <c r="I102" t="n">
        <v>0.11</v>
      </c>
      <c r="J102" t="n">
        <v>0.08</v>
      </c>
      <c r="K102" t="n">
        <v>93</v>
      </c>
      <c r="L102" t="n">
        <v>2</v>
      </c>
      <c r="M102" t="n">
        <v>1</v>
      </c>
      <c r="N102" t="n">
        <v>0</v>
      </c>
      <c r="O102" t="n">
        <v>10</v>
      </c>
      <c r="P102" t="n">
        <v>100</v>
      </c>
      <c r="Q102" t="n">
        <v>440</v>
      </c>
      <c r="R102" t="n">
        <v>5200</v>
      </c>
      <c r="S102" t="n">
        <v>5567</v>
      </c>
      <c r="T102" t="n">
        <v>2100</v>
      </c>
      <c r="U102" t="n">
        <v>65</v>
      </c>
      <c r="V102" t="n">
        <v>16</v>
      </c>
      <c r="W102" t="n">
        <v>25</v>
      </c>
      <c r="X102" t="n">
        <v>0</v>
      </c>
      <c r="Y102" t="n">
        <v>4900</v>
      </c>
      <c r="Z102" t="n">
        <v>2</v>
      </c>
      <c r="AA102" t="n">
        <v>116</v>
      </c>
      <c r="AB102" t="n">
        <v>14</v>
      </c>
      <c r="AC102" t="n">
        <v>8</v>
      </c>
      <c r="AD102" t="n">
        <v>422</v>
      </c>
      <c r="AE102" t="n">
        <v>11</v>
      </c>
      <c r="AF102" t="n">
        <v>13</v>
      </c>
      <c r="AG102" t="n">
        <v>123</v>
      </c>
      <c r="AH102" t="n">
        <v>34</v>
      </c>
      <c r="AI102" t="n">
        <v>67</v>
      </c>
      <c r="AJ102" t="n">
        <v>1186</v>
      </c>
      <c r="AK102" t="n">
        <v>540</v>
      </c>
      <c r="AL102" t="n">
        <v>400</v>
      </c>
      <c r="AM102" t="n">
        <v>89</v>
      </c>
      <c r="AN102" t="n">
        <v>31</v>
      </c>
      <c r="AO102" t="n">
        <v>18</v>
      </c>
      <c r="AP102" t="n">
        <v>448</v>
      </c>
      <c r="AQ102" t="n">
        <v>0</v>
      </c>
      <c r="AR102" t="n">
        <v>0</v>
      </c>
      <c r="AS102" t="n">
        <v>448</v>
      </c>
      <c r="AT102" t="n">
        <v>67</v>
      </c>
      <c r="AU102" t="n">
        <v>28</v>
      </c>
      <c r="AV102" t="n">
        <v>0</v>
      </c>
      <c r="AW102" t="n">
        <v>95</v>
      </c>
      <c r="AX102" t="n">
        <v>17</v>
      </c>
      <c r="AY102" t="n">
        <v>0</v>
      </c>
      <c r="AZ102" t="n">
        <v>0</v>
      </c>
      <c r="BA102" t="n">
        <v>17</v>
      </c>
      <c r="BB102" t="n">
        <v>0</v>
      </c>
      <c r="BC102" t="n">
        <v>0</v>
      </c>
      <c r="BD102" t="n">
        <v>0</v>
      </c>
      <c r="BE102" t="n">
        <v>0</v>
      </c>
      <c r="BF102" t="n">
        <v>0</v>
      </c>
      <c r="BG102">
        <f>IF($F102=0,"0",MIN(
BH102/(30*$F102),
BI102/(61*$F102),
BJ102/(48*$F102),
(BK102+BL102)/(23*$F102),
(BM102+BN102)/(41*$F102),
BO102/(25*$F102),
BP102/(6.6*$F102),
BQ102/(40*$F102),
BS102/(16*$F102)
)*100)</f>
        <v/>
      </c>
      <c r="BH102" t="n">
        <v>110</v>
      </c>
      <c r="BI102" t="n">
        <v>118</v>
      </c>
      <c r="BJ102" t="n">
        <v>170</v>
      </c>
      <c r="BK102" t="n">
        <v>25</v>
      </c>
      <c r="BL102" t="n">
        <v>16</v>
      </c>
      <c r="BM102" t="n">
        <v>74</v>
      </c>
      <c r="BN102" t="n">
        <v>66</v>
      </c>
      <c r="BO102" t="n">
        <v>85</v>
      </c>
      <c r="BP102" t="n">
        <v>22</v>
      </c>
      <c r="BQ102" t="n">
        <v>88</v>
      </c>
      <c r="BR102" t="n">
        <v>190</v>
      </c>
      <c r="BS102" t="n">
        <v>55</v>
      </c>
      <c r="BT102" t="n">
        <v>1019</v>
      </c>
      <c r="BU102" t="n">
        <v>137</v>
      </c>
      <c r="BV102" t="n">
        <v>126</v>
      </c>
      <c r="BW102" t="n">
        <v>192</v>
      </c>
      <c r="BX102" t="n">
        <v>74</v>
      </c>
      <c r="BY102" t="n">
        <v>151</v>
      </c>
      <c r="BZ102" t="n">
        <v>82</v>
      </c>
      <c r="CA102" t="n">
        <v>762</v>
      </c>
      <c r="CB102" t="n">
        <v>60</v>
      </c>
      <c r="CC102" t="n">
        <v>25</v>
      </c>
      <c r="CD102" t="n">
        <v>106</v>
      </c>
      <c r="CE102" t="n">
        <v>25</v>
      </c>
      <c r="CF102" t="n">
        <v>0.24</v>
      </c>
      <c r="CG102" t="n">
        <v>0</v>
      </c>
      <c r="CH102" t="n">
        <v>0</v>
      </c>
      <c r="CI102" t="n">
        <v>0</v>
      </c>
      <c r="CJ102" t="n">
        <v>0</v>
      </c>
      <c r="CK102" t="n">
        <v>0</v>
      </c>
      <c r="CL102" t="n">
        <v>1</v>
      </c>
      <c r="CM102" t="n">
        <v>0</v>
      </c>
      <c r="CN102" t="n">
        <v>53</v>
      </c>
      <c r="CO102" t="n">
        <v>0</v>
      </c>
      <c r="CP102" t="n">
        <v>4</v>
      </c>
      <c r="CQ102" t="n">
        <v>0</v>
      </c>
      <c r="CR102" t="n">
        <v>0</v>
      </c>
      <c r="CS102" t="n">
        <v>0</v>
      </c>
      <c r="CT102" t="n">
        <v>58</v>
      </c>
      <c r="CU102" t="n">
        <v>0</v>
      </c>
      <c r="CV102" t="n">
        <v>0</v>
      </c>
      <c r="CW102" t="n">
        <v>1</v>
      </c>
      <c r="CX102" t="n">
        <v>0</v>
      </c>
      <c r="CY102" t="n">
        <v>2</v>
      </c>
      <c r="CZ102" t="n">
        <v>0</v>
      </c>
      <c r="DA102" t="n">
        <v>0</v>
      </c>
      <c r="DB102" t="n">
        <v>0</v>
      </c>
      <c r="DC102" t="n">
        <v>3</v>
      </c>
      <c r="DD102" t="n">
        <v>0</v>
      </c>
      <c r="DE102" t="n">
        <v>0</v>
      </c>
      <c r="DF102" t="n">
        <v>25</v>
      </c>
      <c r="DG102" t="n">
        <v>106</v>
      </c>
      <c r="DH102" t="n">
        <v>0</v>
      </c>
      <c r="DI102" t="n">
        <v>0</v>
      </c>
      <c r="DJ102" t="n">
        <v>0</v>
      </c>
      <c r="DK102" t="n">
        <v>0</v>
      </c>
      <c r="DL102" t="n">
        <v>0</v>
      </c>
      <c r="DM102" t="n">
        <v>0</v>
      </c>
      <c r="DN102" t="n">
        <v>0</v>
      </c>
      <c r="DO102" t="n">
        <v>0</v>
      </c>
      <c r="DP102" t="n">
        <v>0</v>
      </c>
      <c r="DQ102" t="n">
        <v>0</v>
      </c>
      <c r="DR102" t="n">
        <v>0</v>
      </c>
      <c r="DS102" t="n">
        <v>131</v>
      </c>
      <c r="DT102" t="n">
        <v>192</v>
      </c>
      <c r="DU102" t="n">
        <v>48</v>
      </c>
      <c r="DV102" t="n">
        <v>0</v>
      </c>
      <c r="DW102" t="n">
        <v>0</v>
      </c>
      <c r="DX102" t="n">
        <v>0</v>
      </c>
      <c r="DY102" t="n">
        <v>0</v>
      </c>
      <c r="DZ102" t="n">
        <v>832</v>
      </c>
      <c r="EA102" t="n">
        <v>20</v>
      </c>
      <c r="EB102" t="n">
        <v>1158</v>
      </c>
      <c r="EC102" t="n">
        <v>20</v>
      </c>
      <c r="ED102" t="n">
        <v>386</v>
      </c>
      <c r="EE102" t="n">
        <v>1644</v>
      </c>
      <c r="EF102" t="n">
        <v>0</v>
      </c>
      <c r="EG102" t="n">
        <v>0.13</v>
      </c>
      <c r="EH102" t="n">
        <v>1</v>
      </c>
      <c r="EI102" t="n">
        <v>1.6</v>
      </c>
      <c r="EJ102" t="n">
        <v>0.2</v>
      </c>
      <c r="EK102" t="n">
        <v>2</v>
      </c>
    </row>
    <row r="103">
      <c r="A103">
        <f>[1]ingredient!B102</f>
        <v/>
      </c>
      <c r="B103" t="inlineStr">
        <is>
          <t>https://www.naehrwertrechner.de/naehrwerte/G760400/Erbsen+gr%C3%BCn+getrocknet/?menge=100</t>
        </is>
      </c>
      <c r="C103" s="7">
        <f>_xlfn.XLOOKUP(A103,[1]ingredient!$B$2:$B$521,[1]ingredient!$A$2:$A$521)</f>
        <v/>
      </c>
      <c r="D103" t="n">
        <v>276</v>
      </c>
      <c r="E103" t="n">
        <v>1</v>
      </c>
      <c r="F103" t="n">
        <v>23</v>
      </c>
      <c r="G103" t="n">
        <v>41</v>
      </c>
      <c r="H103" t="n">
        <v>17</v>
      </c>
      <c r="I103" t="n">
        <v>3</v>
      </c>
      <c r="J103" t="n">
        <v>0.08</v>
      </c>
      <c r="K103" t="n">
        <v>14</v>
      </c>
      <c r="L103" t="n">
        <v>13</v>
      </c>
      <c r="M103" t="n">
        <v>7</v>
      </c>
      <c r="N103" t="n">
        <v>0</v>
      </c>
      <c r="O103" t="n">
        <v>80</v>
      </c>
      <c r="P103" t="n">
        <v>800</v>
      </c>
      <c r="Q103" t="n">
        <v>274</v>
      </c>
      <c r="R103" t="n">
        <v>2670</v>
      </c>
      <c r="S103" t="n">
        <v>8503</v>
      </c>
      <c r="T103" t="n">
        <v>1986</v>
      </c>
      <c r="U103" t="n">
        <v>118</v>
      </c>
      <c r="V103" t="n">
        <v>19</v>
      </c>
      <c r="W103" t="n">
        <v>151</v>
      </c>
      <c r="X103" t="n">
        <v>0</v>
      </c>
      <c r="Y103" t="n">
        <v>1600</v>
      </c>
      <c r="Z103" t="n">
        <v>0</v>
      </c>
      <c r="AA103" t="n">
        <v>205</v>
      </c>
      <c r="AB103" t="n">
        <v>81</v>
      </c>
      <c r="AC103" t="n">
        <v>24</v>
      </c>
      <c r="AD103" t="n">
        <v>992</v>
      </c>
      <c r="AE103" t="n">
        <v>50</v>
      </c>
      <c r="AF103" t="n">
        <v>118</v>
      </c>
      <c r="AG103" t="n">
        <v>348</v>
      </c>
      <c r="AH103" t="n">
        <v>145</v>
      </c>
      <c r="AI103" t="n">
        <v>55</v>
      </c>
      <c r="AJ103" t="n">
        <v>5160</v>
      </c>
      <c r="AK103" t="n">
        <v>3323</v>
      </c>
      <c r="AL103" t="n">
        <v>655</v>
      </c>
      <c r="AM103" t="n">
        <v>1196</v>
      </c>
      <c r="AN103" t="n">
        <v>40</v>
      </c>
      <c r="AO103" t="n">
        <v>14</v>
      </c>
      <c r="AP103" t="n">
        <v>0</v>
      </c>
      <c r="AQ103" t="n">
        <v>0</v>
      </c>
      <c r="AR103" t="n">
        <v>0</v>
      </c>
      <c r="AS103" t="n">
        <v>0</v>
      </c>
      <c r="AT103" t="n">
        <v>280</v>
      </c>
      <c r="AU103" t="n">
        <v>206</v>
      </c>
      <c r="AV103" t="n">
        <v>0</v>
      </c>
      <c r="AW103" t="n">
        <v>486</v>
      </c>
      <c r="AX103" t="n">
        <v>2795</v>
      </c>
      <c r="AY103" t="n">
        <v>0</v>
      </c>
      <c r="AZ103" t="n">
        <v>0</v>
      </c>
      <c r="BA103" t="n">
        <v>2795</v>
      </c>
      <c r="BB103" t="n">
        <v>1962</v>
      </c>
      <c r="BC103" t="n">
        <v>0</v>
      </c>
      <c r="BD103" t="n">
        <v>0</v>
      </c>
      <c r="BE103" t="n">
        <v>35105</v>
      </c>
      <c r="BF103" t="n">
        <v>35105</v>
      </c>
      <c r="BG103">
        <f>IF($F103=0,"0",MIN(
BH103/(30*$F103),
BI103/(61*$F103),
BJ103/(48*$F103),
(BK103+BL103)/(23*$F103),
(BM103+BN103)/(41*$F103),
BO103/(25*$F103),
BP103/(6.6*$F103),
BQ103/(40*$F103),
BS103/(16*$F103)
)*100)</f>
        <v/>
      </c>
      <c r="BH103" t="n">
        <v>1880</v>
      </c>
      <c r="BI103" t="n">
        <v>2340</v>
      </c>
      <c r="BJ103" t="n">
        <v>2130</v>
      </c>
      <c r="BK103" t="n">
        <v>350</v>
      </c>
      <c r="BL103" t="n">
        <v>450</v>
      </c>
      <c r="BM103" t="n">
        <v>1390</v>
      </c>
      <c r="BN103" t="n">
        <v>1220</v>
      </c>
      <c r="BO103" t="n">
        <v>1570</v>
      </c>
      <c r="BP103" t="n">
        <v>350</v>
      </c>
      <c r="BQ103" t="n">
        <v>1820</v>
      </c>
      <c r="BR103" t="n">
        <v>3710</v>
      </c>
      <c r="BS103" t="n">
        <v>770</v>
      </c>
      <c r="BT103" t="n">
        <v>17980</v>
      </c>
      <c r="BU103" t="n">
        <v>480</v>
      </c>
      <c r="BV103" t="n">
        <v>1920</v>
      </c>
      <c r="BW103" t="n">
        <v>3460</v>
      </c>
      <c r="BX103" t="n">
        <v>590</v>
      </c>
      <c r="BY103" t="n">
        <v>490</v>
      </c>
      <c r="BZ103" t="n">
        <v>980</v>
      </c>
      <c r="CA103" t="n">
        <v>7920</v>
      </c>
      <c r="CB103" t="n">
        <v>95</v>
      </c>
      <c r="CC103" t="n">
        <v>32</v>
      </c>
      <c r="CD103" t="n">
        <v>160</v>
      </c>
      <c r="CE103" t="n">
        <v>640</v>
      </c>
      <c r="CF103" t="n">
        <v>4</v>
      </c>
      <c r="CG103" t="n">
        <v>0</v>
      </c>
      <c r="CH103" t="n">
        <v>0</v>
      </c>
      <c r="CI103" t="n">
        <v>0</v>
      </c>
      <c r="CJ103" t="n">
        <v>0</v>
      </c>
      <c r="CK103" t="n">
        <v>0</v>
      </c>
      <c r="CL103" t="n">
        <v>24</v>
      </c>
      <c r="CM103" t="n">
        <v>0</v>
      </c>
      <c r="CN103" t="n">
        <v>230</v>
      </c>
      <c r="CO103" t="n">
        <v>0</v>
      </c>
      <c r="CP103" t="n">
        <v>30</v>
      </c>
      <c r="CQ103" t="n">
        <v>0</v>
      </c>
      <c r="CR103" t="n">
        <v>0</v>
      </c>
      <c r="CS103" t="n">
        <v>0</v>
      </c>
      <c r="CT103" t="n">
        <v>284</v>
      </c>
      <c r="CU103" t="n">
        <v>0</v>
      </c>
      <c r="CV103" t="n">
        <v>0</v>
      </c>
      <c r="CW103" t="n">
        <v>27</v>
      </c>
      <c r="CX103" t="n">
        <v>0</v>
      </c>
      <c r="CY103" t="n">
        <v>110</v>
      </c>
      <c r="CZ103" t="n">
        <v>6</v>
      </c>
      <c r="DA103" t="n">
        <v>0</v>
      </c>
      <c r="DB103" t="n">
        <v>0</v>
      </c>
      <c r="DC103" t="n">
        <v>143</v>
      </c>
      <c r="DD103" t="n">
        <v>0</v>
      </c>
      <c r="DE103" t="n">
        <v>0</v>
      </c>
      <c r="DF103" t="n">
        <v>640</v>
      </c>
      <c r="DG103" t="n">
        <v>160</v>
      </c>
      <c r="DH103" t="n">
        <v>0</v>
      </c>
      <c r="DI103" t="n">
        <v>0</v>
      </c>
      <c r="DJ103" t="n">
        <v>0</v>
      </c>
      <c r="DK103" t="n">
        <v>0</v>
      </c>
      <c r="DL103" t="n">
        <v>0</v>
      </c>
      <c r="DM103" t="n">
        <v>0</v>
      </c>
      <c r="DN103" t="n">
        <v>0</v>
      </c>
      <c r="DO103" t="n">
        <v>0</v>
      </c>
      <c r="DP103" t="n">
        <v>0</v>
      </c>
      <c r="DQ103" t="n">
        <v>0</v>
      </c>
      <c r="DR103" t="n">
        <v>0</v>
      </c>
      <c r="DS103" t="n">
        <v>800</v>
      </c>
      <c r="DT103" t="n">
        <v>1227</v>
      </c>
      <c r="DU103" t="n">
        <v>253</v>
      </c>
      <c r="DV103" t="n">
        <v>0</v>
      </c>
      <c r="DW103" t="n">
        <v>0</v>
      </c>
      <c r="DX103" t="n">
        <v>0</v>
      </c>
      <c r="DY103" t="n">
        <v>2571</v>
      </c>
      <c r="DZ103" t="n">
        <v>5660</v>
      </c>
      <c r="EA103" t="n">
        <v>857</v>
      </c>
      <c r="EB103" t="n">
        <v>2430</v>
      </c>
      <c r="EC103" t="n">
        <v>342</v>
      </c>
      <c r="ED103" t="n">
        <v>5100</v>
      </c>
      <c r="EE103" t="n">
        <v>11600</v>
      </c>
      <c r="EF103" t="n">
        <v>0</v>
      </c>
      <c r="EG103" t="n">
        <v>1</v>
      </c>
      <c r="EH103" t="n">
        <v>2.7</v>
      </c>
      <c r="EI103" t="n">
        <v>11.6</v>
      </c>
      <c r="EJ103" t="n">
        <v>1.4</v>
      </c>
      <c r="EK103" t="n">
        <v>26.2</v>
      </c>
    </row>
    <row r="104">
      <c r="A104">
        <f>[1]ingredient!B103</f>
        <v/>
      </c>
      <c r="B104" t="inlineStr">
        <is>
          <t>https://www.naehrwertrechner.de/naehrwerte/G760400/Erbsen+gr%C3%BCn+getrocknet/?menge=100</t>
        </is>
      </c>
      <c r="C104" s="7">
        <f>_xlfn.XLOOKUP(A104,[1]ingredient!$B$2:$B$521,[1]ingredient!$A$2:$A$521)</f>
        <v/>
      </c>
      <c r="D104" t="n">
        <v>276</v>
      </c>
      <c r="E104" t="n">
        <v>1</v>
      </c>
      <c r="F104" t="n">
        <v>23</v>
      </c>
      <c r="G104" t="n">
        <v>41</v>
      </c>
      <c r="H104" t="n">
        <v>17</v>
      </c>
      <c r="I104" t="n">
        <v>3</v>
      </c>
      <c r="J104" t="n">
        <v>0.08</v>
      </c>
      <c r="K104" t="n">
        <v>14</v>
      </c>
      <c r="L104" t="n">
        <v>13</v>
      </c>
      <c r="M104" t="n">
        <v>7</v>
      </c>
      <c r="N104" t="n">
        <v>0</v>
      </c>
      <c r="O104" t="n">
        <v>80</v>
      </c>
      <c r="P104" t="n">
        <v>800</v>
      </c>
      <c r="Q104" t="n">
        <v>274</v>
      </c>
      <c r="R104" t="n">
        <v>2670</v>
      </c>
      <c r="S104" t="n">
        <v>8503</v>
      </c>
      <c r="T104" t="n">
        <v>1986</v>
      </c>
      <c r="U104" t="n">
        <v>118</v>
      </c>
      <c r="V104" t="n">
        <v>19</v>
      </c>
      <c r="W104" t="n">
        <v>151</v>
      </c>
      <c r="X104" t="n">
        <v>0</v>
      </c>
      <c r="Y104" t="n">
        <v>1600</v>
      </c>
      <c r="Z104" t="n">
        <v>0</v>
      </c>
      <c r="AA104" t="n">
        <v>205</v>
      </c>
      <c r="AB104" t="n">
        <v>81</v>
      </c>
      <c r="AC104" t="n">
        <v>24</v>
      </c>
      <c r="AD104" t="n">
        <v>992</v>
      </c>
      <c r="AE104" t="n">
        <v>50</v>
      </c>
      <c r="AF104" t="n">
        <v>118</v>
      </c>
      <c r="AG104" t="n">
        <v>348</v>
      </c>
      <c r="AH104" t="n">
        <v>145</v>
      </c>
      <c r="AI104" t="n">
        <v>55</v>
      </c>
      <c r="AJ104" t="n">
        <v>5160</v>
      </c>
      <c r="AK104" t="n">
        <v>3323</v>
      </c>
      <c r="AL104" t="n">
        <v>655</v>
      </c>
      <c r="AM104" t="n">
        <v>1196</v>
      </c>
      <c r="AN104" t="n">
        <v>40</v>
      </c>
      <c r="AO104" t="n">
        <v>14</v>
      </c>
      <c r="AP104" t="n">
        <v>0</v>
      </c>
      <c r="AQ104" t="n">
        <v>0</v>
      </c>
      <c r="AR104" t="n">
        <v>0</v>
      </c>
      <c r="AS104" t="n">
        <v>0</v>
      </c>
      <c r="AT104" t="n">
        <v>280</v>
      </c>
      <c r="AU104" t="n">
        <v>206</v>
      </c>
      <c r="AV104" t="n">
        <v>0</v>
      </c>
      <c r="AW104" t="n">
        <v>486</v>
      </c>
      <c r="AX104" t="n">
        <v>2795</v>
      </c>
      <c r="AY104" t="n">
        <v>0</v>
      </c>
      <c r="AZ104" t="n">
        <v>0</v>
      </c>
      <c r="BA104" t="n">
        <v>2795</v>
      </c>
      <c r="BB104" t="n">
        <v>1962</v>
      </c>
      <c r="BC104" t="n">
        <v>0</v>
      </c>
      <c r="BD104" t="n">
        <v>0</v>
      </c>
      <c r="BE104" t="n">
        <v>35105</v>
      </c>
      <c r="BF104" t="n">
        <v>35105</v>
      </c>
      <c r="BG104">
        <f>IF($F104=0,"0",MIN(
BH104/(30*$F104),
BI104/(61*$F104),
BJ104/(48*$F104),
(BK104+BL104)/(23*$F104),
(BM104+BN104)/(41*$F104),
BO104/(25*$F104),
BP104/(6.6*$F104),
BQ104/(40*$F104),
BS104/(16*$F104)
)*100)</f>
        <v/>
      </c>
      <c r="BH104" t="n">
        <v>1880</v>
      </c>
      <c r="BI104" t="n">
        <v>2340</v>
      </c>
      <c r="BJ104" t="n">
        <v>2130</v>
      </c>
      <c r="BK104" t="n">
        <v>350</v>
      </c>
      <c r="BL104" t="n">
        <v>450</v>
      </c>
      <c r="BM104" t="n">
        <v>1390</v>
      </c>
      <c r="BN104" t="n">
        <v>1220</v>
      </c>
      <c r="BO104" t="n">
        <v>1570</v>
      </c>
      <c r="BP104" t="n">
        <v>350</v>
      </c>
      <c r="BQ104" t="n">
        <v>1820</v>
      </c>
      <c r="BR104" t="n">
        <v>3710</v>
      </c>
      <c r="BS104" t="n">
        <v>770</v>
      </c>
      <c r="BT104" t="n">
        <v>17980</v>
      </c>
      <c r="BU104" t="n">
        <v>480</v>
      </c>
      <c r="BV104" t="n">
        <v>1920</v>
      </c>
      <c r="BW104" t="n">
        <v>3460</v>
      </c>
      <c r="BX104" t="n">
        <v>590</v>
      </c>
      <c r="BY104" t="n">
        <v>490</v>
      </c>
      <c r="BZ104" t="n">
        <v>980</v>
      </c>
      <c r="CA104" t="n">
        <v>7920</v>
      </c>
      <c r="CB104" t="n">
        <v>95</v>
      </c>
      <c r="CC104" t="n">
        <v>32</v>
      </c>
      <c r="CD104" t="n">
        <v>160</v>
      </c>
      <c r="CE104" t="n">
        <v>640</v>
      </c>
      <c r="CF104" t="n">
        <v>4</v>
      </c>
      <c r="CG104" t="n">
        <v>0</v>
      </c>
      <c r="CH104" t="n">
        <v>0</v>
      </c>
      <c r="CI104" t="n">
        <v>0</v>
      </c>
      <c r="CJ104" t="n">
        <v>0</v>
      </c>
      <c r="CK104" t="n">
        <v>0</v>
      </c>
      <c r="CL104" t="n">
        <v>24</v>
      </c>
      <c r="CM104" t="n">
        <v>0</v>
      </c>
      <c r="CN104" t="n">
        <v>230</v>
      </c>
      <c r="CO104" t="n">
        <v>0</v>
      </c>
      <c r="CP104" t="n">
        <v>30</v>
      </c>
      <c r="CQ104" t="n">
        <v>0</v>
      </c>
      <c r="CR104" t="n">
        <v>0</v>
      </c>
      <c r="CS104" t="n">
        <v>0</v>
      </c>
      <c r="CT104" t="n">
        <v>284</v>
      </c>
      <c r="CU104" t="n">
        <v>0</v>
      </c>
      <c r="CV104" t="n">
        <v>0</v>
      </c>
      <c r="CW104" t="n">
        <v>27</v>
      </c>
      <c r="CX104" t="n">
        <v>0</v>
      </c>
      <c r="CY104" t="n">
        <v>110</v>
      </c>
      <c r="CZ104" t="n">
        <v>6</v>
      </c>
      <c r="DA104" t="n">
        <v>0</v>
      </c>
      <c r="DB104" t="n">
        <v>0</v>
      </c>
      <c r="DC104" t="n">
        <v>143</v>
      </c>
      <c r="DD104" t="n">
        <v>0</v>
      </c>
      <c r="DE104" t="n">
        <v>0</v>
      </c>
      <c r="DF104" t="n">
        <v>640</v>
      </c>
      <c r="DG104" t="n">
        <v>160</v>
      </c>
      <c r="DH104" t="n">
        <v>0</v>
      </c>
      <c r="DI104" t="n">
        <v>0</v>
      </c>
      <c r="DJ104" t="n">
        <v>0</v>
      </c>
      <c r="DK104" t="n">
        <v>0</v>
      </c>
      <c r="DL104" t="n">
        <v>0</v>
      </c>
      <c r="DM104" t="n">
        <v>0</v>
      </c>
      <c r="DN104" t="n">
        <v>0</v>
      </c>
      <c r="DO104" t="n">
        <v>0</v>
      </c>
      <c r="DP104" t="n">
        <v>0</v>
      </c>
      <c r="DQ104" t="n">
        <v>0</v>
      </c>
      <c r="DR104" t="n">
        <v>0</v>
      </c>
      <c r="DS104" t="n">
        <v>800</v>
      </c>
      <c r="DT104" t="n">
        <v>1227</v>
      </c>
      <c r="DU104" t="n">
        <v>253</v>
      </c>
      <c r="DV104" t="n">
        <v>0</v>
      </c>
      <c r="DW104" t="n">
        <v>0</v>
      </c>
      <c r="DX104" t="n">
        <v>0</v>
      </c>
      <c r="DY104" t="n">
        <v>2571</v>
      </c>
      <c r="DZ104" t="n">
        <v>5660</v>
      </c>
      <c r="EA104" t="n">
        <v>857</v>
      </c>
      <c r="EB104" t="n">
        <v>2430</v>
      </c>
      <c r="EC104" t="n">
        <v>342</v>
      </c>
      <c r="ED104" t="n">
        <v>5100</v>
      </c>
      <c r="EE104" t="n">
        <v>11600</v>
      </c>
      <c r="EF104" t="n">
        <v>0</v>
      </c>
      <c r="EG104" t="n">
        <v>1</v>
      </c>
      <c r="EH104" t="n">
        <v>2.7</v>
      </c>
      <c r="EI104" t="n">
        <v>11.6</v>
      </c>
      <c r="EJ104" t="n">
        <v>1.4</v>
      </c>
      <c r="EK104" t="n">
        <v>26.2</v>
      </c>
    </row>
    <row r="105">
      <c r="A105">
        <f>[1]ingredient!B104</f>
        <v/>
      </c>
      <c r="B105" t="inlineStr">
        <is>
          <t>https://www.naehrwertrechner.de/naehrwerte/G760021/Erbsen+gr%C3%BCn+tiefgefroren/?menge=100</t>
        </is>
      </c>
      <c r="C105" s="7">
        <f>_xlfn.XLOOKUP(A105,[1]ingredient!$B$2:$B$521,[1]ingredient!$A$2:$A$521)</f>
        <v/>
      </c>
      <c r="D105" t="n">
        <v>86</v>
      </c>
      <c r="E105" t="n">
        <v>1</v>
      </c>
      <c r="F105" t="n">
        <v>7</v>
      </c>
      <c r="G105" t="n">
        <v>13</v>
      </c>
      <c r="H105" t="n">
        <v>5</v>
      </c>
      <c r="I105" t="n">
        <v>1</v>
      </c>
      <c r="J105" t="n">
        <v>0.04</v>
      </c>
      <c r="K105" t="n">
        <v>73</v>
      </c>
      <c r="L105" t="n">
        <v>73</v>
      </c>
      <c r="M105" t="n">
        <v>36</v>
      </c>
      <c r="N105" t="n">
        <v>0</v>
      </c>
      <c r="O105" t="n">
        <v>436</v>
      </c>
      <c r="P105" t="n">
        <v>277</v>
      </c>
      <c r="Q105" t="n">
        <v>157</v>
      </c>
      <c r="R105" t="n">
        <v>2331</v>
      </c>
      <c r="S105" t="n">
        <v>3931</v>
      </c>
      <c r="T105" t="n">
        <v>744</v>
      </c>
      <c r="U105" t="n">
        <v>148</v>
      </c>
      <c r="V105" t="n">
        <v>5</v>
      </c>
      <c r="W105" t="n">
        <v>121</v>
      </c>
      <c r="X105" t="n">
        <v>0</v>
      </c>
      <c r="Y105" t="n">
        <v>17684</v>
      </c>
      <c r="Z105" t="n">
        <v>0</v>
      </c>
      <c r="AA105" t="n">
        <v>69</v>
      </c>
      <c r="AB105" t="n">
        <v>39</v>
      </c>
      <c r="AC105" t="n">
        <v>2</v>
      </c>
      <c r="AD105" t="n">
        <v>247</v>
      </c>
      <c r="AE105" t="n">
        <v>25</v>
      </c>
      <c r="AF105" t="n">
        <v>35</v>
      </c>
      <c r="AG105" t="n">
        <v>116</v>
      </c>
      <c r="AH105" t="n">
        <v>49</v>
      </c>
      <c r="AI105" t="n">
        <v>39</v>
      </c>
      <c r="AJ105" t="n">
        <v>1545</v>
      </c>
      <c r="AK105" t="n">
        <v>942</v>
      </c>
      <c r="AL105" t="n">
        <v>241</v>
      </c>
      <c r="AM105" t="n">
        <v>345</v>
      </c>
      <c r="AN105" t="n">
        <v>26</v>
      </c>
      <c r="AO105" t="n">
        <v>4</v>
      </c>
      <c r="AP105" t="n">
        <v>0</v>
      </c>
      <c r="AQ105" t="n">
        <v>0</v>
      </c>
      <c r="AR105" t="n">
        <v>0</v>
      </c>
      <c r="AS105" t="n">
        <v>0</v>
      </c>
      <c r="AT105" t="n">
        <v>86</v>
      </c>
      <c r="AU105" t="n">
        <v>64</v>
      </c>
      <c r="AV105" t="n">
        <v>0</v>
      </c>
      <c r="AW105" t="n">
        <v>150</v>
      </c>
      <c r="AX105" t="n">
        <v>1132</v>
      </c>
      <c r="AY105" t="n">
        <v>0</v>
      </c>
      <c r="AZ105" t="n">
        <v>0</v>
      </c>
      <c r="BA105" t="n">
        <v>1132</v>
      </c>
      <c r="BB105" t="n">
        <v>606</v>
      </c>
      <c r="BC105" t="n">
        <v>0</v>
      </c>
      <c r="BD105" t="n">
        <v>0</v>
      </c>
      <c r="BE105" t="n">
        <v>10828</v>
      </c>
      <c r="BF105" t="n">
        <v>10828</v>
      </c>
      <c r="BG105">
        <f>IF($F105=0,"0",MIN(
BH105/(30*$F105),
BI105/(61*$F105),
BJ105/(48*$F105),
(BK105+BL105)/(23*$F105),
(BM105+BN105)/(41*$F105),
BO105/(25*$F105),
BP105/(6.6*$F105),
BQ105/(40*$F105),
BS105/(16*$F105)
)*100)</f>
        <v/>
      </c>
      <c r="BH105" t="n">
        <v>519</v>
      </c>
      <c r="BI105" t="n">
        <v>644</v>
      </c>
      <c r="BJ105" t="n">
        <v>586</v>
      </c>
      <c r="BK105" t="n">
        <v>96</v>
      </c>
      <c r="BL105" t="n">
        <v>124</v>
      </c>
      <c r="BM105" t="n">
        <v>384</v>
      </c>
      <c r="BN105" t="n">
        <v>336</v>
      </c>
      <c r="BO105" t="n">
        <v>433</v>
      </c>
      <c r="BP105" t="n">
        <v>96</v>
      </c>
      <c r="BQ105" t="n">
        <v>500</v>
      </c>
      <c r="BR105" t="n">
        <v>1019</v>
      </c>
      <c r="BS105" t="n">
        <v>211</v>
      </c>
      <c r="BT105" t="n">
        <v>4948</v>
      </c>
      <c r="BU105" t="n">
        <v>134</v>
      </c>
      <c r="BV105" t="n">
        <v>529</v>
      </c>
      <c r="BW105" t="n">
        <v>951</v>
      </c>
      <c r="BX105" t="n">
        <v>163</v>
      </c>
      <c r="BY105" t="n">
        <v>134</v>
      </c>
      <c r="BZ105" t="n">
        <v>269</v>
      </c>
      <c r="CA105" t="n">
        <v>2180</v>
      </c>
      <c r="CB105" t="n">
        <v>91</v>
      </c>
      <c r="CC105" t="n">
        <v>30</v>
      </c>
      <c r="CD105" t="n">
        <v>47</v>
      </c>
      <c r="CE105" t="n">
        <v>234</v>
      </c>
      <c r="CF105" t="n">
        <v>4.98</v>
      </c>
      <c r="CG105" t="n">
        <v>0</v>
      </c>
      <c r="CH105" t="n">
        <v>0</v>
      </c>
      <c r="CI105" t="n">
        <v>0</v>
      </c>
      <c r="CJ105" t="n">
        <v>0</v>
      </c>
      <c r="CK105" t="n">
        <v>0</v>
      </c>
      <c r="CL105" t="n">
        <v>9</v>
      </c>
      <c r="CM105" t="n">
        <v>0</v>
      </c>
      <c r="CN105" t="n">
        <v>88</v>
      </c>
      <c r="CO105" t="n">
        <v>0</v>
      </c>
      <c r="CP105" t="n">
        <v>6</v>
      </c>
      <c r="CQ105" t="n">
        <v>0</v>
      </c>
      <c r="CR105" t="n">
        <v>0</v>
      </c>
      <c r="CS105" t="n">
        <v>0</v>
      </c>
      <c r="CT105" t="n">
        <v>103</v>
      </c>
      <c r="CU105" t="n">
        <v>0</v>
      </c>
      <c r="CV105" t="n">
        <v>0</v>
      </c>
      <c r="CW105" t="n">
        <v>10</v>
      </c>
      <c r="CX105" t="n">
        <v>0</v>
      </c>
      <c r="CY105" t="n">
        <v>35</v>
      </c>
      <c r="CZ105" t="n">
        <v>2</v>
      </c>
      <c r="DA105" t="n">
        <v>0</v>
      </c>
      <c r="DB105" t="n">
        <v>0</v>
      </c>
      <c r="DC105" t="n">
        <v>47</v>
      </c>
      <c r="DD105" t="n">
        <v>0</v>
      </c>
      <c r="DE105" t="n">
        <v>0</v>
      </c>
      <c r="DF105" t="n">
        <v>234</v>
      </c>
      <c r="DG105" t="n">
        <v>47</v>
      </c>
      <c r="DH105" t="n">
        <v>0</v>
      </c>
      <c r="DI105" t="n">
        <v>0</v>
      </c>
      <c r="DJ105" t="n">
        <v>0</v>
      </c>
      <c r="DK105" t="n">
        <v>0</v>
      </c>
      <c r="DL105" t="n">
        <v>0</v>
      </c>
      <c r="DM105" t="n">
        <v>0</v>
      </c>
      <c r="DN105" t="n">
        <v>0</v>
      </c>
      <c r="DO105" t="n">
        <v>0</v>
      </c>
      <c r="DP105" t="n">
        <v>0</v>
      </c>
      <c r="DQ105" t="n">
        <v>0</v>
      </c>
      <c r="DR105" t="n">
        <v>0</v>
      </c>
      <c r="DS105" t="n">
        <v>281</v>
      </c>
      <c r="DT105" t="n">
        <v>431</v>
      </c>
      <c r="DU105" t="n">
        <v>91</v>
      </c>
      <c r="DV105" t="n">
        <v>0</v>
      </c>
      <c r="DW105" t="n">
        <v>0</v>
      </c>
      <c r="DX105" t="n">
        <v>0</v>
      </c>
      <c r="DY105" t="n">
        <v>843</v>
      </c>
      <c r="DZ105" t="n">
        <v>1855</v>
      </c>
      <c r="EA105" t="n">
        <v>281</v>
      </c>
      <c r="EB105" t="n">
        <v>2349</v>
      </c>
      <c r="EC105" t="n">
        <v>113</v>
      </c>
      <c r="ED105" t="n">
        <v>283</v>
      </c>
      <c r="EE105" t="n">
        <v>4342</v>
      </c>
      <c r="EF105" t="n">
        <v>0</v>
      </c>
      <c r="EG105" t="n">
        <v>0.31</v>
      </c>
      <c r="EH105" t="n">
        <v>1</v>
      </c>
      <c r="EI105" t="n">
        <v>4.3</v>
      </c>
      <c r="EJ105" t="n">
        <v>0.5</v>
      </c>
      <c r="EK105" t="n">
        <v>7.4</v>
      </c>
    </row>
    <row r="106">
      <c r="A106">
        <f>[1]ingredient!B105</f>
        <v/>
      </c>
      <c r="B106" t="inlineStr">
        <is>
          <t>https://www.naehrwertrechner.de/naehrwerte/G760902/Erbsen+gr%C3%BCn+Konserve+abgetropft/?menge=100</t>
        </is>
      </c>
      <c r="C106" s="7">
        <f>_xlfn.XLOOKUP(A106,[1]ingredient!$B$2:$B$521,[1]ingredient!$A$2:$A$521)</f>
        <v/>
      </c>
      <c r="D106" t="n">
        <v>51</v>
      </c>
      <c r="E106" t="n">
        <v>1</v>
      </c>
      <c r="F106" t="n">
        <v>5</v>
      </c>
      <c r="G106" t="n">
        <v>6</v>
      </c>
      <c r="H106" t="n">
        <v>6</v>
      </c>
      <c r="I106" t="n">
        <v>4</v>
      </c>
      <c r="J106" t="n">
        <v>1</v>
      </c>
      <c r="K106" t="n">
        <v>80</v>
      </c>
      <c r="L106" t="n">
        <v>62</v>
      </c>
      <c r="M106" t="n">
        <v>31</v>
      </c>
      <c r="N106" t="n">
        <v>0</v>
      </c>
      <c r="O106" t="n">
        <v>370</v>
      </c>
      <c r="P106" t="n">
        <v>103</v>
      </c>
      <c r="Q106" t="n">
        <v>61</v>
      </c>
      <c r="R106" t="n">
        <v>905</v>
      </c>
      <c r="S106" t="n">
        <v>2022</v>
      </c>
      <c r="T106" t="n">
        <v>122</v>
      </c>
      <c r="U106" t="n">
        <v>47</v>
      </c>
      <c r="V106" t="n">
        <v>2</v>
      </c>
      <c r="W106" t="n">
        <v>9</v>
      </c>
      <c r="X106" t="n">
        <v>0</v>
      </c>
      <c r="Y106" t="n">
        <v>6964</v>
      </c>
      <c r="Z106" t="n">
        <v>0</v>
      </c>
      <c r="AA106" t="n">
        <v>65</v>
      </c>
      <c r="AB106" t="n">
        <v>38</v>
      </c>
      <c r="AC106" t="n">
        <v>238</v>
      </c>
      <c r="AD106" t="n">
        <v>154</v>
      </c>
      <c r="AE106" t="n">
        <v>30</v>
      </c>
      <c r="AF106" t="n">
        <v>25</v>
      </c>
      <c r="AG106" t="n">
        <v>88</v>
      </c>
      <c r="AH106" t="n">
        <v>44</v>
      </c>
      <c r="AI106" t="n">
        <v>513</v>
      </c>
      <c r="AJ106" t="n">
        <v>1937</v>
      </c>
      <c r="AK106" t="n">
        <v>874</v>
      </c>
      <c r="AL106" t="n">
        <v>195</v>
      </c>
      <c r="AM106" t="n">
        <v>285</v>
      </c>
      <c r="AN106" t="n">
        <v>31</v>
      </c>
      <c r="AO106" t="n">
        <v>3</v>
      </c>
      <c r="AP106" t="n">
        <v>0</v>
      </c>
      <c r="AQ106" t="n">
        <v>0</v>
      </c>
      <c r="AR106" t="n">
        <v>0</v>
      </c>
      <c r="AS106" t="n">
        <v>0</v>
      </c>
      <c r="AT106" t="n">
        <v>42</v>
      </c>
      <c r="AU106" t="n">
        <v>42</v>
      </c>
      <c r="AV106" t="n">
        <v>0</v>
      </c>
      <c r="AW106" t="n">
        <v>84</v>
      </c>
      <c r="AX106" t="n">
        <v>3707</v>
      </c>
      <c r="AY106" t="n">
        <v>0</v>
      </c>
      <c r="AZ106" t="n">
        <v>0</v>
      </c>
      <c r="BA106" t="n">
        <v>3707</v>
      </c>
      <c r="BB106" t="n">
        <v>276</v>
      </c>
      <c r="BC106" t="n">
        <v>0</v>
      </c>
      <c r="BD106" t="n">
        <v>0</v>
      </c>
      <c r="BE106" t="n">
        <v>1994</v>
      </c>
      <c r="BF106" t="n">
        <v>1994</v>
      </c>
      <c r="BG106">
        <f>IF($F106=0,"0",MIN(
BH106/(30*$F106),
BI106/(61*$F106),
BJ106/(48*$F106),
(BK106+BL106)/(23*$F106),
(BM106+BN106)/(41*$F106),
BO106/(25*$F106),
BP106/(6.6*$F106),
BQ106/(40*$F106),
BS106/(16*$F106)
)*100)</f>
        <v/>
      </c>
      <c r="BH106" t="n">
        <v>261</v>
      </c>
      <c r="BI106" t="n">
        <v>430</v>
      </c>
      <c r="BJ106" t="n">
        <v>430</v>
      </c>
      <c r="BK106" t="n">
        <v>56</v>
      </c>
      <c r="BL106" t="n">
        <v>54</v>
      </c>
      <c r="BM106" t="n">
        <v>243</v>
      </c>
      <c r="BN106" t="n">
        <v>186</v>
      </c>
      <c r="BO106" t="n">
        <v>281</v>
      </c>
      <c r="BP106" t="n">
        <v>67</v>
      </c>
      <c r="BQ106" t="n">
        <v>299</v>
      </c>
      <c r="BR106" t="n">
        <v>635</v>
      </c>
      <c r="BS106" t="n">
        <v>119</v>
      </c>
      <c r="BT106" t="n">
        <v>3061</v>
      </c>
      <c r="BU106" t="n">
        <v>127</v>
      </c>
      <c r="BV106" t="n">
        <v>501</v>
      </c>
      <c r="BW106" t="n">
        <v>899</v>
      </c>
      <c r="BX106" t="n">
        <v>155</v>
      </c>
      <c r="BY106" t="n">
        <v>127</v>
      </c>
      <c r="BZ106" t="n">
        <v>255</v>
      </c>
      <c r="CA106" t="n">
        <v>2064</v>
      </c>
      <c r="CB106" t="n">
        <v>87</v>
      </c>
      <c r="CC106" t="n">
        <v>29</v>
      </c>
      <c r="CD106" t="n">
        <v>46</v>
      </c>
      <c r="CE106" t="n">
        <v>226</v>
      </c>
      <c r="CF106" t="n">
        <v>4.91</v>
      </c>
      <c r="CG106" t="n">
        <v>0</v>
      </c>
      <c r="CH106" t="n">
        <v>0</v>
      </c>
      <c r="CI106" t="n">
        <v>0</v>
      </c>
      <c r="CJ106" t="n">
        <v>0</v>
      </c>
      <c r="CK106" t="n">
        <v>0</v>
      </c>
      <c r="CL106" t="n">
        <v>9</v>
      </c>
      <c r="CM106" t="n">
        <v>0</v>
      </c>
      <c r="CN106" t="n">
        <v>84</v>
      </c>
      <c r="CO106" t="n">
        <v>0</v>
      </c>
      <c r="CP106" t="n">
        <v>4</v>
      </c>
      <c r="CQ106" t="n">
        <v>0</v>
      </c>
      <c r="CR106" t="n">
        <v>0</v>
      </c>
      <c r="CS106" t="n">
        <v>0</v>
      </c>
      <c r="CT106" t="n">
        <v>97</v>
      </c>
      <c r="CU106" t="n">
        <v>0</v>
      </c>
      <c r="CV106" t="n">
        <v>0</v>
      </c>
      <c r="CW106" t="n">
        <v>10</v>
      </c>
      <c r="CX106" t="n">
        <v>0</v>
      </c>
      <c r="CY106" t="n">
        <v>33</v>
      </c>
      <c r="CZ106" t="n">
        <v>1</v>
      </c>
      <c r="DA106" t="n">
        <v>0</v>
      </c>
      <c r="DB106" t="n">
        <v>0</v>
      </c>
      <c r="DC106" t="n">
        <v>44</v>
      </c>
      <c r="DD106" t="n">
        <v>0</v>
      </c>
      <c r="DE106" t="n">
        <v>0</v>
      </c>
      <c r="DF106" t="n">
        <v>226</v>
      </c>
      <c r="DG106" t="n">
        <v>46</v>
      </c>
      <c r="DH106" t="n">
        <v>0</v>
      </c>
      <c r="DI106" t="n">
        <v>0</v>
      </c>
      <c r="DJ106" t="n">
        <v>0</v>
      </c>
      <c r="DK106" t="n">
        <v>0</v>
      </c>
      <c r="DL106" t="n">
        <v>0</v>
      </c>
      <c r="DM106" t="n">
        <v>0</v>
      </c>
      <c r="DN106" t="n">
        <v>0</v>
      </c>
      <c r="DO106" t="n">
        <v>0</v>
      </c>
      <c r="DP106" t="n">
        <v>0</v>
      </c>
      <c r="DQ106" t="n">
        <v>0</v>
      </c>
      <c r="DR106" t="n">
        <v>0</v>
      </c>
      <c r="DS106" t="n">
        <v>272</v>
      </c>
      <c r="DT106" t="n">
        <v>413</v>
      </c>
      <c r="DU106" t="n">
        <v>87</v>
      </c>
      <c r="DV106" t="n">
        <v>0</v>
      </c>
      <c r="DW106" t="n">
        <v>0</v>
      </c>
      <c r="DX106" t="n">
        <v>0</v>
      </c>
      <c r="DY106" t="n">
        <v>970</v>
      </c>
      <c r="DZ106" t="n">
        <v>2133</v>
      </c>
      <c r="EA106" t="n">
        <v>322</v>
      </c>
      <c r="EB106" t="n">
        <v>2701</v>
      </c>
      <c r="EC106" t="n">
        <v>130</v>
      </c>
      <c r="ED106" t="n">
        <v>384</v>
      </c>
      <c r="EE106" t="n">
        <v>5872</v>
      </c>
      <c r="EF106" t="n">
        <v>0</v>
      </c>
      <c r="EG106" t="n">
        <v>0.29</v>
      </c>
      <c r="EH106" t="n">
        <v>1.5</v>
      </c>
      <c r="EI106" t="n">
        <v>5.9</v>
      </c>
      <c r="EJ106" t="n">
        <v>0.5</v>
      </c>
      <c r="EK106" t="n">
        <v>5.4</v>
      </c>
    </row>
    <row r="107">
      <c r="A107">
        <f>[1]ingredient!B106</f>
        <v/>
      </c>
      <c r="C107" s="7">
        <f>_xlfn.XLOOKUP(A107,[1]ingredient!$B$2:$B$521,[1]ingredient!$A$2:$A$521)</f>
        <v/>
      </c>
      <c r="D107">
        <f>IFERROR(D104*(D385/D380),0)</f>
        <v/>
      </c>
      <c r="E107">
        <f>IFERROR(E104*(E385/E380),0)</f>
        <v/>
      </c>
      <c r="F107">
        <f>IFERROR(F104*(F385/F380),0)</f>
        <v/>
      </c>
      <c r="G107">
        <f>IFERROR(G104*(G385/G380),0)</f>
        <v/>
      </c>
      <c r="H107">
        <f>IFERROR(H104*(H385/H380),0)</f>
        <v/>
      </c>
      <c r="I107">
        <f>IFERROR(I104*(I385/I380),0)</f>
        <v/>
      </c>
      <c r="J107">
        <f>IFERROR(J104*(J385/J380),0)</f>
        <v/>
      </c>
      <c r="K107">
        <f>IFERROR(K104*(K385/K380),0)</f>
        <v/>
      </c>
      <c r="L107">
        <f>IFERROR(L104*(L385/L380),0)</f>
        <v/>
      </c>
      <c r="M107">
        <f>IFERROR(M104*(M385/M380),0)</f>
        <v/>
      </c>
      <c r="N107">
        <f>IFERROR(N104*(N385/N380),0)</f>
        <v/>
      </c>
      <c r="O107">
        <f>IFERROR(O104*(O385/O380),0)</f>
        <v/>
      </c>
      <c r="P107">
        <f>IFERROR(P104*(P385/P380),0)</f>
        <v/>
      </c>
      <c r="Q107">
        <f>IFERROR(Q104*(Q385/Q380),0)</f>
        <v/>
      </c>
      <c r="R107">
        <f>IFERROR(R104*(R385/R380),0)</f>
        <v/>
      </c>
      <c r="S107">
        <f>IFERROR(S104*(S385/S380),0)</f>
        <v/>
      </c>
      <c r="T107">
        <f>IFERROR(T104*(T385/T380),0)</f>
        <v/>
      </c>
      <c r="U107">
        <f>IFERROR(U104*(U385/U380),0)</f>
        <v/>
      </c>
      <c r="V107">
        <f>IFERROR(V104*(V385/V380),0)</f>
        <v/>
      </c>
      <c r="W107">
        <f>IFERROR(W104*(W385/W380),0)</f>
        <v/>
      </c>
      <c r="X107">
        <f>IFERROR(X104*(X385/X380),0)</f>
        <v/>
      </c>
      <c r="Y107">
        <f>IFERROR(Y104*(Y385/Y380),0)</f>
        <v/>
      </c>
      <c r="Z107">
        <f>IFERROR(Z104*(Z385/Z380),0)</f>
        <v/>
      </c>
      <c r="AA107">
        <f>IFERROR(AA104*(AA385/AA380),0)</f>
        <v/>
      </c>
      <c r="AB107">
        <f>IFERROR(AB104*(AB385/AB380),0)</f>
        <v/>
      </c>
      <c r="AC107">
        <f>IFERROR(AC104*(AC385/AC380),0)</f>
        <v/>
      </c>
      <c r="AD107">
        <f>IFERROR(AD104*(AD385/AD380),0)</f>
        <v/>
      </c>
      <c r="AE107">
        <f>IFERROR(AE104*(AE385/AE380),0)</f>
        <v/>
      </c>
      <c r="AF107">
        <f>IFERROR(AF104*(AF385/AF380),0)</f>
        <v/>
      </c>
      <c r="AG107">
        <f>IFERROR(AG104*(AG385/AG380),0)</f>
        <v/>
      </c>
      <c r="AH107">
        <f>IFERROR(AH104*(AH385/AH380),0)</f>
        <v/>
      </c>
      <c r="AI107">
        <f>IFERROR(AI104*(AI385/AI380),0)</f>
        <v/>
      </c>
      <c r="AJ107">
        <f>IFERROR(AJ104*(AJ385/AJ380),0)</f>
        <v/>
      </c>
      <c r="AK107">
        <f>IFERROR(AK104*(AK385/AK380),0)</f>
        <v/>
      </c>
      <c r="AL107">
        <f>IFERROR(AL104*(AL385/AL380),0)</f>
        <v/>
      </c>
      <c r="AM107">
        <f>IFERROR(AM104*(AM385/AM380),0)</f>
        <v/>
      </c>
      <c r="AN107">
        <f>IFERROR(AN104*(AN385/AN380),0)</f>
        <v/>
      </c>
      <c r="AO107">
        <f>IFERROR(AO104*(AO385/AO380),0)</f>
        <v/>
      </c>
      <c r="AP107">
        <f>IFERROR(AP104*(AP385/AP380),0)</f>
        <v/>
      </c>
      <c r="AQ107">
        <f>IFERROR(AQ104*(AQ385/AQ380),0)</f>
        <v/>
      </c>
      <c r="AR107">
        <f>IFERROR(AR104*(AR385/AR380),0)</f>
        <v/>
      </c>
      <c r="AS107">
        <f>IFERROR(AS104*(AS385/AS380),0)</f>
        <v/>
      </c>
      <c r="AT107">
        <f>IFERROR(AT104*(AT385/AT380),0)</f>
        <v/>
      </c>
      <c r="AU107">
        <f>IFERROR(AU104*(AU385/AU380),0)</f>
        <v/>
      </c>
      <c r="AV107">
        <f>IFERROR(AV104*(AV385/AV380),0)</f>
        <v/>
      </c>
      <c r="AW107">
        <f>IFERROR(AW104*(AW385/AW380),0)</f>
        <v/>
      </c>
      <c r="AX107">
        <f>IFERROR(AX104*(AX385/AX380),0)</f>
        <v/>
      </c>
      <c r="AY107">
        <f>IFERROR(AY104*(AY385/AY380),0)</f>
        <v/>
      </c>
      <c r="AZ107">
        <f>IFERROR(AZ104*(AZ385/AZ380),0)</f>
        <v/>
      </c>
      <c r="BA107">
        <f>IFERROR(BA104*(BA385/BA380),0)</f>
        <v/>
      </c>
      <c r="BB107">
        <f>IFERROR(BB104*(BB385/BB380),0)</f>
        <v/>
      </c>
      <c r="BC107">
        <f>IFERROR(BC104*(BC385/BC380),0)</f>
        <v/>
      </c>
      <c r="BD107">
        <f>IFERROR(BD104*(BD385/BD380),0)</f>
        <v/>
      </c>
      <c r="BE107">
        <f>IFERROR(BE104*(BE385/BE380),0)</f>
        <v/>
      </c>
      <c r="BF107">
        <f>IFERROR(BF104*(BF385/BF380),0)</f>
        <v/>
      </c>
      <c r="BG107">
        <f>IF($F107=0,"0",MIN(
BH107/(30*$F107),
BI107/(61*$F107),
BJ107/(48*$F107),
(BK107+BL107)/(23*$F107),
(BM107+BN107)/(41*$F107),
BO107/(25*$F107),
BP107/(6.6*$F107),
BQ107/(40*$F107),
BS107/(16*$F107)
)*100)</f>
        <v/>
      </c>
      <c r="BH107">
        <f>IFERROR(BH104*(BH385/BH380),0)</f>
        <v/>
      </c>
      <c r="BI107">
        <f>IFERROR(BI104*(BI385/BI380),0)</f>
        <v/>
      </c>
      <c r="BJ107">
        <f>IFERROR(BJ104*(BJ385/BJ380),0)</f>
        <v/>
      </c>
      <c r="BK107">
        <f>IFERROR(BK104*(BK385/BK380),0)</f>
        <v/>
      </c>
      <c r="BL107">
        <f>IFERROR(BL104*(BL385/BL380),0)</f>
        <v/>
      </c>
      <c r="BM107">
        <f>IFERROR(BM104*(BM385/BM380),0)</f>
        <v/>
      </c>
      <c r="BN107">
        <f>IFERROR(BN104*(BN385/BN380),0)</f>
        <v/>
      </c>
      <c r="BO107">
        <f>IFERROR(BO104*(BO385/BO380),0)</f>
        <v/>
      </c>
      <c r="BP107">
        <f>IFERROR(BP104*(BP385/BP380),0)</f>
        <v/>
      </c>
      <c r="BQ107">
        <f>IFERROR(BQ104*(BQ385/BQ380),0)</f>
        <v/>
      </c>
      <c r="BR107">
        <f>IFERROR(BR104*(BR385/BR380),0)</f>
        <v/>
      </c>
      <c r="BS107">
        <f>IFERROR(BS104*(BS385/BS380),0)</f>
        <v/>
      </c>
      <c r="BT107">
        <f>IFERROR(BT104*(BT385/BT380),0)</f>
        <v/>
      </c>
      <c r="BU107">
        <f>IFERROR(BU104*(BU385/BU380),0)</f>
        <v/>
      </c>
      <c r="BV107">
        <f>IFERROR(BV104*(BV385/BV380),0)</f>
        <v/>
      </c>
      <c r="BW107">
        <f>IFERROR(BW104*(BW385/BW380),0)</f>
        <v/>
      </c>
      <c r="BX107">
        <f>IFERROR(BX104*(BX385/BX380),0)</f>
        <v/>
      </c>
      <c r="BY107">
        <f>IFERROR(BY104*(BY385/BY380),0)</f>
        <v/>
      </c>
      <c r="BZ107">
        <f>IFERROR(BZ104*(BZ385/BZ380),0)</f>
        <v/>
      </c>
      <c r="CA107">
        <f>IFERROR(CA104*(CA385/CA380),0)</f>
        <v/>
      </c>
      <c r="CB107">
        <f>IFERROR(CB104*(CB385/CB380),0)</f>
        <v/>
      </c>
      <c r="CC107">
        <f>IFERROR(CC104*(CC385/CC380),0)</f>
        <v/>
      </c>
      <c r="CD107">
        <f>IFERROR(CD104*(CD385/CD380),0)</f>
        <v/>
      </c>
      <c r="CE107">
        <f>IFERROR(CE104*(CE385/CE380),0)</f>
        <v/>
      </c>
      <c r="CF107">
        <f>IFERROR(CF104*(CF385/CF380),0)</f>
        <v/>
      </c>
      <c r="CG107">
        <f>IFERROR(CG104*(CG385/CG380),0)</f>
        <v/>
      </c>
      <c r="CH107">
        <f>IFERROR(CH104*(CH385/CH380),0)</f>
        <v/>
      </c>
      <c r="CI107">
        <f>IFERROR(CI104*(CI385/CI380),0)</f>
        <v/>
      </c>
      <c r="CJ107">
        <f>IFERROR(CJ104*(CJ385/CJ380),0)</f>
        <v/>
      </c>
      <c r="CK107">
        <f>IFERROR(CK104*(CK385/CK380),0)</f>
        <v/>
      </c>
      <c r="CL107">
        <f>IFERROR(CL104*(CL385/CL380),0)</f>
        <v/>
      </c>
      <c r="CM107">
        <f>IFERROR(CM104*(CM385/CM380),0)</f>
        <v/>
      </c>
      <c r="CN107">
        <f>IFERROR(CN104*(CN385/CN380),0)</f>
        <v/>
      </c>
      <c r="CO107">
        <f>IFERROR(CO104*(CO385/CO380),0)</f>
        <v/>
      </c>
      <c r="CP107">
        <f>IFERROR(CP104*(CP385/CP380),0)</f>
        <v/>
      </c>
      <c r="CQ107">
        <f>IFERROR(CQ104*(CQ385/CQ380),0)</f>
        <v/>
      </c>
      <c r="CR107">
        <f>IFERROR(CR104*(CR385/CR380),0)</f>
        <v/>
      </c>
      <c r="CS107">
        <f>IFERROR(CS104*(CS385/CS380),0)</f>
        <v/>
      </c>
      <c r="CT107">
        <f>IFERROR(CT104*(CT385/CT380),0)</f>
        <v/>
      </c>
      <c r="CU107">
        <f>IFERROR(CU104*(CU385/CU380),0)</f>
        <v/>
      </c>
      <c r="CV107">
        <f>IFERROR(CV104*(CV385/CV380),0)</f>
        <v/>
      </c>
      <c r="CW107">
        <f>IFERROR(CW104*(CW385/CW380),0)</f>
        <v/>
      </c>
      <c r="CX107">
        <f>IFERROR(CX104*(CX385/CX380),0)</f>
        <v/>
      </c>
      <c r="CY107">
        <f>IFERROR(CY104*(CY385/CY380),0)</f>
        <v/>
      </c>
      <c r="CZ107">
        <f>IFERROR(CZ104*(CZ385/CZ380),0)</f>
        <v/>
      </c>
      <c r="DA107">
        <f>IFERROR(DA104*(DA385/DA380),0)</f>
        <v/>
      </c>
      <c r="DB107">
        <f>IFERROR(DB104*(DB385/DB380),0)</f>
        <v/>
      </c>
      <c r="DC107">
        <f>IFERROR(DC104*(DC385/DC380),0)</f>
        <v/>
      </c>
      <c r="DD107">
        <f>IFERROR(DD104*(DD385/DD380),0)</f>
        <v/>
      </c>
      <c r="DE107">
        <f>IFERROR(DE104*(DE385/DE380),0)</f>
        <v/>
      </c>
      <c r="DF107">
        <f>IFERROR(DF104*(DF385/DF380),0)</f>
        <v/>
      </c>
      <c r="DG107">
        <f>IFERROR(DG104*(DG385/DG380),0)</f>
        <v/>
      </c>
      <c r="DH107">
        <f>IFERROR(DH104*(DH385/DH380),0)</f>
        <v/>
      </c>
      <c r="DI107">
        <f>IFERROR(DI104*(DI385/DI380),0)</f>
        <v/>
      </c>
      <c r="DJ107">
        <f>IFERROR(DJ104*(DJ385/DJ380),0)</f>
        <v/>
      </c>
      <c r="DK107">
        <f>IFERROR(DK104*(DK385/DK380),0)</f>
        <v/>
      </c>
      <c r="DL107">
        <f>IFERROR(DL104*(DL385/DL380),0)</f>
        <v/>
      </c>
      <c r="DM107">
        <f>IFERROR(DM104*(DM385/DM380),0)</f>
        <v/>
      </c>
      <c r="DN107">
        <f>IFERROR(DN104*(DN385/DN380),0)</f>
        <v/>
      </c>
      <c r="DO107">
        <f>IFERROR(DO104*(DO385/DO380),0)</f>
        <v/>
      </c>
      <c r="DP107">
        <f>IFERROR(DP104*(DP385/DP380),0)</f>
        <v/>
      </c>
      <c r="DQ107">
        <f>IFERROR(DQ104*(DQ385/DQ380),0)</f>
        <v/>
      </c>
      <c r="DR107">
        <f>IFERROR(DR104*(DR385/DR380),0)</f>
        <v/>
      </c>
      <c r="DS107">
        <f>IFERROR(DS104*(DS385/DS380),0)</f>
        <v/>
      </c>
      <c r="DT107">
        <f>IFERROR(DT104*(DT385/DT380),0)</f>
        <v/>
      </c>
      <c r="DU107">
        <f>IFERROR(DU104*(DU385/DU380),0)</f>
        <v/>
      </c>
      <c r="DV107">
        <f>IFERROR(DV104*(DV385/DV380),0)</f>
        <v/>
      </c>
      <c r="DW107">
        <f>IFERROR(DW104*(DW385/DW380),0)</f>
        <v/>
      </c>
      <c r="DX107">
        <f>IFERROR(DX104*(DX385/DX380),0)</f>
        <v/>
      </c>
      <c r="DY107">
        <f>IFERROR(DY104*(DY385/DY380),0)</f>
        <v/>
      </c>
      <c r="DZ107">
        <f>IFERROR(DZ104*(DZ385/DZ380),0)</f>
        <v/>
      </c>
      <c r="EA107">
        <f>IFERROR(EA104*(EA385/EA380),0)</f>
        <v/>
      </c>
      <c r="EB107">
        <f>IFERROR(EB104*(EB385/EB380),0)</f>
        <v/>
      </c>
      <c r="EC107">
        <f>IFERROR(EC104*(EC385/EC380),0)</f>
        <v/>
      </c>
      <c r="ED107">
        <f>IFERROR(ED104*(ED385/ED380),0)</f>
        <v/>
      </c>
      <c r="EE107">
        <f>IFERROR(EE104*(EE385/EE380),0)</f>
        <v/>
      </c>
      <c r="EF107">
        <f>IFERROR(EF104*(EF385/EF380),0)</f>
        <v/>
      </c>
      <c r="EG107">
        <f>IFERROR(EG104*(EG385/EG380),0)</f>
        <v/>
      </c>
      <c r="EH107">
        <f>IFERROR(EH104*(EH385/EH380),0)</f>
        <v/>
      </c>
      <c r="EI107">
        <f>IFERROR(EI104*(EI385/EI380),0)</f>
        <v/>
      </c>
      <c r="EJ107">
        <f>IFERROR(EJ104*(EJ385/EJ380),0)</f>
        <v/>
      </c>
      <c r="EK107">
        <f>IFERROR(EK104*(EK385/EK380),0)</f>
        <v/>
      </c>
    </row>
    <row r="108">
      <c r="A108">
        <f>[1]ingredient!B107</f>
        <v/>
      </c>
      <c r="B108" s="11" t="inlineStr">
        <is>
          <t>https://www.naehrwertrechner.de/naehrwerte/G760500/Erbsen+gr%C3%BCn+Pulver/?menge=100</t>
        </is>
      </c>
      <c r="C108" s="7">
        <f>_xlfn.XLOOKUP(A108,[1]ingredient!$B$2:$B$521,[1]ingredient!$A$2:$A$521)</f>
        <v/>
      </c>
      <c r="D108" t="n">
        <v>306</v>
      </c>
      <c r="E108" t="n">
        <v>2</v>
      </c>
      <c r="F108" t="n">
        <v>25</v>
      </c>
      <c r="G108" t="n">
        <v>45</v>
      </c>
      <c r="H108" t="n">
        <v>19</v>
      </c>
      <c r="I108" t="n">
        <v>5</v>
      </c>
      <c r="J108" t="n">
        <v>0.15</v>
      </c>
      <c r="K108" t="n">
        <v>4</v>
      </c>
      <c r="L108" t="n">
        <v>165</v>
      </c>
      <c r="M108" t="n">
        <v>82</v>
      </c>
      <c r="N108" t="n">
        <v>0</v>
      </c>
      <c r="O108" t="n">
        <v>979</v>
      </c>
      <c r="P108" t="n">
        <v>987</v>
      </c>
      <c r="Q108" t="n">
        <v>588</v>
      </c>
      <c r="R108" t="n">
        <v>7822</v>
      </c>
      <c r="S108" t="n">
        <v>13522</v>
      </c>
      <c r="T108" t="n">
        <v>2227</v>
      </c>
      <c r="U108" t="n">
        <v>495</v>
      </c>
      <c r="V108" t="n">
        <v>17</v>
      </c>
      <c r="W108" t="n">
        <v>307</v>
      </c>
      <c r="X108" t="n">
        <v>0</v>
      </c>
      <c r="Y108" t="n">
        <v>38673</v>
      </c>
      <c r="Z108" t="n">
        <v>0</v>
      </c>
      <c r="AA108" t="n">
        <v>219</v>
      </c>
      <c r="AB108" t="n">
        <v>138</v>
      </c>
      <c r="AC108" t="n">
        <v>8</v>
      </c>
      <c r="AD108" t="n">
        <v>829</v>
      </c>
      <c r="AE108" t="n">
        <v>92</v>
      </c>
      <c r="AF108" t="n">
        <v>123</v>
      </c>
      <c r="AG108" t="n">
        <v>411</v>
      </c>
      <c r="AH108" t="n">
        <v>173</v>
      </c>
      <c r="AI108" t="n">
        <v>138</v>
      </c>
      <c r="AJ108" t="n">
        <v>5184</v>
      </c>
      <c r="AK108" t="n">
        <v>3348</v>
      </c>
      <c r="AL108" t="n">
        <v>856</v>
      </c>
      <c r="AM108" t="n">
        <v>1225</v>
      </c>
      <c r="AN108" t="n">
        <v>92</v>
      </c>
      <c r="AO108" t="n">
        <v>15</v>
      </c>
      <c r="AP108" t="n">
        <v>0</v>
      </c>
      <c r="AQ108" t="n">
        <v>0</v>
      </c>
      <c r="AR108" t="n">
        <v>0</v>
      </c>
      <c r="AS108" t="n">
        <v>0</v>
      </c>
      <c r="AT108" t="n">
        <v>307</v>
      </c>
      <c r="AU108" t="n">
        <v>227</v>
      </c>
      <c r="AV108" t="n">
        <v>0</v>
      </c>
      <c r="AW108" t="n">
        <v>534</v>
      </c>
      <c r="AX108" t="n">
        <v>4020</v>
      </c>
      <c r="AY108" t="n">
        <v>0</v>
      </c>
      <c r="AZ108" t="n">
        <v>0</v>
      </c>
      <c r="BA108" t="n">
        <v>4020</v>
      </c>
      <c r="BB108" t="n">
        <v>2150</v>
      </c>
      <c r="BC108" t="n">
        <v>0</v>
      </c>
      <c r="BD108" t="n">
        <v>0</v>
      </c>
      <c r="BE108" t="n">
        <v>38485</v>
      </c>
      <c r="BF108" t="n">
        <v>38485</v>
      </c>
      <c r="BG108">
        <f>IF($F108=0,"0",MIN(
BH108/(30*$F108),
BI108/(61*$F108),
BJ108/(48*$F108),
(BK108+BL108)/(23*$F108),
(BM108+BN108)/(41*$F108),
BO108/(25*$F108),
BP108/(6.6*$F108),
BQ108/(40*$F108),
BS108/(16*$F108)
)*100)</f>
        <v/>
      </c>
      <c r="BH108" t="n">
        <v>1843</v>
      </c>
      <c r="BI108" t="n">
        <v>2289</v>
      </c>
      <c r="BJ108" t="n">
        <v>2081</v>
      </c>
      <c r="BK108" t="n">
        <v>342</v>
      </c>
      <c r="BL108" t="n">
        <v>445</v>
      </c>
      <c r="BM108" t="n">
        <v>1367</v>
      </c>
      <c r="BN108" t="n">
        <v>1194</v>
      </c>
      <c r="BO108" t="n">
        <v>1536</v>
      </c>
      <c r="BP108" t="n">
        <v>342</v>
      </c>
      <c r="BQ108" t="n">
        <v>1774</v>
      </c>
      <c r="BR108" t="n">
        <v>3621</v>
      </c>
      <c r="BS108" t="n">
        <v>753</v>
      </c>
      <c r="BT108" t="n">
        <v>17587</v>
      </c>
      <c r="BU108" t="n">
        <v>476</v>
      </c>
      <c r="BV108" t="n">
        <v>1878</v>
      </c>
      <c r="BW108" t="n">
        <v>3379</v>
      </c>
      <c r="BX108" t="n">
        <v>580</v>
      </c>
      <c r="BY108" t="n">
        <v>476</v>
      </c>
      <c r="BZ108" t="n">
        <v>956</v>
      </c>
      <c r="CA108" t="n">
        <v>7745</v>
      </c>
      <c r="CB108" t="n">
        <v>326</v>
      </c>
      <c r="CC108" t="n">
        <v>109</v>
      </c>
      <c r="CD108" t="n">
        <v>169</v>
      </c>
      <c r="CE108" t="n">
        <v>829</v>
      </c>
      <c r="CF108" t="n">
        <v>4.91</v>
      </c>
      <c r="CG108" t="n">
        <v>0</v>
      </c>
      <c r="CH108" t="n">
        <v>0</v>
      </c>
      <c r="CI108" t="n">
        <v>0</v>
      </c>
      <c r="CJ108" t="n">
        <v>0</v>
      </c>
      <c r="CK108" t="n">
        <v>0</v>
      </c>
      <c r="CL108" t="n">
        <v>31</v>
      </c>
      <c r="CM108" t="n">
        <v>0</v>
      </c>
      <c r="CN108" t="n">
        <v>315</v>
      </c>
      <c r="CO108" t="n">
        <v>0</v>
      </c>
      <c r="CP108" t="n">
        <v>19</v>
      </c>
      <c r="CQ108" t="n">
        <v>0</v>
      </c>
      <c r="CR108" t="n">
        <v>0</v>
      </c>
      <c r="CS108" t="n">
        <v>0</v>
      </c>
      <c r="CT108" t="n">
        <v>365</v>
      </c>
      <c r="CU108" t="n">
        <v>0</v>
      </c>
      <c r="CV108" t="n">
        <v>0</v>
      </c>
      <c r="CW108" t="n">
        <v>35</v>
      </c>
      <c r="CX108" t="n">
        <v>0</v>
      </c>
      <c r="CY108" t="n">
        <v>123</v>
      </c>
      <c r="CZ108" t="n">
        <v>8</v>
      </c>
      <c r="DA108" t="n">
        <v>0</v>
      </c>
      <c r="DB108" t="n">
        <v>0</v>
      </c>
      <c r="DC108" t="n">
        <v>166</v>
      </c>
      <c r="DD108" t="n">
        <v>0</v>
      </c>
      <c r="DE108" t="n">
        <v>0</v>
      </c>
      <c r="DF108" t="n">
        <v>829</v>
      </c>
      <c r="DG108" t="n">
        <v>169</v>
      </c>
      <c r="DH108" t="n">
        <v>0</v>
      </c>
      <c r="DI108" t="n">
        <v>0</v>
      </c>
      <c r="DJ108" t="n">
        <v>0</v>
      </c>
      <c r="DK108" t="n">
        <v>0</v>
      </c>
      <c r="DL108" t="n">
        <v>0</v>
      </c>
      <c r="DM108" t="n">
        <v>0</v>
      </c>
      <c r="DN108" t="n">
        <v>0</v>
      </c>
      <c r="DO108" t="n">
        <v>0</v>
      </c>
      <c r="DP108" t="n">
        <v>0</v>
      </c>
      <c r="DQ108" t="n">
        <v>0</v>
      </c>
      <c r="DR108" t="n">
        <v>0</v>
      </c>
      <c r="DS108" t="n">
        <v>998</v>
      </c>
      <c r="DT108" t="n">
        <v>1529</v>
      </c>
      <c r="DU108" t="n">
        <v>326</v>
      </c>
      <c r="DV108" t="n">
        <v>0</v>
      </c>
      <c r="DW108" t="n">
        <v>0</v>
      </c>
      <c r="DX108" t="n">
        <v>0</v>
      </c>
      <c r="DY108" t="n">
        <v>2995</v>
      </c>
      <c r="DZ108" t="n">
        <v>6593</v>
      </c>
      <c r="EA108" t="n">
        <v>998</v>
      </c>
      <c r="EB108" t="n">
        <v>8352</v>
      </c>
      <c r="EC108" t="n">
        <v>399</v>
      </c>
      <c r="ED108" t="n">
        <v>1006</v>
      </c>
      <c r="EE108" t="n">
        <v>15429</v>
      </c>
      <c r="EF108" t="n">
        <v>0</v>
      </c>
      <c r="EG108" t="n">
        <v>1</v>
      </c>
      <c r="EH108" t="n">
        <v>3.2</v>
      </c>
      <c r="EI108" t="n">
        <v>15.4</v>
      </c>
      <c r="EJ108" t="n">
        <v>1.9</v>
      </c>
      <c r="EK108" t="n">
        <v>26.3</v>
      </c>
    </row>
    <row r="109">
      <c r="A109">
        <f>[1]ingredient!B108</f>
        <v/>
      </c>
      <c r="B109" t="inlineStr">
        <is>
          <t>https://www.naehrwertrechner.de/naehrwerte/H663111/Erbsen+gekeimt+frisch/?menge=100</t>
        </is>
      </c>
      <c r="C109" s="7">
        <f>_xlfn.XLOOKUP(A109,[1]ingredient!$B$2:$B$521,[1]ingredient!$A$2:$A$521)</f>
        <v/>
      </c>
      <c r="D109" t="n">
        <v>32</v>
      </c>
      <c r="E109" t="n">
        <v>0.34</v>
      </c>
      <c r="F109" t="n">
        <v>5</v>
      </c>
      <c r="G109" t="n">
        <v>2</v>
      </c>
      <c r="H109" t="n">
        <v>2</v>
      </c>
      <c r="I109" t="n">
        <v>1</v>
      </c>
      <c r="J109" t="n">
        <v>0.04</v>
      </c>
      <c r="K109" t="n">
        <v>90</v>
      </c>
      <c r="L109" t="n">
        <v>17</v>
      </c>
      <c r="M109" t="n">
        <v>9</v>
      </c>
      <c r="N109" t="n">
        <v>0</v>
      </c>
      <c r="O109" t="n">
        <v>102</v>
      </c>
      <c r="P109" t="n">
        <v>170</v>
      </c>
      <c r="Q109" t="n">
        <v>150</v>
      </c>
      <c r="R109" t="n">
        <v>940</v>
      </c>
      <c r="S109" t="n">
        <v>1623</v>
      </c>
      <c r="T109" t="n">
        <v>1140</v>
      </c>
      <c r="U109" t="n">
        <v>220</v>
      </c>
      <c r="V109" t="n">
        <v>6</v>
      </c>
      <c r="W109" t="n">
        <v>92</v>
      </c>
      <c r="X109" t="n">
        <v>0</v>
      </c>
      <c r="Y109" t="n">
        <v>22000</v>
      </c>
      <c r="Z109" t="n">
        <v>0</v>
      </c>
      <c r="AA109" t="n">
        <v>90</v>
      </c>
      <c r="AB109" t="n">
        <v>7</v>
      </c>
      <c r="AC109" t="n">
        <v>20</v>
      </c>
      <c r="AD109" t="n">
        <v>173</v>
      </c>
      <c r="AE109" t="n">
        <v>56</v>
      </c>
      <c r="AF109" t="n">
        <v>18</v>
      </c>
      <c r="AG109" t="n">
        <v>94</v>
      </c>
      <c r="AH109" t="n">
        <v>50</v>
      </c>
      <c r="AI109" t="n">
        <v>20</v>
      </c>
      <c r="AJ109" t="n">
        <v>980</v>
      </c>
      <c r="AK109" t="n">
        <v>630</v>
      </c>
      <c r="AL109" t="n">
        <v>190</v>
      </c>
      <c r="AM109" t="n">
        <v>110</v>
      </c>
      <c r="AN109" t="n">
        <v>10</v>
      </c>
      <c r="AO109" t="n">
        <v>5</v>
      </c>
      <c r="AP109" t="n">
        <v>0</v>
      </c>
      <c r="AQ109" t="n">
        <v>0</v>
      </c>
      <c r="AR109" t="n">
        <v>0</v>
      </c>
      <c r="AS109" t="n">
        <v>0</v>
      </c>
      <c r="AT109" t="n">
        <v>443</v>
      </c>
      <c r="AU109" t="n">
        <v>444</v>
      </c>
      <c r="AV109" t="n">
        <v>0</v>
      </c>
      <c r="AW109" t="n">
        <v>887</v>
      </c>
      <c r="AX109" t="n">
        <v>37</v>
      </c>
      <c r="AY109" t="n">
        <v>0</v>
      </c>
      <c r="AZ109" t="n">
        <v>0</v>
      </c>
      <c r="BA109" t="n">
        <v>37</v>
      </c>
      <c r="BB109" t="n">
        <v>93</v>
      </c>
      <c r="BC109" t="n">
        <v>0</v>
      </c>
      <c r="BD109" t="n">
        <v>0</v>
      </c>
      <c r="BE109" t="n">
        <v>833</v>
      </c>
      <c r="BF109" t="n">
        <v>833</v>
      </c>
      <c r="BG109">
        <f>IF($F109=0,"0",MIN(
BH109/(30*$F109),
BI109/(61*$F109),
BJ109/(48*$F109),
(BK109+BL109)/(23*$F109),
(BM109+BN109)/(41*$F109),
BO109/(25*$F109),
BP109/(6.6*$F109),
BQ109/(40*$F109),
BS109/(16*$F109)
)*100)</f>
        <v/>
      </c>
      <c r="BH109" t="n">
        <v>103</v>
      </c>
      <c r="BI109" t="n">
        <v>216</v>
      </c>
      <c r="BJ109" t="n">
        <v>221</v>
      </c>
      <c r="BK109" t="n">
        <v>395</v>
      </c>
      <c r="BL109" t="n">
        <v>87</v>
      </c>
      <c r="BM109" t="n">
        <v>144</v>
      </c>
      <c r="BN109" t="n">
        <v>72</v>
      </c>
      <c r="BO109" t="n">
        <v>108</v>
      </c>
      <c r="BP109" t="n">
        <v>41</v>
      </c>
      <c r="BQ109" t="n">
        <v>123</v>
      </c>
      <c r="BR109" t="n">
        <v>278</v>
      </c>
      <c r="BS109" t="n">
        <v>93</v>
      </c>
      <c r="BT109" t="n">
        <v>1881</v>
      </c>
      <c r="BU109" t="n">
        <v>139</v>
      </c>
      <c r="BV109" t="n">
        <v>386</v>
      </c>
      <c r="BW109" t="n">
        <v>591</v>
      </c>
      <c r="BX109" t="n">
        <v>118</v>
      </c>
      <c r="BY109" t="n">
        <v>159</v>
      </c>
      <c r="BZ109" t="n">
        <v>170</v>
      </c>
      <c r="CA109" t="n">
        <v>1563</v>
      </c>
      <c r="CB109" t="n">
        <v>12</v>
      </c>
      <c r="CC109" t="n">
        <v>5</v>
      </c>
      <c r="CD109" t="n">
        <v>32</v>
      </c>
      <c r="CE109" t="n">
        <v>141</v>
      </c>
      <c r="CF109" t="n">
        <v>4.41</v>
      </c>
      <c r="CG109" t="n">
        <v>0</v>
      </c>
      <c r="CH109" t="n">
        <v>0</v>
      </c>
      <c r="CI109" t="n">
        <v>0</v>
      </c>
      <c r="CJ109" t="n">
        <v>0</v>
      </c>
      <c r="CK109" t="n">
        <v>0</v>
      </c>
      <c r="CL109" t="n">
        <v>0</v>
      </c>
      <c r="CM109" t="n">
        <v>0</v>
      </c>
      <c r="CN109" t="n">
        <v>60</v>
      </c>
      <c r="CO109" t="n">
        <v>0</v>
      </c>
      <c r="CP109" t="n">
        <v>6</v>
      </c>
      <c r="CQ109" t="n">
        <v>0</v>
      </c>
      <c r="CR109" t="n">
        <v>0</v>
      </c>
      <c r="CS109" t="n">
        <v>0</v>
      </c>
      <c r="CT109" t="n">
        <v>66</v>
      </c>
      <c r="CU109" t="n">
        <v>0</v>
      </c>
      <c r="CV109" t="n">
        <v>0</v>
      </c>
      <c r="CW109" t="n">
        <v>0</v>
      </c>
      <c r="CX109" t="n">
        <v>0</v>
      </c>
      <c r="CY109" t="n">
        <v>33</v>
      </c>
      <c r="CZ109" t="n">
        <v>0</v>
      </c>
      <c r="DA109" t="n">
        <v>0</v>
      </c>
      <c r="DB109" t="n">
        <v>0</v>
      </c>
      <c r="DC109" t="n">
        <v>33</v>
      </c>
      <c r="DD109" t="n">
        <v>0</v>
      </c>
      <c r="DE109" t="n">
        <v>0</v>
      </c>
      <c r="DF109" t="n">
        <v>141</v>
      </c>
      <c r="DG109" t="n">
        <v>32</v>
      </c>
      <c r="DH109" t="n">
        <v>0</v>
      </c>
      <c r="DI109" t="n">
        <v>0</v>
      </c>
      <c r="DJ109" t="n">
        <v>0</v>
      </c>
      <c r="DK109" t="n">
        <v>0</v>
      </c>
      <c r="DL109" t="n">
        <v>0</v>
      </c>
      <c r="DM109" t="n">
        <v>0</v>
      </c>
      <c r="DN109" t="n">
        <v>0</v>
      </c>
      <c r="DO109" t="n">
        <v>0</v>
      </c>
      <c r="DP109" t="n">
        <v>0</v>
      </c>
      <c r="DQ109" t="n">
        <v>0</v>
      </c>
      <c r="DR109" t="n">
        <v>0</v>
      </c>
      <c r="DS109" t="n">
        <v>173</v>
      </c>
      <c r="DT109" t="n">
        <v>272</v>
      </c>
      <c r="DU109" t="n">
        <v>68</v>
      </c>
      <c r="DV109" t="n">
        <v>0</v>
      </c>
      <c r="DW109" t="n">
        <v>0</v>
      </c>
      <c r="DX109" t="n">
        <v>0</v>
      </c>
      <c r="DY109" t="n">
        <v>278</v>
      </c>
      <c r="DZ109" t="n">
        <v>749</v>
      </c>
      <c r="EA109" t="n">
        <v>278</v>
      </c>
      <c r="EB109" t="n">
        <v>792</v>
      </c>
      <c r="EC109" t="n">
        <v>43</v>
      </c>
      <c r="ED109" t="n">
        <v>1070</v>
      </c>
      <c r="EE109" t="n">
        <v>1070</v>
      </c>
      <c r="EF109" t="n">
        <v>0</v>
      </c>
      <c r="EG109" t="n">
        <v>0.3</v>
      </c>
      <c r="EH109" t="n">
        <v>0.5</v>
      </c>
      <c r="EI109" t="n">
        <v>1.1</v>
      </c>
      <c r="EJ109" t="n">
        <v>0.3</v>
      </c>
      <c r="EK109" t="n">
        <v>3.5</v>
      </c>
    </row>
    <row r="110">
      <c r="A110">
        <f>[1]ingredient!B109</f>
        <v/>
      </c>
      <c r="B110" t="inlineStr">
        <is>
          <t>https://www.naehrwertrechner.de/naehrwerte/F301000/Erdbeere/?menge=100</t>
        </is>
      </c>
      <c r="C110" s="7">
        <f>_xlfn.XLOOKUP(A110,[1]ingredient!$B$2:$B$521,[1]ingredient!$A$2:$A$521)</f>
        <v/>
      </c>
      <c r="D110" t="n">
        <v>32</v>
      </c>
      <c r="E110" t="n">
        <v>0.4</v>
      </c>
      <c r="F110" t="n">
        <v>1</v>
      </c>
      <c r="G110" t="n">
        <v>6</v>
      </c>
      <c r="H110" t="n">
        <v>2</v>
      </c>
      <c r="I110" t="n">
        <v>5</v>
      </c>
      <c r="J110" t="n">
        <v>0.02</v>
      </c>
      <c r="K110" t="n">
        <v>90</v>
      </c>
      <c r="L110" t="n">
        <v>8</v>
      </c>
      <c r="M110" t="n">
        <v>4</v>
      </c>
      <c r="N110" t="n">
        <v>0</v>
      </c>
      <c r="O110" t="n">
        <v>50</v>
      </c>
      <c r="P110" t="n">
        <v>30</v>
      </c>
      <c r="Q110" t="n">
        <v>50</v>
      </c>
      <c r="R110" t="n">
        <v>500</v>
      </c>
      <c r="S110" t="n">
        <v>733</v>
      </c>
      <c r="T110" t="n">
        <v>300</v>
      </c>
      <c r="U110" t="n">
        <v>60</v>
      </c>
      <c r="V110" t="n">
        <v>4</v>
      </c>
      <c r="W110" t="n">
        <v>16</v>
      </c>
      <c r="X110" t="n">
        <v>0</v>
      </c>
      <c r="Y110" t="n">
        <v>65000</v>
      </c>
      <c r="Z110" t="n">
        <v>0</v>
      </c>
      <c r="AA110" t="n">
        <v>120</v>
      </c>
      <c r="AB110" t="n">
        <v>13</v>
      </c>
      <c r="AC110" t="n">
        <v>3</v>
      </c>
      <c r="AD110" t="n">
        <v>145</v>
      </c>
      <c r="AE110" t="n">
        <v>25</v>
      </c>
      <c r="AF110" t="n">
        <v>15</v>
      </c>
      <c r="AG110" t="n">
        <v>25</v>
      </c>
      <c r="AH110" t="n">
        <v>13</v>
      </c>
      <c r="AI110" t="n">
        <v>14</v>
      </c>
      <c r="AJ110" t="n">
        <v>960</v>
      </c>
      <c r="AK110" t="n">
        <v>120</v>
      </c>
      <c r="AL110" t="n">
        <v>120</v>
      </c>
      <c r="AM110" t="n">
        <v>225</v>
      </c>
      <c r="AN110" t="n">
        <v>24</v>
      </c>
      <c r="AO110" t="n">
        <v>1</v>
      </c>
      <c r="AP110" t="n">
        <v>0</v>
      </c>
      <c r="AQ110" t="n">
        <v>33</v>
      </c>
      <c r="AR110" t="n">
        <v>28</v>
      </c>
      <c r="AS110" t="n">
        <v>61</v>
      </c>
      <c r="AT110" t="n">
        <v>2156</v>
      </c>
      <c r="AU110" t="n">
        <v>2281</v>
      </c>
      <c r="AV110" t="n">
        <v>0</v>
      </c>
      <c r="AW110" t="n">
        <v>4454</v>
      </c>
      <c r="AX110" t="n">
        <v>985</v>
      </c>
      <c r="AY110" t="n">
        <v>0</v>
      </c>
      <c r="AZ110" t="n">
        <v>0</v>
      </c>
      <c r="BA110" t="n">
        <v>985</v>
      </c>
      <c r="BB110" t="n">
        <v>0</v>
      </c>
      <c r="BC110" t="n">
        <v>0</v>
      </c>
      <c r="BD110" t="n">
        <v>0</v>
      </c>
      <c r="BE110" t="n">
        <v>0</v>
      </c>
      <c r="BF110" t="n">
        <v>0</v>
      </c>
      <c r="BG110">
        <f>IF($F110=0,"0",MIN(
BH110/(30*$F110),
BI110/(61*$F110),
BJ110/(48*$F110),
(BK110+BL110)/(23*$F110),
(BM110+BN110)/(41*$F110),
BO110/(25*$F110),
BP110/(6.6*$F110),
BQ110/(40*$F110),
BS110/(16*$F110)
)*100)</f>
        <v/>
      </c>
      <c r="BH110" t="n">
        <v>18</v>
      </c>
      <c r="BI110" t="n">
        <v>43</v>
      </c>
      <c r="BJ110" t="n">
        <v>33</v>
      </c>
      <c r="BK110" t="n">
        <v>1</v>
      </c>
      <c r="BL110" t="n">
        <v>7</v>
      </c>
      <c r="BM110" t="n">
        <v>24</v>
      </c>
      <c r="BN110" t="n">
        <v>28</v>
      </c>
      <c r="BO110" t="n">
        <v>26</v>
      </c>
      <c r="BP110" t="n">
        <v>14</v>
      </c>
      <c r="BQ110" t="n">
        <v>24</v>
      </c>
      <c r="BR110" t="n">
        <v>36</v>
      </c>
      <c r="BS110" t="n">
        <v>16</v>
      </c>
      <c r="BT110" t="n">
        <v>270</v>
      </c>
      <c r="BU110" t="n">
        <v>43</v>
      </c>
      <c r="BV110" t="n">
        <v>187</v>
      </c>
      <c r="BW110" t="n">
        <v>123</v>
      </c>
      <c r="BX110" t="n">
        <v>33</v>
      </c>
      <c r="BY110" t="n">
        <v>26</v>
      </c>
      <c r="BZ110" t="n">
        <v>32</v>
      </c>
      <c r="CA110" t="n">
        <v>444</v>
      </c>
      <c r="CB110" t="n">
        <v>25</v>
      </c>
      <c r="CC110" t="n">
        <v>10</v>
      </c>
      <c r="CD110" t="n">
        <v>98</v>
      </c>
      <c r="CE110" t="n">
        <v>135</v>
      </c>
      <c r="CF110" t="n">
        <v>1.38</v>
      </c>
      <c r="CG110" t="n">
        <v>0</v>
      </c>
      <c r="CH110" t="n">
        <v>0</v>
      </c>
      <c r="CI110" t="n">
        <v>0</v>
      </c>
      <c r="CJ110" t="n">
        <v>0</v>
      </c>
      <c r="CK110" t="n">
        <v>0</v>
      </c>
      <c r="CL110" t="n">
        <v>0</v>
      </c>
      <c r="CM110" t="n">
        <v>0</v>
      </c>
      <c r="CN110" t="n">
        <v>18</v>
      </c>
      <c r="CO110" t="n">
        <v>0</v>
      </c>
      <c r="CP110" t="n">
        <v>5</v>
      </c>
      <c r="CQ110" t="n">
        <v>0</v>
      </c>
      <c r="CR110" t="n">
        <v>0</v>
      </c>
      <c r="CS110" t="n">
        <v>0</v>
      </c>
      <c r="CT110" t="n">
        <v>23</v>
      </c>
      <c r="CU110" t="n">
        <v>0</v>
      </c>
      <c r="CV110" t="n">
        <v>0</v>
      </c>
      <c r="CW110" t="n">
        <v>1</v>
      </c>
      <c r="CX110" t="n">
        <v>0</v>
      </c>
      <c r="CY110" t="n">
        <v>63</v>
      </c>
      <c r="CZ110" t="n">
        <v>0</v>
      </c>
      <c r="DA110" t="n">
        <v>0</v>
      </c>
      <c r="DB110" t="n">
        <v>0</v>
      </c>
      <c r="DC110" t="n">
        <v>64</v>
      </c>
      <c r="DD110" t="n">
        <v>0</v>
      </c>
      <c r="DE110" t="n">
        <v>0</v>
      </c>
      <c r="DF110" t="n">
        <v>135</v>
      </c>
      <c r="DG110" t="n">
        <v>98</v>
      </c>
      <c r="DH110" t="n">
        <v>0</v>
      </c>
      <c r="DI110" t="n">
        <v>0</v>
      </c>
      <c r="DJ110" t="n">
        <v>0</v>
      </c>
      <c r="DK110" t="n">
        <v>0</v>
      </c>
      <c r="DL110" t="n">
        <v>0</v>
      </c>
      <c r="DM110" t="n">
        <v>0</v>
      </c>
      <c r="DN110" t="n">
        <v>0</v>
      </c>
      <c r="DO110" t="n">
        <v>0</v>
      </c>
      <c r="DP110" t="n">
        <v>0</v>
      </c>
      <c r="DQ110" t="n">
        <v>0</v>
      </c>
      <c r="DR110" t="n">
        <v>0</v>
      </c>
      <c r="DS110" t="n">
        <v>233</v>
      </c>
      <c r="DT110" t="n">
        <v>320</v>
      </c>
      <c r="DU110" t="n">
        <v>80</v>
      </c>
      <c r="DV110" t="n">
        <v>0</v>
      </c>
      <c r="DW110" t="n">
        <v>0</v>
      </c>
      <c r="DX110" t="n">
        <v>0</v>
      </c>
      <c r="DY110" t="n">
        <v>456</v>
      </c>
      <c r="DZ110" t="n">
        <v>304</v>
      </c>
      <c r="EA110" t="n">
        <v>810</v>
      </c>
      <c r="EB110" t="n">
        <v>330</v>
      </c>
      <c r="EC110" t="n">
        <v>100</v>
      </c>
      <c r="ED110" t="n">
        <v>712</v>
      </c>
      <c r="EE110" t="n">
        <v>1288</v>
      </c>
      <c r="EF110" t="n">
        <v>0</v>
      </c>
      <c r="EG110" t="n">
        <v>1</v>
      </c>
      <c r="EH110" t="n">
        <v>0.5</v>
      </c>
      <c r="EI110" t="n">
        <v>1.3</v>
      </c>
      <c r="EJ110" t="n">
        <v>0.4</v>
      </c>
      <c r="EK110" t="n">
        <v>0.8</v>
      </c>
    </row>
    <row r="111">
      <c r="A111">
        <f>[1]ingredient!B110</f>
        <v/>
      </c>
      <c r="B111" t="inlineStr">
        <is>
          <t>https://www.naehrwertrechner.de/naehrwerte/F301211/Erdbeere+tiefgefroren/?menge=100</t>
        </is>
      </c>
      <c r="C111" s="7">
        <f>_xlfn.XLOOKUP(A111,[1]ingredient!$B$2:$B$521,[1]ingredient!$A$2:$A$521)</f>
        <v/>
      </c>
      <c r="D111" t="n">
        <v>34</v>
      </c>
      <c r="E111" t="n">
        <v>0.42</v>
      </c>
      <c r="F111" t="n">
        <v>1</v>
      </c>
      <c r="G111" t="n">
        <v>6</v>
      </c>
      <c r="H111" t="n">
        <v>2</v>
      </c>
      <c r="I111" t="n">
        <v>6</v>
      </c>
      <c r="J111" t="n">
        <v>0.02</v>
      </c>
      <c r="K111" t="n">
        <v>89</v>
      </c>
      <c r="L111" t="n">
        <v>8</v>
      </c>
      <c r="M111" t="n">
        <v>4</v>
      </c>
      <c r="N111" t="n">
        <v>0</v>
      </c>
      <c r="O111" t="n">
        <v>47</v>
      </c>
      <c r="P111" t="n">
        <v>28</v>
      </c>
      <c r="Q111" t="n">
        <v>47</v>
      </c>
      <c r="R111" t="n">
        <v>471</v>
      </c>
      <c r="S111" t="n">
        <v>721</v>
      </c>
      <c r="T111" t="n">
        <v>283</v>
      </c>
      <c r="U111" t="n">
        <v>57</v>
      </c>
      <c r="V111" t="n">
        <v>4</v>
      </c>
      <c r="W111" t="n">
        <v>15</v>
      </c>
      <c r="X111" t="n">
        <v>0</v>
      </c>
      <c r="Y111" t="n">
        <v>54445</v>
      </c>
      <c r="Z111" t="n">
        <v>0</v>
      </c>
      <c r="AA111" t="n">
        <v>113</v>
      </c>
      <c r="AB111" t="n">
        <v>12</v>
      </c>
      <c r="AC111" t="n">
        <v>3</v>
      </c>
      <c r="AD111" t="n">
        <v>152</v>
      </c>
      <c r="AE111" t="n">
        <v>26</v>
      </c>
      <c r="AF111" t="n">
        <v>16</v>
      </c>
      <c r="AG111" t="n">
        <v>26</v>
      </c>
      <c r="AH111" t="n">
        <v>14</v>
      </c>
      <c r="AI111" t="n">
        <v>15</v>
      </c>
      <c r="AJ111" t="n">
        <v>1005</v>
      </c>
      <c r="AK111" t="n">
        <v>126</v>
      </c>
      <c r="AL111" t="n">
        <v>126</v>
      </c>
      <c r="AM111" t="n">
        <v>236</v>
      </c>
      <c r="AN111" t="n">
        <v>25</v>
      </c>
      <c r="AO111" t="n">
        <v>1</v>
      </c>
      <c r="AP111" t="n">
        <v>0</v>
      </c>
      <c r="AQ111" t="n">
        <v>35</v>
      </c>
      <c r="AR111" t="n">
        <v>29</v>
      </c>
      <c r="AS111" t="n">
        <v>64</v>
      </c>
      <c r="AT111" t="n">
        <v>2257</v>
      </c>
      <c r="AU111" t="n">
        <v>2389</v>
      </c>
      <c r="AV111" t="n">
        <v>0</v>
      </c>
      <c r="AW111" t="n">
        <v>4664</v>
      </c>
      <c r="AX111" t="n">
        <v>1031</v>
      </c>
      <c r="AY111" t="n">
        <v>0</v>
      </c>
      <c r="AZ111" t="n">
        <v>0</v>
      </c>
      <c r="BA111" t="n">
        <v>1031</v>
      </c>
      <c r="BB111" t="n">
        <v>0</v>
      </c>
      <c r="BC111" t="n">
        <v>0</v>
      </c>
      <c r="BD111" t="n">
        <v>0</v>
      </c>
      <c r="BE111" t="n">
        <v>0</v>
      </c>
      <c r="BF111" t="n">
        <v>0</v>
      </c>
      <c r="BG111">
        <f>IF($F111=0,"0",MIN(
BH111/(30*$F111),
BI111/(61*$F111),
BJ111/(48*$F111),
(BK111+BL111)/(23*$F111),
(BM111+BN111)/(41*$F111),
BO111/(25*$F111),
BP111/(6.6*$F111),
BQ111/(40*$F111),
BS111/(16*$F111)
)*100)</f>
        <v/>
      </c>
      <c r="BH111" t="n">
        <v>19</v>
      </c>
      <c r="BI111" t="n">
        <v>45</v>
      </c>
      <c r="BJ111" t="n">
        <v>35</v>
      </c>
      <c r="BK111" t="n">
        <v>1</v>
      </c>
      <c r="BL111" t="n">
        <v>7</v>
      </c>
      <c r="BM111" t="n">
        <v>25</v>
      </c>
      <c r="BN111" t="n">
        <v>29</v>
      </c>
      <c r="BO111" t="n">
        <v>27</v>
      </c>
      <c r="BP111" t="n">
        <v>15</v>
      </c>
      <c r="BQ111" t="n">
        <v>25</v>
      </c>
      <c r="BR111" t="n">
        <v>38</v>
      </c>
      <c r="BS111" t="n">
        <v>17</v>
      </c>
      <c r="BT111" t="n">
        <v>283</v>
      </c>
      <c r="BU111" t="n">
        <v>45</v>
      </c>
      <c r="BV111" t="n">
        <v>195</v>
      </c>
      <c r="BW111" t="n">
        <v>129</v>
      </c>
      <c r="BX111" t="n">
        <v>35</v>
      </c>
      <c r="BY111" t="n">
        <v>27</v>
      </c>
      <c r="BZ111" t="n">
        <v>34</v>
      </c>
      <c r="CA111" t="n">
        <v>465</v>
      </c>
      <c r="CB111" t="n">
        <v>26</v>
      </c>
      <c r="CC111" t="n">
        <v>11</v>
      </c>
      <c r="CD111" t="n">
        <v>103</v>
      </c>
      <c r="CE111" t="n">
        <v>141</v>
      </c>
      <c r="CF111" t="n">
        <v>1.37</v>
      </c>
      <c r="CG111" t="n">
        <v>0</v>
      </c>
      <c r="CH111" t="n">
        <v>0</v>
      </c>
      <c r="CI111" t="n">
        <v>0</v>
      </c>
      <c r="CJ111" t="n">
        <v>0</v>
      </c>
      <c r="CK111" t="n">
        <v>0</v>
      </c>
      <c r="CL111" t="n">
        <v>0</v>
      </c>
      <c r="CM111" t="n">
        <v>0</v>
      </c>
      <c r="CN111" t="n">
        <v>19</v>
      </c>
      <c r="CO111" t="n">
        <v>0</v>
      </c>
      <c r="CP111" t="n">
        <v>5</v>
      </c>
      <c r="CQ111" t="n">
        <v>0</v>
      </c>
      <c r="CR111" t="n">
        <v>0</v>
      </c>
      <c r="CS111" t="n">
        <v>0</v>
      </c>
      <c r="CT111" t="n">
        <v>24</v>
      </c>
      <c r="CU111" t="n">
        <v>0</v>
      </c>
      <c r="CV111" t="n">
        <v>0</v>
      </c>
      <c r="CW111" t="n">
        <v>1</v>
      </c>
      <c r="CX111" t="n">
        <v>0</v>
      </c>
      <c r="CY111" t="n">
        <v>66</v>
      </c>
      <c r="CZ111" t="n">
        <v>0</v>
      </c>
      <c r="DA111" t="n">
        <v>0</v>
      </c>
      <c r="DB111" t="n">
        <v>0</v>
      </c>
      <c r="DC111" t="n">
        <v>67</v>
      </c>
      <c r="DD111" t="n">
        <v>0</v>
      </c>
      <c r="DE111" t="n">
        <v>0</v>
      </c>
      <c r="DF111" t="n">
        <v>141</v>
      </c>
      <c r="DG111" t="n">
        <v>103</v>
      </c>
      <c r="DH111" t="n">
        <v>0</v>
      </c>
      <c r="DI111" t="n">
        <v>0</v>
      </c>
      <c r="DJ111" t="n">
        <v>0</v>
      </c>
      <c r="DK111" t="n">
        <v>0</v>
      </c>
      <c r="DL111" t="n">
        <v>0</v>
      </c>
      <c r="DM111" t="n">
        <v>0</v>
      </c>
      <c r="DN111" t="n">
        <v>0</v>
      </c>
      <c r="DO111" t="n">
        <v>0</v>
      </c>
      <c r="DP111" t="n">
        <v>0</v>
      </c>
      <c r="DQ111" t="n">
        <v>0</v>
      </c>
      <c r="DR111" t="n">
        <v>0</v>
      </c>
      <c r="DS111" t="n">
        <v>244</v>
      </c>
      <c r="DT111" t="n">
        <v>335</v>
      </c>
      <c r="DU111" t="n">
        <v>84</v>
      </c>
      <c r="DV111" t="n">
        <v>0</v>
      </c>
      <c r="DW111" t="n">
        <v>0</v>
      </c>
      <c r="DX111" t="n">
        <v>0</v>
      </c>
      <c r="DY111" t="n">
        <v>477</v>
      </c>
      <c r="DZ111" t="n">
        <v>318</v>
      </c>
      <c r="EA111" t="n">
        <v>848</v>
      </c>
      <c r="EB111" t="n">
        <v>346</v>
      </c>
      <c r="EC111" t="n">
        <v>105</v>
      </c>
      <c r="ED111" t="n">
        <v>745</v>
      </c>
      <c r="EE111" t="n">
        <v>1349</v>
      </c>
      <c r="EF111" t="n">
        <v>0</v>
      </c>
      <c r="EG111" t="n">
        <v>1</v>
      </c>
      <c r="EH111" t="n">
        <v>0.5</v>
      </c>
      <c r="EI111" t="n">
        <v>1.3</v>
      </c>
      <c r="EJ111" t="n">
        <v>0.4</v>
      </c>
      <c r="EK111" t="n">
        <v>0.8</v>
      </c>
    </row>
    <row r="112">
      <c r="A112">
        <f>[1]ingredient!B111</f>
        <v/>
      </c>
      <c r="B112" t="inlineStr">
        <is>
          <t>https://www.naehrwertrechner.de/naehrwerte/C650011/Erdmandelmehl/?menge=100</t>
        </is>
      </c>
      <c r="C112" s="7">
        <f>_xlfn.XLOOKUP(A112,[1]ingredient!$B$2:$B$521,[1]ingredient!$A$2:$A$521)</f>
        <v/>
      </c>
      <c r="D112" t="n">
        <v>451</v>
      </c>
      <c r="E112" t="n">
        <v>23</v>
      </c>
      <c r="F112" t="n">
        <v>5</v>
      </c>
      <c r="G112" t="n">
        <v>48</v>
      </c>
      <c r="H112" t="n">
        <v>16</v>
      </c>
      <c r="I112" t="n">
        <v>20</v>
      </c>
      <c r="J112" t="n">
        <v>0.04</v>
      </c>
      <c r="K112" t="n">
        <v>7</v>
      </c>
      <c r="L112" t="n">
        <v>0</v>
      </c>
      <c r="M112" t="n">
        <v>100</v>
      </c>
      <c r="N112" t="n">
        <v>100</v>
      </c>
      <c r="O112" t="n">
        <v>0</v>
      </c>
      <c r="P112" t="n">
        <v>100</v>
      </c>
      <c r="Q112" t="n">
        <v>100</v>
      </c>
      <c r="R112" t="n">
        <v>2100</v>
      </c>
      <c r="S112" t="n">
        <v>2700</v>
      </c>
      <c r="T112" t="n">
        <v>300</v>
      </c>
      <c r="U112" t="n">
        <v>0</v>
      </c>
      <c r="V112" t="n">
        <v>0</v>
      </c>
      <c r="W112" t="n">
        <v>23</v>
      </c>
      <c r="X112" t="n">
        <v>0</v>
      </c>
      <c r="Y112" t="n">
        <v>0</v>
      </c>
      <c r="Z112" t="n">
        <v>0</v>
      </c>
      <c r="AA112" t="n">
        <v>0</v>
      </c>
      <c r="AB112" t="n">
        <v>0</v>
      </c>
      <c r="AC112" t="n">
        <v>24</v>
      </c>
      <c r="AD112" t="n">
        <v>920</v>
      </c>
      <c r="AE112" t="n">
        <v>43</v>
      </c>
      <c r="AF112" t="n">
        <v>110</v>
      </c>
      <c r="AG112" t="n">
        <v>177</v>
      </c>
      <c r="AH112" t="n">
        <v>77</v>
      </c>
      <c r="AI112" t="n">
        <v>20</v>
      </c>
      <c r="AJ112" t="n">
        <v>2600</v>
      </c>
      <c r="AK112" t="n">
        <v>1600</v>
      </c>
      <c r="AL112" t="n">
        <v>500</v>
      </c>
      <c r="AM112" t="n">
        <v>900</v>
      </c>
      <c r="AN112" t="n">
        <v>0</v>
      </c>
      <c r="AO112" t="n">
        <v>1</v>
      </c>
      <c r="AP112" t="n">
        <v>0</v>
      </c>
      <c r="AQ112" t="n">
        <v>0</v>
      </c>
      <c r="AR112" t="n">
        <v>0</v>
      </c>
      <c r="AS112" t="n">
        <v>0</v>
      </c>
      <c r="AT112" t="n">
        <v>0</v>
      </c>
      <c r="AU112" t="n">
        <v>0</v>
      </c>
      <c r="AV112" t="n">
        <v>0</v>
      </c>
      <c r="AW112" t="n">
        <v>0</v>
      </c>
      <c r="AX112" t="n">
        <v>20000</v>
      </c>
      <c r="AY112" t="n">
        <v>0</v>
      </c>
      <c r="AZ112" t="n">
        <v>0</v>
      </c>
      <c r="BA112" t="n">
        <v>20000</v>
      </c>
      <c r="BB112" t="n">
        <v>13000</v>
      </c>
      <c r="BC112" t="n">
        <v>0</v>
      </c>
      <c r="BD112" t="n">
        <v>0</v>
      </c>
      <c r="BE112" t="n">
        <v>15000</v>
      </c>
      <c r="BF112" t="n">
        <v>0</v>
      </c>
      <c r="BG112">
        <f>IF($F112=0,"0",MIN(
BH112/(30*$F112),
BI112/(61*$F112),
BJ112/(48*$F112),
(BK112+BL112)/(23*$F112),
(BM112+BN112)/(41*$F112),
BO112/(25*$F112),
BP112/(6.6*$F112),
BQ112/(40*$F112),
BS112/(16*$F112)
)*100)</f>
        <v/>
      </c>
      <c r="BH112" t="n">
        <v>178</v>
      </c>
      <c r="BI112" t="n">
        <v>296</v>
      </c>
      <c r="BJ112" t="n">
        <v>117</v>
      </c>
      <c r="BK112" t="n">
        <v>55</v>
      </c>
      <c r="BL112" t="n">
        <v>77</v>
      </c>
      <c r="BM112" t="n">
        <v>235</v>
      </c>
      <c r="BN112" t="n">
        <v>125</v>
      </c>
      <c r="BO112" t="n">
        <v>124</v>
      </c>
      <c r="BP112" t="n">
        <v>35</v>
      </c>
      <c r="BQ112" t="n">
        <v>231</v>
      </c>
      <c r="BR112" t="n">
        <v>557</v>
      </c>
      <c r="BS112" t="n">
        <v>105</v>
      </c>
      <c r="BT112" t="n">
        <v>2134</v>
      </c>
      <c r="BU112" t="n">
        <v>196</v>
      </c>
      <c r="BV112" t="n">
        <v>489</v>
      </c>
      <c r="BW112" t="n">
        <v>1192</v>
      </c>
      <c r="BX112" t="n">
        <v>259</v>
      </c>
      <c r="BY112" t="n">
        <v>249</v>
      </c>
      <c r="BZ112" t="n">
        <v>181</v>
      </c>
      <c r="CA112" t="n">
        <v>2566</v>
      </c>
      <c r="CB112" t="n">
        <v>21</v>
      </c>
      <c r="CC112" t="n">
        <v>9</v>
      </c>
      <c r="CD112" t="n">
        <v>0</v>
      </c>
      <c r="CE112" t="n">
        <v>2800</v>
      </c>
      <c r="CG112" t="n">
        <v>0</v>
      </c>
      <c r="CH112" t="n">
        <v>0</v>
      </c>
      <c r="CI112" t="n">
        <v>0</v>
      </c>
      <c r="CJ112" t="n">
        <v>24</v>
      </c>
      <c r="CK112" t="n">
        <v>44</v>
      </c>
      <c r="CL112" t="n">
        <v>44</v>
      </c>
      <c r="CM112" t="n">
        <v>0</v>
      </c>
      <c r="CN112" t="n">
        <v>3094</v>
      </c>
      <c r="CO112" t="n">
        <v>0</v>
      </c>
      <c r="CP112" t="n">
        <v>1503</v>
      </c>
      <c r="CQ112" t="n">
        <v>186</v>
      </c>
      <c r="CR112" t="n">
        <v>44</v>
      </c>
      <c r="CS112" t="n">
        <v>62</v>
      </c>
      <c r="CT112" t="n">
        <v>5000</v>
      </c>
      <c r="CU112" t="n">
        <v>0</v>
      </c>
      <c r="CV112" t="n">
        <v>0</v>
      </c>
      <c r="CW112" t="n">
        <v>45</v>
      </c>
      <c r="CX112" t="n">
        <v>0</v>
      </c>
      <c r="CY112" t="n">
        <v>14746</v>
      </c>
      <c r="CZ112" t="n">
        <v>45</v>
      </c>
      <c r="DA112" t="n">
        <v>164</v>
      </c>
      <c r="DB112" t="n">
        <v>0</v>
      </c>
      <c r="DC112" t="n">
        <v>15000</v>
      </c>
      <c r="DD112" t="n">
        <v>0</v>
      </c>
      <c r="DE112" t="n">
        <v>0</v>
      </c>
      <c r="DF112" t="n">
        <v>2800</v>
      </c>
      <c r="DG112" t="n">
        <v>0</v>
      </c>
      <c r="DH112" t="n">
        <v>0</v>
      </c>
      <c r="DI112" t="n">
        <v>0</v>
      </c>
      <c r="DJ112" t="n">
        <v>0</v>
      </c>
      <c r="DK112" t="n">
        <v>0</v>
      </c>
      <c r="DL112" t="n">
        <v>0</v>
      </c>
      <c r="DM112" t="n">
        <v>0</v>
      </c>
      <c r="DN112" t="n">
        <v>0</v>
      </c>
      <c r="DO112" t="n">
        <v>0</v>
      </c>
      <c r="DP112" t="n">
        <v>0</v>
      </c>
      <c r="DQ112" t="n">
        <v>0</v>
      </c>
      <c r="DR112" t="n">
        <v>0</v>
      </c>
      <c r="DS112" t="n">
        <v>2800</v>
      </c>
      <c r="DT112" t="n">
        <v>22776</v>
      </c>
      <c r="DU112" t="n">
        <v>200</v>
      </c>
      <c r="DV112" t="n">
        <v>0</v>
      </c>
      <c r="DW112" t="n">
        <v>0</v>
      </c>
      <c r="DX112" t="n">
        <v>24</v>
      </c>
      <c r="DY112" t="n">
        <v>2782</v>
      </c>
      <c r="DZ112" t="n">
        <v>12242</v>
      </c>
      <c r="EA112" t="n">
        <v>371</v>
      </c>
      <c r="EB112" t="n">
        <v>2782</v>
      </c>
      <c r="EC112" t="n">
        <v>371</v>
      </c>
      <c r="ED112" t="n">
        <v>5388</v>
      </c>
      <c r="EE112" t="n">
        <v>10612</v>
      </c>
      <c r="EF112" t="n">
        <v>0</v>
      </c>
      <c r="EG112" t="n">
        <v>400</v>
      </c>
      <c r="EH112" t="n">
        <v>1.4</v>
      </c>
      <c r="EI112" t="n">
        <v>10.6</v>
      </c>
      <c r="EJ112" t="n">
        <v>23</v>
      </c>
      <c r="EK112" t="n">
        <v>4.8</v>
      </c>
    </row>
    <row r="113">
      <c r="A113">
        <f>[1]ingredient!B112</f>
        <v/>
      </c>
      <c r="B113" t="inlineStr">
        <is>
          <t>https://www.naehrwertrechner.de/naehrwerte/H110000/Erdnuss/?menge=100</t>
        </is>
      </c>
      <c r="C113" s="7">
        <f>_xlfn.XLOOKUP(A113,[1]ingredient!$B$2:$B$521,[1]ingredient!$A$2:$A$521)</f>
        <v/>
      </c>
      <c r="D113" t="n">
        <v>576</v>
      </c>
      <c r="E113" t="n">
        <v>48</v>
      </c>
      <c r="F113" t="n">
        <v>30</v>
      </c>
      <c r="G113" t="n">
        <v>7</v>
      </c>
      <c r="H113" t="n">
        <v>12</v>
      </c>
      <c r="I113" t="n">
        <v>3</v>
      </c>
      <c r="J113" t="n">
        <v>0.02</v>
      </c>
      <c r="K113" t="n">
        <v>1</v>
      </c>
      <c r="L113" t="n">
        <v>0</v>
      </c>
      <c r="M113" t="n">
        <v>0.17</v>
      </c>
      <c r="N113" t="n">
        <v>0</v>
      </c>
      <c r="O113" t="n">
        <v>2</v>
      </c>
      <c r="P113" t="n">
        <v>900</v>
      </c>
      <c r="Q113" t="n">
        <v>155</v>
      </c>
      <c r="R113" t="n">
        <v>15400</v>
      </c>
      <c r="S113" t="n">
        <v>20833</v>
      </c>
      <c r="T113" t="n">
        <v>2900</v>
      </c>
      <c r="U113" t="n">
        <v>440</v>
      </c>
      <c r="V113" t="n">
        <v>34</v>
      </c>
      <c r="W113" t="n">
        <v>169</v>
      </c>
      <c r="X113" t="n">
        <v>0</v>
      </c>
      <c r="Y113" t="n">
        <v>0</v>
      </c>
      <c r="Z113" t="n">
        <v>0</v>
      </c>
      <c r="AA113" t="n">
        <v>10027</v>
      </c>
      <c r="AB113" t="n">
        <v>0</v>
      </c>
      <c r="AC113" t="n">
        <v>11</v>
      </c>
      <c r="AD113" t="n">
        <v>660</v>
      </c>
      <c r="AE113" t="n">
        <v>41</v>
      </c>
      <c r="AF113" t="n">
        <v>160</v>
      </c>
      <c r="AG113" t="n">
        <v>340</v>
      </c>
      <c r="AH113" t="n">
        <v>380</v>
      </c>
      <c r="AI113" t="n">
        <v>7</v>
      </c>
      <c r="AJ113" t="n">
        <v>1813</v>
      </c>
      <c r="AK113" t="n">
        <v>2829</v>
      </c>
      <c r="AL113" t="n">
        <v>767</v>
      </c>
      <c r="AM113" t="n">
        <v>1604</v>
      </c>
      <c r="AN113" t="n">
        <v>130</v>
      </c>
      <c r="AO113" t="n">
        <v>13</v>
      </c>
      <c r="AP113" t="n">
        <v>0</v>
      </c>
      <c r="AQ113" t="n">
        <v>0</v>
      </c>
      <c r="AR113" t="n">
        <v>0</v>
      </c>
      <c r="AS113" t="n">
        <v>0</v>
      </c>
      <c r="AT113" t="n">
        <v>0</v>
      </c>
      <c r="AU113" t="n">
        <v>0</v>
      </c>
      <c r="AV113" t="n">
        <v>0</v>
      </c>
      <c r="AW113" t="n">
        <v>0</v>
      </c>
      <c r="AX113" t="n">
        <v>2635</v>
      </c>
      <c r="AY113" t="n">
        <v>0</v>
      </c>
      <c r="AZ113" t="n">
        <v>0</v>
      </c>
      <c r="BA113" t="n">
        <v>2635</v>
      </c>
      <c r="BB113" t="n">
        <v>0</v>
      </c>
      <c r="BC113" t="n">
        <v>0</v>
      </c>
      <c r="BD113" t="n">
        <v>0</v>
      </c>
      <c r="BE113" t="n">
        <v>4845</v>
      </c>
      <c r="BF113" t="n">
        <v>4845</v>
      </c>
      <c r="BG113">
        <f>IF($F113=0,"0",MIN(
BH113/(30*$F113),
BI113/(61*$F113),
BJ113/(48*$F113),
(BK113+BL113)/(23*$F113),
(BM113+BN113)/(41*$F113),
BO113/(25*$F113),
BP113/(6.6*$F113),
BQ113/(40*$F113),
BS113/(16*$F113)
)*100)</f>
        <v/>
      </c>
      <c r="BH113" t="n">
        <v>1251</v>
      </c>
      <c r="BI113" t="n">
        <v>2065</v>
      </c>
      <c r="BJ113" t="n">
        <v>1119</v>
      </c>
      <c r="BK113" t="n">
        <v>315</v>
      </c>
      <c r="BL113" t="n">
        <v>437</v>
      </c>
      <c r="BM113" t="n">
        <v>1567</v>
      </c>
      <c r="BN113" t="n">
        <v>1211</v>
      </c>
      <c r="BO113" t="n">
        <v>865</v>
      </c>
      <c r="BP113" t="n">
        <v>326</v>
      </c>
      <c r="BQ113" t="n">
        <v>1475</v>
      </c>
      <c r="BR113" t="n">
        <v>3520</v>
      </c>
      <c r="BS113" t="n">
        <v>722</v>
      </c>
      <c r="BT113" t="n">
        <v>14873</v>
      </c>
      <c r="BU113" t="n">
        <v>824</v>
      </c>
      <c r="BV113" t="n">
        <v>3367</v>
      </c>
      <c r="BW113" t="n">
        <v>5727</v>
      </c>
      <c r="BX113" t="n">
        <v>1668</v>
      </c>
      <c r="BY113" t="n">
        <v>1455</v>
      </c>
      <c r="BZ113" t="n">
        <v>1862</v>
      </c>
      <c r="CA113" t="n">
        <v>14903</v>
      </c>
      <c r="CB113" t="n">
        <v>74</v>
      </c>
      <c r="CC113" t="n">
        <v>31</v>
      </c>
      <c r="CD113" t="n">
        <v>528</v>
      </c>
      <c r="CE113" t="n">
        <v>13836</v>
      </c>
      <c r="CF113" t="n">
        <v>26.2</v>
      </c>
      <c r="CG113" t="n">
        <v>0</v>
      </c>
      <c r="CH113" t="n">
        <v>0</v>
      </c>
      <c r="CI113" t="n">
        <v>0</v>
      </c>
      <c r="CJ113" t="n">
        <v>0</v>
      </c>
      <c r="CK113" t="n">
        <v>46</v>
      </c>
      <c r="CL113" t="n">
        <v>229</v>
      </c>
      <c r="CM113" t="n">
        <v>0</v>
      </c>
      <c r="CN113" t="n">
        <v>5077</v>
      </c>
      <c r="CO113" t="n">
        <v>46</v>
      </c>
      <c r="CP113" t="n">
        <v>1294</v>
      </c>
      <c r="CQ113" t="n">
        <v>557</v>
      </c>
      <c r="CR113" t="n">
        <v>1328</v>
      </c>
      <c r="CS113" t="n">
        <v>504</v>
      </c>
      <c r="CT113" t="n">
        <v>9081</v>
      </c>
      <c r="CU113" t="n">
        <v>0</v>
      </c>
      <c r="CV113" t="n">
        <v>0</v>
      </c>
      <c r="CW113" t="n">
        <v>0</v>
      </c>
      <c r="CX113" t="n">
        <v>0</v>
      </c>
      <c r="CY113" t="n">
        <v>22001</v>
      </c>
      <c r="CZ113" t="n">
        <v>504</v>
      </c>
      <c r="DA113" t="n">
        <v>46</v>
      </c>
      <c r="DB113" t="n">
        <v>0</v>
      </c>
      <c r="DC113" t="n">
        <v>22551</v>
      </c>
      <c r="DD113" t="n">
        <v>0</v>
      </c>
      <c r="DE113" t="n">
        <v>0</v>
      </c>
      <c r="DF113" t="n">
        <v>13836</v>
      </c>
      <c r="DG113" t="n">
        <v>528</v>
      </c>
      <c r="DH113" t="n">
        <v>0</v>
      </c>
      <c r="DI113" t="n">
        <v>0</v>
      </c>
      <c r="DJ113" t="n">
        <v>0</v>
      </c>
      <c r="DK113" t="n">
        <v>0</v>
      </c>
      <c r="DL113" t="n">
        <v>0</v>
      </c>
      <c r="DM113" t="n">
        <v>0</v>
      </c>
      <c r="DN113" t="n">
        <v>0</v>
      </c>
      <c r="DO113" t="n">
        <v>0</v>
      </c>
      <c r="DP113" t="n">
        <v>0</v>
      </c>
      <c r="DQ113" t="n">
        <v>0</v>
      </c>
      <c r="DR113" t="n">
        <v>0</v>
      </c>
      <c r="DS113" t="n">
        <v>14364</v>
      </c>
      <c r="DT113" t="n">
        <v>45996</v>
      </c>
      <c r="DU113" t="n">
        <v>2106</v>
      </c>
      <c r="DV113" t="n">
        <v>0</v>
      </c>
      <c r="DW113" t="n">
        <v>0</v>
      </c>
      <c r="DX113" t="n">
        <v>0</v>
      </c>
      <c r="DY113" t="n">
        <v>2896</v>
      </c>
      <c r="DZ113" t="n">
        <v>2172</v>
      </c>
      <c r="EA113" t="n">
        <v>3620</v>
      </c>
      <c r="EB113" t="n">
        <v>1603</v>
      </c>
      <c r="EC113" t="n">
        <v>1448</v>
      </c>
      <c r="ED113" t="n">
        <v>1210</v>
      </c>
      <c r="EE113" t="n">
        <v>10528</v>
      </c>
      <c r="EF113" t="n">
        <v>0</v>
      </c>
      <c r="EG113" t="n">
        <v>0</v>
      </c>
      <c r="EH113" t="n">
        <v>2.2</v>
      </c>
      <c r="EI113" t="n">
        <v>10.5</v>
      </c>
      <c r="EJ113" t="n">
        <v>48.1</v>
      </c>
      <c r="EK113" t="n">
        <v>30</v>
      </c>
    </row>
    <row r="114">
      <c r="A114">
        <f>[1]ingredient!B113</f>
        <v/>
      </c>
      <c r="B114" t="inlineStr">
        <is>
          <t>https://www.naehrwertrechner.de/naehrwerte/H110800/Erdnussmus/?menge=100</t>
        </is>
      </c>
      <c r="C114" s="7">
        <f>_xlfn.XLOOKUP(A114,[1]ingredient!$B$2:$B$521,[1]ingredient!$A$2:$A$521)</f>
        <v/>
      </c>
      <c r="D114" t="n">
        <v>578</v>
      </c>
      <c r="E114" t="n">
        <v>49</v>
      </c>
      <c r="F114" t="n">
        <v>26</v>
      </c>
      <c r="G114" t="n">
        <v>11</v>
      </c>
      <c r="H114" t="n">
        <v>8</v>
      </c>
      <c r="I114" t="n">
        <v>4</v>
      </c>
      <c r="J114" t="n">
        <v>0.04</v>
      </c>
      <c r="K114" t="n">
        <v>3</v>
      </c>
      <c r="L114" t="n">
        <v>0</v>
      </c>
      <c r="M114" t="n">
        <v>0</v>
      </c>
      <c r="N114" t="n">
        <v>0</v>
      </c>
      <c r="O114" t="n">
        <v>0</v>
      </c>
      <c r="P114" t="n">
        <v>130</v>
      </c>
      <c r="Q114" t="n">
        <v>100</v>
      </c>
      <c r="R114" t="n">
        <v>13100</v>
      </c>
      <c r="S114" t="n">
        <v>17933</v>
      </c>
      <c r="T114" t="n">
        <v>920</v>
      </c>
      <c r="U114" t="n">
        <v>400</v>
      </c>
      <c r="V114" t="n">
        <v>17</v>
      </c>
      <c r="W114" t="n">
        <v>85</v>
      </c>
      <c r="X114" t="n">
        <v>0</v>
      </c>
      <c r="Y114" t="n">
        <v>0</v>
      </c>
      <c r="Z114" t="n">
        <v>0</v>
      </c>
      <c r="AA114" t="n">
        <v>7300</v>
      </c>
      <c r="AB114" t="n">
        <v>0</v>
      </c>
      <c r="AC114" t="n">
        <v>17</v>
      </c>
      <c r="AD114" t="n">
        <v>720</v>
      </c>
      <c r="AE114" t="n">
        <v>35</v>
      </c>
      <c r="AF114" t="n">
        <v>158</v>
      </c>
      <c r="AG114" t="n">
        <v>320</v>
      </c>
      <c r="AH114" t="n">
        <v>384</v>
      </c>
      <c r="AI114" t="n">
        <v>26</v>
      </c>
      <c r="AJ114" t="n">
        <v>1800</v>
      </c>
      <c r="AK114" t="n">
        <v>2600</v>
      </c>
      <c r="AL114" t="n">
        <v>530</v>
      </c>
      <c r="AM114" t="n">
        <v>1750</v>
      </c>
      <c r="AN114" t="n">
        <v>131</v>
      </c>
      <c r="AO114" t="n">
        <v>13</v>
      </c>
      <c r="AP114" t="n">
        <v>0</v>
      </c>
      <c r="AQ114" t="n">
        <v>0</v>
      </c>
      <c r="AR114" t="n">
        <v>0</v>
      </c>
      <c r="AS114" t="n">
        <v>0</v>
      </c>
      <c r="AT114" t="n">
        <v>0</v>
      </c>
      <c r="AU114" t="n">
        <v>0</v>
      </c>
      <c r="AV114" t="n">
        <v>0</v>
      </c>
      <c r="AW114" t="n">
        <v>0</v>
      </c>
      <c r="AX114" t="n">
        <v>4244</v>
      </c>
      <c r="AY114" t="n">
        <v>0</v>
      </c>
      <c r="AZ114" t="n">
        <v>0</v>
      </c>
      <c r="BA114" t="n">
        <v>4244</v>
      </c>
      <c r="BB114" t="n">
        <v>0</v>
      </c>
      <c r="BC114" t="n">
        <v>0</v>
      </c>
      <c r="BD114" t="n">
        <v>0</v>
      </c>
      <c r="BE114" t="n">
        <v>6367</v>
      </c>
      <c r="BF114" t="n">
        <v>6367</v>
      </c>
      <c r="BG114">
        <f>IF($F114=0,"0",MIN(
BH114/(30*$F114),
BI114/(61*$F114),
BJ114/(48*$F114),
(BK114+BL114)/(23*$F114),
(BM114+BN114)/(41*$F114),
BO114/(25*$F114),
BP114/(6.6*$F114),
BQ114/(40*$F114),
BS114/(16*$F114)
)*100)</f>
        <v/>
      </c>
      <c r="BH114" t="n">
        <v>1082</v>
      </c>
      <c r="BI114" t="n">
        <v>1822</v>
      </c>
      <c r="BJ114" t="n">
        <v>1030</v>
      </c>
      <c r="BK114" t="n">
        <v>264</v>
      </c>
      <c r="BL114" t="n">
        <v>396</v>
      </c>
      <c r="BM114" t="n">
        <v>1426</v>
      </c>
      <c r="BN114" t="n">
        <v>1110</v>
      </c>
      <c r="BO114" t="n">
        <v>740</v>
      </c>
      <c r="BP114" t="n">
        <v>290</v>
      </c>
      <c r="BQ114" t="n">
        <v>1267</v>
      </c>
      <c r="BR114" t="n">
        <v>3302</v>
      </c>
      <c r="BS114" t="n">
        <v>660</v>
      </c>
      <c r="BT114" t="n">
        <v>13389</v>
      </c>
      <c r="BU114" t="n">
        <v>660</v>
      </c>
      <c r="BV114" t="n">
        <v>2984</v>
      </c>
      <c r="BW114" t="n">
        <v>5150</v>
      </c>
      <c r="BX114" t="n">
        <v>1294</v>
      </c>
      <c r="BY114" t="n">
        <v>1241</v>
      </c>
      <c r="BZ114" t="n">
        <v>1558</v>
      </c>
      <c r="CA114" t="n">
        <v>12887</v>
      </c>
      <c r="CB114" t="n">
        <v>71</v>
      </c>
      <c r="CC114" t="n">
        <v>30</v>
      </c>
      <c r="CD114" t="n">
        <v>371</v>
      </c>
      <c r="CE114" t="n">
        <v>13495</v>
      </c>
      <c r="CF114" t="n">
        <v>36.37</v>
      </c>
      <c r="CG114" t="n">
        <v>0</v>
      </c>
      <c r="CH114" t="n">
        <v>0</v>
      </c>
      <c r="CI114" t="n">
        <v>0</v>
      </c>
      <c r="CJ114" t="n">
        <v>0</v>
      </c>
      <c r="CK114" t="n">
        <v>46</v>
      </c>
      <c r="CL114" t="n">
        <v>232</v>
      </c>
      <c r="CM114" t="n">
        <v>0</v>
      </c>
      <c r="CN114" t="n">
        <v>4869</v>
      </c>
      <c r="CO114" t="n">
        <v>46</v>
      </c>
      <c r="CP114" t="n">
        <v>1252</v>
      </c>
      <c r="CQ114" t="n">
        <v>556</v>
      </c>
      <c r="CR114" t="n">
        <v>1345</v>
      </c>
      <c r="CS114" t="n">
        <v>510</v>
      </c>
      <c r="CT114" t="n">
        <v>8856</v>
      </c>
      <c r="CU114" t="n">
        <v>0</v>
      </c>
      <c r="CV114" t="n">
        <v>0</v>
      </c>
      <c r="CW114" t="n">
        <v>232</v>
      </c>
      <c r="CX114" t="n">
        <v>0</v>
      </c>
      <c r="CY114" t="n">
        <v>22863</v>
      </c>
      <c r="CZ114" t="n">
        <v>510</v>
      </c>
      <c r="DA114" t="n">
        <v>46</v>
      </c>
      <c r="DB114" t="n">
        <v>0</v>
      </c>
      <c r="DC114" t="n">
        <v>23651</v>
      </c>
      <c r="DD114" t="n">
        <v>0</v>
      </c>
      <c r="DE114" t="n">
        <v>0</v>
      </c>
      <c r="DF114" t="n">
        <v>13495</v>
      </c>
      <c r="DG114" t="n">
        <v>371</v>
      </c>
      <c r="DH114" t="n">
        <v>0</v>
      </c>
      <c r="DI114" t="n">
        <v>0</v>
      </c>
      <c r="DJ114" t="n">
        <v>0</v>
      </c>
      <c r="DK114" t="n">
        <v>0</v>
      </c>
      <c r="DL114" t="n">
        <v>0</v>
      </c>
      <c r="DM114" t="n">
        <v>0</v>
      </c>
      <c r="DN114" t="n">
        <v>0</v>
      </c>
      <c r="DO114" t="n">
        <v>0</v>
      </c>
      <c r="DP114" t="n">
        <v>0</v>
      </c>
      <c r="DQ114" t="n">
        <v>0</v>
      </c>
      <c r="DR114" t="n">
        <v>0</v>
      </c>
      <c r="DS114" t="n">
        <v>13866</v>
      </c>
      <c r="DT114" t="n">
        <v>46373</v>
      </c>
      <c r="DU114" t="n">
        <v>2134</v>
      </c>
      <c r="DV114" t="n">
        <v>0</v>
      </c>
      <c r="DW114" t="n">
        <v>0</v>
      </c>
      <c r="DX114" t="n">
        <v>0</v>
      </c>
      <c r="DY114" t="n">
        <v>1617</v>
      </c>
      <c r="DZ114" t="n">
        <v>1213</v>
      </c>
      <c r="EA114" t="n">
        <v>2022</v>
      </c>
      <c r="EB114" t="n">
        <v>2426</v>
      </c>
      <c r="EC114" t="n">
        <v>809</v>
      </c>
      <c r="ED114" t="n">
        <v>4043</v>
      </c>
      <c r="EE114" t="n">
        <v>4043</v>
      </c>
      <c r="EF114" t="n">
        <v>0</v>
      </c>
      <c r="EG114" t="n">
        <v>0</v>
      </c>
      <c r="EH114" t="n">
        <v>3.3</v>
      </c>
      <c r="EI114" t="n">
        <v>4</v>
      </c>
      <c r="EJ114" t="n">
        <v>48.5</v>
      </c>
      <c r="EK114" t="n">
        <v>26.5</v>
      </c>
    </row>
    <row r="115">
      <c r="A115">
        <f>[1]ingredient!B114</f>
        <v/>
      </c>
      <c r="B115" t="inlineStr">
        <is>
          <t>https://www.naehrwertrechner.de/naehrwerte/G067111/Estragon+frisch/?menge=100</t>
        </is>
      </c>
      <c r="C115" s="7">
        <f>_xlfn.XLOOKUP(A115,[1]ingredient!$B$2:$B$521,[1]ingredient!$A$2:$A$521)</f>
        <v/>
      </c>
      <c r="D115" t="n">
        <v>49</v>
      </c>
      <c r="E115" t="n">
        <v>1</v>
      </c>
      <c r="F115" t="n">
        <v>3</v>
      </c>
      <c r="G115" t="n">
        <v>6</v>
      </c>
      <c r="H115" t="n">
        <v>5</v>
      </c>
      <c r="I115" t="n">
        <v>6</v>
      </c>
      <c r="J115" t="n">
        <v>0.04</v>
      </c>
      <c r="K115" t="n">
        <v>83</v>
      </c>
      <c r="L115" t="n">
        <v>63</v>
      </c>
      <c r="M115" t="n">
        <v>31</v>
      </c>
      <c r="N115" t="n">
        <v>0</v>
      </c>
      <c r="O115" t="n">
        <v>375</v>
      </c>
      <c r="P115" t="n">
        <v>150</v>
      </c>
      <c r="Q115" t="n">
        <v>234</v>
      </c>
      <c r="R115" t="n">
        <v>1561</v>
      </c>
      <c r="S115" t="n">
        <v>2128</v>
      </c>
      <c r="T115" t="n">
        <v>200</v>
      </c>
      <c r="U115" t="n">
        <v>180</v>
      </c>
      <c r="V115" t="n">
        <v>2</v>
      </c>
      <c r="W115" t="n">
        <v>50</v>
      </c>
      <c r="X115" t="n">
        <v>0</v>
      </c>
      <c r="Y115" t="n">
        <v>2000</v>
      </c>
      <c r="Z115" t="n">
        <v>0</v>
      </c>
      <c r="AA115" t="n">
        <v>1000</v>
      </c>
      <c r="AB115" t="n">
        <v>300</v>
      </c>
      <c r="AC115" t="n">
        <v>9</v>
      </c>
      <c r="AD115" t="n">
        <v>450</v>
      </c>
      <c r="AE115" t="n">
        <v>170</v>
      </c>
      <c r="AF115" t="n">
        <v>51</v>
      </c>
      <c r="AG115" t="n">
        <v>46</v>
      </c>
      <c r="AH115" t="n">
        <v>17</v>
      </c>
      <c r="AI115" t="n">
        <v>35</v>
      </c>
      <c r="AJ115" t="n">
        <v>5632</v>
      </c>
      <c r="AK115" t="n">
        <v>600</v>
      </c>
      <c r="AL115" t="n">
        <v>105</v>
      </c>
      <c r="AM115" t="n">
        <v>523</v>
      </c>
      <c r="AN115" t="n">
        <v>70</v>
      </c>
      <c r="AO115" t="n">
        <v>1</v>
      </c>
      <c r="AP115" t="n">
        <v>0</v>
      </c>
      <c r="AQ115" t="n">
        <v>0</v>
      </c>
      <c r="AR115" t="n">
        <v>0</v>
      </c>
      <c r="AS115" t="n">
        <v>0</v>
      </c>
      <c r="AT115" t="n">
        <v>2520</v>
      </c>
      <c r="AU115" t="n">
        <v>2520</v>
      </c>
      <c r="AV115" t="n">
        <v>0</v>
      </c>
      <c r="AW115" t="n">
        <v>5040</v>
      </c>
      <c r="AX115" t="n">
        <v>1197</v>
      </c>
      <c r="AY115" t="n">
        <v>0</v>
      </c>
      <c r="AZ115" t="n">
        <v>0</v>
      </c>
      <c r="BA115" t="n">
        <v>1197</v>
      </c>
      <c r="BB115" t="n">
        <v>0</v>
      </c>
      <c r="BC115" t="n">
        <v>0</v>
      </c>
      <c r="BD115" t="n">
        <v>0</v>
      </c>
      <c r="BE115" t="n">
        <v>63</v>
      </c>
      <c r="BF115" t="n">
        <v>63</v>
      </c>
      <c r="BG115">
        <f>IF($F115=0,"0",MIN(
BH115/(30*$F115),
BI115/(61*$F115),
BJ115/(48*$F115),
(BK115+BL115)/(23*$F115),
(BM115+BN115)/(41*$F115),
BO115/(25*$F115),
BP115/(6.6*$F115),
BQ115/(40*$F115),
BS115/(16*$F115)
)*100)</f>
        <v/>
      </c>
      <c r="BH115" t="n">
        <v>136</v>
      </c>
      <c r="BI115" t="n">
        <v>204</v>
      </c>
      <c r="BJ115" t="n">
        <v>170</v>
      </c>
      <c r="BK115" t="n">
        <v>41</v>
      </c>
      <c r="BL115" t="n">
        <v>34</v>
      </c>
      <c r="BM115" t="n">
        <v>102</v>
      </c>
      <c r="BN115" t="n">
        <v>68</v>
      </c>
      <c r="BO115" t="n">
        <v>119</v>
      </c>
      <c r="BP115" t="n">
        <v>34</v>
      </c>
      <c r="BQ115" t="n">
        <v>136</v>
      </c>
      <c r="BR115" t="n">
        <v>136</v>
      </c>
      <c r="BS115" t="n">
        <v>51</v>
      </c>
      <c r="BT115" t="n">
        <v>1231</v>
      </c>
      <c r="BU115" t="n">
        <v>170</v>
      </c>
      <c r="BV115" t="n">
        <v>340</v>
      </c>
      <c r="BW115" t="n">
        <v>510</v>
      </c>
      <c r="BX115" t="n">
        <v>95</v>
      </c>
      <c r="BY115" t="n">
        <v>136</v>
      </c>
      <c r="BZ115" t="n">
        <v>102</v>
      </c>
      <c r="CA115" t="n">
        <v>1353</v>
      </c>
      <c r="CB115" t="n">
        <v>15</v>
      </c>
      <c r="CC115" t="n">
        <v>6</v>
      </c>
      <c r="CD115" t="n">
        <v>264</v>
      </c>
      <c r="CE115" t="n">
        <v>352</v>
      </c>
      <c r="CF115" t="n">
        <v>1.33</v>
      </c>
      <c r="CG115" t="n">
        <v>0</v>
      </c>
      <c r="CH115" t="n">
        <v>0</v>
      </c>
      <c r="CI115" t="n">
        <v>0</v>
      </c>
      <c r="CJ115" t="n">
        <v>0</v>
      </c>
      <c r="CK115" t="n">
        <v>0</v>
      </c>
      <c r="CL115" t="n">
        <v>4</v>
      </c>
      <c r="CM115" t="n">
        <v>0</v>
      </c>
      <c r="CN115" t="n">
        <v>172</v>
      </c>
      <c r="CO115" t="n">
        <v>0</v>
      </c>
      <c r="CP115" t="n">
        <v>26</v>
      </c>
      <c r="CQ115" t="n">
        <v>0</v>
      </c>
      <c r="CR115" t="n">
        <v>0</v>
      </c>
      <c r="CS115" t="n">
        <v>0</v>
      </c>
      <c r="CT115" t="n">
        <v>202</v>
      </c>
      <c r="CU115" t="n">
        <v>0</v>
      </c>
      <c r="CV115" t="n">
        <v>0</v>
      </c>
      <c r="CW115" t="n">
        <v>9</v>
      </c>
      <c r="CX115" t="n">
        <v>0</v>
      </c>
      <c r="CY115" t="n">
        <v>53</v>
      </c>
      <c r="CZ115" t="n">
        <v>0</v>
      </c>
      <c r="DA115" t="n">
        <v>0</v>
      </c>
      <c r="DB115" t="n">
        <v>0</v>
      </c>
      <c r="DC115" t="n">
        <v>0</v>
      </c>
      <c r="DD115" t="n">
        <v>0</v>
      </c>
      <c r="DE115" t="n">
        <v>0</v>
      </c>
      <c r="DF115" t="n">
        <v>352</v>
      </c>
      <c r="DG115" t="n">
        <v>264</v>
      </c>
      <c r="DH115" t="n">
        <v>0</v>
      </c>
      <c r="DI115" t="n">
        <v>0</v>
      </c>
      <c r="DJ115" t="n">
        <v>0</v>
      </c>
      <c r="DK115" t="n">
        <v>0</v>
      </c>
      <c r="DL115" t="n">
        <v>0</v>
      </c>
      <c r="DM115" t="n">
        <v>0</v>
      </c>
      <c r="DN115" t="n">
        <v>0</v>
      </c>
      <c r="DO115" t="n">
        <v>0</v>
      </c>
      <c r="DP115" t="n">
        <v>0</v>
      </c>
      <c r="DQ115" t="n">
        <v>0</v>
      </c>
      <c r="DR115" t="n">
        <v>0</v>
      </c>
      <c r="DS115" t="n">
        <v>616</v>
      </c>
      <c r="DT115" t="n">
        <v>880</v>
      </c>
      <c r="DU115" t="n">
        <v>220</v>
      </c>
      <c r="DV115" t="n">
        <v>0</v>
      </c>
      <c r="DW115" t="n">
        <v>0</v>
      </c>
      <c r="DX115" t="n">
        <v>0</v>
      </c>
      <c r="DY115" t="n">
        <v>795</v>
      </c>
      <c r="DZ115" t="n">
        <v>1060</v>
      </c>
      <c r="EA115" t="n">
        <v>1431</v>
      </c>
      <c r="EB115" t="n">
        <v>1855</v>
      </c>
      <c r="EC115" t="n">
        <v>159</v>
      </c>
      <c r="ED115" t="n">
        <v>1590</v>
      </c>
      <c r="EE115" t="n">
        <v>3710</v>
      </c>
      <c r="EF115" t="n">
        <v>0</v>
      </c>
      <c r="EG115" t="n">
        <v>0.11</v>
      </c>
      <c r="EH115" t="n">
        <v>0.9</v>
      </c>
      <c r="EI115" t="n">
        <v>3.7</v>
      </c>
      <c r="EJ115" t="n">
        <v>1.1</v>
      </c>
      <c r="EK115" t="n">
        <v>2.6</v>
      </c>
    </row>
    <row r="116">
      <c r="A116">
        <f>[1]ingredient!B115</f>
        <v/>
      </c>
      <c r="B116" t="inlineStr">
        <is>
          <t>https://www.naehrwertrechner.de/naehrwerte/R236011/Estragon+Gew%C3%BCrz/?menge=100</t>
        </is>
      </c>
      <c r="C116" s="7">
        <f>_xlfn.XLOOKUP(A116,[1]ingredient!$B$2:$B$521,[1]ingredient!$A$2:$A$521)</f>
        <v/>
      </c>
      <c r="D116" t="n">
        <v>332</v>
      </c>
      <c r="E116" t="n">
        <v>7</v>
      </c>
      <c r="F116" t="n">
        <v>23</v>
      </c>
      <c r="G116" t="n">
        <v>43</v>
      </c>
      <c r="H116" t="n">
        <v>7</v>
      </c>
      <c r="I116" t="n">
        <v>42</v>
      </c>
      <c r="J116" t="n">
        <v>0.26</v>
      </c>
      <c r="K116" t="n">
        <v>9</v>
      </c>
      <c r="L116" t="n">
        <v>417</v>
      </c>
      <c r="M116" t="n">
        <v>208</v>
      </c>
      <c r="N116" t="n">
        <v>0</v>
      </c>
      <c r="O116" t="n">
        <v>2500</v>
      </c>
      <c r="P116" t="n">
        <v>250</v>
      </c>
      <c r="Q116" t="n">
        <v>1340</v>
      </c>
      <c r="R116" t="n">
        <v>8950</v>
      </c>
      <c r="S116" t="n">
        <v>12750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60000</v>
      </c>
      <c r="Z116" t="n">
        <v>0</v>
      </c>
      <c r="AA116" t="n">
        <v>0</v>
      </c>
      <c r="AB116" t="n">
        <v>0</v>
      </c>
      <c r="AC116" t="n">
        <v>62</v>
      </c>
      <c r="AD116" t="n">
        <v>3020</v>
      </c>
      <c r="AE116" t="n">
        <v>1139</v>
      </c>
      <c r="AF116" t="n">
        <v>347</v>
      </c>
      <c r="AG116" t="n">
        <v>313</v>
      </c>
      <c r="AH116" t="n">
        <v>100</v>
      </c>
      <c r="AI116" t="n">
        <v>200</v>
      </c>
      <c r="AJ116" t="n">
        <v>32300</v>
      </c>
      <c r="AK116" t="n">
        <v>3900</v>
      </c>
      <c r="AL116" t="n">
        <v>600</v>
      </c>
      <c r="AM116" t="n">
        <v>3000</v>
      </c>
      <c r="AN116" t="n">
        <v>400</v>
      </c>
      <c r="AO116" t="n">
        <v>5</v>
      </c>
      <c r="AP116" t="n">
        <v>0</v>
      </c>
      <c r="AQ116" t="n">
        <v>0</v>
      </c>
      <c r="AR116" t="n">
        <v>0</v>
      </c>
      <c r="AS116" t="n">
        <v>0</v>
      </c>
      <c r="AT116" t="n">
        <v>17120</v>
      </c>
      <c r="AU116" t="n">
        <v>17120</v>
      </c>
      <c r="AV116" t="n">
        <v>0</v>
      </c>
      <c r="AW116" t="n">
        <v>34240</v>
      </c>
      <c r="AX116" t="n">
        <v>8132</v>
      </c>
      <c r="AY116" t="n">
        <v>0</v>
      </c>
      <c r="AZ116" t="n">
        <v>0</v>
      </c>
      <c r="BA116" t="n">
        <v>8132</v>
      </c>
      <c r="BB116" t="n">
        <v>0</v>
      </c>
      <c r="BC116" t="n">
        <v>0</v>
      </c>
      <c r="BD116" t="n">
        <v>0</v>
      </c>
      <c r="BE116" t="n">
        <v>428</v>
      </c>
      <c r="BF116" t="n">
        <v>428</v>
      </c>
      <c r="BG116">
        <f>IF($F116=0,"0",MIN(
BH116/(30*$F116),
BI116/(61*$F116),
BJ116/(48*$F116),
(BK116+BL116)/(23*$F116),
(BM116+BN116)/(41*$F116),
BO116/(25*$F116),
BP116/(6.6*$F116),
BQ116/(40*$F116),
BS116/(16*$F116)
)*100)</f>
        <v/>
      </c>
      <c r="BH116" t="n">
        <v>912</v>
      </c>
      <c r="BI116" t="n">
        <v>1368</v>
      </c>
      <c r="BJ116" t="n">
        <v>1140</v>
      </c>
      <c r="BK116" t="n">
        <v>274</v>
      </c>
      <c r="BL116" t="n">
        <v>228</v>
      </c>
      <c r="BM116" t="n">
        <v>684</v>
      </c>
      <c r="BN116" t="n">
        <v>456</v>
      </c>
      <c r="BO116" t="n">
        <v>798</v>
      </c>
      <c r="BP116" t="n">
        <v>228</v>
      </c>
      <c r="BQ116" t="n">
        <v>912</v>
      </c>
      <c r="BR116" t="n">
        <v>912</v>
      </c>
      <c r="BS116" t="n">
        <v>342</v>
      </c>
      <c r="BT116" t="n">
        <v>8254</v>
      </c>
      <c r="BU116" t="n">
        <v>1140</v>
      </c>
      <c r="BV116" t="n">
        <v>2280</v>
      </c>
      <c r="BW116" t="n">
        <v>3420</v>
      </c>
      <c r="BX116" t="n">
        <v>638</v>
      </c>
      <c r="BY116" t="n">
        <v>912</v>
      </c>
      <c r="BZ116" t="n">
        <v>684</v>
      </c>
      <c r="CA116" t="n">
        <v>9074</v>
      </c>
      <c r="CB116" t="n">
        <v>341</v>
      </c>
      <c r="CC116" t="n">
        <v>142</v>
      </c>
      <c r="CD116" t="n">
        <v>1728</v>
      </c>
      <c r="CE116" t="n">
        <v>2304</v>
      </c>
      <c r="CF116" t="n">
        <v>1.33</v>
      </c>
      <c r="CG116" t="n">
        <v>0</v>
      </c>
      <c r="CH116" t="n">
        <v>0</v>
      </c>
      <c r="CI116" t="n">
        <v>0</v>
      </c>
      <c r="CJ116" t="n">
        <v>0</v>
      </c>
      <c r="CK116" t="n">
        <v>0</v>
      </c>
      <c r="CL116" t="n">
        <v>29</v>
      </c>
      <c r="CM116" t="n">
        <v>0</v>
      </c>
      <c r="CN116" t="n">
        <v>1123</v>
      </c>
      <c r="CO116" t="n">
        <v>0</v>
      </c>
      <c r="CP116" t="n">
        <v>173</v>
      </c>
      <c r="CQ116" t="n">
        <v>0</v>
      </c>
      <c r="CR116" t="n">
        <v>0</v>
      </c>
      <c r="CS116" t="n">
        <v>0</v>
      </c>
      <c r="CT116" t="n">
        <v>1325</v>
      </c>
      <c r="CU116" t="n">
        <v>0</v>
      </c>
      <c r="CV116" t="n">
        <v>0</v>
      </c>
      <c r="CW116" t="n">
        <v>58</v>
      </c>
      <c r="CX116" t="n">
        <v>0</v>
      </c>
      <c r="CY116" t="n">
        <v>346</v>
      </c>
      <c r="CZ116" t="n">
        <v>0</v>
      </c>
      <c r="DA116" t="n">
        <v>0</v>
      </c>
      <c r="DB116" t="n">
        <v>0</v>
      </c>
      <c r="DC116" t="n">
        <v>404</v>
      </c>
      <c r="DD116" t="n">
        <v>0</v>
      </c>
      <c r="DE116" t="n">
        <v>0</v>
      </c>
      <c r="DF116" t="n">
        <v>2304</v>
      </c>
      <c r="DG116" t="n">
        <v>1728</v>
      </c>
      <c r="DH116" t="n">
        <v>0</v>
      </c>
      <c r="DI116" t="n">
        <v>0</v>
      </c>
      <c r="DJ116" t="n">
        <v>0</v>
      </c>
      <c r="DK116" t="n">
        <v>0</v>
      </c>
      <c r="DL116" t="n">
        <v>0</v>
      </c>
      <c r="DM116" t="n">
        <v>0</v>
      </c>
      <c r="DN116" t="n">
        <v>0</v>
      </c>
      <c r="DO116" t="n">
        <v>0</v>
      </c>
      <c r="DP116" t="n">
        <v>0</v>
      </c>
      <c r="DQ116" t="n">
        <v>0</v>
      </c>
      <c r="DR116" t="n">
        <v>0</v>
      </c>
      <c r="DS116" t="n">
        <v>4032</v>
      </c>
      <c r="DT116" t="n">
        <v>5761</v>
      </c>
      <c r="DU116" t="n">
        <v>1440</v>
      </c>
      <c r="DV116" t="n">
        <v>0</v>
      </c>
      <c r="DW116" t="n">
        <v>0</v>
      </c>
      <c r="DX116" t="n">
        <v>0</v>
      </c>
      <c r="DY116" t="n">
        <v>1110</v>
      </c>
      <c r="DZ116" t="n">
        <v>1480</v>
      </c>
      <c r="EA116" t="n">
        <v>1998</v>
      </c>
      <c r="EB116" t="n">
        <v>2590</v>
      </c>
      <c r="EC116" t="n">
        <v>222</v>
      </c>
      <c r="ED116" t="n">
        <v>2220</v>
      </c>
      <c r="EE116" t="n">
        <v>5180</v>
      </c>
      <c r="EF116" t="n">
        <v>0</v>
      </c>
      <c r="EG116" t="n">
        <v>1</v>
      </c>
      <c r="EH116" t="n">
        <v>9.9</v>
      </c>
      <c r="EI116" t="n">
        <v>5.2</v>
      </c>
      <c r="EJ116" t="n">
        <v>7.2</v>
      </c>
      <c r="EK116" t="n">
        <v>18.5</v>
      </c>
    </row>
    <row r="117">
      <c r="A117">
        <f>[1]ingredient!B116</f>
        <v/>
      </c>
      <c r="B117" t="inlineStr">
        <is>
          <t>https://www.naehrwertrechner.de/naehrwerte/F505000/Feige/?menge=100</t>
        </is>
      </c>
      <c r="C117" s="7">
        <f>_xlfn.XLOOKUP(A117,[1]ingredient!$B$2:$B$521,[1]ingredient!$A$2:$A$521)</f>
        <v/>
      </c>
      <c r="D117" t="n">
        <v>63</v>
      </c>
      <c r="E117" t="n">
        <v>1</v>
      </c>
      <c r="F117" t="n">
        <v>1</v>
      </c>
      <c r="G117" t="n">
        <v>13</v>
      </c>
      <c r="H117" t="n">
        <v>2</v>
      </c>
      <c r="I117" t="n">
        <v>13</v>
      </c>
      <c r="J117" t="n">
        <v>0.02</v>
      </c>
      <c r="K117" t="n">
        <v>82</v>
      </c>
      <c r="L117" t="n">
        <v>8</v>
      </c>
      <c r="M117" t="n">
        <v>4</v>
      </c>
      <c r="N117" t="n">
        <v>0</v>
      </c>
      <c r="O117" t="n">
        <v>48</v>
      </c>
      <c r="P117" t="n">
        <v>46</v>
      </c>
      <c r="Q117" t="n">
        <v>50</v>
      </c>
      <c r="R117" t="n">
        <v>420</v>
      </c>
      <c r="S117" t="n">
        <v>587</v>
      </c>
      <c r="T117" t="n">
        <v>300</v>
      </c>
      <c r="U117" t="n">
        <v>110</v>
      </c>
      <c r="V117" t="n">
        <v>5</v>
      </c>
      <c r="W117" t="n">
        <v>7</v>
      </c>
      <c r="X117" t="n">
        <v>0</v>
      </c>
      <c r="Y117" t="n">
        <v>2740</v>
      </c>
      <c r="Z117" t="n">
        <v>0</v>
      </c>
      <c r="AA117" t="n">
        <v>501</v>
      </c>
      <c r="AB117" t="n">
        <v>10</v>
      </c>
      <c r="AC117" t="n">
        <v>2</v>
      </c>
      <c r="AD117" t="n">
        <v>240</v>
      </c>
      <c r="AE117" t="n">
        <v>54</v>
      </c>
      <c r="AF117" t="n">
        <v>20</v>
      </c>
      <c r="AG117" t="n">
        <v>32</v>
      </c>
      <c r="AH117" t="n">
        <v>13</v>
      </c>
      <c r="AI117" t="n">
        <v>18</v>
      </c>
      <c r="AJ117" t="n">
        <v>600</v>
      </c>
      <c r="AK117" t="n">
        <v>250</v>
      </c>
      <c r="AL117" t="n">
        <v>70</v>
      </c>
      <c r="AM117" t="n">
        <v>130</v>
      </c>
      <c r="AN117" t="n">
        <v>20</v>
      </c>
      <c r="AO117" t="n">
        <v>2</v>
      </c>
      <c r="AP117" t="n">
        <v>0</v>
      </c>
      <c r="AQ117" t="n">
        <v>0</v>
      </c>
      <c r="AR117" t="n">
        <v>0</v>
      </c>
      <c r="AS117" t="n">
        <v>0</v>
      </c>
      <c r="AT117" t="n">
        <v>6992</v>
      </c>
      <c r="AU117" t="n">
        <v>5508</v>
      </c>
      <c r="AV117" t="n">
        <v>0</v>
      </c>
      <c r="AW117" t="n">
        <v>12500</v>
      </c>
      <c r="AX117" t="n">
        <v>400</v>
      </c>
      <c r="AY117" t="n">
        <v>0</v>
      </c>
      <c r="AZ117" t="n">
        <v>0</v>
      </c>
      <c r="BA117" t="n">
        <v>400</v>
      </c>
      <c r="BB117" t="n">
        <v>0</v>
      </c>
      <c r="BC117" t="n">
        <v>0</v>
      </c>
      <c r="BD117" t="n">
        <v>0</v>
      </c>
      <c r="BE117" t="n">
        <v>0</v>
      </c>
      <c r="BF117" t="n">
        <v>0</v>
      </c>
      <c r="BG117">
        <f>IF($F117=0,"0",MIN(
BH117/(30*$F117),
BI117/(61*$F117),
BJ117/(48*$F117),
(BK117+BL117)/(23*$F117),
(BM117+BN117)/(41*$F117),
BO117/(25*$F117),
BP117/(6.6*$F117),
BQ117/(40*$F117),
BS117/(16*$F117)
)*100)</f>
        <v/>
      </c>
      <c r="BH117" t="n">
        <v>40</v>
      </c>
      <c r="BI117" t="n">
        <v>57</v>
      </c>
      <c r="BJ117" t="n">
        <v>52</v>
      </c>
      <c r="BK117" t="n">
        <v>10</v>
      </c>
      <c r="BL117" t="n">
        <v>21</v>
      </c>
      <c r="BM117" t="n">
        <v>31</v>
      </c>
      <c r="BN117" t="n">
        <v>56</v>
      </c>
      <c r="BO117" t="n">
        <v>42</v>
      </c>
      <c r="BP117" t="n">
        <v>10</v>
      </c>
      <c r="BQ117" t="n">
        <v>48</v>
      </c>
      <c r="BR117" t="n">
        <v>30</v>
      </c>
      <c r="BS117" t="n">
        <v>20</v>
      </c>
      <c r="BT117" t="n">
        <v>417</v>
      </c>
      <c r="BU117" t="n">
        <v>78</v>
      </c>
      <c r="BV117" t="n">
        <v>305</v>
      </c>
      <c r="BW117" t="n">
        <v>125</v>
      </c>
      <c r="BX117" t="n">
        <v>43</v>
      </c>
      <c r="BY117" t="n">
        <v>85</v>
      </c>
      <c r="BZ117" t="n">
        <v>64</v>
      </c>
      <c r="CA117" t="n">
        <v>700</v>
      </c>
      <c r="CB117" t="n">
        <v>15</v>
      </c>
      <c r="CC117" t="n">
        <v>6</v>
      </c>
      <c r="CD117" t="n">
        <v>0</v>
      </c>
      <c r="CE117" t="n">
        <v>214</v>
      </c>
      <c r="CG117" t="n">
        <v>0</v>
      </c>
      <c r="CH117" t="n">
        <v>0</v>
      </c>
      <c r="CI117" t="n">
        <v>0</v>
      </c>
      <c r="CJ117" t="n">
        <v>0</v>
      </c>
      <c r="CK117" t="n">
        <v>0</v>
      </c>
      <c r="CL117" t="n">
        <v>3</v>
      </c>
      <c r="CM117" t="n">
        <v>0</v>
      </c>
      <c r="CN117" t="n">
        <v>68</v>
      </c>
      <c r="CO117" t="n">
        <v>0</v>
      </c>
      <c r="CP117" t="n">
        <v>18</v>
      </c>
      <c r="CQ117" t="n">
        <v>0</v>
      </c>
      <c r="CR117" t="n">
        <v>0</v>
      </c>
      <c r="CS117" t="n">
        <v>0</v>
      </c>
      <c r="CT117" t="n">
        <v>89</v>
      </c>
      <c r="CU117" t="n">
        <v>0</v>
      </c>
      <c r="CV117" t="n">
        <v>0</v>
      </c>
      <c r="CW117" t="n">
        <v>0</v>
      </c>
      <c r="CX117" t="n">
        <v>0</v>
      </c>
      <c r="CY117" t="n">
        <v>97</v>
      </c>
      <c r="CZ117" t="n">
        <v>0</v>
      </c>
      <c r="DA117" t="n">
        <v>0</v>
      </c>
      <c r="DB117" t="n">
        <v>0</v>
      </c>
      <c r="DC117" t="n">
        <v>97</v>
      </c>
      <c r="DD117" t="n">
        <v>0</v>
      </c>
      <c r="DE117" t="n">
        <v>0</v>
      </c>
      <c r="DF117" t="n">
        <v>214</v>
      </c>
      <c r="DG117" t="n">
        <v>0</v>
      </c>
      <c r="DH117" t="n">
        <v>0</v>
      </c>
      <c r="DI117" t="n">
        <v>0</v>
      </c>
      <c r="DJ117" t="n">
        <v>0</v>
      </c>
      <c r="DK117" t="n">
        <v>0</v>
      </c>
      <c r="DL117" t="n">
        <v>0</v>
      </c>
      <c r="DM117" t="n">
        <v>0</v>
      </c>
      <c r="DN117" t="n">
        <v>0</v>
      </c>
      <c r="DO117" t="n">
        <v>0</v>
      </c>
      <c r="DP117" t="n">
        <v>0</v>
      </c>
      <c r="DQ117" t="n">
        <v>0</v>
      </c>
      <c r="DR117" t="n">
        <v>0</v>
      </c>
      <c r="DS117" t="n">
        <v>214</v>
      </c>
      <c r="DT117" t="n">
        <v>400</v>
      </c>
      <c r="DU117" t="n">
        <v>100</v>
      </c>
      <c r="DV117" t="n">
        <v>0</v>
      </c>
      <c r="DW117" t="n">
        <v>0</v>
      </c>
      <c r="DX117" t="n">
        <v>0</v>
      </c>
      <c r="DY117" t="n">
        <v>306</v>
      </c>
      <c r="DZ117" t="n">
        <v>408</v>
      </c>
      <c r="EA117" t="n">
        <v>408</v>
      </c>
      <c r="EB117" t="n">
        <v>408</v>
      </c>
      <c r="EC117" t="n">
        <v>510</v>
      </c>
      <c r="ED117" t="n">
        <v>636</v>
      </c>
      <c r="EE117" t="n">
        <v>1404</v>
      </c>
      <c r="EF117" t="n">
        <v>0</v>
      </c>
      <c r="EG117" t="n">
        <v>0.3</v>
      </c>
      <c r="EH117" t="n">
        <v>0.7</v>
      </c>
      <c r="EI117" t="n">
        <v>1.4</v>
      </c>
      <c r="EJ117" t="n">
        <v>0.5</v>
      </c>
      <c r="EK117" t="n">
        <v>1.2</v>
      </c>
    </row>
    <row r="118">
      <c r="A118">
        <f>[1]ingredient!B117</f>
        <v/>
      </c>
      <c r="B118" t="inlineStr">
        <is>
          <t>https://www.naehrwertrechner.de/naehrwerte/G104100/Feldsalat+roh/?menge=100</t>
        </is>
      </c>
      <c r="C118" s="7">
        <f>_xlfn.XLOOKUP(A118,[1]ingredient!$B$2:$B$521,[1]ingredient!$A$2:$A$521)</f>
        <v/>
      </c>
      <c r="D118" t="n">
        <v>15</v>
      </c>
      <c r="E118" t="n">
        <v>0.36</v>
      </c>
      <c r="F118" t="n">
        <v>2</v>
      </c>
      <c r="G118" t="n">
        <v>1</v>
      </c>
      <c r="H118" t="n">
        <v>2</v>
      </c>
      <c r="I118" t="n">
        <v>1</v>
      </c>
      <c r="J118" t="n">
        <v>0.07000000000000001</v>
      </c>
      <c r="K118" t="n">
        <v>94</v>
      </c>
      <c r="L118" t="n">
        <v>650</v>
      </c>
      <c r="M118" t="n">
        <v>325</v>
      </c>
      <c r="N118" t="n">
        <v>0</v>
      </c>
      <c r="O118" t="n">
        <v>3900</v>
      </c>
      <c r="P118" t="n">
        <v>65</v>
      </c>
      <c r="Q118" t="n">
        <v>80</v>
      </c>
      <c r="R118" t="n">
        <v>380</v>
      </c>
      <c r="S118" t="n">
        <v>713</v>
      </c>
      <c r="T118" t="n">
        <v>200</v>
      </c>
      <c r="U118" t="n">
        <v>250</v>
      </c>
      <c r="V118" t="n">
        <v>1</v>
      </c>
      <c r="W118" t="n">
        <v>145</v>
      </c>
      <c r="X118" t="n">
        <v>0</v>
      </c>
      <c r="Y118" t="n">
        <v>35000</v>
      </c>
      <c r="Z118" t="n">
        <v>0</v>
      </c>
      <c r="AA118" t="n">
        <v>600</v>
      </c>
      <c r="AB118" t="n">
        <v>0</v>
      </c>
      <c r="AC118" t="n">
        <v>4</v>
      </c>
      <c r="AD118" t="n">
        <v>421</v>
      </c>
      <c r="AE118" t="n">
        <v>35</v>
      </c>
      <c r="AF118" t="n">
        <v>13</v>
      </c>
      <c r="AG118" t="n">
        <v>49</v>
      </c>
      <c r="AH118" t="n">
        <v>57</v>
      </c>
      <c r="AI118" t="n">
        <v>70</v>
      </c>
      <c r="AJ118" t="n">
        <v>2000</v>
      </c>
      <c r="AK118" t="n">
        <v>310</v>
      </c>
      <c r="AL118" t="n">
        <v>110</v>
      </c>
      <c r="AM118" t="n">
        <v>200</v>
      </c>
      <c r="AN118" t="n">
        <v>100</v>
      </c>
      <c r="AO118" t="n">
        <v>35</v>
      </c>
      <c r="AP118" t="n">
        <v>0</v>
      </c>
      <c r="AQ118" t="n">
        <v>0</v>
      </c>
      <c r="AR118" t="n">
        <v>0</v>
      </c>
      <c r="AS118" t="n">
        <v>0</v>
      </c>
      <c r="AT118" t="n">
        <v>391</v>
      </c>
      <c r="AU118" t="n">
        <v>228</v>
      </c>
      <c r="AV118" t="n">
        <v>0</v>
      </c>
      <c r="AW118" t="n">
        <v>619</v>
      </c>
      <c r="AX118" t="n">
        <v>181</v>
      </c>
      <c r="AY118" t="n">
        <v>0</v>
      </c>
      <c r="AZ118" t="n">
        <v>0</v>
      </c>
      <c r="BA118" t="n">
        <v>181</v>
      </c>
      <c r="BB118" t="n">
        <v>0</v>
      </c>
      <c r="BC118" t="n">
        <v>0</v>
      </c>
      <c r="BD118" t="n">
        <v>0</v>
      </c>
      <c r="BE118" t="n">
        <v>8</v>
      </c>
      <c r="BF118" t="n">
        <v>8</v>
      </c>
      <c r="BG118">
        <f>IF($F118=0,"0",MIN(
BH118/(30*$F118),
BI118/(61*$F118),
BJ118/(48*$F118),
(BK118+BL118)/(23*$F118),
(BM118+BN118)/(41*$F118),
BO118/(25*$F118),
BP118/(6.6*$F118),
BQ118/(40*$F118),
BS118/(16*$F118)
)*100)</f>
        <v/>
      </c>
      <c r="BH118" t="n">
        <v>130</v>
      </c>
      <c r="BI118" t="n">
        <v>140</v>
      </c>
      <c r="BJ118" t="n">
        <v>110</v>
      </c>
      <c r="BK118" t="n">
        <v>11</v>
      </c>
      <c r="BL118" t="n">
        <v>15</v>
      </c>
      <c r="BM118" t="n">
        <v>96</v>
      </c>
      <c r="BN118" t="n">
        <v>62</v>
      </c>
      <c r="BO118" t="n">
        <v>85</v>
      </c>
      <c r="BP118" t="n">
        <v>20</v>
      </c>
      <c r="BQ118" t="n">
        <v>110</v>
      </c>
      <c r="BR118" t="n">
        <v>88</v>
      </c>
      <c r="BS118" t="n">
        <v>35</v>
      </c>
      <c r="BT118" t="n">
        <v>902</v>
      </c>
      <c r="BU118" t="n">
        <v>94</v>
      </c>
      <c r="BV118" t="n">
        <v>241</v>
      </c>
      <c r="BW118" t="n">
        <v>267</v>
      </c>
      <c r="BX118" t="n">
        <v>88</v>
      </c>
      <c r="BY118" t="n">
        <v>114</v>
      </c>
      <c r="BZ118" t="n">
        <v>76</v>
      </c>
      <c r="CA118" t="n">
        <v>880</v>
      </c>
      <c r="CB118" t="n">
        <v>34</v>
      </c>
      <c r="CC118" t="n">
        <v>14</v>
      </c>
      <c r="CD118" t="n">
        <v>144</v>
      </c>
      <c r="CE118" t="n">
        <v>63</v>
      </c>
      <c r="CF118" t="n">
        <v>0.44</v>
      </c>
      <c r="CG118" t="n">
        <v>0</v>
      </c>
      <c r="CH118" t="n">
        <v>0</v>
      </c>
      <c r="CI118" t="n">
        <v>0</v>
      </c>
      <c r="CJ118" t="n">
        <v>0</v>
      </c>
      <c r="CK118" t="n">
        <v>0</v>
      </c>
      <c r="CL118" t="n">
        <v>6</v>
      </c>
      <c r="CM118" t="n">
        <v>0</v>
      </c>
      <c r="CN118" t="n">
        <v>58</v>
      </c>
      <c r="CO118" t="n">
        <v>0</v>
      </c>
      <c r="CP118" t="n">
        <v>4</v>
      </c>
      <c r="CQ118" t="n">
        <v>0</v>
      </c>
      <c r="CR118" t="n">
        <v>0</v>
      </c>
      <c r="CS118" t="n">
        <v>0</v>
      </c>
      <c r="CT118" t="n">
        <v>68</v>
      </c>
      <c r="CU118" t="n">
        <v>0</v>
      </c>
      <c r="CV118" t="n">
        <v>0</v>
      </c>
      <c r="CW118" t="n">
        <v>3</v>
      </c>
      <c r="CX118" t="n">
        <v>0</v>
      </c>
      <c r="CY118" t="n">
        <v>10</v>
      </c>
      <c r="CZ118" t="n">
        <v>0</v>
      </c>
      <c r="DA118" t="n">
        <v>0</v>
      </c>
      <c r="DB118" t="n">
        <v>0</v>
      </c>
      <c r="DC118" t="n">
        <v>13</v>
      </c>
      <c r="DD118" t="n">
        <v>0</v>
      </c>
      <c r="DE118" t="n">
        <v>0</v>
      </c>
      <c r="DF118" t="n">
        <v>63</v>
      </c>
      <c r="DG118" t="n">
        <v>144</v>
      </c>
      <c r="DH118" t="n">
        <v>0</v>
      </c>
      <c r="DI118" t="n">
        <v>0</v>
      </c>
      <c r="DJ118" t="n">
        <v>0</v>
      </c>
      <c r="DK118" t="n">
        <v>0</v>
      </c>
      <c r="DL118" t="n">
        <v>0</v>
      </c>
      <c r="DM118" t="n">
        <v>0</v>
      </c>
      <c r="DN118" t="n">
        <v>0</v>
      </c>
      <c r="DO118" t="n">
        <v>0</v>
      </c>
      <c r="DP118" t="n">
        <v>0</v>
      </c>
      <c r="DQ118" t="n">
        <v>0</v>
      </c>
      <c r="DR118" t="n">
        <v>0</v>
      </c>
      <c r="DS118" t="n">
        <v>207</v>
      </c>
      <c r="DT118" t="n">
        <v>288</v>
      </c>
      <c r="DU118" t="n">
        <v>72</v>
      </c>
      <c r="DV118" t="n">
        <v>0</v>
      </c>
      <c r="DW118" t="n">
        <v>0</v>
      </c>
      <c r="DX118" t="n">
        <v>0</v>
      </c>
      <c r="DY118" t="n">
        <v>216</v>
      </c>
      <c r="DZ118" t="n">
        <v>180</v>
      </c>
      <c r="EA118" t="n">
        <v>486</v>
      </c>
      <c r="EB118" t="n">
        <v>900</v>
      </c>
      <c r="EC118" t="n">
        <v>18</v>
      </c>
      <c r="ED118" t="n">
        <v>150</v>
      </c>
      <c r="EE118" t="n">
        <v>1370</v>
      </c>
      <c r="EF118" t="n">
        <v>0</v>
      </c>
      <c r="EG118" t="n">
        <v>0.3</v>
      </c>
      <c r="EH118" t="n">
        <v>0.8</v>
      </c>
      <c r="EI118" t="n">
        <v>1.4</v>
      </c>
      <c r="EJ118" t="n">
        <v>0.4</v>
      </c>
      <c r="EK118" t="n">
        <v>1.9</v>
      </c>
    </row>
    <row r="119">
      <c r="A119">
        <f>[1]ingredient!B118</f>
        <v/>
      </c>
      <c r="C119" s="7">
        <f>_xlfn.XLOOKUP(A119,[1]ingredient!$B$2:$B$521,[1]ingredient!$A$2:$A$521)</f>
        <v/>
      </c>
      <c r="D119" t="n">
        <v>90</v>
      </c>
      <c r="E119" t="n">
        <v>1</v>
      </c>
      <c r="F119" t="n">
        <v>1</v>
      </c>
      <c r="G119" t="n">
        <v>20</v>
      </c>
      <c r="I119" t="n">
        <v>18</v>
      </c>
      <c r="J119" t="n">
        <v>0</v>
      </c>
      <c r="L119" t="n">
        <v>50</v>
      </c>
      <c r="M119" t="n">
        <v>25</v>
      </c>
      <c r="Y119" t="n">
        <v>23000</v>
      </c>
      <c r="AA119" t="n">
        <v>1000</v>
      </c>
      <c r="BG119">
        <f>IF($F119=0,"0",MIN(
BH119/(30*$F119),
BI119/(61*$F119),
BJ119/(48*$F119),
(BK119+BL119)/(23*$F119),
(BM119+BN119)/(41*$F119),
BO119/(25*$F119),
BP119/(6.6*$F119),
BQ119/(40*$F119),
BS119/(16*$F119)
)*100)</f>
        <v/>
      </c>
    </row>
    <row r="120">
      <c r="A120">
        <f>[1]ingredient!B119</f>
        <v/>
      </c>
      <c r="B120" t="inlineStr">
        <is>
          <t>https://www.naehrwertrechner.de/naehrwerte/G430000/Fenchel/?menge=100</t>
        </is>
      </c>
      <c r="C120" s="7">
        <f>_xlfn.XLOOKUP(A120,[1]ingredient!$B$2:$B$521,[1]ingredient!$A$2:$A$521)</f>
        <v/>
      </c>
      <c r="D120" t="n">
        <v>19</v>
      </c>
      <c r="E120" t="n">
        <v>0.2</v>
      </c>
      <c r="F120" t="n">
        <v>1</v>
      </c>
      <c r="G120" t="n">
        <v>3</v>
      </c>
      <c r="H120" t="n">
        <v>2</v>
      </c>
      <c r="I120" t="n">
        <v>3</v>
      </c>
      <c r="J120" t="n">
        <v>0.03</v>
      </c>
      <c r="K120" t="n">
        <v>92</v>
      </c>
      <c r="L120" t="n">
        <v>23</v>
      </c>
      <c r="M120" t="n">
        <v>12</v>
      </c>
      <c r="N120" t="n">
        <v>0</v>
      </c>
      <c r="O120" t="n">
        <v>140</v>
      </c>
      <c r="P120" t="n">
        <v>33</v>
      </c>
      <c r="Q120" t="n">
        <v>110</v>
      </c>
      <c r="R120" t="n">
        <v>200</v>
      </c>
      <c r="S120" t="n">
        <v>500</v>
      </c>
      <c r="T120" t="n">
        <v>0</v>
      </c>
      <c r="U120" t="n">
        <v>59</v>
      </c>
      <c r="V120" t="n">
        <v>0</v>
      </c>
      <c r="W120" t="n">
        <v>37</v>
      </c>
      <c r="X120" t="n">
        <v>0</v>
      </c>
      <c r="Y120" t="n">
        <v>9000</v>
      </c>
      <c r="Z120" t="n">
        <v>0</v>
      </c>
      <c r="AA120" t="n">
        <v>0</v>
      </c>
      <c r="AB120" t="n">
        <v>0</v>
      </c>
      <c r="AC120" t="n">
        <v>27</v>
      </c>
      <c r="AD120" t="n">
        <v>395</v>
      </c>
      <c r="AE120" t="n">
        <v>38</v>
      </c>
      <c r="AF120" t="n">
        <v>12</v>
      </c>
      <c r="AG120" t="n">
        <v>51</v>
      </c>
      <c r="AH120" t="n">
        <v>0</v>
      </c>
      <c r="AI120" t="n">
        <v>0</v>
      </c>
      <c r="AJ120" t="n">
        <v>0</v>
      </c>
      <c r="AK120" t="n">
        <v>220</v>
      </c>
      <c r="AL120" t="n">
        <v>0</v>
      </c>
      <c r="AM120" t="n">
        <v>0</v>
      </c>
      <c r="AN120" t="n">
        <v>0</v>
      </c>
      <c r="AO120" t="n">
        <v>0</v>
      </c>
      <c r="AP120" t="n">
        <v>0</v>
      </c>
      <c r="AQ120" t="n">
        <v>134</v>
      </c>
      <c r="AR120" t="n">
        <v>0</v>
      </c>
      <c r="AS120" t="n">
        <v>134</v>
      </c>
      <c r="AT120" t="n">
        <v>1346</v>
      </c>
      <c r="AU120" t="n">
        <v>1147</v>
      </c>
      <c r="AV120" t="n">
        <v>0</v>
      </c>
      <c r="AW120" t="n">
        <v>2493</v>
      </c>
      <c r="AX120" t="n">
        <v>373</v>
      </c>
      <c r="AY120" t="n">
        <v>0</v>
      </c>
      <c r="AZ120" t="n">
        <v>0</v>
      </c>
      <c r="BA120" t="n">
        <v>373</v>
      </c>
      <c r="BB120" t="n">
        <v>0</v>
      </c>
      <c r="BC120" t="n">
        <v>0</v>
      </c>
      <c r="BD120" t="n">
        <v>0</v>
      </c>
      <c r="BE120" t="n">
        <v>0</v>
      </c>
      <c r="BF120" t="n">
        <v>0</v>
      </c>
      <c r="BG120">
        <f>IF($F120=0,"0",MIN(
BH120/(30*$F120),
BI120/(61*$F120),
BJ120/(48*$F120),
(BK120+BL120)/(23*$F120),
(BM120+BN120)/(41*$F120),
BO120/(25*$F120),
BP120/(6.6*$F120),
BQ120/(40*$F120),
BS120/(16*$F120)
)*100)</f>
        <v/>
      </c>
      <c r="BH120" t="n">
        <v>74</v>
      </c>
      <c r="BI120" t="n">
        <v>111</v>
      </c>
      <c r="BJ120" t="n">
        <v>92</v>
      </c>
      <c r="BK120" t="n">
        <v>22</v>
      </c>
      <c r="BL120" t="n">
        <v>18</v>
      </c>
      <c r="BM120" t="n">
        <v>55</v>
      </c>
      <c r="BN120" t="n">
        <v>37</v>
      </c>
      <c r="BO120" t="n">
        <v>64</v>
      </c>
      <c r="BP120" t="n">
        <v>18</v>
      </c>
      <c r="BQ120" t="n">
        <v>74</v>
      </c>
      <c r="BR120" t="n">
        <v>74</v>
      </c>
      <c r="BS120" t="n">
        <v>28</v>
      </c>
      <c r="BT120" t="n">
        <v>667</v>
      </c>
      <c r="BU120" t="n">
        <v>92</v>
      </c>
      <c r="BV120" t="n">
        <v>184</v>
      </c>
      <c r="BW120" t="n">
        <v>276</v>
      </c>
      <c r="BX120" t="n">
        <v>51</v>
      </c>
      <c r="BY120" t="n">
        <v>74</v>
      </c>
      <c r="BZ120" t="n">
        <v>55</v>
      </c>
      <c r="CA120" t="n">
        <v>732</v>
      </c>
      <c r="CB120" t="n">
        <v>0</v>
      </c>
      <c r="CC120" t="n">
        <v>0</v>
      </c>
      <c r="CD120" t="n">
        <v>29</v>
      </c>
      <c r="CE120" t="n">
        <v>80</v>
      </c>
      <c r="CF120" t="n">
        <v>2.76</v>
      </c>
      <c r="CG120" t="n">
        <v>0</v>
      </c>
      <c r="CH120" t="n">
        <v>0</v>
      </c>
      <c r="CI120" t="n">
        <v>0</v>
      </c>
      <c r="CJ120" t="n">
        <v>0</v>
      </c>
      <c r="CK120" t="n">
        <v>1</v>
      </c>
      <c r="CL120" t="n">
        <v>1</v>
      </c>
      <c r="CM120" t="n">
        <v>0</v>
      </c>
      <c r="CN120" t="n">
        <v>38</v>
      </c>
      <c r="CO120" t="n">
        <v>0</v>
      </c>
      <c r="CP120" t="n">
        <v>3</v>
      </c>
      <c r="CQ120" t="n">
        <v>0</v>
      </c>
      <c r="CR120" t="n">
        <v>0</v>
      </c>
      <c r="CS120" t="n">
        <v>0</v>
      </c>
      <c r="CT120" t="n">
        <v>43</v>
      </c>
      <c r="CU120" t="n">
        <v>0</v>
      </c>
      <c r="CV120" t="n">
        <v>0</v>
      </c>
      <c r="CW120" t="n">
        <v>0</v>
      </c>
      <c r="CX120" t="n">
        <v>0</v>
      </c>
      <c r="CY120" t="n">
        <v>8</v>
      </c>
      <c r="CZ120" t="n">
        <v>0</v>
      </c>
      <c r="DA120" t="n">
        <v>0</v>
      </c>
      <c r="DB120" t="n">
        <v>0</v>
      </c>
      <c r="DC120" t="n">
        <v>8</v>
      </c>
      <c r="DD120" t="n">
        <v>0</v>
      </c>
      <c r="DE120" t="n">
        <v>0</v>
      </c>
      <c r="DF120" t="n">
        <v>80</v>
      </c>
      <c r="DG120" t="n">
        <v>29</v>
      </c>
      <c r="DH120" t="n">
        <v>0</v>
      </c>
      <c r="DI120" t="n">
        <v>0</v>
      </c>
      <c r="DJ120" t="n">
        <v>0</v>
      </c>
      <c r="DK120" t="n">
        <v>0</v>
      </c>
      <c r="DL120" t="n">
        <v>0</v>
      </c>
      <c r="DM120" t="n">
        <v>0</v>
      </c>
      <c r="DN120" t="n">
        <v>0</v>
      </c>
      <c r="DO120" t="n">
        <v>0</v>
      </c>
      <c r="DP120" t="n">
        <v>0</v>
      </c>
      <c r="DQ120" t="n">
        <v>0</v>
      </c>
      <c r="DR120" t="n">
        <v>0</v>
      </c>
      <c r="DS120" t="n">
        <v>109</v>
      </c>
      <c r="DT120" t="n">
        <v>160</v>
      </c>
      <c r="DU120" t="n">
        <v>40</v>
      </c>
      <c r="DV120" t="n">
        <v>0</v>
      </c>
      <c r="DW120" t="n">
        <v>0</v>
      </c>
      <c r="DX120" t="n">
        <v>0</v>
      </c>
      <c r="DY120" t="n">
        <v>100</v>
      </c>
      <c r="DZ120" t="n">
        <v>700</v>
      </c>
      <c r="EA120" t="n">
        <v>560</v>
      </c>
      <c r="EB120" t="n">
        <v>600</v>
      </c>
      <c r="EC120" t="n">
        <v>40</v>
      </c>
      <c r="ED120" t="n">
        <v>500</v>
      </c>
      <c r="EE120" t="n">
        <v>1500</v>
      </c>
      <c r="EF120" t="n">
        <v>0</v>
      </c>
      <c r="EG120" t="n">
        <v>0</v>
      </c>
      <c r="EH120" t="n">
        <v>1</v>
      </c>
      <c r="EI120" t="n">
        <v>1.5</v>
      </c>
      <c r="EJ120" t="n">
        <v>0.2</v>
      </c>
      <c r="EK120" t="n">
        <v>1.4</v>
      </c>
    </row>
    <row r="121">
      <c r="A121">
        <f>[1]ingredient!B120</f>
        <v/>
      </c>
      <c r="B121" t="inlineStr">
        <is>
          <t>https://www.naehrwertrechner.de/naehrwerte/G068511/Fenchelsamen+Pulver/?menge=100</t>
        </is>
      </c>
      <c r="C121" s="7">
        <f>_xlfn.XLOOKUP(A121,[1]ingredient!$B$2:$B$521,[1]ingredient!$A$2:$A$521)</f>
        <v/>
      </c>
      <c r="D121" t="n">
        <v>365</v>
      </c>
      <c r="E121" t="n">
        <v>16</v>
      </c>
      <c r="F121" t="n">
        <v>17</v>
      </c>
      <c r="G121" t="n">
        <v>38</v>
      </c>
      <c r="H121" t="n">
        <v>17</v>
      </c>
      <c r="I121" t="n">
        <v>37</v>
      </c>
      <c r="J121" t="n">
        <v>0.15</v>
      </c>
      <c r="K121" t="n">
        <v>4</v>
      </c>
      <c r="L121" t="n">
        <v>14</v>
      </c>
      <c r="M121" t="n">
        <v>7</v>
      </c>
      <c r="N121" t="n">
        <v>0</v>
      </c>
      <c r="O121" t="n">
        <v>82</v>
      </c>
      <c r="P121" t="n">
        <v>375</v>
      </c>
      <c r="Q121" t="n">
        <v>362</v>
      </c>
      <c r="R121" t="n">
        <v>6266</v>
      </c>
      <c r="S121" t="n">
        <v>10833</v>
      </c>
      <c r="T121" t="n">
        <v>243</v>
      </c>
      <c r="U121" t="n">
        <v>103</v>
      </c>
      <c r="V121" t="n">
        <v>2</v>
      </c>
      <c r="W121" t="n">
        <v>11</v>
      </c>
      <c r="X121" t="n">
        <v>0</v>
      </c>
      <c r="Y121" t="n">
        <v>2974</v>
      </c>
      <c r="Z121" t="n">
        <v>0</v>
      </c>
      <c r="AA121" t="n">
        <v>779</v>
      </c>
      <c r="AB121" t="n">
        <v>324</v>
      </c>
      <c r="AC121" t="n">
        <v>81</v>
      </c>
      <c r="AD121" t="n">
        <v>1557</v>
      </c>
      <c r="AE121" t="n">
        <v>1163</v>
      </c>
      <c r="AF121" t="n">
        <v>375</v>
      </c>
      <c r="AG121" t="n">
        <v>474</v>
      </c>
      <c r="AH121" t="n">
        <v>48</v>
      </c>
      <c r="AI121" t="n">
        <v>68</v>
      </c>
      <c r="AJ121" t="n">
        <v>17039</v>
      </c>
      <c r="AK121" t="n">
        <v>3601</v>
      </c>
      <c r="AL121" t="n">
        <v>1041</v>
      </c>
      <c r="AM121" t="n">
        <v>1460</v>
      </c>
      <c r="AN121" t="n">
        <v>68</v>
      </c>
      <c r="AO121" t="n">
        <v>3</v>
      </c>
      <c r="AP121" t="n">
        <v>0</v>
      </c>
      <c r="AQ121" t="n">
        <v>0</v>
      </c>
      <c r="AR121" t="n">
        <v>0</v>
      </c>
      <c r="AS121" t="n">
        <v>0</v>
      </c>
      <c r="AT121" t="n">
        <v>15039</v>
      </c>
      <c r="AU121" t="n">
        <v>15037</v>
      </c>
      <c r="AV121" t="n">
        <v>0</v>
      </c>
      <c r="AW121" t="n">
        <v>30076</v>
      </c>
      <c r="AX121" t="n">
        <v>7143</v>
      </c>
      <c r="AY121" t="n">
        <v>0</v>
      </c>
      <c r="AZ121" t="n">
        <v>0</v>
      </c>
      <c r="BA121" t="n">
        <v>7143</v>
      </c>
      <c r="BB121" t="n">
        <v>0</v>
      </c>
      <c r="BC121" t="n">
        <v>0</v>
      </c>
      <c r="BD121" t="n">
        <v>0</v>
      </c>
      <c r="BE121" t="n">
        <v>376</v>
      </c>
      <c r="BF121" t="n">
        <v>376</v>
      </c>
      <c r="BG121">
        <f>IF($F121=0,"0",MIN(
BH121/(30*$F121),
BI121/(61*$F121),
BJ121/(48*$F121),
(BK121+BL121)/(23*$F121),
(BM121+BN121)/(41*$F121),
BO121/(25*$F121),
BP121/(6.6*$F121),
BQ121/(40*$F121),
BS121/(16*$F121)
)*100)</f>
        <v/>
      </c>
      <c r="BH121" t="n">
        <v>752</v>
      </c>
      <c r="BI121" t="n">
        <v>1060</v>
      </c>
      <c r="BJ121" t="n">
        <v>820</v>
      </c>
      <c r="BK121" t="n">
        <v>324</v>
      </c>
      <c r="BL121" t="n">
        <v>239</v>
      </c>
      <c r="BM121" t="n">
        <v>683</v>
      </c>
      <c r="BN121" t="n">
        <v>444</v>
      </c>
      <c r="BO121" t="n">
        <v>648</v>
      </c>
      <c r="BP121" t="n">
        <v>274</v>
      </c>
      <c r="BQ121" t="n">
        <v>975</v>
      </c>
      <c r="BR121" t="n">
        <v>734</v>
      </c>
      <c r="BS121" t="n">
        <v>342</v>
      </c>
      <c r="BT121" t="n">
        <v>7295</v>
      </c>
      <c r="BU121" t="n">
        <v>854</v>
      </c>
      <c r="BV121" t="n">
        <v>1982</v>
      </c>
      <c r="BW121" t="n">
        <v>3177</v>
      </c>
      <c r="BX121" t="n">
        <v>1179</v>
      </c>
      <c r="BY121" t="n">
        <v>957</v>
      </c>
      <c r="BZ121" t="n">
        <v>957</v>
      </c>
      <c r="CA121" t="n">
        <v>9106</v>
      </c>
      <c r="CB121" t="n">
        <v>76</v>
      </c>
      <c r="CC121" t="n">
        <v>32</v>
      </c>
      <c r="CD121" t="n">
        <v>0</v>
      </c>
      <c r="CE121" t="n">
        <v>1832</v>
      </c>
      <c r="CG121" t="n">
        <v>0</v>
      </c>
      <c r="CH121" t="n">
        <v>0</v>
      </c>
      <c r="CI121" t="n">
        <v>0</v>
      </c>
      <c r="CJ121" t="n">
        <v>0</v>
      </c>
      <c r="CK121" t="n">
        <v>0</v>
      </c>
      <c r="CL121" t="n">
        <v>0</v>
      </c>
      <c r="CM121" t="n">
        <v>0</v>
      </c>
      <c r="CN121" t="n">
        <v>523</v>
      </c>
      <c r="CO121" t="n">
        <v>0</v>
      </c>
      <c r="CP121" t="n">
        <v>0</v>
      </c>
      <c r="CQ121" t="n">
        <v>0</v>
      </c>
      <c r="CR121" t="n">
        <v>0</v>
      </c>
      <c r="CS121" t="n">
        <v>0</v>
      </c>
      <c r="CT121" t="n">
        <v>523</v>
      </c>
      <c r="CU121" t="n">
        <v>0</v>
      </c>
      <c r="CV121" t="n">
        <v>0</v>
      </c>
      <c r="CW121" t="n">
        <v>0</v>
      </c>
      <c r="CX121" t="n">
        <v>0</v>
      </c>
      <c r="CY121" t="n">
        <v>10727</v>
      </c>
      <c r="CZ121" t="n">
        <v>0</v>
      </c>
      <c r="DA121" t="n">
        <v>0</v>
      </c>
      <c r="DB121" t="n">
        <v>0</v>
      </c>
      <c r="DC121" t="n">
        <v>10727</v>
      </c>
      <c r="DD121" t="n">
        <v>0</v>
      </c>
      <c r="DE121" t="n">
        <v>0</v>
      </c>
      <c r="DF121" t="n">
        <v>1832</v>
      </c>
      <c r="DG121" t="n">
        <v>0</v>
      </c>
      <c r="DH121" t="n">
        <v>0</v>
      </c>
      <c r="DI121" t="n">
        <v>0</v>
      </c>
      <c r="DJ121" t="n">
        <v>0</v>
      </c>
      <c r="DK121" t="n">
        <v>0</v>
      </c>
      <c r="DL121" t="n">
        <v>0</v>
      </c>
      <c r="DM121" t="n">
        <v>0</v>
      </c>
      <c r="DN121" t="n">
        <v>0</v>
      </c>
      <c r="DO121" t="n">
        <v>0</v>
      </c>
      <c r="DP121" t="n">
        <v>0</v>
      </c>
      <c r="DQ121" t="n">
        <v>0</v>
      </c>
      <c r="DR121" t="n">
        <v>0</v>
      </c>
      <c r="DS121" t="n">
        <v>1832</v>
      </c>
      <c r="DT121" t="n">
        <v>13082</v>
      </c>
      <c r="DU121" t="n">
        <v>3028</v>
      </c>
      <c r="DV121" t="n">
        <v>0</v>
      </c>
      <c r="DW121" t="n">
        <v>0</v>
      </c>
      <c r="DX121" t="n">
        <v>0</v>
      </c>
      <c r="DY121" t="n">
        <v>2546</v>
      </c>
      <c r="DZ121" t="n">
        <v>3395</v>
      </c>
      <c r="EA121" t="n">
        <v>4583</v>
      </c>
      <c r="EB121" t="n">
        <v>5942</v>
      </c>
      <c r="EC121" t="n">
        <v>509</v>
      </c>
      <c r="ED121" t="n">
        <v>5092</v>
      </c>
      <c r="EE121" t="n">
        <v>11883</v>
      </c>
      <c r="EF121" t="n">
        <v>0</v>
      </c>
      <c r="EG121" t="n">
        <v>0.27</v>
      </c>
      <c r="EH121" t="n">
        <v>8</v>
      </c>
      <c r="EI121" t="n">
        <v>11.9</v>
      </c>
      <c r="EJ121" t="n">
        <v>16.1</v>
      </c>
      <c r="EK121" t="n">
        <v>16.7</v>
      </c>
    </row>
    <row r="122">
      <c r="A122">
        <f>[1]ingredient!B121</f>
        <v/>
      </c>
      <c r="B122" t="inlineStr">
        <is>
          <t>https://www.naehrwertrechner.de/naehrwerte/C460001/Flohsamenschalen/?menge=100</t>
        </is>
      </c>
      <c r="C122" s="7">
        <f>_xlfn.XLOOKUP(A122,[1]ingredient!$B$2:$B$521,[1]ingredient!$A$2:$A$521)</f>
        <v/>
      </c>
      <c r="D122" t="n">
        <v>201</v>
      </c>
      <c r="E122" t="n">
        <v>0.3</v>
      </c>
      <c r="F122" t="n">
        <v>1</v>
      </c>
      <c r="G122" t="n">
        <v>8</v>
      </c>
      <c r="H122" t="n">
        <v>81</v>
      </c>
      <c r="I122" t="n">
        <v>0.2</v>
      </c>
      <c r="J122" t="n">
        <v>0.08</v>
      </c>
      <c r="K122" t="n">
        <v>7</v>
      </c>
      <c r="L122" t="n">
        <v>0</v>
      </c>
      <c r="M122" t="n">
        <v>0</v>
      </c>
      <c r="N122" t="n">
        <v>0</v>
      </c>
      <c r="O122" t="n">
        <v>0</v>
      </c>
      <c r="P122" t="n">
        <v>400</v>
      </c>
      <c r="Q122" t="n">
        <v>200</v>
      </c>
      <c r="R122" t="n">
        <v>2800</v>
      </c>
      <c r="S122" t="n">
        <v>3100</v>
      </c>
      <c r="T122" t="n">
        <v>0</v>
      </c>
      <c r="U122" t="n">
        <v>400</v>
      </c>
      <c r="V122" t="n">
        <v>13</v>
      </c>
      <c r="W122" t="n">
        <v>57</v>
      </c>
      <c r="X122" t="n">
        <v>0</v>
      </c>
      <c r="Y122" t="n">
        <v>0</v>
      </c>
      <c r="Z122" t="n">
        <v>0</v>
      </c>
      <c r="AA122" t="n">
        <v>0</v>
      </c>
      <c r="AB122" t="n">
        <v>0</v>
      </c>
      <c r="AC122" t="n">
        <v>61</v>
      </c>
      <c r="AD122" t="n">
        <v>847</v>
      </c>
      <c r="AE122" t="n">
        <v>239</v>
      </c>
      <c r="AF122" t="n">
        <v>374</v>
      </c>
      <c r="AG122" t="n">
        <v>618</v>
      </c>
      <c r="AH122" t="n">
        <v>255</v>
      </c>
      <c r="AI122" t="n">
        <v>19</v>
      </c>
      <c r="AJ122" t="n">
        <v>7800</v>
      </c>
      <c r="AK122" t="n">
        <v>4800</v>
      </c>
      <c r="AL122" t="n">
        <v>1400</v>
      </c>
      <c r="AM122" t="n">
        <v>2600</v>
      </c>
      <c r="AN122" t="n">
        <v>100</v>
      </c>
      <c r="AO122" t="n">
        <v>2</v>
      </c>
      <c r="AP122" t="n">
        <v>0</v>
      </c>
      <c r="AQ122" t="n">
        <v>0</v>
      </c>
      <c r="AR122" t="n">
        <v>0</v>
      </c>
      <c r="AS122" t="n">
        <v>0</v>
      </c>
      <c r="AT122" t="n">
        <v>100</v>
      </c>
      <c r="AU122" t="n">
        <v>0</v>
      </c>
      <c r="AV122" t="n">
        <v>0</v>
      </c>
      <c r="AW122" t="n">
        <v>100</v>
      </c>
      <c r="AX122" t="n">
        <v>100</v>
      </c>
      <c r="AY122" t="n">
        <v>0</v>
      </c>
      <c r="AZ122" t="n">
        <v>0</v>
      </c>
      <c r="BA122" t="n">
        <v>100</v>
      </c>
      <c r="BB122" t="n">
        <v>8000</v>
      </c>
      <c r="BC122" t="n">
        <v>0</v>
      </c>
      <c r="BD122" t="n">
        <v>0</v>
      </c>
      <c r="BE122" t="n">
        <v>0</v>
      </c>
      <c r="BF122" t="n">
        <v>0</v>
      </c>
      <c r="BG122">
        <f>IF($F122=0,"0",MIN(
BH122/(30*$F122),
BI122/(61*$F122),
BJ122/(48*$F122),
(BK122+BL122)/(23*$F122),
(BM122+BN122)/(41*$F122),
BO122/(25*$F122),
BP122/(6.6*$F122),
BQ122/(40*$F122),
BS122/(16*$F122)
)*100)</f>
        <v/>
      </c>
      <c r="BH122" t="n">
        <v>49</v>
      </c>
      <c r="BI122" t="n">
        <v>70</v>
      </c>
      <c r="BJ122" t="n">
        <v>47</v>
      </c>
      <c r="BK122" t="n">
        <v>23</v>
      </c>
      <c r="BL122" t="n">
        <v>22</v>
      </c>
      <c r="BM122" t="n">
        <v>57</v>
      </c>
      <c r="BN122" t="n">
        <v>31</v>
      </c>
      <c r="BO122" t="n">
        <v>45</v>
      </c>
      <c r="BP122" t="n">
        <v>20</v>
      </c>
      <c r="BQ122" t="n">
        <v>59</v>
      </c>
      <c r="BR122" t="n">
        <v>115</v>
      </c>
      <c r="BS122" t="n">
        <v>27</v>
      </c>
      <c r="BT122" t="n">
        <v>565</v>
      </c>
      <c r="BU122" t="n">
        <v>55</v>
      </c>
      <c r="BV122" t="n">
        <v>115</v>
      </c>
      <c r="BW122" t="n">
        <v>243</v>
      </c>
      <c r="BX122" t="n">
        <v>71</v>
      </c>
      <c r="BY122" t="n">
        <v>44</v>
      </c>
      <c r="BZ122" t="n">
        <v>57</v>
      </c>
      <c r="CA122" t="n">
        <v>585</v>
      </c>
      <c r="CB122" t="n">
        <v>0</v>
      </c>
      <c r="CC122" t="n">
        <v>0</v>
      </c>
      <c r="CD122" t="n">
        <v>100</v>
      </c>
      <c r="CE122" t="n">
        <v>0</v>
      </c>
      <c r="CF122" t="n">
        <v>0</v>
      </c>
      <c r="CG122" t="n">
        <v>0</v>
      </c>
      <c r="CH122" t="n">
        <v>0</v>
      </c>
      <c r="CI122" t="n">
        <v>0</v>
      </c>
      <c r="CJ122" t="n">
        <v>0</v>
      </c>
      <c r="CK122" t="n">
        <v>0</v>
      </c>
      <c r="CL122" t="n">
        <v>0.4</v>
      </c>
      <c r="CM122" t="n">
        <v>0</v>
      </c>
      <c r="CN122" t="n">
        <v>44</v>
      </c>
      <c r="CO122" t="n">
        <v>0.4</v>
      </c>
      <c r="CP122" t="n">
        <v>33</v>
      </c>
      <c r="CQ122" t="n">
        <v>1</v>
      </c>
      <c r="CR122" t="n">
        <v>1</v>
      </c>
      <c r="CS122" t="n">
        <v>1</v>
      </c>
      <c r="CT122" t="n">
        <v>100</v>
      </c>
      <c r="CU122" t="n">
        <v>0</v>
      </c>
      <c r="CV122" t="n">
        <v>0</v>
      </c>
      <c r="CW122" t="n">
        <v>0.2</v>
      </c>
      <c r="CX122" t="n">
        <v>0.2</v>
      </c>
      <c r="CY122" t="n">
        <v>89</v>
      </c>
      <c r="CZ122" t="n">
        <v>1</v>
      </c>
      <c r="DA122" t="n">
        <v>0</v>
      </c>
      <c r="DB122" t="n">
        <v>0</v>
      </c>
      <c r="DC122" t="n">
        <v>100</v>
      </c>
      <c r="DD122" t="n">
        <v>0</v>
      </c>
      <c r="DE122" t="n">
        <v>0</v>
      </c>
      <c r="DF122" t="n">
        <v>0</v>
      </c>
      <c r="DG122" t="n">
        <v>100</v>
      </c>
      <c r="DH122" t="n">
        <v>0</v>
      </c>
      <c r="DI122" t="n">
        <v>0</v>
      </c>
      <c r="DJ122" t="n">
        <v>0</v>
      </c>
      <c r="DK122" t="n">
        <v>0</v>
      </c>
      <c r="DL122" t="n">
        <v>0</v>
      </c>
      <c r="DM122" t="n">
        <v>0</v>
      </c>
      <c r="DN122" t="n">
        <v>0</v>
      </c>
      <c r="DO122" t="n">
        <v>0</v>
      </c>
      <c r="DP122" t="n">
        <v>0</v>
      </c>
      <c r="DQ122" t="n">
        <v>0</v>
      </c>
      <c r="DR122" t="n">
        <v>0</v>
      </c>
      <c r="DS122" t="n">
        <v>100</v>
      </c>
      <c r="DT122" t="n">
        <v>300</v>
      </c>
      <c r="DU122" t="n">
        <v>0</v>
      </c>
      <c r="DV122" t="n">
        <v>0</v>
      </c>
      <c r="DW122" t="n">
        <v>0</v>
      </c>
      <c r="DX122" t="n">
        <v>0</v>
      </c>
      <c r="DY122" t="n">
        <v>0</v>
      </c>
      <c r="DZ122" t="n">
        <v>0</v>
      </c>
      <c r="EA122" t="n">
        <v>0</v>
      </c>
      <c r="EB122" t="n">
        <v>0</v>
      </c>
      <c r="EC122" t="n">
        <v>0</v>
      </c>
      <c r="ED122" t="n">
        <v>40600</v>
      </c>
      <c r="EE122" t="n">
        <v>40200</v>
      </c>
      <c r="EF122" t="n">
        <v>0</v>
      </c>
      <c r="EG122" t="n">
        <v>0</v>
      </c>
      <c r="EH122" t="n">
        <v>2.4</v>
      </c>
      <c r="EI122" t="n">
        <v>40.2</v>
      </c>
      <c r="EJ122" t="n">
        <v>0.3</v>
      </c>
      <c r="EK122" t="n">
        <v>1.2</v>
      </c>
    </row>
    <row r="123">
      <c r="A123">
        <f>[1]ingredient!B122</f>
        <v/>
      </c>
      <c r="B123" t="inlineStr">
        <is>
          <t>https://www.naehrwertrechner.de/naehrwerte/G102111/Endivien+frisch/?menge=100</t>
        </is>
      </c>
      <c r="C123" s="7">
        <f>_xlfn.XLOOKUP(A123,[1]ingredient!$B$2:$B$521,[1]ingredient!$A$2:$A$521)</f>
        <v/>
      </c>
      <c r="D123" t="n">
        <v>11</v>
      </c>
      <c r="E123" t="n">
        <v>0.2</v>
      </c>
      <c r="F123" t="n">
        <v>2</v>
      </c>
      <c r="G123" t="n">
        <v>0.3</v>
      </c>
      <c r="H123" t="n">
        <v>1</v>
      </c>
      <c r="I123" t="n">
        <v>0.29</v>
      </c>
      <c r="J123" t="n">
        <v>0.12</v>
      </c>
      <c r="K123" t="n">
        <v>95</v>
      </c>
      <c r="L123" t="n">
        <v>280</v>
      </c>
      <c r="M123" t="n">
        <v>140</v>
      </c>
      <c r="N123" t="n">
        <v>0</v>
      </c>
      <c r="O123" t="n">
        <v>1681</v>
      </c>
      <c r="P123" t="n">
        <v>52</v>
      </c>
      <c r="Q123" t="n">
        <v>120</v>
      </c>
      <c r="R123" t="n">
        <v>410</v>
      </c>
      <c r="S123" t="n">
        <v>727</v>
      </c>
      <c r="T123" t="n">
        <v>900</v>
      </c>
      <c r="U123" t="n">
        <v>50</v>
      </c>
      <c r="V123" t="n">
        <v>1</v>
      </c>
      <c r="W123" t="n">
        <v>49</v>
      </c>
      <c r="X123" t="n">
        <v>0</v>
      </c>
      <c r="Y123" t="n">
        <v>10000</v>
      </c>
      <c r="Z123" t="n">
        <v>0</v>
      </c>
      <c r="AA123" t="n">
        <v>1000</v>
      </c>
      <c r="AB123" t="n">
        <v>200</v>
      </c>
      <c r="AC123" t="n">
        <v>53</v>
      </c>
      <c r="AD123" t="n">
        <v>346</v>
      </c>
      <c r="AE123" t="n">
        <v>54</v>
      </c>
      <c r="AF123" t="n">
        <v>10</v>
      </c>
      <c r="AG123" t="n">
        <v>54</v>
      </c>
      <c r="AH123" t="n">
        <v>26</v>
      </c>
      <c r="AI123" t="n">
        <v>71</v>
      </c>
      <c r="AJ123" t="n">
        <v>1400</v>
      </c>
      <c r="AK123" t="n">
        <v>355</v>
      </c>
      <c r="AL123" t="n">
        <v>44</v>
      </c>
      <c r="AM123" t="n">
        <v>153</v>
      </c>
      <c r="AN123" t="n">
        <v>62</v>
      </c>
      <c r="AO123" t="n">
        <v>6</v>
      </c>
      <c r="AP123" t="n">
        <v>0</v>
      </c>
      <c r="AQ123" t="n">
        <v>0</v>
      </c>
      <c r="AR123" t="n">
        <v>0</v>
      </c>
      <c r="AS123" t="n">
        <v>0</v>
      </c>
      <c r="AT123" t="n">
        <v>21</v>
      </c>
      <c r="AU123" t="n">
        <v>51</v>
      </c>
      <c r="AV123" t="n">
        <v>0</v>
      </c>
      <c r="AW123" t="n">
        <v>72</v>
      </c>
      <c r="AX123" t="n">
        <v>222</v>
      </c>
      <c r="AY123" t="n">
        <v>0</v>
      </c>
      <c r="AZ123" t="n">
        <v>0</v>
      </c>
      <c r="BA123" t="n">
        <v>222</v>
      </c>
      <c r="BB123" t="n">
        <v>0</v>
      </c>
      <c r="BC123" t="n">
        <v>0</v>
      </c>
      <c r="BD123" t="n">
        <v>0</v>
      </c>
      <c r="BE123" t="n">
        <v>6</v>
      </c>
      <c r="BF123" t="n">
        <v>6</v>
      </c>
      <c r="BG123">
        <f>IF($F123=0,"0",MIN(
BH123/(30*$F123),
BI123/(61*$F123),
BJ123/(48*$F123),
(BK123+BL123)/(23*$F123),
(BM123+BN123)/(41*$F123),
BO123/(25*$F123),
BP123/(6.6*$F123),
BQ123/(40*$F123),
BS123/(16*$F123)
)*100)</f>
        <v/>
      </c>
      <c r="BH123" t="n">
        <v>114</v>
      </c>
      <c r="BI123" t="n">
        <v>117</v>
      </c>
      <c r="BJ123" t="n">
        <v>88</v>
      </c>
      <c r="BK123" t="n">
        <v>21</v>
      </c>
      <c r="BL123" t="n">
        <v>12</v>
      </c>
      <c r="BM123" t="n">
        <v>79</v>
      </c>
      <c r="BN123" t="n">
        <v>49</v>
      </c>
      <c r="BO123" t="n">
        <v>67</v>
      </c>
      <c r="BP123" t="n">
        <v>19</v>
      </c>
      <c r="BQ123" t="n">
        <v>88</v>
      </c>
      <c r="BR123" t="n">
        <v>84</v>
      </c>
      <c r="BS123" t="n">
        <v>28</v>
      </c>
      <c r="BT123" t="n">
        <v>766</v>
      </c>
      <c r="BU123" t="n">
        <v>75</v>
      </c>
      <c r="BV123" t="n">
        <v>193</v>
      </c>
      <c r="BW123" t="n">
        <v>214</v>
      </c>
      <c r="BX123" t="n">
        <v>70</v>
      </c>
      <c r="BY123" t="n">
        <v>91</v>
      </c>
      <c r="BZ123" t="n">
        <v>61</v>
      </c>
      <c r="CA123" t="n">
        <v>704</v>
      </c>
      <c r="CB123" t="n">
        <v>11</v>
      </c>
      <c r="CC123" t="n">
        <v>5</v>
      </c>
      <c r="CD123" t="n">
        <v>16</v>
      </c>
      <c r="CE123" t="n">
        <v>86</v>
      </c>
      <c r="CF123" t="n">
        <v>5.38</v>
      </c>
      <c r="CG123" t="n">
        <v>0</v>
      </c>
      <c r="CH123" t="n">
        <v>0</v>
      </c>
      <c r="CI123" t="n">
        <v>0</v>
      </c>
      <c r="CJ123" t="n">
        <v>0</v>
      </c>
      <c r="CK123" t="n">
        <v>0</v>
      </c>
      <c r="CL123" t="n">
        <v>3</v>
      </c>
      <c r="CM123" t="n">
        <v>0</v>
      </c>
      <c r="CN123" t="n">
        <v>48</v>
      </c>
      <c r="CO123" t="n">
        <v>0</v>
      </c>
      <c r="CP123" t="n">
        <v>2</v>
      </c>
      <c r="CQ123" t="n">
        <v>0</v>
      </c>
      <c r="CR123" t="n">
        <v>0</v>
      </c>
      <c r="CS123" t="n">
        <v>0</v>
      </c>
      <c r="CT123" t="n">
        <v>53</v>
      </c>
      <c r="CU123" t="n">
        <v>0</v>
      </c>
      <c r="CV123" t="n">
        <v>0</v>
      </c>
      <c r="CW123" t="n">
        <v>0</v>
      </c>
      <c r="CX123" t="n">
        <v>0</v>
      </c>
      <c r="CY123" t="n">
        <v>5</v>
      </c>
      <c r="CZ123" t="n">
        <v>0</v>
      </c>
      <c r="DA123" t="n">
        <v>0</v>
      </c>
      <c r="DB123" t="n">
        <v>0</v>
      </c>
      <c r="DC123" t="n">
        <v>5</v>
      </c>
      <c r="DD123" t="n">
        <v>0</v>
      </c>
      <c r="DE123" t="n">
        <v>0</v>
      </c>
      <c r="DF123" t="n">
        <v>86</v>
      </c>
      <c r="DG123" t="n">
        <v>16</v>
      </c>
      <c r="DH123" t="n">
        <v>0</v>
      </c>
      <c r="DI123" t="n">
        <v>0</v>
      </c>
      <c r="DJ123" t="n">
        <v>0</v>
      </c>
      <c r="DK123" t="n">
        <v>0</v>
      </c>
      <c r="DL123" t="n">
        <v>0</v>
      </c>
      <c r="DM123" t="n">
        <v>0</v>
      </c>
      <c r="DN123" t="n">
        <v>0</v>
      </c>
      <c r="DO123" t="n">
        <v>0</v>
      </c>
      <c r="DP123" t="n">
        <v>0</v>
      </c>
      <c r="DQ123" t="n">
        <v>0</v>
      </c>
      <c r="DR123" t="n">
        <v>0</v>
      </c>
      <c r="DS123" t="n">
        <v>102</v>
      </c>
      <c r="DT123" t="n">
        <v>160</v>
      </c>
      <c r="DU123" t="n">
        <v>40</v>
      </c>
      <c r="DV123" t="n">
        <v>0</v>
      </c>
      <c r="DW123" t="n">
        <v>0</v>
      </c>
      <c r="DX123" t="n">
        <v>0</v>
      </c>
      <c r="DY123" t="n">
        <v>207</v>
      </c>
      <c r="DZ123" t="n">
        <v>146</v>
      </c>
      <c r="EA123" t="n">
        <v>440</v>
      </c>
      <c r="EB123" t="n">
        <v>390</v>
      </c>
      <c r="EC123" t="n">
        <v>37</v>
      </c>
      <c r="ED123" t="n">
        <v>293</v>
      </c>
      <c r="EE123" t="n">
        <v>927</v>
      </c>
      <c r="EF123" t="n">
        <v>0</v>
      </c>
      <c r="EG123" t="n">
        <v>0.28</v>
      </c>
      <c r="EH123" t="n">
        <v>0.9</v>
      </c>
      <c r="EI123" t="n">
        <v>0.9</v>
      </c>
      <c r="EJ123" t="n">
        <v>0.2</v>
      </c>
      <c r="EK123" t="n">
        <v>1.5</v>
      </c>
    </row>
    <row r="124">
      <c r="A124">
        <f>[1]ingredient!B123</f>
        <v/>
      </c>
      <c r="B124" t="inlineStr">
        <is>
          <t>https://www.naehrwertrechner.de/naehrwerte/G486100/Lauchzwiebel+roh/?menge=100</t>
        </is>
      </c>
      <c r="C124" s="7">
        <f>_xlfn.XLOOKUP(A124,[1]ingredient!$B$2:$B$521,[1]ingredient!$A$2:$A$521)</f>
        <v/>
      </c>
      <c r="D124" t="n">
        <v>42</v>
      </c>
      <c r="E124" t="n">
        <v>0.3</v>
      </c>
      <c r="F124" t="n">
        <v>1</v>
      </c>
      <c r="G124" t="n">
        <v>9</v>
      </c>
      <c r="H124" t="n">
        <v>3</v>
      </c>
      <c r="I124" t="n">
        <v>7</v>
      </c>
      <c r="J124" t="n">
        <v>0.05</v>
      </c>
      <c r="K124" t="n">
        <v>87</v>
      </c>
      <c r="L124" t="n">
        <v>200</v>
      </c>
      <c r="M124" t="n">
        <v>100</v>
      </c>
      <c r="N124" t="n">
        <v>0</v>
      </c>
      <c r="O124" t="n">
        <v>1200</v>
      </c>
      <c r="P124" t="n">
        <v>130</v>
      </c>
      <c r="Q124" t="n">
        <v>60</v>
      </c>
      <c r="R124" t="n">
        <v>700</v>
      </c>
      <c r="S124" t="n">
        <v>1017</v>
      </c>
      <c r="T124" t="n">
        <v>110</v>
      </c>
      <c r="U124" t="n">
        <v>200</v>
      </c>
      <c r="V124" t="n">
        <v>1</v>
      </c>
      <c r="W124" t="n">
        <v>17</v>
      </c>
      <c r="X124" t="n">
        <v>0</v>
      </c>
      <c r="Y124" t="n">
        <v>25000</v>
      </c>
      <c r="Z124" t="n">
        <v>0</v>
      </c>
      <c r="AA124" t="n">
        <v>250</v>
      </c>
      <c r="AB124" t="n">
        <v>0</v>
      </c>
      <c r="AC124" t="n">
        <v>13</v>
      </c>
      <c r="AD124" t="n">
        <v>230</v>
      </c>
      <c r="AE124" t="n">
        <v>140</v>
      </c>
      <c r="AF124" t="n">
        <v>11</v>
      </c>
      <c r="AG124" t="n">
        <v>24</v>
      </c>
      <c r="AH124" t="n">
        <v>50</v>
      </c>
      <c r="AI124" t="n">
        <v>36</v>
      </c>
      <c r="AJ124" t="n">
        <v>1200</v>
      </c>
      <c r="AK124" t="n">
        <v>1000</v>
      </c>
      <c r="AL124" t="n">
        <v>80</v>
      </c>
      <c r="AM124" t="n">
        <v>230</v>
      </c>
      <c r="AN124" t="n">
        <v>40</v>
      </c>
      <c r="AO124" t="n">
        <v>2</v>
      </c>
      <c r="AP124" t="n">
        <v>0</v>
      </c>
      <c r="AQ124" t="n">
        <v>0</v>
      </c>
      <c r="AR124" t="n">
        <v>0</v>
      </c>
      <c r="AS124" t="n">
        <v>0</v>
      </c>
      <c r="AT124" t="n">
        <v>2975</v>
      </c>
      <c r="AU124" t="n">
        <v>1870</v>
      </c>
      <c r="AV124" t="n">
        <v>0</v>
      </c>
      <c r="AW124" t="n">
        <v>4845</v>
      </c>
      <c r="AX124" t="n">
        <v>1700</v>
      </c>
      <c r="AY124" t="n">
        <v>0</v>
      </c>
      <c r="AZ124" t="n">
        <v>0</v>
      </c>
      <c r="BA124" t="n">
        <v>1700</v>
      </c>
      <c r="BB124" t="n">
        <v>1955</v>
      </c>
      <c r="BC124" t="n">
        <v>0</v>
      </c>
      <c r="BD124" t="n">
        <v>0</v>
      </c>
      <c r="BE124" t="n">
        <v>0</v>
      </c>
      <c r="BF124" t="n">
        <v>0</v>
      </c>
      <c r="BG124">
        <f>IF($F124=0,"0",MIN(
BH124/(30*$F124),
BI124/(61*$F124),
BJ124/(48*$F124),
(BK124+BL124)/(23*$F124),
(BM124+BN124)/(41*$F124),
BO124/(25*$F124),
BP124/(6.6*$F124),
BQ124/(40*$F124),
BS124/(16*$F124)
)*100)</f>
        <v/>
      </c>
      <c r="BH124" t="n">
        <v>23</v>
      </c>
      <c r="BI124" t="n">
        <v>34</v>
      </c>
      <c r="BJ124" t="n">
        <v>57</v>
      </c>
      <c r="BK124" t="n">
        <v>13</v>
      </c>
      <c r="BL124" t="n">
        <v>21</v>
      </c>
      <c r="BM124" t="n">
        <v>34</v>
      </c>
      <c r="BN124" t="n">
        <v>39</v>
      </c>
      <c r="BO124" t="n">
        <v>20</v>
      </c>
      <c r="BP124" t="n">
        <v>19</v>
      </c>
      <c r="BQ124" t="n">
        <v>26</v>
      </c>
      <c r="BR124" t="n">
        <v>167</v>
      </c>
      <c r="BS124" t="n">
        <v>14</v>
      </c>
      <c r="BT124" t="n">
        <v>467</v>
      </c>
      <c r="BU124" t="n">
        <v>34</v>
      </c>
      <c r="BV124" t="n">
        <v>70</v>
      </c>
      <c r="BW124" t="n">
        <v>200</v>
      </c>
      <c r="BX124" t="n">
        <v>53</v>
      </c>
      <c r="BY124" t="n">
        <v>40</v>
      </c>
      <c r="BZ124" t="n">
        <v>36</v>
      </c>
      <c r="CA124" t="n">
        <v>433</v>
      </c>
      <c r="CB124" t="n">
        <v>15</v>
      </c>
      <c r="CC124" t="n">
        <v>6</v>
      </c>
      <c r="CD124" t="n">
        <v>11</v>
      </c>
      <c r="CE124" t="n">
        <v>120</v>
      </c>
      <c r="CF124" t="n">
        <v>10.91</v>
      </c>
      <c r="CG124" t="n">
        <v>0</v>
      </c>
      <c r="CH124" t="n">
        <v>0</v>
      </c>
      <c r="CI124" t="n">
        <v>0</v>
      </c>
      <c r="CJ124" t="n">
        <v>0</v>
      </c>
      <c r="CK124" t="n">
        <v>0</v>
      </c>
      <c r="CL124" t="n">
        <v>1</v>
      </c>
      <c r="CM124" t="n">
        <v>0</v>
      </c>
      <c r="CN124" t="n">
        <v>65</v>
      </c>
      <c r="CO124" t="n">
        <v>0</v>
      </c>
      <c r="CP124" t="n">
        <v>5</v>
      </c>
      <c r="CQ124" t="n">
        <v>0</v>
      </c>
      <c r="CR124" t="n">
        <v>0</v>
      </c>
      <c r="CS124" t="n">
        <v>0</v>
      </c>
      <c r="CT124" t="n">
        <v>71</v>
      </c>
      <c r="CU124" t="n">
        <v>0</v>
      </c>
      <c r="CV124" t="n">
        <v>0</v>
      </c>
      <c r="CW124" t="n">
        <v>0</v>
      </c>
      <c r="CX124" t="n">
        <v>0</v>
      </c>
      <c r="CY124" t="n">
        <v>38</v>
      </c>
      <c r="CZ124" t="n">
        <v>0</v>
      </c>
      <c r="DA124" t="n">
        <v>0</v>
      </c>
      <c r="DB124" t="n">
        <v>0</v>
      </c>
      <c r="DC124" t="n">
        <v>38</v>
      </c>
      <c r="DD124" t="n">
        <v>0</v>
      </c>
      <c r="DE124" t="n">
        <v>0</v>
      </c>
      <c r="DF124" t="n">
        <v>120</v>
      </c>
      <c r="DG124" t="n">
        <v>11</v>
      </c>
      <c r="DH124" t="n">
        <v>0</v>
      </c>
      <c r="DI124" t="n">
        <v>0</v>
      </c>
      <c r="DJ124" t="n">
        <v>0</v>
      </c>
      <c r="DK124" t="n">
        <v>0</v>
      </c>
      <c r="DL124" t="n">
        <v>0</v>
      </c>
      <c r="DM124" t="n">
        <v>0</v>
      </c>
      <c r="DN124" t="n">
        <v>0</v>
      </c>
      <c r="DO124" t="n">
        <v>0</v>
      </c>
      <c r="DP124" t="n">
        <v>0</v>
      </c>
      <c r="DQ124" t="n">
        <v>0</v>
      </c>
      <c r="DR124" t="n">
        <v>0</v>
      </c>
      <c r="DS124" t="n">
        <v>131</v>
      </c>
      <c r="DT124" t="n">
        <v>240</v>
      </c>
      <c r="DU124" t="n">
        <v>60</v>
      </c>
      <c r="DV124" t="n">
        <v>0</v>
      </c>
      <c r="DW124" t="n">
        <v>0</v>
      </c>
      <c r="DX124" t="n">
        <v>0</v>
      </c>
      <c r="DY124" t="n">
        <v>140</v>
      </c>
      <c r="DZ124" t="n">
        <v>1008</v>
      </c>
      <c r="EA124" t="n">
        <v>784</v>
      </c>
      <c r="EB124" t="n">
        <v>812</v>
      </c>
      <c r="EC124" t="n">
        <v>56</v>
      </c>
      <c r="ED124" t="n">
        <v>1372</v>
      </c>
      <c r="EE124" t="n">
        <v>1428</v>
      </c>
      <c r="EF124" t="n">
        <v>0</v>
      </c>
      <c r="EG124" t="n">
        <v>0.2</v>
      </c>
      <c r="EH124" t="n">
        <v>0.7</v>
      </c>
      <c r="EI124" t="n">
        <v>1.4</v>
      </c>
      <c r="EJ124" t="n">
        <v>0.3</v>
      </c>
      <c r="EK124" t="n">
        <v>0.9</v>
      </c>
    </row>
    <row r="125">
      <c r="A125">
        <f>[1]ingredient!B124</f>
        <v/>
      </c>
      <c r="B125" t="inlineStr">
        <is>
          <t>https://www.naehrwertrechner.de/naehrwerte/R976111/Garam+Masala/?menge=100</t>
        </is>
      </c>
      <c r="C125" s="7">
        <f>_xlfn.XLOOKUP(A125,[1]ingredient!$B$2:$B$521,[1]ingredient!$A$2:$A$521)</f>
        <v/>
      </c>
      <c r="D125" t="n">
        <v>380</v>
      </c>
      <c r="E125" t="n">
        <v>16</v>
      </c>
      <c r="F125" t="n">
        <v>11</v>
      </c>
      <c r="G125" t="n">
        <v>40</v>
      </c>
      <c r="H125" t="n">
        <v>18</v>
      </c>
      <c r="I125" t="n">
        <v>32</v>
      </c>
      <c r="J125" t="n">
        <v>0.24</v>
      </c>
      <c r="K125" t="n">
        <v>11</v>
      </c>
      <c r="L125" t="n">
        <v>100</v>
      </c>
      <c r="M125" t="n">
        <v>50</v>
      </c>
      <c r="N125" t="n">
        <v>0</v>
      </c>
      <c r="O125" t="n">
        <v>600</v>
      </c>
      <c r="P125" t="n">
        <v>200</v>
      </c>
      <c r="Q125" t="n">
        <v>200</v>
      </c>
      <c r="R125" t="n">
        <v>3000</v>
      </c>
      <c r="S125" t="n">
        <v>5300</v>
      </c>
      <c r="T125" t="n">
        <v>600</v>
      </c>
      <c r="U125" t="n">
        <v>400</v>
      </c>
      <c r="V125" t="n">
        <v>5</v>
      </c>
      <c r="W125" t="n">
        <v>0</v>
      </c>
      <c r="X125" t="n">
        <v>0</v>
      </c>
      <c r="Y125" t="n">
        <v>0</v>
      </c>
      <c r="Z125" t="n">
        <v>0</v>
      </c>
      <c r="AA125" t="n">
        <v>0</v>
      </c>
      <c r="AB125" t="n">
        <v>0</v>
      </c>
      <c r="AC125" t="n">
        <v>40</v>
      </c>
      <c r="AD125" t="n">
        <v>2335</v>
      </c>
      <c r="AE125" t="n">
        <v>1149</v>
      </c>
      <c r="AF125" t="n">
        <v>40</v>
      </c>
      <c r="AG125" t="n">
        <v>493</v>
      </c>
      <c r="AH125" t="n">
        <v>278</v>
      </c>
      <c r="AI125" t="n">
        <v>198</v>
      </c>
      <c r="AJ125" t="n">
        <v>45900</v>
      </c>
      <c r="AK125" t="n">
        <v>8100</v>
      </c>
      <c r="AL125" t="n">
        <v>1700</v>
      </c>
      <c r="AM125" t="n">
        <v>15200</v>
      </c>
      <c r="AN125" t="n">
        <v>500</v>
      </c>
      <c r="AO125" t="n">
        <v>12</v>
      </c>
      <c r="AP125" t="n">
        <v>0</v>
      </c>
      <c r="AQ125" t="n">
        <v>0</v>
      </c>
      <c r="AR125" t="n">
        <v>0</v>
      </c>
      <c r="AS125" t="n">
        <v>0</v>
      </c>
      <c r="AT125" t="n">
        <v>13410</v>
      </c>
      <c r="AU125" t="n">
        <v>12374</v>
      </c>
      <c r="AV125" t="n">
        <v>0</v>
      </c>
      <c r="AW125" t="n">
        <v>25784</v>
      </c>
      <c r="AX125" t="n">
        <v>6400</v>
      </c>
      <c r="AY125" t="n">
        <v>0</v>
      </c>
      <c r="AZ125" t="n">
        <v>0</v>
      </c>
      <c r="BA125" t="n">
        <v>6416</v>
      </c>
      <c r="BB125" t="n">
        <v>7000</v>
      </c>
      <c r="BC125" t="n">
        <v>0</v>
      </c>
      <c r="BD125" t="n">
        <v>0</v>
      </c>
      <c r="BE125" t="n">
        <v>500</v>
      </c>
      <c r="BF125" t="n">
        <v>0</v>
      </c>
      <c r="BG125">
        <f>IF($F125=0,"0",MIN(
BH125/(30*$F125),
BI125/(61*$F125),
BJ125/(48*$F125),
(BK125+BL125)/(23*$F125),
(BM125+BN125)/(41*$F125),
BO125/(25*$F125),
BP125/(6.6*$F125),
BQ125/(40*$F125),
BS125/(16*$F125)
)*100)</f>
        <v/>
      </c>
      <c r="BH125" t="n">
        <v>498</v>
      </c>
      <c r="BI125" t="n">
        <v>782</v>
      </c>
      <c r="BJ125" t="n">
        <v>583</v>
      </c>
      <c r="BK125" t="n">
        <v>176</v>
      </c>
      <c r="BL125" t="n">
        <v>211</v>
      </c>
      <c r="BM125" t="n">
        <v>458</v>
      </c>
      <c r="BN125" t="n">
        <v>298</v>
      </c>
      <c r="BO125" t="n">
        <v>403</v>
      </c>
      <c r="BP125" t="n">
        <v>138</v>
      </c>
      <c r="BQ125" t="n">
        <v>635</v>
      </c>
      <c r="BR125" t="n">
        <v>789</v>
      </c>
      <c r="BS125" t="n">
        <v>266</v>
      </c>
      <c r="BT125" t="n">
        <v>5238</v>
      </c>
      <c r="BU125" t="n">
        <v>574</v>
      </c>
      <c r="BV125" t="n">
        <v>1670</v>
      </c>
      <c r="BW125" t="n">
        <v>2112</v>
      </c>
      <c r="BX125" t="n">
        <v>525</v>
      </c>
      <c r="BY125" t="n">
        <v>501</v>
      </c>
      <c r="BZ125" t="n">
        <v>481</v>
      </c>
      <c r="CA125" t="n">
        <v>5862</v>
      </c>
      <c r="CB125" t="n">
        <v>76</v>
      </c>
      <c r="CC125" t="n">
        <v>25</v>
      </c>
      <c r="CD125" t="n">
        <v>300</v>
      </c>
      <c r="CE125" t="n">
        <v>2400</v>
      </c>
      <c r="CF125" t="n">
        <v>8</v>
      </c>
      <c r="CG125" t="n">
        <v>0</v>
      </c>
      <c r="CH125" t="n">
        <v>0</v>
      </c>
      <c r="CI125" t="n">
        <v>7</v>
      </c>
      <c r="CJ125" t="n">
        <v>14</v>
      </c>
      <c r="CK125" t="n">
        <v>131</v>
      </c>
      <c r="CL125" t="n">
        <v>1806</v>
      </c>
      <c r="CM125" t="n">
        <v>0</v>
      </c>
      <c r="CN125" t="n">
        <v>981</v>
      </c>
      <c r="CO125" t="n">
        <v>0</v>
      </c>
      <c r="CP125" t="n">
        <v>262</v>
      </c>
      <c r="CQ125" t="n">
        <v>0</v>
      </c>
      <c r="CR125" t="n">
        <v>0</v>
      </c>
      <c r="CS125" t="n">
        <v>0</v>
      </c>
      <c r="CT125" t="n">
        <v>3200</v>
      </c>
      <c r="CU125" t="n">
        <v>0</v>
      </c>
      <c r="CV125" t="n">
        <v>0</v>
      </c>
      <c r="CW125" t="n">
        <v>370</v>
      </c>
      <c r="CX125" t="n">
        <v>0</v>
      </c>
      <c r="CY125" t="n">
        <v>5568</v>
      </c>
      <c r="CZ125" t="n">
        <v>13</v>
      </c>
      <c r="DA125" t="n">
        <v>0</v>
      </c>
      <c r="DB125" t="n">
        <v>0</v>
      </c>
      <c r="DC125" t="n">
        <v>6000</v>
      </c>
      <c r="DD125" t="n">
        <v>0</v>
      </c>
      <c r="DE125" t="n">
        <v>0</v>
      </c>
      <c r="DF125" t="n">
        <v>2400</v>
      </c>
      <c r="DG125" t="n">
        <v>300</v>
      </c>
      <c r="DH125" t="n">
        <v>0</v>
      </c>
      <c r="DI125" t="n">
        <v>0</v>
      </c>
      <c r="DJ125" t="n">
        <v>0</v>
      </c>
      <c r="DK125" t="n">
        <v>0</v>
      </c>
      <c r="DL125" t="n">
        <v>0</v>
      </c>
      <c r="DM125" t="n">
        <v>0</v>
      </c>
      <c r="DN125" t="n">
        <v>0</v>
      </c>
      <c r="DO125" t="n">
        <v>0</v>
      </c>
      <c r="DP125" t="n">
        <v>0</v>
      </c>
      <c r="DQ125" t="n">
        <v>0</v>
      </c>
      <c r="DR125" t="n">
        <v>0</v>
      </c>
      <c r="DS125" t="n">
        <v>2700</v>
      </c>
      <c r="DT125" t="n">
        <v>11810</v>
      </c>
      <c r="DU125" t="n">
        <v>3769</v>
      </c>
      <c r="DV125" t="n">
        <v>0</v>
      </c>
      <c r="DW125" t="n">
        <v>0</v>
      </c>
      <c r="DX125" t="n">
        <v>21</v>
      </c>
      <c r="DY125" t="n">
        <v>3411</v>
      </c>
      <c r="DZ125" t="n">
        <v>4024</v>
      </c>
      <c r="EA125" t="n">
        <v>3968</v>
      </c>
      <c r="EB125" t="n">
        <v>4908</v>
      </c>
      <c r="EC125" t="n">
        <v>2090</v>
      </c>
      <c r="ED125" t="n">
        <v>5655</v>
      </c>
      <c r="EE125" t="n">
        <v>12745</v>
      </c>
      <c r="EF125" t="n">
        <v>0</v>
      </c>
      <c r="EG125" t="n">
        <v>0</v>
      </c>
      <c r="EH125" t="n">
        <v>4.6</v>
      </c>
      <c r="EI125" t="n">
        <v>12.7</v>
      </c>
      <c r="EJ125" t="n">
        <v>15.6</v>
      </c>
      <c r="EK125" t="n">
        <v>11.3</v>
      </c>
    </row>
    <row r="126">
      <c r="A126">
        <f>[1]ingredient!B125</f>
        <v/>
      </c>
      <c r="B126" t="inlineStr">
        <is>
          <t>https://www.naehrwertrechner.de/naehrwerte/G613021-3/Gelbe+Bete+frisch/?menge=100</t>
        </is>
      </c>
      <c r="C126" s="7">
        <f>_xlfn.XLOOKUP(A126,[1]ingredient!$B$2:$B$521,[1]ingredient!$A$2:$A$521)</f>
        <v/>
      </c>
      <c r="D126" t="n">
        <v>42</v>
      </c>
      <c r="E126" t="n">
        <v>0.1</v>
      </c>
      <c r="F126" t="n">
        <v>2</v>
      </c>
      <c r="G126" t="n">
        <v>8</v>
      </c>
      <c r="H126" t="n">
        <v>3</v>
      </c>
      <c r="I126" t="n">
        <v>8</v>
      </c>
      <c r="J126" t="n">
        <v>0.14</v>
      </c>
      <c r="K126" t="n">
        <v>86</v>
      </c>
      <c r="L126" t="n">
        <v>2</v>
      </c>
      <c r="M126" t="n">
        <v>1</v>
      </c>
      <c r="N126" t="n">
        <v>0</v>
      </c>
      <c r="O126" t="n">
        <v>11</v>
      </c>
      <c r="P126" t="n">
        <v>22</v>
      </c>
      <c r="Q126" t="n">
        <v>42</v>
      </c>
      <c r="R126" t="n">
        <v>230</v>
      </c>
      <c r="S126" t="n">
        <v>430</v>
      </c>
      <c r="T126" t="n">
        <v>130</v>
      </c>
      <c r="U126" t="n">
        <v>50</v>
      </c>
      <c r="V126" t="n">
        <v>0.1</v>
      </c>
      <c r="W126" t="n">
        <v>93</v>
      </c>
      <c r="X126" t="n">
        <v>0</v>
      </c>
      <c r="Y126" t="n">
        <v>10000</v>
      </c>
      <c r="Z126" t="n">
        <v>0</v>
      </c>
      <c r="AA126" t="n">
        <v>47</v>
      </c>
      <c r="AB126" t="n">
        <v>5</v>
      </c>
      <c r="AC126" t="n">
        <v>58</v>
      </c>
      <c r="AD126" t="n">
        <v>336</v>
      </c>
      <c r="AE126" t="n">
        <v>29</v>
      </c>
      <c r="AF126" t="n">
        <v>25</v>
      </c>
      <c r="AG126" t="n">
        <v>45</v>
      </c>
      <c r="AH126" t="n">
        <v>16</v>
      </c>
      <c r="AI126" t="n">
        <v>82</v>
      </c>
      <c r="AJ126" t="n">
        <v>930</v>
      </c>
      <c r="AK126" t="n">
        <v>344</v>
      </c>
      <c r="AL126" t="n">
        <v>80</v>
      </c>
      <c r="AM126" t="n">
        <v>155</v>
      </c>
      <c r="AN126" t="n">
        <v>20</v>
      </c>
      <c r="AO126" t="n">
        <v>0.4</v>
      </c>
      <c r="AP126" t="n">
        <v>0</v>
      </c>
      <c r="AQ126" t="n">
        <v>0</v>
      </c>
      <c r="AR126" t="n">
        <v>0</v>
      </c>
      <c r="AS126" t="n">
        <v>0</v>
      </c>
      <c r="AT126" t="n">
        <v>335</v>
      </c>
      <c r="AU126" t="n">
        <v>335</v>
      </c>
      <c r="AV126" t="n">
        <v>0</v>
      </c>
      <c r="AW126" t="n">
        <v>670</v>
      </c>
      <c r="AX126" t="n">
        <v>7710</v>
      </c>
      <c r="AY126" t="n">
        <v>0</v>
      </c>
      <c r="AZ126" t="n">
        <v>0</v>
      </c>
      <c r="BA126" t="n">
        <v>7710</v>
      </c>
      <c r="BB126" t="n">
        <v>0</v>
      </c>
      <c r="BC126" t="n">
        <v>0</v>
      </c>
      <c r="BD126" t="n">
        <v>0</v>
      </c>
      <c r="BE126" t="n">
        <v>0</v>
      </c>
      <c r="BF126" t="n">
        <v>0</v>
      </c>
      <c r="BG126">
        <f>IF($F126=0,"0",MIN(
BH126/(30*$F126),
BI126/(61*$F126),
BJ126/(48*$F126),
(BK126+BL126)/(23*$F126),
(BM126+BN126)/(41*$F126),
BO126/(25*$F126),
BP126/(6.6*$F126),
BQ126/(40*$F126),
BS126/(16*$F126)
)*100)</f>
        <v/>
      </c>
      <c r="BH126" t="n">
        <v>38</v>
      </c>
      <c r="BI126" t="n">
        <v>61</v>
      </c>
      <c r="BJ126" t="n">
        <v>80</v>
      </c>
      <c r="BK126" t="n">
        <v>28</v>
      </c>
      <c r="BL126" t="n">
        <v>17</v>
      </c>
      <c r="BM126" t="n">
        <v>46</v>
      </c>
      <c r="BN126" t="n">
        <v>54</v>
      </c>
      <c r="BO126" t="n">
        <v>44</v>
      </c>
      <c r="BP126" t="n">
        <v>12</v>
      </c>
      <c r="BQ126" t="n">
        <v>38</v>
      </c>
      <c r="BR126" t="n">
        <v>31</v>
      </c>
      <c r="BS126" t="n">
        <v>18</v>
      </c>
      <c r="BT126" t="n">
        <v>467</v>
      </c>
      <c r="BU126" t="n">
        <v>35</v>
      </c>
      <c r="BV126" t="n">
        <v>110</v>
      </c>
      <c r="BW126" t="n">
        <v>398</v>
      </c>
      <c r="BX126" t="n">
        <v>31</v>
      </c>
      <c r="BY126" t="n">
        <v>38</v>
      </c>
      <c r="BZ126" t="n">
        <v>38</v>
      </c>
      <c r="CA126" t="n">
        <v>650</v>
      </c>
      <c r="CB126" t="n">
        <v>20</v>
      </c>
      <c r="CC126" t="n">
        <v>8</v>
      </c>
      <c r="CD126" t="n">
        <v>8</v>
      </c>
      <c r="CE126" t="n">
        <v>42</v>
      </c>
      <c r="CF126" t="n">
        <v>5.25</v>
      </c>
      <c r="CG126" t="n">
        <v>0</v>
      </c>
      <c r="CH126" t="n">
        <v>0</v>
      </c>
      <c r="CI126" t="n">
        <v>0</v>
      </c>
      <c r="CJ126" t="n">
        <v>0</v>
      </c>
      <c r="CK126" t="n">
        <v>0</v>
      </c>
      <c r="CL126" t="n">
        <v>0</v>
      </c>
      <c r="CM126" t="n">
        <v>0</v>
      </c>
      <c r="CN126" t="n">
        <v>19</v>
      </c>
      <c r="CO126" t="n">
        <v>0</v>
      </c>
      <c r="CP126" t="n">
        <v>1</v>
      </c>
      <c r="CQ126" t="n">
        <v>0</v>
      </c>
      <c r="CR126" t="n">
        <v>0</v>
      </c>
      <c r="CS126" t="n">
        <v>0</v>
      </c>
      <c r="CT126" t="n">
        <v>20</v>
      </c>
      <c r="CU126" t="n">
        <v>0</v>
      </c>
      <c r="CV126" t="n">
        <v>0</v>
      </c>
      <c r="CW126" t="n">
        <v>0</v>
      </c>
      <c r="CX126" t="n">
        <v>0</v>
      </c>
      <c r="CY126" t="n">
        <v>10</v>
      </c>
      <c r="CZ126" t="n">
        <v>0</v>
      </c>
      <c r="DA126" t="n">
        <v>0</v>
      </c>
      <c r="DB126" t="n">
        <v>0</v>
      </c>
      <c r="DC126" t="n">
        <v>10</v>
      </c>
      <c r="DD126" t="n">
        <v>0</v>
      </c>
      <c r="DE126" t="n">
        <v>0</v>
      </c>
      <c r="DF126" t="n">
        <v>42</v>
      </c>
      <c r="DG126" t="n">
        <v>8</v>
      </c>
      <c r="DH126" t="n">
        <v>0</v>
      </c>
      <c r="DI126" t="n">
        <v>0</v>
      </c>
      <c r="DJ126" t="n">
        <v>0</v>
      </c>
      <c r="DK126" t="n">
        <v>0</v>
      </c>
      <c r="DL126" t="n">
        <v>0</v>
      </c>
      <c r="DM126" t="n">
        <v>0</v>
      </c>
      <c r="DN126" t="n">
        <v>0</v>
      </c>
      <c r="DO126" t="n">
        <v>0</v>
      </c>
      <c r="DP126" t="n">
        <v>0</v>
      </c>
      <c r="DQ126" t="n">
        <v>0</v>
      </c>
      <c r="DR126" t="n">
        <v>0</v>
      </c>
      <c r="DS126" t="n">
        <v>50</v>
      </c>
      <c r="DT126" t="n">
        <v>80</v>
      </c>
      <c r="DU126" t="n">
        <v>20</v>
      </c>
      <c r="DV126" t="n">
        <v>0</v>
      </c>
      <c r="DW126" t="n">
        <v>0</v>
      </c>
      <c r="DX126" t="n">
        <v>0</v>
      </c>
      <c r="DY126" t="n">
        <v>1000</v>
      </c>
      <c r="DZ126" t="n">
        <v>500</v>
      </c>
      <c r="EA126" t="n">
        <v>225</v>
      </c>
      <c r="EB126" t="n">
        <v>750</v>
      </c>
      <c r="EC126" t="n">
        <v>25</v>
      </c>
      <c r="ED126" t="n">
        <v>625</v>
      </c>
      <c r="EE126" t="n">
        <v>1875</v>
      </c>
      <c r="EF126" t="n">
        <v>0</v>
      </c>
      <c r="EG126" t="n">
        <v>0.23</v>
      </c>
      <c r="EH126" t="n">
        <v>1</v>
      </c>
      <c r="EI126" t="n">
        <v>1.9</v>
      </c>
      <c r="EJ126" t="n">
        <v>0.1</v>
      </c>
      <c r="EK126" t="n">
        <v>1.2</v>
      </c>
    </row>
    <row r="127">
      <c r="A127">
        <f>[1]ingredient!B126</f>
        <v/>
      </c>
      <c r="B127" t="inlineStr">
        <is>
          <t>https://www.naehrwertrechner.de/naehrwerte/H662811/Linsennudeln/?menge=100</t>
        </is>
      </c>
      <c r="C127" s="7">
        <f>_xlfn.XLOOKUP(A127,[1]ingredient!$B$2:$B$521,[1]ingredient!$A$2:$A$521)</f>
        <v/>
      </c>
      <c r="D127" t="n">
        <v>348</v>
      </c>
      <c r="E127" t="n">
        <v>2</v>
      </c>
      <c r="F127" t="n">
        <v>23</v>
      </c>
      <c r="G127" t="n">
        <v>56</v>
      </c>
      <c r="H127" t="n">
        <v>6</v>
      </c>
      <c r="I127" t="n">
        <v>2</v>
      </c>
      <c r="J127" t="n">
        <v>0.09</v>
      </c>
      <c r="K127" t="n">
        <v>9</v>
      </c>
      <c r="L127" t="n">
        <v>0</v>
      </c>
      <c r="M127" t="n">
        <v>8</v>
      </c>
      <c r="N127" t="n">
        <v>0</v>
      </c>
      <c r="O127" t="n">
        <v>100</v>
      </c>
      <c r="P127" t="n">
        <v>400</v>
      </c>
      <c r="Q127" t="n">
        <v>300</v>
      </c>
      <c r="R127" t="n">
        <v>2200</v>
      </c>
      <c r="S127" t="n">
        <v>5900</v>
      </c>
      <c r="T127" t="n">
        <v>1600</v>
      </c>
      <c r="U127" t="n">
        <v>600</v>
      </c>
      <c r="V127" t="n">
        <v>9</v>
      </c>
      <c r="W127" t="n">
        <v>132</v>
      </c>
      <c r="X127" t="n">
        <v>0</v>
      </c>
      <c r="Y127" t="n">
        <v>1000</v>
      </c>
      <c r="Z127" t="n">
        <v>0</v>
      </c>
      <c r="AA127" t="n">
        <v>0</v>
      </c>
      <c r="AB127" t="n">
        <v>22</v>
      </c>
      <c r="AC127" t="n">
        <v>4</v>
      </c>
      <c r="AD127" t="n">
        <v>840</v>
      </c>
      <c r="AE127" t="n">
        <v>71</v>
      </c>
      <c r="AF127" t="n">
        <v>129</v>
      </c>
      <c r="AG127" t="n">
        <v>411</v>
      </c>
      <c r="AH127" t="n">
        <v>120</v>
      </c>
      <c r="AI127" t="n">
        <v>84</v>
      </c>
      <c r="AJ127" t="n">
        <v>7500</v>
      </c>
      <c r="AK127" t="n">
        <v>3600</v>
      </c>
      <c r="AL127" t="n">
        <v>700</v>
      </c>
      <c r="AM127" t="n">
        <v>1400</v>
      </c>
      <c r="AN127" t="n">
        <v>0</v>
      </c>
      <c r="AO127" t="n">
        <v>1</v>
      </c>
      <c r="AP127" t="n">
        <v>0</v>
      </c>
      <c r="AQ127" t="n">
        <v>0</v>
      </c>
      <c r="AR127" t="n">
        <v>0</v>
      </c>
      <c r="AS127" t="n">
        <v>0</v>
      </c>
      <c r="AT127" t="n">
        <v>0</v>
      </c>
      <c r="AU127" t="n">
        <v>0</v>
      </c>
      <c r="AV127" t="n">
        <v>0</v>
      </c>
      <c r="AW127" t="n">
        <v>0</v>
      </c>
      <c r="AX127" t="n">
        <v>2200</v>
      </c>
      <c r="AY127" t="n">
        <v>0</v>
      </c>
      <c r="AZ127" t="n">
        <v>0</v>
      </c>
      <c r="BA127" t="n">
        <v>2200</v>
      </c>
      <c r="BB127" t="n">
        <v>2800</v>
      </c>
      <c r="BC127" t="n">
        <v>2380</v>
      </c>
      <c r="BD127" t="n">
        <v>0</v>
      </c>
      <c r="BE127" t="n">
        <v>51000</v>
      </c>
      <c r="BF127" t="n">
        <v>0</v>
      </c>
      <c r="BG127">
        <f>IF($F127=0,"0",MIN(
BH127/(30*$F127),
BI127/(61*$F127),
BJ127/(48*$F127),
(BK127+BL127)/(23*$F127),
(BM127+BN127)/(41*$F127),
BO127/(25*$F127),
BP127/(6.6*$F127),
BQ127/(40*$F127),
BS127/(16*$F127)
)*100)</f>
        <v/>
      </c>
      <c r="BH127" t="n">
        <v>1089</v>
      </c>
      <c r="BI127" t="n">
        <v>1743</v>
      </c>
      <c r="BJ127" t="n">
        <v>1694</v>
      </c>
      <c r="BK127" t="n">
        <v>194</v>
      </c>
      <c r="BL127" t="n">
        <v>218</v>
      </c>
      <c r="BM127" t="n">
        <v>1211</v>
      </c>
      <c r="BN127" t="n">
        <v>774</v>
      </c>
      <c r="BO127" t="n">
        <v>968</v>
      </c>
      <c r="BP127" t="n">
        <v>218</v>
      </c>
      <c r="BQ127" t="n">
        <v>1308</v>
      </c>
      <c r="BR127" t="n">
        <v>1912</v>
      </c>
      <c r="BS127" t="n">
        <v>581</v>
      </c>
      <c r="BT127" t="n">
        <v>11911</v>
      </c>
      <c r="BU127" t="n">
        <v>1041</v>
      </c>
      <c r="BV127" t="n">
        <v>2784</v>
      </c>
      <c r="BW127" t="n">
        <v>3995</v>
      </c>
      <c r="BX127" t="n">
        <v>993</v>
      </c>
      <c r="BY127" t="n">
        <v>1017</v>
      </c>
      <c r="BZ127" t="n">
        <v>1259</v>
      </c>
      <c r="CA127" t="n">
        <v>11089</v>
      </c>
      <c r="CB127" t="n">
        <v>200</v>
      </c>
      <c r="CC127" t="n">
        <v>67</v>
      </c>
      <c r="CD127" t="n">
        <v>100</v>
      </c>
      <c r="CE127" t="n">
        <v>600</v>
      </c>
      <c r="CF127" t="n">
        <v>6</v>
      </c>
      <c r="CG127" t="n">
        <v>0</v>
      </c>
      <c r="CH127" t="n">
        <v>0</v>
      </c>
      <c r="CI127" t="n">
        <v>0</v>
      </c>
      <c r="CJ127" t="n">
        <v>0</v>
      </c>
      <c r="CK127" t="n">
        <v>0</v>
      </c>
      <c r="CL127" t="n">
        <v>0</v>
      </c>
      <c r="CM127" t="n">
        <v>0</v>
      </c>
      <c r="CN127" t="n">
        <v>265</v>
      </c>
      <c r="CO127" t="n">
        <v>0</v>
      </c>
      <c r="CP127" t="n">
        <v>18</v>
      </c>
      <c r="CQ127" t="n">
        <v>18</v>
      </c>
      <c r="CR127" t="n">
        <v>0</v>
      </c>
      <c r="CS127" t="n">
        <v>0</v>
      </c>
      <c r="CT127" t="n">
        <v>300</v>
      </c>
      <c r="CU127" t="n">
        <v>0</v>
      </c>
      <c r="CV127" t="n">
        <v>0</v>
      </c>
      <c r="CW127" t="n">
        <v>0</v>
      </c>
      <c r="CX127" t="n">
        <v>0</v>
      </c>
      <c r="CY127" t="n">
        <v>267</v>
      </c>
      <c r="CZ127" t="n">
        <v>13</v>
      </c>
      <c r="DA127" t="n">
        <v>0</v>
      </c>
      <c r="DB127" t="n">
        <v>0</v>
      </c>
      <c r="DC127" t="n">
        <v>300</v>
      </c>
      <c r="DD127" t="n">
        <v>0</v>
      </c>
      <c r="DE127" t="n">
        <v>0</v>
      </c>
      <c r="DF127" t="n">
        <v>600</v>
      </c>
      <c r="DG127" t="n">
        <v>100</v>
      </c>
      <c r="DH127" t="n">
        <v>0</v>
      </c>
      <c r="DI127" t="n">
        <v>0</v>
      </c>
      <c r="DJ127" t="n">
        <v>0</v>
      </c>
      <c r="DK127" t="n">
        <v>0</v>
      </c>
      <c r="DL127" t="n">
        <v>0</v>
      </c>
      <c r="DM127" t="n">
        <v>0</v>
      </c>
      <c r="DN127" t="n">
        <v>0</v>
      </c>
      <c r="DO127" t="n">
        <v>0</v>
      </c>
      <c r="DP127" t="n">
        <v>0</v>
      </c>
      <c r="DQ127" t="n">
        <v>0</v>
      </c>
      <c r="DR127" t="n">
        <v>0</v>
      </c>
      <c r="DS127" t="n">
        <v>800</v>
      </c>
      <c r="DT127" t="n">
        <v>1331</v>
      </c>
      <c r="DU127" t="n">
        <v>369</v>
      </c>
      <c r="DV127" t="n">
        <v>0</v>
      </c>
      <c r="DW127" t="n">
        <v>0</v>
      </c>
      <c r="DX127" t="n">
        <v>0</v>
      </c>
      <c r="DY127" t="n">
        <v>767</v>
      </c>
      <c r="DZ127" t="n">
        <v>2065</v>
      </c>
      <c r="EA127" t="n">
        <v>767</v>
      </c>
      <c r="EB127" t="n">
        <v>2183</v>
      </c>
      <c r="EC127" t="n">
        <v>118</v>
      </c>
      <c r="ED127" t="n">
        <v>2360</v>
      </c>
      <c r="EE127" t="n">
        <v>3540</v>
      </c>
      <c r="EF127" t="n">
        <v>0</v>
      </c>
      <c r="EG127" t="n">
        <v>0</v>
      </c>
      <c r="EH127" t="n">
        <v>1.7</v>
      </c>
      <c r="EI127" t="n">
        <v>3.5</v>
      </c>
      <c r="EJ127" t="n">
        <v>1.7</v>
      </c>
      <c r="EK127" t="n">
        <v>23.6</v>
      </c>
    </row>
    <row r="128">
      <c r="A128">
        <f>[1]ingredient!B127</f>
        <v/>
      </c>
      <c r="B128" t="inlineStr">
        <is>
          <t>https://www.naehrwertrechner.de/naehrwerte/C141001/Gerste+Vollkorn/?menge=100</t>
        </is>
      </c>
      <c r="C128" s="7">
        <f>_xlfn.XLOOKUP(A128,[1]ingredient!$B$2:$B$521,[1]ingredient!$A$2:$A$521)</f>
        <v/>
      </c>
      <c r="D128" t="n">
        <v>320</v>
      </c>
      <c r="E128" t="n">
        <v>2</v>
      </c>
      <c r="F128" t="n">
        <v>10</v>
      </c>
      <c r="G128" t="n">
        <v>64</v>
      </c>
      <c r="H128" t="n">
        <v>10</v>
      </c>
      <c r="I128" t="n">
        <v>2</v>
      </c>
      <c r="J128" t="n">
        <v>0.04</v>
      </c>
      <c r="K128" t="n">
        <v>11</v>
      </c>
      <c r="L128" t="n">
        <v>0</v>
      </c>
      <c r="M128" t="n">
        <v>0.08</v>
      </c>
      <c r="N128" t="n">
        <v>0</v>
      </c>
      <c r="O128" t="n">
        <v>1</v>
      </c>
      <c r="P128" t="n">
        <v>430</v>
      </c>
      <c r="Q128" t="n">
        <v>180</v>
      </c>
      <c r="R128" t="n">
        <v>4800</v>
      </c>
      <c r="S128" t="n">
        <v>7100</v>
      </c>
      <c r="T128" t="n">
        <v>680</v>
      </c>
      <c r="U128" t="n">
        <v>560</v>
      </c>
      <c r="V128" t="n">
        <v>10</v>
      </c>
      <c r="W128" t="n">
        <v>65</v>
      </c>
      <c r="X128" t="n">
        <v>0</v>
      </c>
      <c r="Y128" t="n">
        <v>0</v>
      </c>
      <c r="Z128" t="n">
        <v>0</v>
      </c>
      <c r="AA128" t="n">
        <v>674</v>
      </c>
      <c r="AB128" t="n">
        <v>1</v>
      </c>
      <c r="AC128" t="n">
        <v>18</v>
      </c>
      <c r="AD128" t="n">
        <v>444</v>
      </c>
      <c r="AE128" t="n">
        <v>38</v>
      </c>
      <c r="AF128" t="n">
        <v>114</v>
      </c>
      <c r="AG128" t="n">
        <v>342</v>
      </c>
      <c r="AH128" t="n">
        <v>120</v>
      </c>
      <c r="AI128" t="n">
        <v>23</v>
      </c>
      <c r="AJ128" t="n">
        <v>2800</v>
      </c>
      <c r="AK128" t="n">
        <v>2530</v>
      </c>
      <c r="AL128" t="n">
        <v>373</v>
      </c>
      <c r="AM128" t="n">
        <v>1650</v>
      </c>
      <c r="AN128" t="n">
        <v>120</v>
      </c>
      <c r="AO128" t="n">
        <v>7</v>
      </c>
      <c r="AP128" t="n">
        <v>0</v>
      </c>
      <c r="AQ128" t="n">
        <v>0</v>
      </c>
      <c r="AR128" t="n">
        <v>0</v>
      </c>
      <c r="AS128" t="n">
        <v>0</v>
      </c>
      <c r="AT128" t="n">
        <v>129</v>
      </c>
      <c r="AU128" t="n">
        <v>129</v>
      </c>
      <c r="AV128" t="n">
        <v>0</v>
      </c>
      <c r="AW128" t="n">
        <v>258</v>
      </c>
      <c r="AX128" t="n">
        <v>1093</v>
      </c>
      <c r="AY128" t="n">
        <v>643</v>
      </c>
      <c r="AZ128" t="n">
        <v>0</v>
      </c>
      <c r="BA128" t="n">
        <v>1736</v>
      </c>
      <c r="BB128" t="n">
        <v>322</v>
      </c>
      <c r="BC128" t="n">
        <v>250</v>
      </c>
      <c r="BD128" t="n">
        <v>0</v>
      </c>
      <c r="BE128" t="n">
        <v>61994</v>
      </c>
      <c r="BF128" t="n">
        <v>61994</v>
      </c>
      <c r="BG128">
        <f>IF($F128=0,"0",MIN(
BH128/(30*$F128),
BI128/(61*$F128),
BJ128/(48*$F128),
(BK128+BL128)/(23*$F128),
(BM128+BN128)/(41*$F128),
BO128/(25*$F128),
BP128/(6.6*$F128),
BQ128/(40*$F128),
BS128/(16*$F128)
)*100)</f>
        <v/>
      </c>
      <c r="BH128" t="n">
        <v>394</v>
      </c>
      <c r="BI128" t="n">
        <v>679</v>
      </c>
      <c r="BJ128" t="n">
        <v>335</v>
      </c>
      <c r="BK128" t="n">
        <v>157</v>
      </c>
      <c r="BL128" t="n">
        <v>138</v>
      </c>
      <c r="BM128" t="n">
        <v>512</v>
      </c>
      <c r="BN128" t="n">
        <v>364</v>
      </c>
      <c r="BO128" t="n">
        <v>335</v>
      </c>
      <c r="BP128" t="n">
        <v>138</v>
      </c>
      <c r="BQ128" t="n">
        <v>472</v>
      </c>
      <c r="BR128" t="n">
        <v>492</v>
      </c>
      <c r="BS128" t="n">
        <v>177</v>
      </c>
      <c r="BT128" t="n">
        <v>4193</v>
      </c>
      <c r="BU128" t="n">
        <v>433</v>
      </c>
      <c r="BV128" t="n">
        <v>571</v>
      </c>
      <c r="BW128" t="n">
        <v>2409</v>
      </c>
      <c r="BX128" t="n">
        <v>374</v>
      </c>
      <c r="BY128" t="n">
        <v>1171</v>
      </c>
      <c r="BZ128" t="n">
        <v>492</v>
      </c>
      <c r="CA128" t="n">
        <v>5450</v>
      </c>
      <c r="CB128" t="n">
        <v>108</v>
      </c>
      <c r="CC128" t="n">
        <v>45</v>
      </c>
      <c r="CD128" t="n">
        <v>83</v>
      </c>
      <c r="CE128" t="n">
        <v>854</v>
      </c>
      <c r="CF128" t="n">
        <v>10.29</v>
      </c>
      <c r="CG128" t="n">
        <v>0</v>
      </c>
      <c r="CH128" t="n">
        <v>0</v>
      </c>
      <c r="CI128" t="n">
        <v>0</v>
      </c>
      <c r="CJ128" t="n">
        <v>0</v>
      </c>
      <c r="CK128" t="n">
        <v>2</v>
      </c>
      <c r="CL128" t="n">
        <v>15</v>
      </c>
      <c r="CM128" t="n">
        <v>0</v>
      </c>
      <c r="CN128" t="n">
        <v>355</v>
      </c>
      <c r="CO128" t="n">
        <v>0</v>
      </c>
      <c r="CP128" t="n">
        <v>15</v>
      </c>
      <c r="CQ128" t="n">
        <v>0</v>
      </c>
      <c r="CR128" t="n">
        <v>0</v>
      </c>
      <c r="CS128" t="n">
        <v>0</v>
      </c>
      <c r="CT128" t="n">
        <v>387</v>
      </c>
      <c r="CU128" t="n">
        <v>0</v>
      </c>
      <c r="CV128" t="n">
        <v>0</v>
      </c>
      <c r="CW128" t="n">
        <v>12</v>
      </c>
      <c r="CX128" t="n">
        <v>0</v>
      </c>
      <c r="CY128" t="n">
        <v>174</v>
      </c>
      <c r="CZ128" t="n">
        <v>2</v>
      </c>
      <c r="DA128" t="n">
        <v>0</v>
      </c>
      <c r="DB128" t="n">
        <v>0</v>
      </c>
      <c r="DC128" t="n">
        <v>188</v>
      </c>
      <c r="DD128" t="n">
        <v>0</v>
      </c>
      <c r="DE128" t="n">
        <v>0</v>
      </c>
      <c r="DF128" t="n">
        <v>854</v>
      </c>
      <c r="DG128" t="n">
        <v>83</v>
      </c>
      <c r="DH128" t="n">
        <v>0</v>
      </c>
      <c r="DI128" t="n">
        <v>0</v>
      </c>
      <c r="DJ128" t="n">
        <v>0</v>
      </c>
      <c r="DK128" t="n">
        <v>0</v>
      </c>
      <c r="DL128" t="n">
        <v>0</v>
      </c>
      <c r="DM128" t="n">
        <v>0</v>
      </c>
      <c r="DN128" t="n">
        <v>0</v>
      </c>
      <c r="DO128" t="n">
        <v>0</v>
      </c>
      <c r="DP128" t="n">
        <v>0</v>
      </c>
      <c r="DQ128" t="n">
        <v>0</v>
      </c>
      <c r="DR128" t="n">
        <v>0</v>
      </c>
      <c r="DS128" t="n">
        <v>937</v>
      </c>
      <c r="DT128" t="n">
        <v>1512</v>
      </c>
      <c r="DU128" t="n">
        <v>588</v>
      </c>
      <c r="DV128" t="n">
        <v>0</v>
      </c>
      <c r="DW128" t="n">
        <v>0</v>
      </c>
      <c r="DX128" t="n">
        <v>0</v>
      </c>
      <c r="DY128" t="n">
        <v>3528</v>
      </c>
      <c r="DZ128" t="n">
        <v>4508</v>
      </c>
      <c r="EA128" t="n">
        <v>490</v>
      </c>
      <c r="EB128" t="n">
        <v>980</v>
      </c>
      <c r="EC128" t="n">
        <v>294</v>
      </c>
      <c r="ED128" t="n">
        <v>1960</v>
      </c>
      <c r="EE128" t="n">
        <v>7840</v>
      </c>
      <c r="EF128" t="n">
        <v>0</v>
      </c>
      <c r="EG128" t="n">
        <v>0</v>
      </c>
      <c r="EH128" t="n">
        <v>2.2</v>
      </c>
      <c r="EI128" t="n">
        <v>7.8</v>
      </c>
      <c r="EJ128" t="n">
        <v>2.1</v>
      </c>
      <c r="EK128" t="n">
        <v>10</v>
      </c>
    </row>
    <row r="129">
      <c r="A129">
        <f>[1]ingredient!B128</f>
        <v/>
      </c>
      <c r="B129" t="inlineStr">
        <is>
          <t>https://www.naehrwertrechner.de/naehrwerte/C143001/Gerste+Flocken/?menge=100</t>
        </is>
      </c>
      <c r="C129" s="7">
        <f>_xlfn.XLOOKUP(A129,[1]ingredient!$B$2:$B$521,[1]ingredient!$A$2:$A$521)</f>
        <v/>
      </c>
      <c r="D129" t="n">
        <v>314</v>
      </c>
      <c r="E129" t="n">
        <v>2</v>
      </c>
      <c r="F129" t="n">
        <v>8</v>
      </c>
      <c r="G129" t="n">
        <v>66</v>
      </c>
      <c r="H129" t="n">
        <v>10</v>
      </c>
      <c r="I129" t="n">
        <v>2</v>
      </c>
      <c r="J129" t="n">
        <v>0.02</v>
      </c>
      <c r="K129" t="n">
        <v>13</v>
      </c>
      <c r="L129" t="n">
        <v>0</v>
      </c>
      <c r="M129" t="n">
        <v>0</v>
      </c>
      <c r="N129" t="n">
        <v>0</v>
      </c>
      <c r="O129" t="n">
        <v>0</v>
      </c>
      <c r="P129" t="n">
        <v>200</v>
      </c>
      <c r="Q129" t="n">
        <v>80</v>
      </c>
      <c r="R129" t="n">
        <v>3100</v>
      </c>
      <c r="S129" t="n">
        <v>4933</v>
      </c>
      <c r="T129" t="n">
        <v>490</v>
      </c>
      <c r="U129" t="n">
        <v>290</v>
      </c>
      <c r="V129" t="n">
        <v>4</v>
      </c>
      <c r="W129" t="n">
        <v>19</v>
      </c>
      <c r="X129" t="n">
        <v>0</v>
      </c>
      <c r="Y129" t="n">
        <v>0</v>
      </c>
      <c r="Z129" t="n">
        <v>0</v>
      </c>
      <c r="AA129" t="n">
        <v>640</v>
      </c>
      <c r="AB129" t="n">
        <v>1</v>
      </c>
      <c r="AC129" t="n">
        <v>3</v>
      </c>
      <c r="AD129" t="n">
        <v>160</v>
      </c>
      <c r="AE129" t="n">
        <v>16</v>
      </c>
      <c r="AF129" t="n">
        <v>66</v>
      </c>
      <c r="AG129" t="n">
        <v>189</v>
      </c>
      <c r="AH129" t="n">
        <v>120</v>
      </c>
      <c r="AI129" t="n">
        <v>20</v>
      </c>
      <c r="AJ129" t="n">
        <v>2000</v>
      </c>
      <c r="AK129" t="n">
        <v>1280</v>
      </c>
      <c r="AL129" t="n">
        <v>120</v>
      </c>
      <c r="AM129" t="n">
        <v>1270</v>
      </c>
      <c r="AN129" t="n">
        <v>100</v>
      </c>
      <c r="AO129" t="n">
        <v>1</v>
      </c>
      <c r="AP129" t="n">
        <v>0</v>
      </c>
      <c r="AQ129" t="n">
        <v>0</v>
      </c>
      <c r="AR129" t="n">
        <v>0</v>
      </c>
      <c r="AS129" t="n">
        <v>0</v>
      </c>
      <c r="AT129" t="n">
        <v>132</v>
      </c>
      <c r="AU129" t="n">
        <v>132</v>
      </c>
      <c r="AV129" t="n">
        <v>0</v>
      </c>
      <c r="AW129" t="n">
        <v>264</v>
      </c>
      <c r="AX129" t="n">
        <v>1124</v>
      </c>
      <c r="AY129" t="n">
        <v>661</v>
      </c>
      <c r="AZ129" t="n">
        <v>0</v>
      </c>
      <c r="BA129" t="n">
        <v>1785</v>
      </c>
      <c r="BB129" t="n">
        <v>331</v>
      </c>
      <c r="BC129" t="n">
        <v>0</v>
      </c>
      <c r="BD129" t="n">
        <v>0</v>
      </c>
      <c r="BE129" t="n">
        <v>63730</v>
      </c>
      <c r="BF129" t="n">
        <v>63730</v>
      </c>
      <c r="BG129">
        <f>IF($F129=0,"0",MIN(
BH129/(30*$F129),
BI129/(61*$F129),
BJ129/(48*$F129),
(BK129+BL129)/(23*$F129),
(BM129+BN129)/(41*$F129),
BO129/(25*$F129),
BP129/(6.6*$F129),
BQ129/(40*$F129),
BS129/(16*$F129)
)*100)</f>
        <v/>
      </c>
      <c r="BH129" t="n">
        <v>316</v>
      </c>
      <c r="BI129" t="n">
        <v>544</v>
      </c>
      <c r="BJ129" t="n">
        <v>268</v>
      </c>
      <c r="BK129" t="n">
        <v>126</v>
      </c>
      <c r="BL129" t="n">
        <v>110</v>
      </c>
      <c r="BM129" t="n">
        <v>410</v>
      </c>
      <c r="BN129" t="n">
        <v>292</v>
      </c>
      <c r="BO129" t="n">
        <v>268</v>
      </c>
      <c r="BP129" t="n">
        <v>110</v>
      </c>
      <c r="BQ129" t="n">
        <v>379</v>
      </c>
      <c r="BR129" t="n">
        <v>395</v>
      </c>
      <c r="BS129" t="n">
        <v>142</v>
      </c>
      <c r="BT129" t="n">
        <v>3360</v>
      </c>
      <c r="BU129" t="n">
        <v>347</v>
      </c>
      <c r="BV129" t="n">
        <v>458</v>
      </c>
      <c r="BW129" t="n">
        <v>1933</v>
      </c>
      <c r="BX129" t="n">
        <v>300</v>
      </c>
      <c r="BY129" t="n">
        <v>939</v>
      </c>
      <c r="BZ129" t="n">
        <v>395</v>
      </c>
      <c r="CA129" t="n">
        <v>4372</v>
      </c>
      <c r="CB129" t="n">
        <v>82</v>
      </c>
      <c r="CC129" t="n">
        <v>34</v>
      </c>
      <c r="CD129" t="n">
        <v>59</v>
      </c>
      <c r="CE129" t="n">
        <v>610</v>
      </c>
      <c r="CF129" t="n">
        <v>10.34</v>
      </c>
      <c r="CG129" t="n">
        <v>0</v>
      </c>
      <c r="CH129" t="n">
        <v>0</v>
      </c>
      <c r="CI129" t="n">
        <v>0</v>
      </c>
      <c r="CJ129" t="n">
        <v>0</v>
      </c>
      <c r="CK129" t="n">
        <v>1</v>
      </c>
      <c r="CL129" t="n">
        <v>11</v>
      </c>
      <c r="CM129" t="n">
        <v>0</v>
      </c>
      <c r="CN129" t="n">
        <v>254</v>
      </c>
      <c r="CO129" t="n">
        <v>0</v>
      </c>
      <c r="CP129" t="n">
        <v>11</v>
      </c>
      <c r="CQ129" t="n">
        <v>0</v>
      </c>
      <c r="CR129" t="n">
        <v>0</v>
      </c>
      <c r="CS129" t="n">
        <v>0</v>
      </c>
      <c r="CT129" t="n">
        <v>277</v>
      </c>
      <c r="CU129" t="n">
        <v>0</v>
      </c>
      <c r="CV129" t="n">
        <v>0</v>
      </c>
      <c r="CW129" t="n">
        <v>9</v>
      </c>
      <c r="CX129" t="n">
        <v>0</v>
      </c>
      <c r="CY129" t="n">
        <v>124</v>
      </c>
      <c r="CZ129" t="n">
        <v>1</v>
      </c>
      <c r="DA129" t="n">
        <v>0</v>
      </c>
      <c r="DB129" t="n">
        <v>0</v>
      </c>
      <c r="DC129" t="n">
        <v>134</v>
      </c>
      <c r="DD129" t="n">
        <v>0</v>
      </c>
      <c r="DE129" t="n">
        <v>0</v>
      </c>
      <c r="DF129" t="n">
        <v>610</v>
      </c>
      <c r="DG129" t="n">
        <v>59</v>
      </c>
      <c r="DH129" t="n">
        <v>0</v>
      </c>
      <c r="DI129" t="n">
        <v>0</v>
      </c>
      <c r="DJ129" t="n">
        <v>0</v>
      </c>
      <c r="DK129" t="n">
        <v>0</v>
      </c>
      <c r="DL129" t="n">
        <v>0</v>
      </c>
      <c r="DM129" t="n">
        <v>0</v>
      </c>
      <c r="DN129" t="n">
        <v>0</v>
      </c>
      <c r="DO129" t="n">
        <v>0</v>
      </c>
      <c r="DP129" t="n">
        <v>0</v>
      </c>
      <c r="DQ129" t="n">
        <v>0</v>
      </c>
      <c r="DR129" t="n">
        <v>0</v>
      </c>
      <c r="DS129" t="n">
        <v>669</v>
      </c>
      <c r="DT129" t="n">
        <v>1080</v>
      </c>
      <c r="DU129" t="n">
        <v>420</v>
      </c>
      <c r="DV129" t="n">
        <v>0</v>
      </c>
      <c r="DW129" t="n">
        <v>0</v>
      </c>
      <c r="DX129" t="n">
        <v>0</v>
      </c>
      <c r="DY129" t="n">
        <v>3708</v>
      </c>
      <c r="DZ129" t="n">
        <v>4738</v>
      </c>
      <c r="EA129" t="n">
        <v>515</v>
      </c>
      <c r="EB129" t="n">
        <v>1030</v>
      </c>
      <c r="EC129" t="n">
        <v>309</v>
      </c>
      <c r="ED129" t="n">
        <v>2060</v>
      </c>
      <c r="EE129" t="n">
        <v>8240</v>
      </c>
      <c r="EF129" t="n">
        <v>0</v>
      </c>
      <c r="EG129" t="n">
        <v>0</v>
      </c>
      <c r="EH129" t="n">
        <v>1.2</v>
      </c>
      <c r="EI129" t="n">
        <v>8.199999999999999</v>
      </c>
      <c r="EJ129" t="n">
        <v>1.5</v>
      </c>
      <c r="EK129" t="n">
        <v>8</v>
      </c>
    </row>
    <row r="130">
      <c r="A130">
        <f>[1]ingredient!B129</f>
        <v/>
      </c>
      <c r="B130" t="inlineStr">
        <is>
          <t>https://www.naehrwertrechner.de/naehrwerte/G890702/Gew%C3%BCrzgurken+Sauerkonserve%2C+abgetropft/?menge=100</t>
        </is>
      </c>
      <c r="C130" s="7">
        <f>_xlfn.XLOOKUP(A130,[1]ingredient!$B$2:$B$521,[1]ingredient!$A$2:$A$521)</f>
        <v/>
      </c>
      <c r="D130" t="n">
        <v>16</v>
      </c>
      <c r="E130" t="n">
        <v>0.18</v>
      </c>
      <c r="F130" t="n">
        <v>1</v>
      </c>
      <c r="G130" t="n">
        <v>2</v>
      </c>
      <c r="H130" t="n">
        <v>1</v>
      </c>
      <c r="I130" t="n">
        <v>2</v>
      </c>
      <c r="J130" t="n">
        <v>1</v>
      </c>
      <c r="K130" t="n">
        <v>94</v>
      </c>
      <c r="L130" t="n">
        <v>50</v>
      </c>
      <c r="M130" t="n">
        <v>25</v>
      </c>
      <c r="N130" t="n">
        <v>0</v>
      </c>
      <c r="O130" t="n">
        <v>300</v>
      </c>
      <c r="P130" t="n">
        <v>8</v>
      </c>
      <c r="Q130" t="n">
        <v>16</v>
      </c>
      <c r="R130" t="n">
        <v>104</v>
      </c>
      <c r="S130" t="n">
        <v>171</v>
      </c>
      <c r="T130" t="n">
        <v>142</v>
      </c>
      <c r="U130" t="n">
        <v>9</v>
      </c>
      <c r="V130" t="n">
        <v>0</v>
      </c>
      <c r="W130" t="n">
        <v>5</v>
      </c>
      <c r="X130" t="n">
        <v>0</v>
      </c>
      <c r="Y130" t="n">
        <v>1998</v>
      </c>
      <c r="Z130" t="n">
        <v>0</v>
      </c>
      <c r="AA130" t="n">
        <v>64</v>
      </c>
      <c r="AB130" t="n">
        <v>12</v>
      </c>
      <c r="AC130" t="n">
        <v>345</v>
      </c>
      <c r="AD130" t="n">
        <v>107</v>
      </c>
      <c r="AE130" t="n">
        <v>22</v>
      </c>
      <c r="AF130" t="n">
        <v>12</v>
      </c>
      <c r="AG130" t="n">
        <v>31</v>
      </c>
      <c r="AH130" t="n">
        <v>16</v>
      </c>
      <c r="AI130" t="n">
        <v>708</v>
      </c>
      <c r="AJ130" t="n">
        <v>512</v>
      </c>
      <c r="AK130" t="n">
        <v>182</v>
      </c>
      <c r="AL130" t="n">
        <v>106</v>
      </c>
      <c r="AM130" t="n">
        <v>199</v>
      </c>
      <c r="AN130" t="n">
        <v>26</v>
      </c>
      <c r="AO130" t="n">
        <v>3</v>
      </c>
      <c r="AP130" t="n">
        <v>43</v>
      </c>
      <c r="AQ130" t="n">
        <v>0</v>
      </c>
      <c r="AR130" t="n">
        <v>0</v>
      </c>
      <c r="AS130" t="n">
        <v>43</v>
      </c>
      <c r="AT130" t="n">
        <v>693</v>
      </c>
      <c r="AU130" t="n">
        <v>766</v>
      </c>
      <c r="AV130" t="n">
        <v>0</v>
      </c>
      <c r="AW130" t="n">
        <v>1459</v>
      </c>
      <c r="AX130" t="n">
        <v>318</v>
      </c>
      <c r="AY130" t="n">
        <v>0</v>
      </c>
      <c r="AZ130" t="n">
        <v>0</v>
      </c>
      <c r="BA130" t="n">
        <v>318</v>
      </c>
      <c r="BB130" t="n">
        <v>0</v>
      </c>
      <c r="BC130" t="n">
        <v>0</v>
      </c>
      <c r="BD130" t="n">
        <v>0</v>
      </c>
      <c r="BE130" t="n">
        <v>0</v>
      </c>
      <c r="BF130" t="n">
        <v>0</v>
      </c>
      <c r="BG130">
        <f>IF($F130=0,"0",MIN(
BH130/(30*$F130),
BI130/(61*$F130),
BJ130/(48*$F130),
(BK130+BL130)/(23*$F130),
(BM130+BN130)/(41*$F130),
BO130/(25*$F130),
BP130/(6.6*$F130),
BQ130/(40*$F130),
BS130/(16*$F130)
)*100)</f>
        <v/>
      </c>
      <c r="BH130" t="n">
        <v>18</v>
      </c>
      <c r="BI130" t="n">
        <v>24</v>
      </c>
      <c r="BJ130" t="n">
        <v>25</v>
      </c>
      <c r="BK130" t="n">
        <v>4</v>
      </c>
      <c r="BL130" t="n">
        <v>4</v>
      </c>
      <c r="BM130" t="n">
        <v>14</v>
      </c>
      <c r="BN130" t="n">
        <v>10</v>
      </c>
      <c r="BO130" t="n">
        <v>21</v>
      </c>
      <c r="BP130" t="n">
        <v>4</v>
      </c>
      <c r="BQ130" t="n">
        <v>20</v>
      </c>
      <c r="BR130" t="n">
        <v>42</v>
      </c>
      <c r="BS130" t="n">
        <v>8</v>
      </c>
      <c r="BT130" t="n">
        <v>194</v>
      </c>
      <c r="BU130" t="n">
        <v>20</v>
      </c>
      <c r="BV130" t="n">
        <v>34</v>
      </c>
      <c r="BW130" t="n">
        <v>160</v>
      </c>
      <c r="BX130" t="n">
        <v>21</v>
      </c>
      <c r="BY130" t="n">
        <v>18</v>
      </c>
      <c r="BZ130" t="n">
        <v>18</v>
      </c>
      <c r="CA130" t="n">
        <v>271</v>
      </c>
      <c r="CB130" t="n">
        <v>8</v>
      </c>
      <c r="CC130" t="n">
        <v>3</v>
      </c>
      <c r="CD130" t="n">
        <v>38</v>
      </c>
      <c r="CE130" t="n">
        <v>42</v>
      </c>
      <c r="CF130" t="n">
        <v>1.11</v>
      </c>
      <c r="CG130" t="n">
        <v>0</v>
      </c>
      <c r="CH130" t="n">
        <v>0</v>
      </c>
      <c r="CI130" t="n">
        <v>0</v>
      </c>
      <c r="CJ130" t="n">
        <v>0</v>
      </c>
      <c r="CK130" t="n">
        <v>0</v>
      </c>
      <c r="CL130" t="n">
        <v>1</v>
      </c>
      <c r="CM130" t="n">
        <v>0</v>
      </c>
      <c r="CN130" t="n">
        <v>53</v>
      </c>
      <c r="CO130" t="n">
        <v>0</v>
      </c>
      <c r="CP130" t="n">
        <v>6</v>
      </c>
      <c r="CQ130" t="n">
        <v>0</v>
      </c>
      <c r="CR130" t="n">
        <v>0</v>
      </c>
      <c r="CS130" t="n">
        <v>0</v>
      </c>
      <c r="CT130" t="n">
        <v>60</v>
      </c>
      <c r="CU130" t="n">
        <v>0</v>
      </c>
      <c r="CV130" t="n">
        <v>0</v>
      </c>
      <c r="CW130" t="n">
        <v>0</v>
      </c>
      <c r="CX130" t="n">
        <v>0</v>
      </c>
      <c r="CY130" t="n">
        <v>4</v>
      </c>
      <c r="CZ130" t="n">
        <v>0</v>
      </c>
      <c r="DA130" t="n">
        <v>0</v>
      </c>
      <c r="DB130" t="n">
        <v>0</v>
      </c>
      <c r="DC130" t="n">
        <v>4</v>
      </c>
      <c r="DD130" t="n">
        <v>0</v>
      </c>
      <c r="DE130" t="n">
        <v>0</v>
      </c>
      <c r="DF130" t="n">
        <v>42</v>
      </c>
      <c r="DG130" t="n">
        <v>38</v>
      </c>
      <c r="DH130" t="n">
        <v>0</v>
      </c>
      <c r="DI130" t="n">
        <v>0</v>
      </c>
      <c r="DJ130" t="n">
        <v>0</v>
      </c>
      <c r="DK130" t="n">
        <v>0</v>
      </c>
      <c r="DL130" t="n">
        <v>0</v>
      </c>
      <c r="DM130" t="n">
        <v>0</v>
      </c>
      <c r="DN130" t="n">
        <v>0</v>
      </c>
      <c r="DO130" t="n">
        <v>0</v>
      </c>
      <c r="DP130" t="n">
        <v>0</v>
      </c>
      <c r="DQ130" t="n">
        <v>0</v>
      </c>
      <c r="DR130" t="n">
        <v>0</v>
      </c>
      <c r="DS130" t="n">
        <v>80</v>
      </c>
      <c r="DT130" t="n">
        <v>144</v>
      </c>
      <c r="DU130" t="n">
        <v>36</v>
      </c>
      <c r="DV130" t="n">
        <v>0</v>
      </c>
      <c r="DW130" t="n">
        <v>0</v>
      </c>
      <c r="DX130" t="n">
        <v>0</v>
      </c>
      <c r="DY130" t="n">
        <v>40</v>
      </c>
      <c r="DZ130" t="n">
        <v>89</v>
      </c>
      <c r="EA130" t="n">
        <v>146</v>
      </c>
      <c r="EB130" t="n">
        <v>213</v>
      </c>
      <c r="EC130" t="n">
        <v>14</v>
      </c>
      <c r="ED130" t="n">
        <v>101</v>
      </c>
      <c r="EE130" t="n">
        <v>401</v>
      </c>
      <c r="EF130" t="n">
        <v>0</v>
      </c>
      <c r="EG130" t="n">
        <v>2</v>
      </c>
      <c r="EH130" t="n">
        <v>1.6</v>
      </c>
      <c r="EI130" t="n">
        <v>0.4</v>
      </c>
      <c r="EJ130" t="n">
        <v>0.2</v>
      </c>
      <c r="EK130" t="n">
        <v>0.5</v>
      </c>
    </row>
    <row r="131">
      <c r="A131">
        <f>[1]ingredient!B130</f>
        <v/>
      </c>
      <c r="B131" t="inlineStr">
        <is>
          <t>https://www.naehrwertrechner.de/naehrwerte/F421400/Goji+Beeren+getrocknet/?menge=100</t>
        </is>
      </c>
      <c r="C131" s="7">
        <f>_xlfn.XLOOKUP(A131,[1]ingredient!$B$2:$B$521,[1]ingredient!$A$2:$A$521)</f>
        <v/>
      </c>
      <c r="D131" t="n">
        <v>325</v>
      </c>
      <c r="E131" t="n">
        <v>3</v>
      </c>
      <c r="F131" t="n">
        <v>12</v>
      </c>
      <c r="G131" t="n">
        <v>55</v>
      </c>
      <c r="H131" t="n">
        <v>11</v>
      </c>
      <c r="I131" t="n">
        <v>50</v>
      </c>
      <c r="J131" t="n">
        <v>0.48</v>
      </c>
      <c r="K131" t="n">
        <v>11</v>
      </c>
      <c r="L131" t="n">
        <v>0</v>
      </c>
      <c r="M131" t="n">
        <v>0</v>
      </c>
      <c r="N131" t="n">
        <v>0</v>
      </c>
      <c r="O131" t="n">
        <v>0</v>
      </c>
      <c r="P131" t="n">
        <v>200</v>
      </c>
      <c r="Q131" t="n">
        <v>100</v>
      </c>
      <c r="R131" t="n">
        <v>100</v>
      </c>
      <c r="S131" t="n">
        <v>100</v>
      </c>
      <c r="T131" t="n">
        <v>0</v>
      </c>
      <c r="U131" t="n">
        <v>100</v>
      </c>
      <c r="V131" t="n">
        <v>0</v>
      </c>
      <c r="W131" t="n">
        <v>0</v>
      </c>
      <c r="X131" t="n">
        <v>0</v>
      </c>
      <c r="Y131" t="n">
        <v>48400</v>
      </c>
      <c r="Z131" t="n">
        <v>0</v>
      </c>
      <c r="AA131" t="n">
        <v>0</v>
      </c>
      <c r="AB131" t="n">
        <v>0</v>
      </c>
      <c r="AC131" t="n">
        <v>480</v>
      </c>
      <c r="AD131" t="n">
        <v>800</v>
      </c>
      <c r="AE131" t="n">
        <v>100</v>
      </c>
      <c r="AF131" t="n">
        <v>11</v>
      </c>
      <c r="AG131" t="n">
        <v>18</v>
      </c>
      <c r="AH131" t="n">
        <v>0</v>
      </c>
      <c r="AI131" t="n">
        <v>0</v>
      </c>
      <c r="AJ131" t="n">
        <v>12200</v>
      </c>
      <c r="AK131" t="n">
        <v>4000</v>
      </c>
      <c r="AL131" t="n">
        <v>400</v>
      </c>
      <c r="AM131" t="n">
        <v>200</v>
      </c>
      <c r="AN131" t="n">
        <v>100</v>
      </c>
      <c r="AO131" t="n">
        <v>6</v>
      </c>
      <c r="AP131" t="n">
        <v>0</v>
      </c>
      <c r="AQ131" t="n">
        <v>5500</v>
      </c>
      <c r="AR131" t="n">
        <v>0</v>
      </c>
      <c r="AS131" t="n">
        <v>5500</v>
      </c>
      <c r="AT131" t="n">
        <v>21059</v>
      </c>
      <c r="AU131" t="n">
        <v>24214</v>
      </c>
      <c r="AV131" t="n">
        <v>0</v>
      </c>
      <c r="AW131" t="n">
        <v>45274</v>
      </c>
      <c r="AX131" t="n">
        <v>4200</v>
      </c>
      <c r="AY131" t="n">
        <v>0</v>
      </c>
      <c r="AZ131" t="n">
        <v>0</v>
      </c>
      <c r="BA131" t="n">
        <v>4227</v>
      </c>
      <c r="BB131" t="n">
        <v>0</v>
      </c>
      <c r="BC131" t="n">
        <v>0</v>
      </c>
      <c r="BD131" t="n">
        <v>0</v>
      </c>
      <c r="BE131" t="n">
        <v>0</v>
      </c>
      <c r="BF131" t="n">
        <v>0</v>
      </c>
      <c r="BG131">
        <f>IF($F131=0,"0",MIN(
BH131/(30*$F131),
BI131/(61*$F131),
BJ131/(48*$F131),
(BK131+BL131)/(23*$F131),
(BM131+BN131)/(41*$F131),
BO131/(25*$F131),
BP131/(6.6*$F131),
BQ131/(40*$F131),
BS131/(16*$F131)
)*100)</f>
        <v/>
      </c>
      <c r="BH131" t="n">
        <v>0</v>
      </c>
      <c r="BI131" t="n">
        <v>0</v>
      </c>
      <c r="BJ131" t="n">
        <v>0</v>
      </c>
      <c r="BK131" t="n">
        <v>0</v>
      </c>
      <c r="BL131" t="n">
        <v>0</v>
      </c>
      <c r="BM131" t="n">
        <v>0</v>
      </c>
      <c r="BN131" t="n">
        <v>0</v>
      </c>
      <c r="BO131" t="n">
        <v>0</v>
      </c>
      <c r="BP131" t="n">
        <v>0</v>
      </c>
      <c r="BQ131" t="n">
        <v>0</v>
      </c>
      <c r="BR131" t="n">
        <v>0</v>
      </c>
      <c r="BS131" t="n">
        <v>0</v>
      </c>
      <c r="BT131" t="n">
        <v>0</v>
      </c>
      <c r="BU131" t="n">
        <v>0</v>
      </c>
      <c r="BV131" t="n">
        <v>7670</v>
      </c>
      <c r="BW131" t="n">
        <v>4130</v>
      </c>
      <c r="BX131" t="n">
        <v>0</v>
      </c>
      <c r="BY131" t="n">
        <v>0</v>
      </c>
      <c r="BZ131" t="n">
        <v>0</v>
      </c>
      <c r="CA131" t="n">
        <v>11800</v>
      </c>
      <c r="CB131" t="n">
        <v>0</v>
      </c>
      <c r="CC131" t="n">
        <v>0</v>
      </c>
      <c r="CD131" t="n">
        <v>2000</v>
      </c>
      <c r="CE131" t="n">
        <v>200</v>
      </c>
      <c r="CF131" t="n">
        <v>0.1</v>
      </c>
      <c r="CG131" t="n">
        <v>0</v>
      </c>
      <c r="CH131" t="n">
        <v>0</v>
      </c>
      <c r="CI131" t="n">
        <v>0</v>
      </c>
      <c r="CJ131" t="n">
        <v>100</v>
      </c>
      <c r="CK131" t="n">
        <v>100</v>
      </c>
      <c r="CL131" t="n">
        <v>100</v>
      </c>
      <c r="CM131" t="n">
        <v>0</v>
      </c>
      <c r="CN131" t="n">
        <v>0</v>
      </c>
      <c r="CO131" t="n">
        <v>0</v>
      </c>
      <c r="CP131" t="n">
        <v>200</v>
      </c>
      <c r="CQ131" t="n">
        <v>0</v>
      </c>
      <c r="CR131" t="n">
        <v>0</v>
      </c>
      <c r="CS131" t="n">
        <v>0</v>
      </c>
      <c r="CT131" t="n">
        <v>500</v>
      </c>
      <c r="CU131" t="n">
        <v>0</v>
      </c>
      <c r="CV131" t="n">
        <v>0</v>
      </c>
      <c r="CW131" t="n">
        <v>0</v>
      </c>
      <c r="CX131" t="n">
        <v>0</v>
      </c>
      <c r="CY131" t="n">
        <v>0</v>
      </c>
      <c r="CZ131" t="n">
        <v>0</v>
      </c>
      <c r="DA131" t="n">
        <v>0</v>
      </c>
      <c r="DB131" t="n">
        <v>0</v>
      </c>
      <c r="DC131" t="n">
        <v>0</v>
      </c>
      <c r="DD131" t="n">
        <v>0</v>
      </c>
      <c r="DE131" t="n">
        <v>0</v>
      </c>
      <c r="DF131" t="n">
        <v>200</v>
      </c>
      <c r="DG131" t="n">
        <v>2000</v>
      </c>
      <c r="DH131" t="n">
        <v>0</v>
      </c>
      <c r="DI131" t="n">
        <v>0</v>
      </c>
      <c r="DJ131" t="n">
        <v>0</v>
      </c>
      <c r="DK131" t="n">
        <v>0</v>
      </c>
      <c r="DL131" t="n">
        <v>0</v>
      </c>
      <c r="DM131" t="n">
        <v>0</v>
      </c>
      <c r="DN131" t="n">
        <v>0</v>
      </c>
      <c r="DO131" t="n">
        <v>0</v>
      </c>
      <c r="DP131" t="n">
        <v>0</v>
      </c>
      <c r="DQ131" t="n">
        <v>0</v>
      </c>
      <c r="DR131" t="n">
        <v>0</v>
      </c>
      <c r="DS131" t="n">
        <v>2200</v>
      </c>
      <c r="DT131" t="n">
        <v>2600</v>
      </c>
      <c r="DU131" t="n">
        <v>0</v>
      </c>
      <c r="DV131" t="n">
        <v>0</v>
      </c>
      <c r="DW131" t="n">
        <v>0</v>
      </c>
      <c r="DX131" t="n">
        <v>100</v>
      </c>
      <c r="DY131" t="n">
        <v>0</v>
      </c>
      <c r="DZ131" t="n">
        <v>0</v>
      </c>
      <c r="EA131" t="n">
        <v>0</v>
      </c>
      <c r="EB131" t="n">
        <v>0</v>
      </c>
      <c r="EC131" t="n">
        <v>0</v>
      </c>
      <c r="ED131" t="n">
        <v>0</v>
      </c>
      <c r="EE131" t="n">
        <v>11000</v>
      </c>
      <c r="EF131" t="n">
        <v>0</v>
      </c>
      <c r="EG131" t="n">
        <v>6770</v>
      </c>
      <c r="EH131" t="n">
        <v>1.4</v>
      </c>
      <c r="EI131" t="n">
        <v>11</v>
      </c>
      <c r="EJ131" t="n">
        <v>2.7</v>
      </c>
      <c r="EK131" t="n">
        <v>11.8</v>
      </c>
    </row>
    <row r="132">
      <c r="A132">
        <f>[1]ingredient!B131</f>
        <v/>
      </c>
      <c r="B132" t="inlineStr">
        <is>
          <t>https://www.naehrwertrechner.de/naehrwerte/F506111/Granatapfel+frisch/?menge=100</t>
        </is>
      </c>
      <c r="C132" s="7">
        <f>_xlfn.XLOOKUP(A132,[1]ingredient!$B$2:$B$521,[1]ingredient!$A$2:$A$521)</f>
        <v/>
      </c>
      <c r="D132" t="n">
        <v>78</v>
      </c>
      <c r="E132" t="n">
        <v>1</v>
      </c>
      <c r="F132" t="n">
        <v>1</v>
      </c>
      <c r="G132" t="n">
        <v>17</v>
      </c>
      <c r="H132" t="n">
        <v>2</v>
      </c>
      <c r="I132" t="n">
        <v>17</v>
      </c>
      <c r="J132" t="n">
        <v>0.05</v>
      </c>
      <c r="K132" t="n">
        <v>78</v>
      </c>
      <c r="L132" t="n">
        <v>7</v>
      </c>
      <c r="M132" t="n">
        <v>3</v>
      </c>
      <c r="N132" t="n">
        <v>0</v>
      </c>
      <c r="O132" t="n">
        <v>40</v>
      </c>
      <c r="P132" t="n">
        <v>50</v>
      </c>
      <c r="Q132" t="n">
        <v>20</v>
      </c>
      <c r="R132" t="n">
        <v>300</v>
      </c>
      <c r="S132" t="n">
        <v>417</v>
      </c>
      <c r="T132" t="n">
        <v>600</v>
      </c>
      <c r="U132" t="n">
        <v>105</v>
      </c>
      <c r="V132" t="n">
        <v>2</v>
      </c>
      <c r="W132" t="n">
        <v>7</v>
      </c>
      <c r="X132" t="n">
        <v>0</v>
      </c>
      <c r="Y132" t="n">
        <v>7000</v>
      </c>
      <c r="Z132" t="n">
        <v>0</v>
      </c>
      <c r="AA132" t="n">
        <v>200</v>
      </c>
      <c r="AB132" t="n">
        <v>10</v>
      </c>
      <c r="AC132" t="n">
        <v>7</v>
      </c>
      <c r="AD132" t="n">
        <v>290</v>
      </c>
      <c r="AE132" t="n">
        <v>8</v>
      </c>
      <c r="AF132" t="n">
        <v>3</v>
      </c>
      <c r="AG132" t="n">
        <v>17</v>
      </c>
      <c r="AH132" t="n">
        <v>15</v>
      </c>
      <c r="AI132" t="n">
        <v>40</v>
      </c>
      <c r="AJ132" t="n">
        <v>500</v>
      </c>
      <c r="AK132" t="n">
        <v>280</v>
      </c>
      <c r="AL132" t="n">
        <v>70</v>
      </c>
      <c r="AM132" t="n">
        <v>130</v>
      </c>
      <c r="AN132" t="n">
        <v>20</v>
      </c>
      <c r="AO132" t="n">
        <v>2</v>
      </c>
      <c r="AP132" t="n">
        <v>0</v>
      </c>
      <c r="AQ132" t="n">
        <v>0</v>
      </c>
      <c r="AR132" t="n">
        <v>0</v>
      </c>
      <c r="AS132" t="n">
        <v>0</v>
      </c>
      <c r="AT132" t="n">
        <v>9051</v>
      </c>
      <c r="AU132" t="n">
        <v>7365</v>
      </c>
      <c r="AV132" t="n">
        <v>0</v>
      </c>
      <c r="AW132" t="n">
        <v>16416</v>
      </c>
      <c r="AX132" t="n">
        <v>284</v>
      </c>
      <c r="AY132" t="n">
        <v>0</v>
      </c>
      <c r="AZ132" t="n">
        <v>0</v>
      </c>
      <c r="BA132" t="n">
        <v>284</v>
      </c>
      <c r="BB132" t="n">
        <v>0</v>
      </c>
      <c r="BC132" t="n">
        <v>0</v>
      </c>
      <c r="BD132" t="n">
        <v>0</v>
      </c>
      <c r="BE132" t="n">
        <v>0</v>
      </c>
      <c r="BF132" t="n">
        <v>0</v>
      </c>
      <c r="BG132">
        <f>IF($F132=0,"0",MIN(
BH132/(30*$F132),
BI132/(61*$F132),
BJ132/(48*$F132),
(BK132+BL132)/(23*$F132),
(BM132+BN132)/(41*$F132),
BO132/(25*$F132),
BP132/(6.6*$F132),
BQ132/(40*$F132),
BS132/(16*$F132)
)*100)</f>
        <v/>
      </c>
      <c r="BH132" t="n">
        <v>21</v>
      </c>
      <c r="BI132" t="n">
        <v>35</v>
      </c>
      <c r="BJ132" t="n">
        <v>35</v>
      </c>
      <c r="BK132" t="n">
        <v>7</v>
      </c>
      <c r="BL132" t="n">
        <v>4</v>
      </c>
      <c r="BM132" t="n">
        <v>18</v>
      </c>
      <c r="BN132" t="n">
        <v>14</v>
      </c>
      <c r="BO132" t="n">
        <v>21</v>
      </c>
      <c r="BP132" t="n">
        <v>7</v>
      </c>
      <c r="BQ132" t="n">
        <v>25</v>
      </c>
      <c r="BR132" t="n">
        <v>25</v>
      </c>
      <c r="BS132" t="n">
        <v>11</v>
      </c>
      <c r="BT132" t="n">
        <v>223</v>
      </c>
      <c r="BU132" t="n">
        <v>32</v>
      </c>
      <c r="BV132" t="n">
        <v>63</v>
      </c>
      <c r="BW132" t="n">
        <v>66</v>
      </c>
      <c r="BX132" t="n">
        <v>25</v>
      </c>
      <c r="BY132" t="n">
        <v>25</v>
      </c>
      <c r="BZ132" t="n">
        <v>28</v>
      </c>
      <c r="CA132" t="n">
        <v>239</v>
      </c>
      <c r="CB132" t="n">
        <v>15</v>
      </c>
      <c r="CC132" t="n">
        <v>6</v>
      </c>
      <c r="CD132" t="n">
        <v>46</v>
      </c>
      <c r="CE132" t="n">
        <v>192</v>
      </c>
      <c r="CF132" t="n">
        <v>4.17</v>
      </c>
      <c r="CG132" t="n">
        <v>0</v>
      </c>
      <c r="CH132" t="n">
        <v>0</v>
      </c>
      <c r="CI132" t="n">
        <v>0</v>
      </c>
      <c r="CJ132" t="n">
        <v>0</v>
      </c>
      <c r="CK132" t="n">
        <v>2</v>
      </c>
      <c r="CL132" t="n">
        <v>5</v>
      </c>
      <c r="CM132" t="n">
        <v>0</v>
      </c>
      <c r="CN132" t="n">
        <v>115</v>
      </c>
      <c r="CO132" t="n">
        <v>0</v>
      </c>
      <c r="CP132" t="n">
        <v>19</v>
      </c>
      <c r="CQ132" t="n">
        <v>0</v>
      </c>
      <c r="CR132" t="n">
        <v>0</v>
      </c>
      <c r="CS132" t="n">
        <v>0</v>
      </c>
      <c r="CT132" t="n">
        <v>141</v>
      </c>
      <c r="CU132" t="n">
        <v>0</v>
      </c>
      <c r="CV132" t="n">
        <v>0</v>
      </c>
      <c r="CW132" t="n">
        <v>5</v>
      </c>
      <c r="CX132" t="n">
        <v>0</v>
      </c>
      <c r="CY132" t="n">
        <v>96</v>
      </c>
      <c r="CZ132" t="n">
        <v>0</v>
      </c>
      <c r="DA132" t="n">
        <v>0</v>
      </c>
      <c r="DB132" t="n">
        <v>0</v>
      </c>
      <c r="DC132" t="n">
        <v>101</v>
      </c>
      <c r="DD132" t="n">
        <v>0</v>
      </c>
      <c r="DE132" t="n">
        <v>0</v>
      </c>
      <c r="DF132" t="n">
        <v>192</v>
      </c>
      <c r="DG132" t="n">
        <v>46</v>
      </c>
      <c r="DH132" t="n">
        <v>0</v>
      </c>
      <c r="DI132" t="n">
        <v>0</v>
      </c>
      <c r="DJ132" t="n">
        <v>0</v>
      </c>
      <c r="DK132" t="n">
        <v>0</v>
      </c>
      <c r="DL132" t="n">
        <v>0</v>
      </c>
      <c r="DM132" t="n">
        <v>0</v>
      </c>
      <c r="DN132" t="n">
        <v>0</v>
      </c>
      <c r="DO132" t="n">
        <v>0</v>
      </c>
      <c r="DP132" t="n">
        <v>0</v>
      </c>
      <c r="DQ132" t="n">
        <v>0</v>
      </c>
      <c r="DR132" t="n">
        <v>0</v>
      </c>
      <c r="DS132" t="n">
        <v>238</v>
      </c>
      <c r="DT132" t="n">
        <v>480</v>
      </c>
      <c r="DU132" t="n">
        <v>120</v>
      </c>
      <c r="DV132" t="n">
        <v>0</v>
      </c>
      <c r="DW132" t="n">
        <v>0</v>
      </c>
      <c r="DX132" t="n">
        <v>0</v>
      </c>
      <c r="DY132" t="n">
        <v>403</v>
      </c>
      <c r="DZ132" t="n">
        <v>448</v>
      </c>
      <c r="EA132" t="n">
        <v>448</v>
      </c>
      <c r="EB132" t="n">
        <v>448</v>
      </c>
      <c r="EC132" t="n">
        <v>493</v>
      </c>
      <c r="ED132" t="n">
        <v>260</v>
      </c>
      <c r="EE132" t="n">
        <v>1980</v>
      </c>
      <c r="EF132" t="n">
        <v>0</v>
      </c>
      <c r="EG132" t="n">
        <v>1</v>
      </c>
      <c r="EH132" t="n">
        <v>0.7</v>
      </c>
      <c r="EI132" t="n">
        <v>2</v>
      </c>
      <c r="EJ132" t="n">
        <v>0.6</v>
      </c>
      <c r="EK132" t="n">
        <v>0.5</v>
      </c>
    </row>
    <row r="133">
      <c r="A133">
        <f>[1]ingredient!B132</f>
        <v/>
      </c>
      <c r="B133" t="inlineStr">
        <is>
          <t>https://www.naehrwertrechner.de/naehrwerte/F604000/Grapefruit/?menge=100</t>
        </is>
      </c>
      <c r="C133" s="7">
        <f>_xlfn.XLOOKUP(A133,[1]ingredient!$B$2:$B$521,[1]ingredient!$A$2:$A$521)</f>
        <v/>
      </c>
      <c r="D133" t="n">
        <v>50</v>
      </c>
      <c r="E133" t="n">
        <v>0.15</v>
      </c>
      <c r="F133" t="n">
        <v>1</v>
      </c>
      <c r="G133" t="n">
        <v>9</v>
      </c>
      <c r="H133" t="n">
        <v>1</v>
      </c>
      <c r="I133" t="n">
        <v>9</v>
      </c>
      <c r="J133" t="n">
        <v>0</v>
      </c>
      <c r="K133" t="n">
        <v>86</v>
      </c>
      <c r="L133" t="n">
        <v>3</v>
      </c>
      <c r="M133" t="n">
        <v>1</v>
      </c>
      <c r="N133" t="n">
        <v>0</v>
      </c>
      <c r="O133" t="n">
        <v>15</v>
      </c>
      <c r="P133" t="n">
        <v>48</v>
      </c>
      <c r="Q133" t="n">
        <v>24</v>
      </c>
      <c r="R133" t="n">
        <v>240</v>
      </c>
      <c r="S133" t="n">
        <v>307</v>
      </c>
      <c r="T133" t="n">
        <v>250</v>
      </c>
      <c r="U133" t="n">
        <v>28</v>
      </c>
      <c r="V133" t="n">
        <v>0.4</v>
      </c>
      <c r="W133" t="n">
        <v>11</v>
      </c>
      <c r="X133" t="n">
        <v>0</v>
      </c>
      <c r="Y133" t="n">
        <v>44000</v>
      </c>
      <c r="Z133" t="n">
        <v>0</v>
      </c>
      <c r="AA133" t="n">
        <v>250</v>
      </c>
      <c r="AB133" t="n">
        <v>3</v>
      </c>
      <c r="AC133" t="n">
        <v>2</v>
      </c>
      <c r="AD133" t="n">
        <v>180</v>
      </c>
      <c r="AE133" t="n">
        <v>18</v>
      </c>
      <c r="AF133" t="n">
        <v>10</v>
      </c>
      <c r="AG133" t="n">
        <v>17</v>
      </c>
      <c r="AH133" t="n">
        <v>5</v>
      </c>
      <c r="AI133" t="n">
        <v>2</v>
      </c>
      <c r="AJ133" t="n">
        <v>340</v>
      </c>
      <c r="AK133" t="n">
        <v>170</v>
      </c>
      <c r="AL133" t="n">
        <v>40</v>
      </c>
      <c r="AM133" t="n">
        <v>13</v>
      </c>
      <c r="AN133" t="n">
        <v>24</v>
      </c>
      <c r="AO133" t="n">
        <v>1</v>
      </c>
      <c r="AP133" t="n">
        <v>0</v>
      </c>
      <c r="AQ133" t="n">
        <v>0</v>
      </c>
      <c r="AR133" t="n">
        <v>0</v>
      </c>
      <c r="AS133" t="n">
        <v>0</v>
      </c>
      <c r="AT133" t="n">
        <v>2873</v>
      </c>
      <c r="AU133" t="n">
        <v>2533</v>
      </c>
      <c r="AV133" t="n">
        <v>0</v>
      </c>
      <c r="AW133" t="n">
        <v>5406</v>
      </c>
      <c r="AX133" t="n">
        <v>3544</v>
      </c>
      <c r="AY133" t="n">
        <v>0</v>
      </c>
      <c r="AZ133" t="n">
        <v>0</v>
      </c>
      <c r="BA133" t="n">
        <v>3544</v>
      </c>
      <c r="BB133" t="n">
        <v>0</v>
      </c>
      <c r="BC133" t="n">
        <v>0</v>
      </c>
      <c r="BD133" t="n">
        <v>0</v>
      </c>
      <c r="BE133" t="n">
        <v>0</v>
      </c>
      <c r="BF133" t="n">
        <v>0</v>
      </c>
      <c r="BG133">
        <f>IF($F133=0,"0",MIN(
BH133/(30*$F133),
BI133/(61*$F133),
BJ133/(48*$F133),
(BK133+BL133)/(23*$F133),
(BM133+BN133)/(41*$F133),
BO133/(25*$F133),
BP133/(6.6*$F133),
BQ133/(40*$F133),
BS133/(16*$F133)
)*100)</f>
        <v/>
      </c>
      <c r="BH133" t="n">
        <v>10</v>
      </c>
      <c r="BI133" t="n">
        <v>15</v>
      </c>
      <c r="BJ133" t="n">
        <v>19</v>
      </c>
      <c r="BK133" t="n">
        <v>3</v>
      </c>
      <c r="BL133" t="n">
        <v>2</v>
      </c>
      <c r="BM133" t="n">
        <v>10</v>
      </c>
      <c r="BN133" t="n">
        <v>7</v>
      </c>
      <c r="BO133" t="n">
        <v>11</v>
      </c>
      <c r="BP133" t="n">
        <v>4</v>
      </c>
      <c r="BQ133" t="n">
        <v>14</v>
      </c>
      <c r="BR133" t="n">
        <v>40</v>
      </c>
      <c r="BS133" t="n">
        <v>6</v>
      </c>
      <c r="BT133" t="n">
        <v>141</v>
      </c>
      <c r="BU133" t="n">
        <v>20</v>
      </c>
      <c r="BV133" t="n">
        <v>105</v>
      </c>
      <c r="BW133" t="n">
        <v>42</v>
      </c>
      <c r="BX133" t="n">
        <v>10</v>
      </c>
      <c r="BY133" t="n">
        <v>47</v>
      </c>
      <c r="BZ133" t="n">
        <v>26</v>
      </c>
      <c r="CA133" t="n">
        <v>250</v>
      </c>
      <c r="CB133" t="n">
        <v>15</v>
      </c>
      <c r="CC133" t="n">
        <v>6</v>
      </c>
      <c r="CD133" t="n">
        <v>12</v>
      </c>
      <c r="CE133" t="n">
        <v>46</v>
      </c>
      <c r="CF133" t="n">
        <v>3.83</v>
      </c>
      <c r="CG133" t="n">
        <v>0</v>
      </c>
      <c r="CH133" t="n">
        <v>0</v>
      </c>
      <c r="CI133" t="n">
        <v>0</v>
      </c>
      <c r="CJ133" t="n">
        <v>0</v>
      </c>
      <c r="CK133" t="n">
        <v>0</v>
      </c>
      <c r="CL133" t="n">
        <v>0</v>
      </c>
      <c r="CM133" t="n">
        <v>0</v>
      </c>
      <c r="CN133" t="n">
        <v>29</v>
      </c>
      <c r="CO133" t="n">
        <v>0</v>
      </c>
      <c r="CP133" t="n">
        <v>2</v>
      </c>
      <c r="CQ133" t="n">
        <v>0</v>
      </c>
      <c r="CR133" t="n">
        <v>0</v>
      </c>
      <c r="CS133" t="n">
        <v>0</v>
      </c>
      <c r="CT133" t="n">
        <v>31</v>
      </c>
      <c r="CU133" t="n">
        <v>0</v>
      </c>
      <c r="CV133" t="n">
        <v>0</v>
      </c>
      <c r="CW133" t="n">
        <v>2</v>
      </c>
      <c r="CX133" t="n">
        <v>0</v>
      </c>
      <c r="CY133" t="n">
        <v>29</v>
      </c>
      <c r="CZ133" t="n">
        <v>0</v>
      </c>
      <c r="DA133" t="n">
        <v>0</v>
      </c>
      <c r="DB133" t="n">
        <v>0</v>
      </c>
      <c r="DC133" t="n">
        <v>31</v>
      </c>
      <c r="DD133" t="n">
        <v>0</v>
      </c>
      <c r="DE133" t="n">
        <v>0</v>
      </c>
      <c r="DF133" t="n">
        <v>46</v>
      </c>
      <c r="DG133" t="n">
        <v>12</v>
      </c>
      <c r="DH133" t="n">
        <v>0</v>
      </c>
      <c r="DI133" t="n">
        <v>0</v>
      </c>
      <c r="DJ133" t="n">
        <v>0</v>
      </c>
      <c r="DK133" t="n">
        <v>0</v>
      </c>
      <c r="DL133" t="n">
        <v>0</v>
      </c>
      <c r="DM133" t="n">
        <v>0</v>
      </c>
      <c r="DN133" t="n">
        <v>0</v>
      </c>
      <c r="DO133" t="n">
        <v>0</v>
      </c>
      <c r="DP133" t="n">
        <v>0</v>
      </c>
      <c r="DQ133" t="n">
        <v>0</v>
      </c>
      <c r="DR133" t="n">
        <v>0</v>
      </c>
      <c r="DS133" t="n">
        <v>58</v>
      </c>
      <c r="DT133" t="n">
        <v>120</v>
      </c>
      <c r="DU133" t="n">
        <v>30</v>
      </c>
      <c r="DV133" t="n">
        <v>0</v>
      </c>
      <c r="DW133" t="n">
        <v>0</v>
      </c>
      <c r="DX133" t="n">
        <v>0</v>
      </c>
      <c r="DY133" t="n">
        <v>174</v>
      </c>
      <c r="DZ133" t="n">
        <v>87</v>
      </c>
      <c r="EA133" t="n">
        <v>174</v>
      </c>
      <c r="EB133" t="n">
        <v>116</v>
      </c>
      <c r="EC133" t="n">
        <v>29</v>
      </c>
      <c r="ED133" t="n">
        <v>196</v>
      </c>
      <c r="EE133" t="n">
        <v>384</v>
      </c>
      <c r="EF133" t="n">
        <v>0</v>
      </c>
      <c r="EG133" t="n">
        <v>3</v>
      </c>
      <c r="EH133" t="n">
        <v>0.4</v>
      </c>
      <c r="EI133" t="n">
        <v>0.4</v>
      </c>
      <c r="EJ133" t="n">
        <v>0.2</v>
      </c>
      <c r="EK133" t="n">
        <v>0.4</v>
      </c>
    </row>
    <row r="134">
      <c r="A134">
        <f>[1]ingredient!B133</f>
        <v/>
      </c>
      <c r="B134" t="inlineStr">
        <is>
          <t>https://www.naehrwertrechner.de/naehrwerte/F604000/Grapefruit/?menge=100</t>
        </is>
      </c>
      <c r="C134" s="7">
        <f>_xlfn.XLOOKUP(A134,[1]ingredient!$B$2:$B$521,[1]ingredient!$A$2:$A$521)</f>
        <v/>
      </c>
      <c r="D134" t="n">
        <v>50</v>
      </c>
      <c r="E134" t="n">
        <v>0.15</v>
      </c>
      <c r="F134" t="n">
        <v>1</v>
      </c>
      <c r="G134" t="n">
        <v>9</v>
      </c>
      <c r="H134" t="n">
        <v>1</v>
      </c>
      <c r="I134" t="n">
        <v>9</v>
      </c>
      <c r="J134" t="n">
        <v>0</v>
      </c>
      <c r="K134" t="n">
        <v>86</v>
      </c>
      <c r="L134" t="n">
        <v>3</v>
      </c>
      <c r="M134" t="n">
        <v>1</v>
      </c>
      <c r="N134" t="n">
        <v>0</v>
      </c>
      <c r="O134" t="n">
        <v>15</v>
      </c>
      <c r="P134" t="n">
        <v>48</v>
      </c>
      <c r="Q134" t="n">
        <v>24</v>
      </c>
      <c r="R134" t="n">
        <v>240</v>
      </c>
      <c r="S134" t="n">
        <v>307</v>
      </c>
      <c r="T134" t="n">
        <v>250</v>
      </c>
      <c r="U134" t="n">
        <v>28</v>
      </c>
      <c r="V134" t="n">
        <v>0.4</v>
      </c>
      <c r="W134" t="n">
        <v>11</v>
      </c>
      <c r="X134" t="n">
        <v>0</v>
      </c>
      <c r="Y134" t="n">
        <v>44000</v>
      </c>
      <c r="Z134" t="n">
        <v>0</v>
      </c>
      <c r="AA134" t="n">
        <v>250</v>
      </c>
      <c r="AB134" t="n">
        <v>3</v>
      </c>
      <c r="AC134" t="n">
        <v>2</v>
      </c>
      <c r="AD134" t="n">
        <v>180</v>
      </c>
      <c r="AE134" t="n">
        <v>18</v>
      </c>
      <c r="AF134" t="n">
        <v>10</v>
      </c>
      <c r="AG134" t="n">
        <v>17</v>
      </c>
      <c r="AH134" t="n">
        <v>5</v>
      </c>
      <c r="AI134" t="n">
        <v>2</v>
      </c>
      <c r="AJ134" t="n">
        <v>340</v>
      </c>
      <c r="AK134" t="n">
        <v>170</v>
      </c>
      <c r="AL134" t="n">
        <v>40</v>
      </c>
      <c r="AM134" t="n">
        <v>13</v>
      </c>
      <c r="AN134" t="n">
        <v>24</v>
      </c>
      <c r="AO134" t="n">
        <v>1</v>
      </c>
      <c r="AP134" t="n">
        <v>0</v>
      </c>
      <c r="AQ134" t="n">
        <v>0</v>
      </c>
      <c r="AR134" t="n">
        <v>0</v>
      </c>
      <c r="AS134" t="n">
        <v>0</v>
      </c>
      <c r="AT134" t="n">
        <v>2873</v>
      </c>
      <c r="AU134" t="n">
        <v>2533</v>
      </c>
      <c r="AV134" t="n">
        <v>0</v>
      </c>
      <c r="AW134" t="n">
        <v>5406</v>
      </c>
      <c r="AX134" t="n">
        <v>3544</v>
      </c>
      <c r="AY134" t="n">
        <v>0</v>
      </c>
      <c r="AZ134" t="n">
        <v>0</v>
      </c>
      <c r="BA134" t="n">
        <v>3544</v>
      </c>
      <c r="BB134" t="n">
        <v>0</v>
      </c>
      <c r="BC134" t="n">
        <v>0</v>
      </c>
      <c r="BD134" t="n">
        <v>0</v>
      </c>
      <c r="BE134" t="n">
        <v>0</v>
      </c>
      <c r="BF134" t="n">
        <v>0</v>
      </c>
      <c r="BG134">
        <f>IF($F134=0,"0",MIN(
BH134/(30*$F134),
BI134/(61*$F134),
BJ134/(48*$F134),
(BK134+BL134)/(23*$F134),
(BM134+BN134)/(41*$F134),
BO134/(25*$F134),
BP134/(6.6*$F134),
BQ134/(40*$F134),
BS134/(16*$F134)
)*100)</f>
        <v/>
      </c>
      <c r="BH134" t="n">
        <v>10</v>
      </c>
      <c r="BI134" t="n">
        <v>15</v>
      </c>
      <c r="BJ134" t="n">
        <v>19</v>
      </c>
      <c r="BK134" t="n">
        <v>3</v>
      </c>
      <c r="BL134" t="n">
        <v>2</v>
      </c>
      <c r="BM134" t="n">
        <v>10</v>
      </c>
      <c r="BN134" t="n">
        <v>7</v>
      </c>
      <c r="BO134" t="n">
        <v>11</v>
      </c>
      <c r="BP134" t="n">
        <v>4</v>
      </c>
      <c r="BQ134" t="n">
        <v>14</v>
      </c>
      <c r="BR134" t="n">
        <v>40</v>
      </c>
      <c r="BS134" t="n">
        <v>6</v>
      </c>
      <c r="BT134" t="n">
        <v>141</v>
      </c>
      <c r="BU134" t="n">
        <v>20</v>
      </c>
      <c r="BV134" t="n">
        <v>105</v>
      </c>
      <c r="BW134" t="n">
        <v>42</v>
      </c>
      <c r="BX134" t="n">
        <v>10</v>
      </c>
      <c r="BY134" t="n">
        <v>47</v>
      </c>
      <c r="BZ134" t="n">
        <v>26</v>
      </c>
      <c r="CA134" t="n">
        <v>250</v>
      </c>
      <c r="CB134" t="n">
        <v>15</v>
      </c>
      <c r="CC134" t="n">
        <v>6</v>
      </c>
      <c r="CD134" t="n">
        <v>12</v>
      </c>
      <c r="CE134" t="n">
        <v>46</v>
      </c>
      <c r="CF134" t="n">
        <v>3.83</v>
      </c>
      <c r="CG134" t="n">
        <v>0</v>
      </c>
      <c r="CH134" t="n">
        <v>0</v>
      </c>
      <c r="CI134" t="n">
        <v>0</v>
      </c>
      <c r="CJ134" t="n">
        <v>0</v>
      </c>
      <c r="CK134" t="n">
        <v>0</v>
      </c>
      <c r="CL134" t="n">
        <v>0</v>
      </c>
      <c r="CM134" t="n">
        <v>0</v>
      </c>
      <c r="CN134" t="n">
        <v>29</v>
      </c>
      <c r="CO134" t="n">
        <v>0</v>
      </c>
      <c r="CP134" t="n">
        <v>2</v>
      </c>
      <c r="CQ134" t="n">
        <v>0</v>
      </c>
      <c r="CR134" t="n">
        <v>0</v>
      </c>
      <c r="CS134" t="n">
        <v>0</v>
      </c>
      <c r="CT134" t="n">
        <v>31</v>
      </c>
      <c r="CU134" t="n">
        <v>0</v>
      </c>
      <c r="CV134" t="n">
        <v>0</v>
      </c>
      <c r="CW134" t="n">
        <v>2</v>
      </c>
      <c r="CX134" t="n">
        <v>0</v>
      </c>
      <c r="CY134" t="n">
        <v>29</v>
      </c>
      <c r="CZ134" t="n">
        <v>0</v>
      </c>
      <c r="DA134" t="n">
        <v>0</v>
      </c>
      <c r="DB134" t="n">
        <v>0</v>
      </c>
      <c r="DC134" t="n">
        <v>31</v>
      </c>
      <c r="DD134" t="n">
        <v>0</v>
      </c>
      <c r="DE134" t="n">
        <v>0</v>
      </c>
      <c r="DF134" t="n">
        <v>46</v>
      </c>
      <c r="DG134" t="n">
        <v>12</v>
      </c>
      <c r="DH134" t="n">
        <v>0</v>
      </c>
      <c r="DI134" t="n">
        <v>0</v>
      </c>
      <c r="DJ134" t="n">
        <v>0</v>
      </c>
      <c r="DK134" t="n">
        <v>0</v>
      </c>
      <c r="DL134" t="n">
        <v>0</v>
      </c>
      <c r="DM134" t="n">
        <v>0</v>
      </c>
      <c r="DN134" t="n">
        <v>0</v>
      </c>
      <c r="DO134" t="n">
        <v>0</v>
      </c>
      <c r="DP134" t="n">
        <v>0</v>
      </c>
      <c r="DQ134" t="n">
        <v>0</v>
      </c>
      <c r="DR134" t="n">
        <v>0</v>
      </c>
      <c r="DS134" t="n">
        <v>58</v>
      </c>
      <c r="DT134" t="n">
        <v>120</v>
      </c>
      <c r="DU134" t="n">
        <v>30</v>
      </c>
      <c r="DV134" t="n">
        <v>0</v>
      </c>
      <c r="DW134" t="n">
        <v>0</v>
      </c>
      <c r="DX134" t="n">
        <v>0</v>
      </c>
      <c r="DY134" t="n">
        <v>174</v>
      </c>
      <c r="DZ134" t="n">
        <v>87</v>
      </c>
      <c r="EA134" t="n">
        <v>174</v>
      </c>
      <c r="EB134" t="n">
        <v>116</v>
      </c>
      <c r="EC134" t="n">
        <v>29</v>
      </c>
      <c r="ED134" t="n">
        <v>196</v>
      </c>
      <c r="EE134" t="n">
        <v>384</v>
      </c>
      <c r="EF134" t="n">
        <v>0</v>
      </c>
      <c r="EG134" t="n">
        <v>3</v>
      </c>
      <c r="EH134" t="n">
        <v>0.4</v>
      </c>
      <c r="EI134" t="n">
        <v>0.4</v>
      </c>
      <c r="EJ134" t="n">
        <v>0.2</v>
      </c>
      <c r="EK134" t="n">
        <v>0.4</v>
      </c>
    </row>
    <row r="135">
      <c r="A135">
        <f>[1]ingredient!B134</f>
        <v/>
      </c>
      <c r="B135" t="inlineStr">
        <is>
          <t>https://www.naehrwertrechner.de/naehrwerte/C310001/Gr%C3%BCnkern/?menge=100</t>
        </is>
      </c>
      <c r="C135" s="7">
        <f>_xlfn.XLOOKUP(A135,[1]ingredient!$B$2:$B$521,[1]ingredient!$A$2:$A$521)</f>
        <v/>
      </c>
      <c r="D135" t="n">
        <v>324</v>
      </c>
      <c r="E135" t="n">
        <v>3</v>
      </c>
      <c r="F135" t="n">
        <v>11</v>
      </c>
      <c r="G135" t="n">
        <v>63</v>
      </c>
      <c r="H135" t="n">
        <v>9</v>
      </c>
      <c r="I135" t="n">
        <v>1</v>
      </c>
      <c r="J135" t="n">
        <v>0.02</v>
      </c>
      <c r="K135" t="n">
        <v>13</v>
      </c>
      <c r="L135" t="n">
        <v>0</v>
      </c>
      <c r="M135" t="n">
        <v>0</v>
      </c>
      <c r="N135" t="n">
        <v>0</v>
      </c>
      <c r="O135" t="n">
        <v>0</v>
      </c>
      <c r="P135" t="n">
        <v>300</v>
      </c>
      <c r="Q135" t="n">
        <v>100</v>
      </c>
      <c r="R135" t="n">
        <v>1500</v>
      </c>
      <c r="S135" t="n">
        <v>3300</v>
      </c>
      <c r="T135" t="n">
        <v>1200</v>
      </c>
      <c r="U135" t="n">
        <v>300</v>
      </c>
      <c r="V135" t="n">
        <v>6</v>
      </c>
      <c r="W135" t="n">
        <v>50</v>
      </c>
      <c r="X135" t="n">
        <v>0</v>
      </c>
      <c r="Y135" t="n">
        <v>0</v>
      </c>
      <c r="Z135" t="n">
        <v>0</v>
      </c>
      <c r="AA135" t="n">
        <v>300</v>
      </c>
      <c r="AB135" t="n">
        <v>30</v>
      </c>
      <c r="AC135" t="n">
        <v>3</v>
      </c>
      <c r="AD135" t="n">
        <v>447</v>
      </c>
      <c r="AE135" t="n">
        <v>22</v>
      </c>
      <c r="AF135" t="n">
        <v>130</v>
      </c>
      <c r="AG135" t="n">
        <v>411</v>
      </c>
      <c r="AH135" t="n">
        <v>140</v>
      </c>
      <c r="AI135" t="n">
        <v>20</v>
      </c>
      <c r="AJ135" t="n">
        <v>4200</v>
      </c>
      <c r="AK135" t="n">
        <v>3500</v>
      </c>
      <c r="AL135" t="n">
        <v>260</v>
      </c>
      <c r="AM135" t="n">
        <v>3000</v>
      </c>
      <c r="AN135" t="n">
        <v>60</v>
      </c>
      <c r="AO135" t="n">
        <v>1</v>
      </c>
      <c r="AP135" t="n">
        <v>0</v>
      </c>
      <c r="AQ135" t="n">
        <v>0</v>
      </c>
      <c r="AR135" t="n">
        <v>0</v>
      </c>
      <c r="AS135" t="n">
        <v>0</v>
      </c>
      <c r="AT135" t="n">
        <v>63</v>
      </c>
      <c r="AU135" t="n">
        <v>63</v>
      </c>
      <c r="AV135" t="n">
        <v>0</v>
      </c>
      <c r="AW135" t="n">
        <v>126</v>
      </c>
      <c r="AX135" t="n">
        <v>633</v>
      </c>
      <c r="AY135" t="n">
        <v>0</v>
      </c>
      <c r="AZ135" t="n">
        <v>0</v>
      </c>
      <c r="BA135" t="n">
        <v>633</v>
      </c>
      <c r="BB135" t="n">
        <v>380</v>
      </c>
      <c r="BC135" t="n">
        <v>0</v>
      </c>
      <c r="BD135" t="n">
        <v>0</v>
      </c>
      <c r="BE135" t="n">
        <v>62111</v>
      </c>
      <c r="BF135" t="n">
        <v>62111</v>
      </c>
      <c r="BG135">
        <f>IF($F135=0,"0",MIN(
BH135/(30*$F135),
BI135/(61*$F135),
BJ135/(48*$F135),
(BK135+BL135)/(23*$F135),
(BM135+BN135)/(41*$F135),
BO135/(25*$F135),
BP135/(6.6*$F135),
BQ135/(40*$F135),
BS135/(16*$F135)
)*100)</f>
        <v/>
      </c>
      <c r="BH135" t="n">
        <v>420</v>
      </c>
      <c r="BI135" t="n">
        <v>721</v>
      </c>
      <c r="BJ135" t="n">
        <v>291</v>
      </c>
      <c r="BK135" t="n">
        <v>161</v>
      </c>
      <c r="BL135" t="n">
        <v>215</v>
      </c>
      <c r="BM135" t="n">
        <v>495</v>
      </c>
      <c r="BN135" t="n">
        <v>323</v>
      </c>
      <c r="BO135" t="n">
        <v>312</v>
      </c>
      <c r="BP135" t="n">
        <v>108</v>
      </c>
      <c r="BQ135" t="n">
        <v>484</v>
      </c>
      <c r="BR135" t="n">
        <v>484</v>
      </c>
      <c r="BS135" t="n">
        <v>204</v>
      </c>
      <c r="BT135" t="n">
        <v>4218</v>
      </c>
      <c r="BU135" t="n">
        <v>377</v>
      </c>
      <c r="BV135" t="n">
        <v>527</v>
      </c>
      <c r="BW135" t="n">
        <v>3259</v>
      </c>
      <c r="BX135" t="n">
        <v>495</v>
      </c>
      <c r="BY135" t="n">
        <v>1227</v>
      </c>
      <c r="BZ135" t="n">
        <v>549</v>
      </c>
      <c r="CA135" t="n">
        <v>6434</v>
      </c>
      <c r="CB135" t="n">
        <v>125</v>
      </c>
      <c r="CC135" t="n">
        <v>52</v>
      </c>
      <c r="CD135" t="n">
        <v>78</v>
      </c>
      <c r="CE135" t="n">
        <v>1158</v>
      </c>
      <c r="CF135" t="n">
        <v>14.85</v>
      </c>
      <c r="CG135" t="n">
        <v>0</v>
      </c>
      <c r="CH135" t="n">
        <v>0</v>
      </c>
      <c r="CI135" t="n">
        <v>0</v>
      </c>
      <c r="CJ135" t="n">
        <v>0</v>
      </c>
      <c r="CK135" t="n">
        <v>2</v>
      </c>
      <c r="CL135" t="n">
        <v>4</v>
      </c>
      <c r="CM135" t="n">
        <v>2</v>
      </c>
      <c r="CN135" t="n">
        <v>350</v>
      </c>
      <c r="CO135" t="n">
        <v>0</v>
      </c>
      <c r="CP135" t="n">
        <v>19</v>
      </c>
      <c r="CQ135" t="n">
        <v>16</v>
      </c>
      <c r="CR135" t="n">
        <v>0</v>
      </c>
      <c r="CS135" t="n">
        <v>0</v>
      </c>
      <c r="CT135" t="n">
        <v>393</v>
      </c>
      <c r="CU135" t="n">
        <v>0</v>
      </c>
      <c r="CV135" t="n">
        <v>0</v>
      </c>
      <c r="CW135" t="n">
        <v>10</v>
      </c>
      <c r="CX135" t="n">
        <v>0</v>
      </c>
      <c r="CY135" t="n">
        <v>297</v>
      </c>
      <c r="CZ135" t="n">
        <v>8</v>
      </c>
      <c r="DA135" t="n">
        <v>0</v>
      </c>
      <c r="DB135" t="n">
        <v>0</v>
      </c>
      <c r="DC135" t="n">
        <v>315</v>
      </c>
      <c r="DD135" t="n">
        <v>0</v>
      </c>
      <c r="DE135" t="n">
        <v>0</v>
      </c>
      <c r="DF135" t="n">
        <v>1154</v>
      </c>
      <c r="DG135" t="n">
        <v>78</v>
      </c>
      <c r="DH135" t="n">
        <v>0</v>
      </c>
      <c r="DI135" t="n">
        <v>0</v>
      </c>
      <c r="DJ135" t="n">
        <v>0</v>
      </c>
      <c r="DK135" t="n">
        <v>0</v>
      </c>
      <c r="DL135" t="n">
        <v>4</v>
      </c>
      <c r="DM135" t="n">
        <v>0</v>
      </c>
      <c r="DN135" t="n">
        <v>0</v>
      </c>
      <c r="DO135" t="n">
        <v>0</v>
      </c>
      <c r="DP135" t="n">
        <v>0</v>
      </c>
      <c r="DQ135" t="n">
        <v>0</v>
      </c>
      <c r="DR135" t="n">
        <v>0</v>
      </c>
      <c r="DS135" t="n">
        <v>1236</v>
      </c>
      <c r="DT135" t="n">
        <v>1944</v>
      </c>
      <c r="DU135" t="n">
        <v>756</v>
      </c>
      <c r="DV135" t="n">
        <v>0</v>
      </c>
      <c r="DW135" t="n">
        <v>0</v>
      </c>
      <c r="DX135" t="n">
        <v>0</v>
      </c>
      <c r="DY135" t="n">
        <v>4136</v>
      </c>
      <c r="DZ135" t="n">
        <v>2640</v>
      </c>
      <c r="EA135" t="n">
        <v>528</v>
      </c>
      <c r="EB135" t="n">
        <v>1056</v>
      </c>
      <c r="EC135" t="n">
        <v>440</v>
      </c>
      <c r="ED135" t="n">
        <v>3300</v>
      </c>
      <c r="EE135" t="n">
        <v>5500</v>
      </c>
      <c r="EF135" t="n">
        <v>0</v>
      </c>
      <c r="EG135" t="n">
        <v>0</v>
      </c>
      <c r="EH135" t="n">
        <v>2</v>
      </c>
      <c r="EI135" t="n">
        <v>5.5</v>
      </c>
      <c r="EJ135" t="n">
        <v>2.7</v>
      </c>
      <c r="EK135" t="n">
        <v>11.1</v>
      </c>
    </row>
    <row r="136">
      <c r="A136">
        <f>[1]ingredient!B135</f>
        <v/>
      </c>
      <c r="B136" t="inlineStr">
        <is>
          <t>https://www.naehrwertrechner.de/naehrwerte/C311022/Gr%C3%BCnkern+Vollkorn+gegart/?menge=100</t>
        </is>
      </c>
      <c r="C136" s="7">
        <f>_xlfn.XLOOKUP(A136,[1]ingredient!$B$2:$B$521,[1]ingredient!$A$2:$A$521)</f>
        <v/>
      </c>
      <c r="D136" t="n">
        <v>104</v>
      </c>
      <c r="E136" t="n">
        <v>1</v>
      </c>
      <c r="F136" t="n">
        <v>4</v>
      </c>
      <c r="G136" t="n">
        <v>20</v>
      </c>
      <c r="H136" t="n">
        <v>3</v>
      </c>
      <c r="I136" t="n">
        <v>0.24</v>
      </c>
      <c r="J136" t="n">
        <v>0.01</v>
      </c>
      <c r="K136" t="n">
        <v>71</v>
      </c>
      <c r="L136" t="n">
        <v>0</v>
      </c>
      <c r="M136" t="n">
        <v>0</v>
      </c>
      <c r="N136" t="n">
        <v>0</v>
      </c>
      <c r="O136" t="n">
        <v>0</v>
      </c>
      <c r="P136" t="n">
        <v>59</v>
      </c>
      <c r="Q136" t="n">
        <v>29</v>
      </c>
      <c r="R136" t="n">
        <v>441</v>
      </c>
      <c r="S136" t="n">
        <v>1074</v>
      </c>
      <c r="T136" t="n">
        <v>282</v>
      </c>
      <c r="U136" t="n">
        <v>65</v>
      </c>
      <c r="V136" t="n">
        <v>1</v>
      </c>
      <c r="W136" t="n">
        <v>14</v>
      </c>
      <c r="X136" t="n">
        <v>0</v>
      </c>
      <c r="Y136" t="n">
        <v>0</v>
      </c>
      <c r="Z136" t="n">
        <v>0</v>
      </c>
      <c r="AA136" t="n">
        <v>114</v>
      </c>
      <c r="AB136" t="n">
        <v>11</v>
      </c>
      <c r="AC136" t="n">
        <v>1</v>
      </c>
      <c r="AD136" t="n">
        <v>175</v>
      </c>
      <c r="AE136" t="n">
        <v>9</v>
      </c>
      <c r="AF136" t="n">
        <v>51</v>
      </c>
      <c r="AG136" t="n">
        <v>153</v>
      </c>
      <c r="AH136" t="n">
        <v>55</v>
      </c>
      <c r="AI136" t="n">
        <v>8</v>
      </c>
      <c r="AJ136" t="n">
        <v>1645</v>
      </c>
      <c r="AK136" t="n">
        <v>1302</v>
      </c>
      <c r="AL136" t="n">
        <v>102</v>
      </c>
      <c r="AM136" t="n">
        <v>1175</v>
      </c>
      <c r="AN136" t="n">
        <v>24</v>
      </c>
      <c r="AO136" t="n">
        <v>0.4</v>
      </c>
      <c r="AP136" t="n">
        <v>0</v>
      </c>
      <c r="AQ136" t="n">
        <v>0</v>
      </c>
      <c r="AR136" t="n">
        <v>0</v>
      </c>
      <c r="AS136" t="n">
        <v>0</v>
      </c>
      <c r="AT136" t="n">
        <v>20</v>
      </c>
      <c r="AU136" t="n">
        <v>20</v>
      </c>
      <c r="AV136" t="n">
        <v>0</v>
      </c>
      <c r="AW136" t="n">
        <v>40</v>
      </c>
      <c r="AX136" t="n">
        <v>198</v>
      </c>
      <c r="AY136" t="n">
        <v>0</v>
      </c>
      <c r="AZ136" t="n">
        <v>0</v>
      </c>
      <c r="BA136" t="n">
        <v>198</v>
      </c>
      <c r="BB136" t="n">
        <v>119</v>
      </c>
      <c r="BC136" t="n">
        <v>0</v>
      </c>
      <c r="BD136" t="n">
        <v>0</v>
      </c>
      <c r="BE136" t="n">
        <v>19464</v>
      </c>
      <c r="BF136" t="n">
        <v>19464</v>
      </c>
      <c r="BG136">
        <f>IF($F136=0,"0",MIN(
BH136/(30*$F136),
BI136/(61*$F136),
BJ136/(48*$F136),
(BK136+BL136)/(23*$F136),
(BM136+BN136)/(41*$F136),
BO136/(25*$F136),
BP136/(6.6*$F136),
BQ136/(40*$F136),
BS136/(16*$F136)
)*100)</f>
        <v/>
      </c>
      <c r="BH136" t="n">
        <v>148</v>
      </c>
      <c r="BI136" t="n">
        <v>254</v>
      </c>
      <c r="BJ136" t="n">
        <v>103</v>
      </c>
      <c r="BK136" t="n">
        <v>57</v>
      </c>
      <c r="BL136" t="n">
        <v>76</v>
      </c>
      <c r="BM136" t="n">
        <v>175</v>
      </c>
      <c r="BN136" t="n">
        <v>114</v>
      </c>
      <c r="BO136" t="n">
        <v>110</v>
      </c>
      <c r="BP136" t="n">
        <v>38</v>
      </c>
      <c r="BQ136" t="n">
        <v>171</v>
      </c>
      <c r="BR136" t="n">
        <v>171</v>
      </c>
      <c r="BS136" t="n">
        <v>72</v>
      </c>
      <c r="BT136" t="n">
        <v>1489</v>
      </c>
      <c r="BU136" t="n">
        <v>133</v>
      </c>
      <c r="BV136" t="n">
        <v>186</v>
      </c>
      <c r="BW136" t="n">
        <v>1145</v>
      </c>
      <c r="BX136" t="n">
        <v>175</v>
      </c>
      <c r="BY136" t="n">
        <v>433</v>
      </c>
      <c r="BZ136" t="n">
        <v>194</v>
      </c>
      <c r="CA136" t="n">
        <v>2266</v>
      </c>
      <c r="CB136" t="n">
        <v>49</v>
      </c>
      <c r="CC136" t="n">
        <v>20</v>
      </c>
      <c r="CD136" t="n">
        <v>27</v>
      </c>
      <c r="CE136" t="n">
        <v>407</v>
      </c>
      <c r="CF136" t="n">
        <v>15.07</v>
      </c>
      <c r="CG136" t="n">
        <v>0</v>
      </c>
      <c r="CH136" t="n">
        <v>0</v>
      </c>
      <c r="CI136" t="n">
        <v>0</v>
      </c>
      <c r="CJ136" t="n">
        <v>0</v>
      </c>
      <c r="CK136" t="n">
        <v>1</v>
      </c>
      <c r="CL136" t="n">
        <v>1</v>
      </c>
      <c r="CM136" t="n">
        <v>1</v>
      </c>
      <c r="CN136" t="n">
        <v>123</v>
      </c>
      <c r="CO136" t="n">
        <v>0</v>
      </c>
      <c r="CP136" t="n">
        <v>7</v>
      </c>
      <c r="CQ136" t="n">
        <v>6</v>
      </c>
      <c r="CR136" t="n">
        <v>0</v>
      </c>
      <c r="CS136" t="n">
        <v>0</v>
      </c>
      <c r="CT136" t="n">
        <v>139</v>
      </c>
      <c r="CU136" t="n">
        <v>0</v>
      </c>
      <c r="CV136" t="n">
        <v>0</v>
      </c>
      <c r="CW136" t="n">
        <v>4</v>
      </c>
      <c r="CX136" t="n">
        <v>0</v>
      </c>
      <c r="CY136" t="n">
        <v>105</v>
      </c>
      <c r="CZ136" t="n">
        <v>3</v>
      </c>
      <c r="DA136" t="n">
        <v>0</v>
      </c>
      <c r="DB136" t="n">
        <v>0</v>
      </c>
      <c r="DC136" t="n">
        <v>112</v>
      </c>
      <c r="DD136" t="n">
        <v>0</v>
      </c>
      <c r="DE136" t="n">
        <v>0</v>
      </c>
      <c r="DF136" t="n">
        <v>406</v>
      </c>
      <c r="DG136" t="n">
        <v>27</v>
      </c>
      <c r="DH136" t="n">
        <v>0</v>
      </c>
      <c r="DI136" t="n">
        <v>0</v>
      </c>
      <c r="DJ136" t="n">
        <v>0</v>
      </c>
      <c r="DK136" t="n">
        <v>0</v>
      </c>
      <c r="DL136" t="n">
        <v>1</v>
      </c>
      <c r="DM136" t="n">
        <v>0</v>
      </c>
      <c r="DN136" t="n">
        <v>0</v>
      </c>
      <c r="DO136" t="n">
        <v>0</v>
      </c>
      <c r="DP136" t="n">
        <v>0</v>
      </c>
      <c r="DQ136" t="n">
        <v>0</v>
      </c>
      <c r="DR136" t="n">
        <v>0</v>
      </c>
      <c r="DS136" t="n">
        <v>434</v>
      </c>
      <c r="DT136" t="n">
        <v>685</v>
      </c>
      <c r="DU136" t="n">
        <v>267</v>
      </c>
      <c r="DV136" t="n">
        <v>0</v>
      </c>
      <c r="DW136" t="n">
        <v>0</v>
      </c>
      <c r="DX136" t="n">
        <v>0</v>
      </c>
      <c r="DY136" t="n">
        <v>1507</v>
      </c>
      <c r="DZ136" t="n">
        <v>962</v>
      </c>
      <c r="EA136" t="n">
        <v>192</v>
      </c>
      <c r="EB136" t="n">
        <v>385</v>
      </c>
      <c r="EC136" t="n">
        <v>160</v>
      </c>
      <c r="ED136" t="n">
        <v>1202</v>
      </c>
      <c r="EE136" t="n">
        <v>2004</v>
      </c>
      <c r="EF136" t="n">
        <v>0</v>
      </c>
      <c r="EG136" t="n">
        <v>0</v>
      </c>
      <c r="EH136" t="n">
        <v>0.7</v>
      </c>
      <c r="EI136" t="n">
        <v>2</v>
      </c>
      <c r="EJ136" t="n">
        <v>1</v>
      </c>
      <c r="EK136" t="n">
        <v>3.9</v>
      </c>
    </row>
    <row r="137">
      <c r="A137">
        <f>[1]ingredient!B136</f>
        <v/>
      </c>
      <c r="B137" t="inlineStr">
        <is>
          <t>https://www.naehrwertrechner.de/naehrwerte/G322111/Gr%C3%BCnkohl+roh/?menge=100</t>
        </is>
      </c>
      <c r="C137" s="7">
        <f>_xlfn.XLOOKUP(A137,[1]ingredient!$B$2:$B$521,[1]ingredient!$A$2:$A$521)</f>
        <v/>
      </c>
      <c r="D137" t="n">
        <v>37</v>
      </c>
      <c r="E137" t="n">
        <v>1</v>
      </c>
      <c r="F137" t="n">
        <v>4</v>
      </c>
      <c r="G137" t="n">
        <v>3</v>
      </c>
      <c r="H137" t="n">
        <v>4</v>
      </c>
      <c r="I137" t="n">
        <v>3</v>
      </c>
      <c r="J137" t="n">
        <v>0.1</v>
      </c>
      <c r="K137" t="n">
        <v>86</v>
      </c>
      <c r="L137" t="n">
        <v>862</v>
      </c>
      <c r="M137" t="n">
        <v>431</v>
      </c>
      <c r="N137" t="n">
        <v>0</v>
      </c>
      <c r="O137" t="n">
        <v>5169</v>
      </c>
      <c r="P137" t="n">
        <v>100</v>
      </c>
      <c r="Q137" t="n">
        <v>250</v>
      </c>
      <c r="R137" t="n">
        <v>2100</v>
      </c>
      <c r="S137" t="n">
        <v>3167</v>
      </c>
      <c r="T137" t="n">
        <v>0</v>
      </c>
      <c r="U137" t="n">
        <v>250</v>
      </c>
      <c r="V137" t="n">
        <v>1</v>
      </c>
      <c r="W137" t="n">
        <v>187</v>
      </c>
      <c r="X137" t="n">
        <v>0</v>
      </c>
      <c r="Y137" t="n">
        <v>105000</v>
      </c>
      <c r="Z137" t="n">
        <v>0</v>
      </c>
      <c r="AA137" t="n">
        <v>1700</v>
      </c>
      <c r="AB137" t="n">
        <v>817</v>
      </c>
      <c r="AC137" t="n">
        <v>35</v>
      </c>
      <c r="AD137" t="n">
        <v>451</v>
      </c>
      <c r="AE137" t="n">
        <v>212</v>
      </c>
      <c r="AF137" t="n">
        <v>31</v>
      </c>
      <c r="AG137" t="n">
        <v>87</v>
      </c>
      <c r="AH137" t="n">
        <v>110</v>
      </c>
      <c r="AI137" t="n">
        <v>60</v>
      </c>
      <c r="AJ137" t="n">
        <v>1900</v>
      </c>
      <c r="AK137" t="n">
        <v>330</v>
      </c>
      <c r="AL137" t="n">
        <v>56</v>
      </c>
      <c r="AM137" t="n">
        <v>550</v>
      </c>
      <c r="AN137" t="n">
        <v>20</v>
      </c>
      <c r="AO137" t="n">
        <v>5</v>
      </c>
      <c r="AP137" t="n">
        <v>0</v>
      </c>
      <c r="AQ137" t="n">
        <v>0</v>
      </c>
      <c r="AR137" t="n">
        <v>0</v>
      </c>
      <c r="AS137" t="n">
        <v>0</v>
      </c>
      <c r="AT137" t="n">
        <v>615</v>
      </c>
      <c r="AU137" t="n">
        <v>920</v>
      </c>
      <c r="AV137" t="n">
        <v>0</v>
      </c>
      <c r="AW137" t="n">
        <v>1535</v>
      </c>
      <c r="AX137" t="n">
        <v>1000</v>
      </c>
      <c r="AY137" t="n">
        <v>0</v>
      </c>
      <c r="AZ137" t="n">
        <v>0</v>
      </c>
      <c r="BA137" t="n">
        <v>1000</v>
      </c>
      <c r="BB137" t="n">
        <v>0</v>
      </c>
      <c r="BC137" t="n">
        <v>0</v>
      </c>
      <c r="BD137" t="n">
        <v>0</v>
      </c>
      <c r="BE137" t="n">
        <v>102</v>
      </c>
      <c r="BF137" t="n">
        <v>102</v>
      </c>
      <c r="BG137">
        <f>IF($F137=0,"0",MIN(
BH137/(30*$F137),
BI137/(61*$F137),
BJ137/(48*$F137),
(BK137+BL137)/(23*$F137),
(BM137+BN137)/(41*$F137),
BO137/(25*$F137),
BP137/(6.6*$F137),
BQ137/(40*$F137),
BS137/(16*$F137)
)*100)</f>
        <v/>
      </c>
      <c r="BH137" t="n">
        <v>140</v>
      </c>
      <c r="BI137" t="n">
        <v>250</v>
      </c>
      <c r="BJ137" t="n">
        <v>240</v>
      </c>
      <c r="BK137" t="n">
        <v>52</v>
      </c>
      <c r="BL137" t="n">
        <v>69</v>
      </c>
      <c r="BM137" t="n">
        <v>140</v>
      </c>
      <c r="BN137" t="n">
        <v>180</v>
      </c>
      <c r="BO137" t="n">
        <v>130</v>
      </c>
      <c r="BP137" t="n">
        <v>64</v>
      </c>
      <c r="BQ137" t="n">
        <v>230</v>
      </c>
      <c r="BR137" t="n">
        <v>300</v>
      </c>
      <c r="BS137" t="n">
        <v>100</v>
      </c>
      <c r="BT137" t="n">
        <v>1895</v>
      </c>
      <c r="BU137" t="n">
        <v>269</v>
      </c>
      <c r="BV137" t="n">
        <v>448</v>
      </c>
      <c r="BW137" t="n">
        <v>537</v>
      </c>
      <c r="BX137" t="n">
        <v>215</v>
      </c>
      <c r="BY137" t="n">
        <v>251</v>
      </c>
      <c r="BZ137" t="n">
        <v>197</v>
      </c>
      <c r="CA137" t="n">
        <v>1917</v>
      </c>
      <c r="CB137" t="n">
        <v>48</v>
      </c>
      <c r="CC137" t="n">
        <v>16</v>
      </c>
      <c r="CD137" t="n">
        <v>355</v>
      </c>
      <c r="CE137" t="n">
        <v>130</v>
      </c>
      <c r="CF137" t="n">
        <v>0.37</v>
      </c>
      <c r="CG137" t="n">
        <v>0</v>
      </c>
      <c r="CH137" t="n">
        <v>0</v>
      </c>
      <c r="CI137" t="n">
        <v>0</v>
      </c>
      <c r="CJ137" t="n">
        <v>0</v>
      </c>
      <c r="CK137" t="n">
        <v>4</v>
      </c>
      <c r="CL137" t="n">
        <v>1</v>
      </c>
      <c r="CM137" t="n">
        <v>0</v>
      </c>
      <c r="CN137" t="n">
        <v>95</v>
      </c>
      <c r="CO137" t="n">
        <v>0</v>
      </c>
      <c r="CP137" t="n">
        <v>9</v>
      </c>
      <c r="CQ137" t="n">
        <v>2</v>
      </c>
      <c r="CR137" t="n">
        <v>0</v>
      </c>
      <c r="CS137" t="n">
        <v>0</v>
      </c>
      <c r="CT137" t="n">
        <v>111</v>
      </c>
      <c r="CU137" t="n">
        <v>0</v>
      </c>
      <c r="CV137" t="n">
        <v>0</v>
      </c>
      <c r="CW137" t="n">
        <v>12</v>
      </c>
      <c r="CX137" t="n">
        <v>0</v>
      </c>
      <c r="CY137" t="n">
        <v>5</v>
      </c>
      <c r="CZ137" t="n">
        <v>2</v>
      </c>
      <c r="DA137" t="n">
        <v>0</v>
      </c>
      <c r="DB137" t="n">
        <v>0</v>
      </c>
      <c r="DC137" t="n">
        <v>19</v>
      </c>
      <c r="DD137" t="n">
        <v>0</v>
      </c>
      <c r="DE137" t="n">
        <v>0</v>
      </c>
      <c r="DF137" t="n">
        <v>130</v>
      </c>
      <c r="DG137" t="n">
        <v>355</v>
      </c>
      <c r="DH137" t="n">
        <v>0</v>
      </c>
      <c r="DI137" t="n">
        <v>0</v>
      </c>
      <c r="DJ137" t="n">
        <v>0</v>
      </c>
      <c r="DK137" t="n">
        <v>0</v>
      </c>
      <c r="DL137" t="n">
        <v>0</v>
      </c>
      <c r="DM137" t="n">
        <v>0</v>
      </c>
      <c r="DN137" t="n">
        <v>0</v>
      </c>
      <c r="DO137" t="n">
        <v>0</v>
      </c>
      <c r="DP137" t="n">
        <v>0</v>
      </c>
      <c r="DQ137" t="n">
        <v>0</v>
      </c>
      <c r="DR137" t="n">
        <v>0</v>
      </c>
      <c r="DS137" t="n">
        <v>485</v>
      </c>
      <c r="DT137" t="n">
        <v>614</v>
      </c>
      <c r="DU137" t="n">
        <v>180</v>
      </c>
      <c r="DV137" t="n">
        <v>0</v>
      </c>
      <c r="DW137" t="n">
        <v>0</v>
      </c>
      <c r="DX137" t="n">
        <v>0</v>
      </c>
      <c r="DY137" t="n">
        <v>882</v>
      </c>
      <c r="DZ137" t="n">
        <v>714</v>
      </c>
      <c r="EA137" t="n">
        <v>1050</v>
      </c>
      <c r="EB137" t="n">
        <v>1470</v>
      </c>
      <c r="EC137" t="n">
        <v>126</v>
      </c>
      <c r="ED137" t="n">
        <v>420</v>
      </c>
      <c r="EE137" t="n">
        <v>3780</v>
      </c>
      <c r="EF137" t="n">
        <v>0</v>
      </c>
      <c r="EG137" t="n">
        <v>0.44</v>
      </c>
      <c r="EH137" t="n">
        <v>1.7</v>
      </c>
      <c r="EI137" t="n">
        <v>3.8</v>
      </c>
      <c r="EJ137" t="n">
        <v>0.9</v>
      </c>
      <c r="EK137" t="n">
        <v>4</v>
      </c>
    </row>
    <row r="138">
      <c r="A138">
        <f>[1]ingredient!B137</f>
        <v/>
      </c>
      <c r="B138" t="inlineStr">
        <is>
          <t>https://www.naehrwertrechner.de/naehrwerte/G322111/Gr%C3%BCnkohl+roh/?menge=100</t>
        </is>
      </c>
      <c r="C138" s="7">
        <f>_xlfn.XLOOKUP(A138,[1]ingredient!$B$2:$B$521,[1]ingredient!$A$2:$A$521)</f>
        <v/>
      </c>
      <c r="D138" t="n">
        <v>37</v>
      </c>
      <c r="E138" t="n">
        <v>1</v>
      </c>
      <c r="F138" t="n">
        <v>4</v>
      </c>
      <c r="G138" t="n">
        <v>3</v>
      </c>
      <c r="H138" t="n">
        <v>4</v>
      </c>
      <c r="I138" t="n">
        <v>3</v>
      </c>
      <c r="J138" t="n">
        <v>0.1</v>
      </c>
      <c r="K138" t="n">
        <v>86</v>
      </c>
      <c r="L138" t="n">
        <v>862</v>
      </c>
      <c r="M138" t="n">
        <v>431</v>
      </c>
      <c r="N138" t="n">
        <v>0</v>
      </c>
      <c r="O138" t="n">
        <v>5169</v>
      </c>
      <c r="P138" t="n">
        <v>100</v>
      </c>
      <c r="Q138" t="n">
        <v>250</v>
      </c>
      <c r="R138" t="n">
        <v>2100</v>
      </c>
      <c r="S138" t="n">
        <v>3167</v>
      </c>
      <c r="T138" t="n">
        <v>0</v>
      </c>
      <c r="U138" t="n">
        <v>250</v>
      </c>
      <c r="V138" t="n">
        <v>1</v>
      </c>
      <c r="W138" t="n">
        <v>187</v>
      </c>
      <c r="X138" t="n">
        <v>0</v>
      </c>
      <c r="Y138" t="n">
        <v>105000</v>
      </c>
      <c r="Z138" t="n">
        <v>0</v>
      </c>
      <c r="AA138" t="n">
        <v>1700</v>
      </c>
      <c r="AB138" t="n">
        <v>817</v>
      </c>
      <c r="AC138" t="n">
        <v>35</v>
      </c>
      <c r="AD138" t="n">
        <v>451</v>
      </c>
      <c r="AE138" t="n">
        <v>212</v>
      </c>
      <c r="AF138" t="n">
        <v>31</v>
      </c>
      <c r="AG138" t="n">
        <v>87</v>
      </c>
      <c r="AH138" t="n">
        <v>110</v>
      </c>
      <c r="AI138" t="n">
        <v>60</v>
      </c>
      <c r="AJ138" t="n">
        <v>1900</v>
      </c>
      <c r="AK138" t="n">
        <v>330</v>
      </c>
      <c r="AL138" t="n">
        <v>56</v>
      </c>
      <c r="AM138" t="n">
        <v>550</v>
      </c>
      <c r="AN138" t="n">
        <v>20</v>
      </c>
      <c r="AO138" t="n">
        <v>5</v>
      </c>
      <c r="AP138" t="n">
        <v>0</v>
      </c>
      <c r="AQ138" t="n">
        <v>0</v>
      </c>
      <c r="AR138" t="n">
        <v>0</v>
      </c>
      <c r="AS138" t="n">
        <v>0</v>
      </c>
      <c r="AT138" t="n">
        <v>615</v>
      </c>
      <c r="AU138" t="n">
        <v>920</v>
      </c>
      <c r="AV138" t="n">
        <v>0</v>
      </c>
      <c r="AW138" t="n">
        <v>1535</v>
      </c>
      <c r="AX138" t="n">
        <v>1000</v>
      </c>
      <c r="AY138" t="n">
        <v>0</v>
      </c>
      <c r="AZ138" t="n">
        <v>0</v>
      </c>
      <c r="BA138" t="n">
        <v>1000</v>
      </c>
      <c r="BB138" t="n">
        <v>0</v>
      </c>
      <c r="BC138" t="n">
        <v>0</v>
      </c>
      <c r="BD138" t="n">
        <v>0</v>
      </c>
      <c r="BE138" t="n">
        <v>102</v>
      </c>
      <c r="BF138" t="n">
        <v>102</v>
      </c>
      <c r="BG138">
        <f>IF($F138=0,"0",MIN(
BH138/(30*$F138),
BI138/(61*$F138),
BJ138/(48*$F138),
(BK138+BL138)/(23*$F138),
(BM138+BN138)/(41*$F138),
BO138/(25*$F138),
BP138/(6.6*$F138),
BQ138/(40*$F138),
BS138/(16*$F138)
)*100)</f>
        <v/>
      </c>
      <c r="BH138" t="n">
        <v>140</v>
      </c>
      <c r="BI138" t="n">
        <v>250</v>
      </c>
      <c r="BJ138" t="n">
        <v>240</v>
      </c>
      <c r="BK138" t="n">
        <v>52</v>
      </c>
      <c r="BL138" t="n">
        <v>69</v>
      </c>
      <c r="BM138" t="n">
        <v>140</v>
      </c>
      <c r="BN138" t="n">
        <v>180</v>
      </c>
      <c r="BO138" t="n">
        <v>130</v>
      </c>
      <c r="BP138" t="n">
        <v>64</v>
      </c>
      <c r="BQ138" t="n">
        <v>230</v>
      </c>
      <c r="BR138" t="n">
        <v>300</v>
      </c>
      <c r="BS138" t="n">
        <v>100</v>
      </c>
      <c r="BT138" t="n">
        <v>1895</v>
      </c>
      <c r="BU138" t="n">
        <v>269</v>
      </c>
      <c r="BV138" t="n">
        <v>448</v>
      </c>
      <c r="BW138" t="n">
        <v>537</v>
      </c>
      <c r="BX138" t="n">
        <v>215</v>
      </c>
      <c r="BY138" t="n">
        <v>251</v>
      </c>
      <c r="BZ138" t="n">
        <v>197</v>
      </c>
      <c r="CA138" t="n">
        <v>1917</v>
      </c>
      <c r="CB138" t="n">
        <v>48</v>
      </c>
      <c r="CC138" t="n">
        <v>16</v>
      </c>
      <c r="CD138" t="n">
        <v>355</v>
      </c>
      <c r="CE138" t="n">
        <v>130</v>
      </c>
      <c r="CF138" t="n">
        <v>0.37</v>
      </c>
      <c r="CG138" t="n">
        <v>0</v>
      </c>
      <c r="CH138" t="n">
        <v>0</v>
      </c>
      <c r="CI138" t="n">
        <v>0</v>
      </c>
      <c r="CJ138" t="n">
        <v>0</v>
      </c>
      <c r="CK138" t="n">
        <v>4</v>
      </c>
      <c r="CL138" t="n">
        <v>1</v>
      </c>
      <c r="CM138" t="n">
        <v>0</v>
      </c>
      <c r="CN138" t="n">
        <v>95</v>
      </c>
      <c r="CO138" t="n">
        <v>0</v>
      </c>
      <c r="CP138" t="n">
        <v>9</v>
      </c>
      <c r="CQ138" t="n">
        <v>2</v>
      </c>
      <c r="CR138" t="n">
        <v>0</v>
      </c>
      <c r="CS138" t="n">
        <v>0</v>
      </c>
      <c r="CT138" t="n">
        <v>111</v>
      </c>
      <c r="CU138" t="n">
        <v>0</v>
      </c>
      <c r="CV138" t="n">
        <v>0</v>
      </c>
      <c r="CW138" t="n">
        <v>12</v>
      </c>
      <c r="CX138" t="n">
        <v>0</v>
      </c>
      <c r="CY138" t="n">
        <v>5</v>
      </c>
      <c r="CZ138" t="n">
        <v>2</v>
      </c>
      <c r="DA138" t="n">
        <v>0</v>
      </c>
      <c r="DB138" t="n">
        <v>0</v>
      </c>
      <c r="DC138" t="n">
        <v>19</v>
      </c>
      <c r="DD138" t="n">
        <v>0</v>
      </c>
      <c r="DE138" t="n">
        <v>0</v>
      </c>
      <c r="DF138" t="n">
        <v>130</v>
      </c>
      <c r="DG138" t="n">
        <v>355</v>
      </c>
      <c r="DH138" t="n">
        <v>0</v>
      </c>
      <c r="DI138" t="n">
        <v>0</v>
      </c>
      <c r="DJ138" t="n">
        <v>0</v>
      </c>
      <c r="DK138" t="n">
        <v>0</v>
      </c>
      <c r="DL138" t="n">
        <v>0</v>
      </c>
      <c r="DM138" t="n">
        <v>0</v>
      </c>
      <c r="DN138" t="n">
        <v>0</v>
      </c>
      <c r="DO138" t="n">
        <v>0</v>
      </c>
      <c r="DP138" t="n">
        <v>0</v>
      </c>
      <c r="DQ138" t="n">
        <v>0</v>
      </c>
      <c r="DR138" t="n">
        <v>0</v>
      </c>
      <c r="DS138" t="n">
        <v>485</v>
      </c>
      <c r="DT138" t="n">
        <v>614</v>
      </c>
      <c r="DU138" t="n">
        <v>180</v>
      </c>
      <c r="DV138" t="n">
        <v>0</v>
      </c>
      <c r="DW138" t="n">
        <v>0</v>
      </c>
      <c r="DX138" t="n">
        <v>0</v>
      </c>
      <c r="DY138" t="n">
        <v>882</v>
      </c>
      <c r="DZ138" t="n">
        <v>714</v>
      </c>
      <c r="EA138" t="n">
        <v>1050</v>
      </c>
      <c r="EB138" t="n">
        <v>1470</v>
      </c>
      <c r="EC138" t="n">
        <v>126</v>
      </c>
      <c r="ED138" t="n">
        <v>420</v>
      </c>
      <c r="EE138" t="n">
        <v>3780</v>
      </c>
      <c r="EF138" t="n">
        <v>0</v>
      </c>
      <c r="EG138" t="n">
        <v>0.44</v>
      </c>
      <c r="EH138" t="n">
        <v>1.7</v>
      </c>
      <c r="EI138" t="n">
        <v>3.8</v>
      </c>
      <c r="EJ138" t="n">
        <v>0.9</v>
      </c>
      <c r="EK138" t="n">
        <v>4</v>
      </c>
    </row>
    <row r="139">
      <c r="A139">
        <f>[1]ingredient!B138</f>
        <v/>
      </c>
      <c r="B139" t="inlineStr">
        <is>
          <t>https://www.naehrwertrechner.de/naehrwerte/G322211/Gr%C3%BCnkohl+tiefgefroren/?menge=100</t>
        </is>
      </c>
      <c r="C139" s="7">
        <f>_xlfn.XLOOKUP(A139,[1]ingredient!$B$2:$B$521,[1]ingredient!$A$2:$A$521)</f>
        <v/>
      </c>
      <c r="D139" t="n">
        <v>40</v>
      </c>
      <c r="E139" t="n">
        <v>1</v>
      </c>
      <c r="F139" t="n">
        <v>5</v>
      </c>
      <c r="G139" t="n">
        <v>3</v>
      </c>
      <c r="H139" t="n">
        <v>5</v>
      </c>
      <c r="I139" t="n">
        <v>3</v>
      </c>
      <c r="J139" t="n">
        <v>0.09</v>
      </c>
      <c r="K139" t="n">
        <v>85</v>
      </c>
      <c r="L139" t="n">
        <v>898</v>
      </c>
      <c r="M139" t="n">
        <v>449</v>
      </c>
      <c r="N139" t="n">
        <v>0</v>
      </c>
      <c r="O139" t="n">
        <v>5385</v>
      </c>
      <c r="P139" t="n">
        <v>88</v>
      </c>
      <c r="Q139" t="n">
        <v>247</v>
      </c>
      <c r="R139" t="n">
        <v>2072</v>
      </c>
      <c r="S139" t="n">
        <v>3389</v>
      </c>
      <c r="T139" t="n">
        <v>0</v>
      </c>
      <c r="U139" t="n">
        <v>219</v>
      </c>
      <c r="V139" t="n">
        <v>1</v>
      </c>
      <c r="W139" t="n">
        <v>144</v>
      </c>
      <c r="X139" t="n">
        <v>0</v>
      </c>
      <c r="Y139" t="n">
        <v>80596</v>
      </c>
      <c r="Z139" t="n">
        <v>0</v>
      </c>
      <c r="AA139" t="n">
        <v>1864</v>
      </c>
      <c r="AB139" t="n">
        <v>896</v>
      </c>
      <c r="AC139" t="n">
        <v>35</v>
      </c>
      <c r="AD139" t="n">
        <v>445</v>
      </c>
      <c r="AE139" t="n">
        <v>209</v>
      </c>
      <c r="AF139" t="n">
        <v>31</v>
      </c>
      <c r="AG139" t="n">
        <v>86</v>
      </c>
      <c r="AH139" t="n">
        <v>109</v>
      </c>
      <c r="AI139" t="n">
        <v>59</v>
      </c>
      <c r="AJ139" t="n">
        <v>1875</v>
      </c>
      <c r="AK139" t="n">
        <v>326</v>
      </c>
      <c r="AL139" t="n">
        <v>55</v>
      </c>
      <c r="AM139" t="n">
        <v>543</v>
      </c>
      <c r="AN139" t="n">
        <v>20</v>
      </c>
      <c r="AO139" t="n">
        <v>4</v>
      </c>
      <c r="AP139" t="n">
        <v>0</v>
      </c>
      <c r="AQ139" t="n">
        <v>0</v>
      </c>
      <c r="AR139" t="n">
        <v>0</v>
      </c>
      <c r="AS139" t="n">
        <v>0</v>
      </c>
      <c r="AT139" t="n">
        <v>617</v>
      </c>
      <c r="AU139" t="n">
        <v>923</v>
      </c>
      <c r="AV139" t="n">
        <v>0</v>
      </c>
      <c r="AW139" t="n">
        <v>1540</v>
      </c>
      <c r="AX139" t="n">
        <v>1004</v>
      </c>
      <c r="AY139" t="n">
        <v>0</v>
      </c>
      <c r="AZ139" t="n">
        <v>0</v>
      </c>
      <c r="BA139" t="n">
        <v>1004</v>
      </c>
      <c r="BB139" t="n">
        <v>0</v>
      </c>
      <c r="BC139" t="n">
        <v>0</v>
      </c>
      <c r="BD139" t="n">
        <v>0</v>
      </c>
      <c r="BE139" t="n">
        <v>102</v>
      </c>
      <c r="BF139" t="n">
        <v>102</v>
      </c>
      <c r="BG139">
        <f>IF($F139=0,"0",MIN(
BH139/(30*$F139),
BI139/(61*$F139),
BJ139/(48*$F139),
(BK139+BL139)/(23*$F139),
(BM139+BN139)/(41*$F139),
BO139/(25*$F139),
BP139/(6.6*$F139),
BQ139/(40*$F139),
BS139/(16*$F139)
)*100)</f>
        <v/>
      </c>
      <c r="BH139" t="n">
        <v>174</v>
      </c>
      <c r="BI139" t="n">
        <v>309</v>
      </c>
      <c r="BJ139" t="n">
        <v>297</v>
      </c>
      <c r="BK139" t="n">
        <v>64</v>
      </c>
      <c r="BL139" t="n">
        <v>86</v>
      </c>
      <c r="BM139" t="n">
        <v>174</v>
      </c>
      <c r="BN139" t="n">
        <v>222</v>
      </c>
      <c r="BO139" t="n">
        <v>161</v>
      </c>
      <c r="BP139" t="n">
        <v>79</v>
      </c>
      <c r="BQ139" t="n">
        <v>284</v>
      </c>
      <c r="BR139" t="n">
        <v>371</v>
      </c>
      <c r="BS139" t="n">
        <v>124</v>
      </c>
      <c r="BT139" t="n">
        <v>2345</v>
      </c>
      <c r="BU139" t="n">
        <v>333</v>
      </c>
      <c r="BV139" t="n">
        <v>554</v>
      </c>
      <c r="BW139" t="n">
        <v>664</v>
      </c>
      <c r="BX139" t="n">
        <v>266</v>
      </c>
      <c r="BY139" t="n">
        <v>310</v>
      </c>
      <c r="BZ139" t="n">
        <v>244</v>
      </c>
      <c r="CA139" t="n">
        <v>2371</v>
      </c>
      <c r="CB139" t="n">
        <v>53</v>
      </c>
      <c r="CC139" t="n">
        <v>18</v>
      </c>
      <c r="CD139" t="n">
        <v>442</v>
      </c>
      <c r="CE139" t="n">
        <v>162</v>
      </c>
      <c r="CF139" t="n">
        <v>0.37</v>
      </c>
      <c r="CG139" t="n">
        <v>0</v>
      </c>
      <c r="CH139" t="n">
        <v>0</v>
      </c>
      <c r="CI139" t="n">
        <v>0</v>
      </c>
      <c r="CJ139" t="n">
        <v>0</v>
      </c>
      <c r="CK139" t="n">
        <v>5</v>
      </c>
      <c r="CL139" t="n">
        <v>2</v>
      </c>
      <c r="CM139" t="n">
        <v>0</v>
      </c>
      <c r="CN139" t="n">
        <v>118</v>
      </c>
      <c r="CO139" t="n">
        <v>0</v>
      </c>
      <c r="CP139" t="n">
        <v>10</v>
      </c>
      <c r="CQ139" t="n">
        <v>2</v>
      </c>
      <c r="CR139" t="n">
        <v>0</v>
      </c>
      <c r="CS139" t="n">
        <v>0</v>
      </c>
      <c r="CT139" t="n">
        <v>137</v>
      </c>
      <c r="CU139" t="n">
        <v>0</v>
      </c>
      <c r="CV139" t="n">
        <v>0</v>
      </c>
      <c r="CW139" t="n">
        <v>15</v>
      </c>
      <c r="CX139" t="n">
        <v>0</v>
      </c>
      <c r="CY139" t="n">
        <v>6</v>
      </c>
      <c r="CZ139" t="n">
        <v>2</v>
      </c>
      <c r="DA139" t="n">
        <v>0</v>
      </c>
      <c r="DB139" t="n">
        <v>0</v>
      </c>
      <c r="DC139" t="n">
        <v>23</v>
      </c>
      <c r="DD139" t="n">
        <v>0</v>
      </c>
      <c r="DE139" t="n">
        <v>0</v>
      </c>
      <c r="DF139" t="n">
        <v>162</v>
      </c>
      <c r="DG139" t="n">
        <v>442</v>
      </c>
      <c r="DH139" t="n">
        <v>0</v>
      </c>
      <c r="DI139" t="n">
        <v>0</v>
      </c>
      <c r="DJ139" t="n">
        <v>0</v>
      </c>
      <c r="DK139" t="n">
        <v>0</v>
      </c>
      <c r="DL139" t="n">
        <v>0</v>
      </c>
      <c r="DM139" t="n">
        <v>0</v>
      </c>
      <c r="DN139" t="n">
        <v>0</v>
      </c>
      <c r="DO139" t="n">
        <v>0</v>
      </c>
      <c r="DP139" t="n">
        <v>0</v>
      </c>
      <c r="DQ139" t="n">
        <v>0</v>
      </c>
      <c r="DR139" t="n">
        <v>0</v>
      </c>
      <c r="DS139" t="n">
        <v>604</v>
      </c>
      <c r="DT139" t="n">
        <v>764</v>
      </c>
      <c r="DU139" t="n">
        <v>223</v>
      </c>
      <c r="DV139" t="n">
        <v>0</v>
      </c>
      <c r="DW139" t="n">
        <v>0</v>
      </c>
      <c r="DX139" t="n">
        <v>0</v>
      </c>
      <c r="DY139" t="n">
        <v>957</v>
      </c>
      <c r="DZ139" t="n">
        <v>775</v>
      </c>
      <c r="EA139" t="n">
        <v>1140</v>
      </c>
      <c r="EB139" t="n">
        <v>1596</v>
      </c>
      <c r="EC139" t="n">
        <v>137</v>
      </c>
      <c r="ED139" t="n">
        <v>461</v>
      </c>
      <c r="EE139" t="n">
        <v>4145</v>
      </c>
      <c r="EF139" t="n">
        <v>0</v>
      </c>
      <c r="EG139" t="n">
        <v>0.48</v>
      </c>
      <c r="EH139" t="n">
        <v>1.8</v>
      </c>
      <c r="EI139" t="n">
        <v>4.1</v>
      </c>
      <c r="EJ139" t="n">
        <v>1</v>
      </c>
      <c r="EK139" t="n">
        <v>4.9</v>
      </c>
    </row>
    <row r="140">
      <c r="A140">
        <f>[1]ingredient!B139</f>
        <v/>
      </c>
      <c r="B140" s="13" t="inlineStr">
        <is>
          <t>https://www.naehrwertrechner.de/naehrwerte/G330111/Sprossenkohl+frisch/?menge=100</t>
        </is>
      </c>
      <c r="C140" s="7">
        <f>_xlfn.XLOOKUP(A140,[1]ingredient!$B$2:$B$521,[1]ingredient!$A$2:$A$521)</f>
        <v/>
      </c>
      <c r="D140" t="n">
        <v>36</v>
      </c>
      <c r="E140" t="n">
        <v>0.34</v>
      </c>
      <c r="F140" t="n">
        <v>4</v>
      </c>
      <c r="G140" t="n">
        <v>3</v>
      </c>
      <c r="H140" t="n">
        <v>4</v>
      </c>
      <c r="I140" t="n">
        <v>3</v>
      </c>
      <c r="J140" t="n">
        <v>0.05</v>
      </c>
      <c r="K140" t="n">
        <v>86</v>
      </c>
      <c r="L140" t="n">
        <v>75</v>
      </c>
      <c r="M140" t="n">
        <v>37</v>
      </c>
      <c r="N140" t="n">
        <v>0</v>
      </c>
      <c r="O140" t="n">
        <v>447</v>
      </c>
      <c r="P140" t="n">
        <v>126</v>
      </c>
      <c r="Q140" t="n">
        <v>134</v>
      </c>
      <c r="R140" t="n">
        <v>670</v>
      </c>
      <c r="S140" t="n">
        <v>1420</v>
      </c>
      <c r="T140" t="n">
        <v>500</v>
      </c>
      <c r="U140" t="n">
        <v>280</v>
      </c>
      <c r="V140" t="n">
        <v>0.4</v>
      </c>
      <c r="W140" t="n">
        <v>78</v>
      </c>
      <c r="X140" t="n">
        <v>0</v>
      </c>
      <c r="Y140" t="n">
        <v>112000</v>
      </c>
      <c r="Z140" t="n">
        <v>0</v>
      </c>
      <c r="AA140" t="n">
        <v>560</v>
      </c>
      <c r="AB140" t="n">
        <v>250</v>
      </c>
      <c r="AC140" t="n">
        <v>10</v>
      </c>
      <c r="AD140" t="n">
        <v>387</v>
      </c>
      <c r="AE140" t="n">
        <v>31</v>
      </c>
      <c r="AF140" t="n">
        <v>22</v>
      </c>
      <c r="AG140" t="n">
        <v>84</v>
      </c>
      <c r="AH140" t="n">
        <v>93</v>
      </c>
      <c r="AI140" t="n">
        <v>40</v>
      </c>
      <c r="AJ140" t="n">
        <v>1100</v>
      </c>
      <c r="AK140" t="n">
        <v>590</v>
      </c>
      <c r="AL140" t="n">
        <v>65</v>
      </c>
      <c r="AM140" t="n">
        <v>260</v>
      </c>
      <c r="AN140" t="n">
        <v>10</v>
      </c>
      <c r="AO140" t="n">
        <v>1</v>
      </c>
      <c r="AP140" t="n">
        <v>0</v>
      </c>
      <c r="AQ140" t="n">
        <v>0</v>
      </c>
      <c r="AR140" t="n">
        <v>0</v>
      </c>
      <c r="AS140" t="n">
        <v>0</v>
      </c>
      <c r="AT140" t="n">
        <v>987</v>
      </c>
      <c r="AU140" t="n">
        <v>888</v>
      </c>
      <c r="AV140" t="n">
        <v>0</v>
      </c>
      <c r="AW140" t="n">
        <v>1875</v>
      </c>
      <c r="AX140" t="n">
        <v>1086</v>
      </c>
      <c r="AY140" t="n">
        <v>0</v>
      </c>
      <c r="AZ140" t="n">
        <v>0</v>
      </c>
      <c r="BA140" t="n">
        <v>1086</v>
      </c>
      <c r="BB140" t="n">
        <v>0</v>
      </c>
      <c r="BC140" t="n">
        <v>0</v>
      </c>
      <c r="BD140" t="n">
        <v>0</v>
      </c>
      <c r="BE140" t="n">
        <v>329</v>
      </c>
      <c r="BF140" t="n">
        <v>329</v>
      </c>
      <c r="BG140">
        <f>IF($F140=0,"0",MIN(
BH140/(30*$F140),
BI140/(61*$F140),
BJ140/(48*$F140),
(BK140+BL140)/(23*$F140),
(BM140+BN140)/(41*$F140),
BO140/(25*$F140),
BP140/(6.6*$F140),
BQ140/(40*$F140),
BS140/(16*$F140)
)*100)</f>
        <v/>
      </c>
      <c r="BH140" t="n">
        <v>182</v>
      </c>
      <c r="BI140" t="n">
        <v>200</v>
      </c>
      <c r="BJ140" t="n">
        <v>187</v>
      </c>
      <c r="BK140" t="n">
        <v>45</v>
      </c>
      <c r="BL140" t="n">
        <v>22</v>
      </c>
      <c r="BM140" t="n">
        <v>125</v>
      </c>
      <c r="BN140" t="n">
        <v>89</v>
      </c>
      <c r="BO140" t="n">
        <v>142</v>
      </c>
      <c r="BP140" t="n">
        <v>45</v>
      </c>
      <c r="BQ140" t="n">
        <v>169</v>
      </c>
      <c r="BR140" t="n">
        <v>276</v>
      </c>
      <c r="BS140" t="n">
        <v>93</v>
      </c>
      <c r="BT140" t="n">
        <v>1575</v>
      </c>
      <c r="BU140" t="n">
        <v>214</v>
      </c>
      <c r="BV140" t="n">
        <v>454</v>
      </c>
      <c r="BW140" t="n">
        <v>712</v>
      </c>
      <c r="BX140" t="n">
        <v>169</v>
      </c>
      <c r="BY140" t="n">
        <v>787</v>
      </c>
      <c r="BZ140" t="n">
        <v>227</v>
      </c>
      <c r="CA140" t="n">
        <v>2563</v>
      </c>
      <c r="CB140" t="n">
        <v>60</v>
      </c>
      <c r="CC140" t="n">
        <v>25</v>
      </c>
      <c r="CD140" t="n">
        <v>142</v>
      </c>
      <c r="CE140" t="n">
        <v>49</v>
      </c>
      <c r="CF140" t="n">
        <v>0.35</v>
      </c>
      <c r="CG140" t="n">
        <v>0</v>
      </c>
      <c r="CH140" t="n">
        <v>0</v>
      </c>
      <c r="CI140" t="n">
        <v>2</v>
      </c>
      <c r="CJ140" t="n">
        <v>0</v>
      </c>
      <c r="CK140" t="n">
        <v>0</v>
      </c>
      <c r="CL140" t="n">
        <v>1</v>
      </c>
      <c r="CM140" t="n">
        <v>0</v>
      </c>
      <c r="CN140" t="n">
        <v>56</v>
      </c>
      <c r="CO140" t="n">
        <v>0</v>
      </c>
      <c r="CP140" t="n">
        <v>3</v>
      </c>
      <c r="CQ140" t="n">
        <v>0</v>
      </c>
      <c r="CR140" t="n">
        <v>0</v>
      </c>
      <c r="CS140" t="n">
        <v>0</v>
      </c>
      <c r="CT140" t="n">
        <v>62</v>
      </c>
      <c r="CU140" t="n">
        <v>0</v>
      </c>
      <c r="CV140" t="n">
        <v>0</v>
      </c>
      <c r="CW140" t="n">
        <v>2</v>
      </c>
      <c r="CX140" t="n">
        <v>0</v>
      </c>
      <c r="CY140" t="n">
        <v>17</v>
      </c>
      <c r="CZ140" t="n">
        <v>0</v>
      </c>
      <c r="DA140" t="n">
        <v>0</v>
      </c>
      <c r="DB140" t="n">
        <v>0</v>
      </c>
      <c r="DC140" t="n">
        <v>19</v>
      </c>
      <c r="DD140" t="n">
        <v>0</v>
      </c>
      <c r="DE140" t="n">
        <v>0</v>
      </c>
      <c r="DF140" t="n">
        <v>49</v>
      </c>
      <c r="DG140" t="n">
        <v>142</v>
      </c>
      <c r="DH140" t="n">
        <v>0</v>
      </c>
      <c r="DI140" t="n">
        <v>0</v>
      </c>
      <c r="DJ140" t="n">
        <v>0</v>
      </c>
      <c r="DK140" t="n">
        <v>0</v>
      </c>
      <c r="DL140" t="n">
        <v>0</v>
      </c>
      <c r="DM140" t="n">
        <v>0</v>
      </c>
      <c r="DN140" t="n">
        <v>0</v>
      </c>
      <c r="DO140" t="n">
        <v>0</v>
      </c>
      <c r="DP140" t="n">
        <v>0</v>
      </c>
      <c r="DQ140" t="n">
        <v>0</v>
      </c>
      <c r="DR140" t="n">
        <v>0</v>
      </c>
      <c r="DS140" t="n">
        <v>191</v>
      </c>
      <c r="DT140" t="n">
        <v>270</v>
      </c>
      <c r="DU140" t="n">
        <v>68</v>
      </c>
      <c r="DV140" t="n">
        <v>0</v>
      </c>
      <c r="DW140" t="n">
        <v>0</v>
      </c>
      <c r="DX140" t="n">
        <v>2</v>
      </c>
      <c r="DY140" t="n">
        <v>1320</v>
      </c>
      <c r="DZ140" t="n">
        <v>880</v>
      </c>
      <c r="EA140" t="n">
        <v>792</v>
      </c>
      <c r="EB140" t="n">
        <v>1320</v>
      </c>
      <c r="EC140" t="n">
        <v>88</v>
      </c>
      <c r="ED140" t="n">
        <v>1452</v>
      </c>
      <c r="EE140" t="n">
        <v>2948</v>
      </c>
      <c r="EF140" t="n">
        <v>0</v>
      </c>
      <c r="EG140" t="n">
        <v>1</v>
      </c>
      <c r="EH140" t="n">
        <v>1.4</v>
      </c>
      <c r="EI140" t="n">
        <v>2.9</v>
      </c>
      <c r="EJ140" t="n">
        <v>0.3</v>
      </c>
      <c r="EK140" t="n">
        <v>4.3</v>
      </c>
    </row>
    <row r="141">
      <c r="A141">
        <f>[1]ingredient!B140</f>
        <v/>
      </c>
      <c r="B141" t="inlineStr">
        <is>
          <t>https://www.naehrwertrechner.de/naehrwerte/F513111/Guave+frisch/?menge=100</t>
        </is>
      </c>
      <c r="C141" s="7">
        <f>_xlfn.XLOOKUP(A141,[1]ingredient!$B$2:$B$521,[1]ingredient!$A$2:$A$521)</f>
        <v/>
      </c>
      <c r="D141" t="n">
        <v>38</v>
      </c>
      <c r="E141" t="n">
        <v>1</v>
      </c>
      <c r="F141" t="n">
        <v>1</v>
      </c>
      <c r="G141" t="n">
        <v>7</v>
      </c>
      <c r="H141" t="n">
        <v>5</v>
      </c>
      <c r="I141" t="n">
        <v>7</v>
      </c>
      <c r="J141" t="n">
        <v>0.01</v>
      </c>
      <c r="K141" t="n">
        <v>85</v>
      </c>
      <c r="L141" t="n">
        <v>37</v>
      </c>
      <c r="M141" t="n">
        <v>18</v>
      </c>
      <c r="N141" t="n">
        <v>0</v>
      </c>
      <c r="O141" t="n">
        <v>220</v>
      </c>
      <c r="P141" t="n">
        <v>30</v>
      </c>
      <c r="Q141" t="n">
        <v>40</v>
      </c>
      <c r="R141" t="n">
        <v>1100</v>
      </c>
      <c r="S141" t="n">
        <v>1233</v>
      </c>
      <c r="T141" t="n">
        <v>150</v>
      </c>
      <c r="U141" t="n">
        <v>140</v>
      </c>
      <c r="V141" t="n">
        <v>3</v>
      </c>
      <c r="W141" t="n">
        <v>30</v>
      </c>
      <c r="X141" t="n">
        <v>0</v>
      </c>
      <c r="Y141" t="n">
        <v>273000</v>
      </c>
      <c r="Z141" t="n">
        <v>0</v>
      </c>
      <c r="AA141" t="n">
        <v>400</v>
      </c>
      <c r="AB141" t="n">
        <v>10</v>
      </c>
      <c r="AC141" t="n">
        <v>4</v>
      </c>
      <c r="AD141" t="n">
        <v>290</v>
      </c>
      <c r="AE141" t="n">
        <v>17</v>
      </c>
      <c r="AF141" t="n">
        <v>13</v>
      </c>
      <c r="AG141" t="n">
        <v>31</v>
      </c>
      <c r="AH141" t="n">
        <v>12</v>
      </c>
      <c r="AI141" t="n">
        <v>6</v>
      </c>
      <c r="AJ141" t="n">
        <v>750</v>
      </c>
      <c r="AK141" t="n">
        <v>900</v>
      </c>
      <c r="AL141" t="n">
        <v>103</v>
      </c>
      <c r="AM141" t="n">
        <v>140</v>
      </c>
      <c r="AN141" t="n">
        <v>10</v>
      </c>
      <c r="AO141" t="n">
        <v>2</v>
      </c>
      <c r="AP141" t="n">
        <v>0</v>
      </c>
      <c r="AQ141" t="n">
        <v>0</v>
      </c>
      <c r="AR141" t="n">
        <v>0</v>
      </c>
      <c r="AS141" t="n">
        <v>0</v>
      </c>
      <c r="AT141" t="n">
        <v>2345</v>
      </c>
      <c r="AU141" t="n">
        <v>2747</v>
      </c>
      <c r="AV141" t="n">
        <v>0</v>
      </c>
      <c r="AW141" t="n">
        <v>5092</v>
      </c>
      <c r="AX141" t="n">
        <v>1608</v>
      </c>
      <c r="AY141" t="n">
        <v>0</v>
      </c>
      <c r="AZ141" t="n">
        <v>0</v>
      </c>
      <c r="BA141" t="n">
        <v>1608</v>
      </c>
      <c r="BB141" t="n">
        <v>0</v>
      </c>
      <c r="BC141" t="n">
        <v>0</v>
      </c>
      <c r="BD141" t="n">
        <v>0</v>
      </c>
      <c r="BE141" t="n">
        <v>0</v>
      </c>
      <c r="BF141" t="n">
        <v>0</v>
      </c>
      <c r="BG141">
        <f>IF($F141=0,"0",MIN(
BH141/(30*$F141),
BI141/(61*$F141),
BJ141/(48*$F141),
(BK141+BL141)/(23*$F141),
(BM141+BN141)/(41*$F141),
BO141/(25*$F141),
BP141/(6.6*$F141),
BQ141/(40*$F141),
BS141/(16*$F141)
)*100)</f>
        <v/>
      </c>
      <c r="BH141" t="n">
        <v>33</v>
      </c>
      <c r="BI141" t="n">
        <v>60</v>
      </c>
      <c r="BJ141" t="n">
        <v>25</v>
      </c>
      <c r="BK141" t="n">
        <v>5</v>
      </c>
      <c r="BL141" t="n">
        <v>0</v>
      </c>
      <c r="BM141" t="n">
        <v>2</v>
      </c>
      <c r="BN141" t="n">
        <v>11</v>
      </c>
      <c r="BO141" t="n">
        <v>34</v>
      </c>
      <c r="BP141" t="n">
        <v>8</v>
      </c>
      <c r="BQ141" t="n">
        <v>31</v>
      </c>
      <c r="BR141" t="n">
        <v>23</v>
      </c>
      <c r="BS141" t="n">
        <v>8</v>
      </c>
      <c r="BT141" t="n">
        <v>240</v>
      </c>
      <c r="BU141" t="n">
        <v>45</v>
      </c>
      <c r="BV141" t="n">
        <v>57</v>
      </c>
      <c r="BW141" t="n">
        <v>118</v>
      </c>
      <c r="BX141" t="n">
        <v>45</v>
      </c>
      <c r="BY141" t="n">
        <v>27</v>
      </c>
      <c r="BZ141" t="n">
        <v>26</v>
      </c>
      <c r="CA141" t="n">
        <v>318</v>
      </c>
      <c r="CB141" t="n">
        <v>15</v>
      </c>
      <c r="CC141" t="n">
        <v>6</v>
      </c>
      <c r="CD141" t="n">
        <v>59</v>
      </c>
      <c r="CE141" t="n">
        <v>152</v>
      </c>
      <c r="CF141" t="n">
        <v>2.58</v>
      </c>
      <c r="CG141" t="n">
        <v>0</v>
      </c>
      <c r="CH141" t="n">
        <v>0</v>
      </c>
      <c r="CI141" t="n">
        <v>0</v>
      </c>
      <c r="CJ141" t="n">
        <v>0</v>
      </c>
      <c r="CK141" t="n">
        <v>0</v>
      </c>
      <c r="CL141" t="n">
        <v>10</v>
      </c>
      <c r="CM141" t="n">
        <v>0</v>
      </c>
      <c r="CN141" t="n">
        <v>120</v>
      </c>
      <c r="CO141" t="n">
        <v>0</v>
      </c>
      <c r="CP141" t="n">
        <v>13</v>
      </c>
      <c r="CQ141" t="n">
        <v>0</v>
      </c>
      <c r="CR141" t="n">
        <v>0</v>
      </c>
      <c r="CS141" t="n">
        <v>0</v>
      </c>
      <c r="CT141" t="n">
        <v>143</v>
      </c>
      <c r="CU141" t="n">
        <v>0</v>
      </c>
      <c r="CV141" t="n">
        <v>0</v>
      </c>
      <c r="CW141" t="n">
        <v>3</v>
      </c>
      <c r="CX141" t="n">
        <v>0</v>
      </c>
      <c r="CY141" t="n">
        <v>43</v>
      </c>
      <c r="CZ141" t="n">
        <v>0</v>
      </c>
      <c r="DA141" t="n">
        <v>0</v>
      </c>
      <c r="DB141" t="n">
        <v>0</v>
      </c>
      <c r="DC141" t="n">
        <v>46</v>
      </c>
      <c r="DD141" t="n">
        <v>0</v>
      </c>
      <c r="DE141" t="n">
        <v>0</v>
      </c>
      <c r="DF141" t="n">
        <v>152</v>
      </c>
      <c r="DG141" t="n">
        <v>59</v>
      </c>
      <c r="DH141" t="n">
        <v>0</v>
      </c>
      <c r="DI141" t="n">
        <v>0</v>
      </c>
      <c r="DJ141" t="n">
        <v>0</v>
      </c>
      <c r="DK141" t="n">
        <v>0</v>
      </c>
      <c r="DL141" t="n">
        <v>0</v>
      </c>
      <c r="DM141" t="n">
        <v>0</v>
      </c>
      <c r="DN141" t="n">
        <v>0</v>
      </c>
      <c r="DO141" t="n">
        <v>0</v>
      </c>
      <c r="DP141" t="n">
        <v>0</v>
      </c>
      <c r="DQ141" t="n">
        <v>0</v>
      </c>
      <c r="DR141" t="n">
        <v>0</v>
      </c>
      <c r="DS141" t="n">
        <v>211</v>
      </c>
      <c r="DT141" t="n">
        <v>400</v>
      </c>
      <c r="DU141" t="n">
        <v>100</v>
      </c>
      <c r="DV141" t="n">
        <v>0</v>
      </c>
      <c r="DW141" t="n">
        <v>0</v>
      </c>
      <c r="DX141" t="n">
        <v>0</v>
      </c>
      <c r="DY141" t="n">
        <v>780</v>
      </c>
      <c r="DZ141" t="n">
        <v>1040</v>
      </c>
      <c r="EA141" t="n">
        <v>1040</v>
      </c>
      <c r="EB141" t="n">
        <v>1040</v>
      </c>
      <c r="EC141" t="n">
        <v>1300</v>
      </c>
      <c r="ED141" t="n">
        <v>1300</v>
      </c>
      <c r="EE141" t="n">
        <v>3900</v>
      </c>
      <c r="EF141" t="n">
        <v>0</v>
      </c>
      <c r="EG141" t="n">
        <v>1</v>
      </c>
      <c r="EH141" t="n">
        <v>0.7</v>
      </c>
      <c r="EI141" t="n">
        <v>3.9</v>
      </c>
      <c r="EJ141" t="n">
        <v>0.5</v>
      </c>
      <c r="EK141" t="n">
        <v>0.6</v>
      </c>
    </row>
    <row r="142">
      <c r="A142">
        <f>[1]ingredient!B141</f>
        <v/>
      </c>
      <c r="B142" t="inlineStr">
        <is>
          <t>https://www.naehrwertrechner.de/naehrwerte/G520111/Gurke+frisch/?menge=100</t>
        </is>
      </c>
      <c r="C142" s="7">
        <f>_xlfn.XLOOKUP(A142,[1]ingredient!$B$2:$B$521,[1]ingredient!$A$2:$A$521)</f>
        <v/>
      </c>
      <c r="D142" t="n">
        <v>12</v>
      </c>
      <c r="E142" t="n">
        <v>0.2</v>
      </c>
      <c r="F142" t="n">
        <v>1</v>
      </c>
      <c r="G142" t="n">
        <v>2</v>
      </c>
      <c r="H142" t="n">
        <v>1</v>
      </c>
      <c r="I142" t="n">
        <v>2</v>
      </c>
      <c r="J142" t="n">
        <v>0.05</v>
      </c>
      <c r="K142" t="n">
        <v>96</v>
      </c>
      <c r="L142" t="n">
        <v>66</v>
      </c>
      <c r="M142" t="n">
        <v>33</v>
      </c>
      <c r="N142" t="n">
        <v>0</v>
      </c>
      <c r="O142" t="n">
        <v>393</v>
      </c>
      <c r="P142" t="n">
        <v>20</v>
      </c>
      <c r="Q142" t="n">
        <v>30</v>
      </c>
      <c r="R142" t="n">
        <v>200</v>
      </c>
      <c r="S142" t="n">
        <v>267</v>
      </c>
      <c r="T142" t="n">
        <v>240</v>
      </c>
      <c r="U142" t="n">
        <v>35</v>
      </c>
      <c r="V142" t="n">
        <v>1</v>
      </c>
      <c r="W142" t="n">
        <v>20</v>
      </c>
      <c r="X142" t="n">
        <v>0</v>
      </c>
      <c r="Y142" t="n">
        <v>8000</v>
      </c>
      <c r="Z142" t="n">
        <v>0</v>
      </c>
      <c r="AA142" t="n">
        <v>63</v>
      </c>
      <c r="AB142" t="n">
        <v>12</v>
      </c>
      <c r="AC142" t="n">
        <v>8</v>
      </c>
      <c r="AD142" t="n">
        <v>141</v>
      </c>
      <c r="AE142" t="n">
        <v>15</v>
      </c>
      <c r="AF142" t="n">
        <v>8</v>
      </c>
      <c r="AG142" t="n">
        <v>23</v>
      </c>
      <c r="AH142" t="n">
        <v>11</v>
      </c>
      <c r="AI142" t="n">
        <v>37</v>
      </c>
      <c r="AJ142" t="n">
        <v>500</v>
      </c>
      <c r="AK142" t="n">
        <v>160</v>
      </c>
      <c r="AL142" t="n">
        <v>90</v>
      </c>
      <c r="AM142" t="n">
        <v>150</v>
      </c>
      <c r="AN142" t="n">
        <v>20</v>
      </c>
      <c r="AO142" t="n">
        <v>3</v>
      </c>
      <c r="AP142" t="n">
        <v>54</v>
      </c>
      <c r="AQ142" t="n">
        <v>0</v>
      </c>
      <c r="AR142" t="n">
        <v>0</v>
      </c>
      <c r="AS142" t="n">
        <v>54</v>
      </c>
      <c r="AT142" t="n">
        <v>787</v>
      </c>
      <c r="AU142" t="n">
        <v>878</v>
      </c>
      <c r="AV142" t="n">
        <v>0</v>
      </c>
      <c r="AW142" t="n">
        <v>1665</v>
      </c>
      <c r="AX142" t="n">
        <v>91</v>
      </c>
      <c r="AY142" t="n">
        <v>0</v>
      </c>
      <c r="AZ142" t="n">
        <v>0</v>
      </c>
      <c r="BA142" t="n">
        <v>91</v>
      </c>
      <c r="BB142" t="n">
        <v>0</v>
      </c>
      <c r="BC142" t="n">
        <v>0</v>
      </c>
      <c r="BD142" t="n">
        <v>0</v>
      </c>
      <c r="BE142" t="n">
        <v>0</v>
      </c>
      <c r="BF142" t="n">
        <v>0</v>
      </c>
      <c r="BG142">
        <f>IF($F142=0,"0",MIN(
BH142/(30*$F142),
BI142/(61*$F142),
BJ142/(48*$F142),
(BK142+BL142)/(23*$F142),
(BM142+BN142)/(41*$F142),
BO142/(25*$F142),
BP142/(6.6*$F142),
BQ142/(40*$F142),
BS142/(16*$F142)
)*100)</f>
        <v/>
      </c>
      <c r="BH142" t="n">
        <v>18</v>
      </c>
      <c r="BI142" t="n">
        <v>25</v>
      </c>
      <c r="BJ142" t="n">
        <v>26</v>
      </c>
      <c r="BK142" t="n">
        <v>5</v>
      </c>
      <c r="BL142" t="n">
        <v>3</v>
      </c>
      <c r="BM142" t="n">
        <v>14</v>
      </c>
      <c r="BN142" t="n">
        <v>10</v>
      </c>
      <c r="BO142" t="n">
        <v>16</v>
      </c>
      <c r="BP142" t="n">
        <v>4</v>
      </c>
      <c r="BQ142" t="n">
        <v>20</v>
      </c>
      <c r="BR142" t="n">
        <v>41</v>
      </c>
      <c r="BS142" t="n">
        <v>8</v>
      </c>
      <c r="BT142" t="n">
        <v>190</v>
      </c>
      <c r="BU142" t="n">
        <v>20</v>
      </c>
      <c r="BV142" t="n">
        <v>35</v>
      </c>
      <c r="BW142" t="n">
        <v>172</v>
      </c>
      <c r="BX142" t="n">
        <v>21</v>
      </c>
      <c r="BY142" t="n">
        <v>13</v>
      </c>
      <c r="BZ142" t="n">
        <v>17</v>
      </c>
      <c r="CA142" t="n">
        <v>278</v>
      </c>
      <c r="CB142" t="n">
        <v>8</v>
      </c>
      <c r="CC142" t="n">
        <v>3</v>
      </c>
      <c r="CD142" t="n">
        <v>42</v>
      </c>
      <c r="CE142" t="n">
        <v>47</v>
      </c>
      <c r="CF142" t="n">
        <v>1.12</v>
      </c>
      <c r="CG142" t="n">
        <v>0</v>
      </c>
      <c r="CH142" t="n">
        <v>0</v>
      </c>
      <c r="CI142" t="n">
        <v>0</v>
      </c>
      <c r="CJ142" t="n">
        <v>0</v>
      </c>
      <c r="CK142" t="n">
        <v>0</v>
      </c>
      <c r="CL142" t="n">
        <v>1</v>
      </c>
      <c r="CM142" t="n">
        <v>0</v>
      </c>
      <c r="CN142" t="n">
        <v>59</v>
      </c>
      <c r="CO142" t="n">
        <v>0</v>
      </c>
      <c r="CP142" t="n">
        <v>6</v>
      </c>
      <c r="CQ142" t="n">
        <v>0</v>
      </c>
      <c r="CR142" t="n">
        <v>0</v>
      </c>
      <c r="CS142" t="n">
        <v>0</v>
      </c>
      <c r="CT142" t="n">
        <v>66</v>
      </c>
      <c r="CU142" t="n">
        <v>0</v>
      </c>
      <c r="CV142" t="n">
        <v>0</v>
      </c>
      <c r="CW142" t="n">
        <v>0</v>
      </c>
      <c r="CX142" t="n">
        <v>0</v>
      </c>
      <c r="CY142" t="n">
        <v>5</v>
      </c>
      <c r="CZ142" t="n">
        <v>0</v>
      </c>
      <c r="DA142" t="n">
        <v>0</v>
      </c>
      <c r="DB142" t="n">
        <v>0</v>
      </c>
      <c r="DC142" t="n">
        <v>5</v>
      </c>
      <c r="DD142" t="n">
        <v>0</v>
      </c>
      <c r="DE142" t="n">
        <v>0</v>
      </c>
      <c r="DF142" t="n">
        <v>47</v>
      </c>
      <c r="DG142" t="n">
        <v>42</v>
      </c>
      <c r="DH142" t="n">
        <v>0</v>
      </c>
      <c r="DI142" t="n">
        <v>0</v>
      </c>
      <c r="DJ142" t="n">
        <v>0</v>
      </c>
      <c r="DK142" t="n">
        <v>0</v>
      </c>
      <c r="DL142" t="n">
        <v>0</v>
      </c>
      <c r="DM142" t="n">
        <v>0</v>
      </c>
      <c r="DN142" t="n">
        <v>0</v>
      </c>
      <c r="DO142" t="n">
        <v>0</v>
      </c>
      <c r="DP142" t="n">
        <v>0</v>
      </c>
      <c r="DQ142" t="n">
        <v>0</v>
      </c>
      <c r="DR142" t="n">
        <v>0</v>
      </c>
      <c r="DS142" t="n">
        <v>89</v>
      </c>
      <c r="DT142" t="n">
        <v>160</v>
      </c>
      <c r="DU142" t="n">
        <v>40</v>
      </c>
      <c r="DV142" t="n">
        <v>0</v>
      </c>
      <c r="DW142" t="n">
        <v>0</v>
      </c>
      <c r="DX142" t="n">
        <v>0</v>
      </c>
      <c r="DY142" t="n">
        <v>43</v>
      </c>
      <c r="DZ142" t="n">
        <v>97</v>
      </c>
      <c r="EA142" t="n">
        <v>157</v>
      </c>
      <c r="EB142" t="n">
        <v>227</v>
      </c>
      <c r="EC142" t="n">
        <v>16</v>
      </c>
      <c r="ED142" t="n">
        <v>108</v>
      </c>
      <c r="EE142" t="n">
        <v>432</v>
      </c>
      <c r="EF142" t="n">
        <v>0</v>
      </c>
      <c r="EG142" t="n">
        <v>0.26</v>
      </c>
      <c r="EH142" t="n">
        <v>0.6</v>
      </c>
      <c r="EI142" t="n">
        <v>0.4</v>
      </c>
      <c r="EJ142" t="n">
        <v>0.2</v>
      </c>
      <c r="EK142" t="n">
        <v>0.5</v>
      </c>
    </row>
    <row r="143">
      <c r="A143" s="9">
        <f>[1]ingredient!B142</f>
        <v/>
      </c>
      <c r="C143" s="7">
        <f>_xlfn.XLOOKUP(A143,[1]ingredient!$B$2:$B$521,[1]ingredient!$A$2:$A$521)</f>
        <v/>
      </c>
      <c r="D143" s="10">
        <f>(3*D290+3*D353+3*D415+D217+D72+2*D296+2*D307+D362+D198)/17</f>
        <v/>
      </c>
      <c r="E143" s="10">
        <f>(3*E290+3*E353+3*E415+E217+E72+2*E296+2*E307+E362+E198)/17</f>
        <v/>
      </c>
      <c r="F143" s="10">
        <f>(3*F290+3*F353+3*F415+F217+F72+2*F296+2*F307+F362+F198)/17</f>
        <v/>
      </c>
      <c r="G143" s="10">
        <f>(3*G290+3*G353+3*G415+G217+G72+2*G296+2*G307+G362+G198)/17</f>
        <v/>
      </c>
      <c r="H143" s="10">
        <f>(3*H290+3*H353+3*H415+H217+H72+2*H296+2*H307+H362+H198)/17</f>
        <v/>
      </c>
      <c r="I143" s="10">
        <f>(3*I290+3*I353+3*I415+I217+I72+2*I296+2*I307+I362+I198)/17</f>
        <v/>
      </c>
      <c r="J143" s="10">
        <f>(3*J290+3*J353+3*J415+J217+J72+2*J296+2*J307+J362+J198)/17</f>
        <v/>
      </c>
      <c r="K143" s="10">
        <f>(3*K290+3*K353+3*K415+K217+K72+2*K296+2*K307+K362+K198)/17</f>
        <v/>
      </c>
      <c r="L143" s="10">
        <f>(3*L290+3*L353+3*L415+L217+L72+2*L296+2*L307+L362+L198)/17</f>
        <v/>
      </c>
      <c r="M143" s="10">
        <f>(3*M290+3*M353+3*M415+M217+M72+2*M296+2*M307+M362+M198)/17</f>
        <v/>
      </c>
      <c r="N143" s="10">
        <f>(3*N290+3*N353+3*N415+N217+N72+2*N296+2*N307+N362+N198)/17</f>
        <v/>
      </c>
      <c r="O143" s="10">
        <f>(3*O290+3*O353+3*O415+O217+O72+2*O296+2*O307+O362+O198)/17</f>
        <v/>
      </c>
      <c r="P143" s="10">
        <f>(3*P290+3*P353+3*P415+P217+P72+2*P296+2*P307+P362+P198)/17</f>
        <v/>
      </c>
      <c r="Q143" s="10">
        <f>(3*Q290+3*Q353+3*Q415+Q217+Q72+2*Q296+2*Q307+Q362+Q198)/17</f>
        <v/>
      </c>
      <c r="R143" s="10">
        <f>(3*R290+3*R353+3*R415+R217+R72+2*R296+2*R307+R362+R198)/17</f>
        <v/>
      </c>
      <c r="S143" s="10">
        <f>(3*S290+3*S353+3*S415+S217+S72+2*S296+2*S307+S362+S198)/17</f>
        <v/>
      </c>
      <c r="T143" s="10">
        <f>(3*T290+3*T353+3*T415+T217+T72+2*T296+2*T307+T362+T198)/17</f>
        <v/>
      </c>
      <c r="U143" s="10">
        <f>(3*U290+3*U353+3*U415+U217+U72+2*U296+2*U307+U362+U198)/17</f>
        <v/>
      </c>
      <c r="V143" s="10">
        <f>(3*V290+3*V353+3*V415+V217+V72+2*V296+2*V307+V362+V198)/17</f>
        <v/>
      </c>
      <c r="W143" s="10">
        <f>(3*W290+3*W353+3*W415+W217+W72+2*W296+2*W307+W362+W198)/17</f>
        <v/>
      </c>
      <c r="X143" s="10">
        <f>(3*X290+3*X353+3*X415+X217+X72+2*X296+2*X307+X362+X198)/17</f>
        <v/>
      </c>
      <c r="Y143" s="10">
        <f>(3*Y290+3*Y353+3*Y415+Y217+Y72+2*Y296+2*Y307+Y362+Y198)/17</f>
        <v/>
      </c>
      <c r="Z143" s="10">
        <f>(3*Z290+3*Z353+3*Z415+Z217+Z72+2*Z296+2*Z307+Z362+Z198)/17</f>
        <v/>
      </c>
      <c r="AA143" s="10">
        <f>(3*AA290+3*AA353+3*AA415+AA217+AA72+2*AA296+2*AA307+AA362+AA198)/17</f>
        <v/>
      </c>
      <c r="AB143" s="10">
        <f>(3*AB290+3*AB353+3*AB415+AB217+AB72+2*AB296+2*AB307+AB362+AB198)/17</f>
        <v/>
      </c>
      <c r="AC143" s="10">
        <f>(3*AC290+3*AC353+3*AC415+AC217+AC72+2*AC296+2*AC307+AC362+AC198)/17</f>
        <v/>
      </c>
      <c r="AD143" s="10">
        <f>(3*AD290+3*AD353+3*AD415+AD217+AD72+2*AD296+2*AD307+AD362+AD198)/17</f>
        <v/>
      </c>
      <c r="AE143" s="10">
        <f>(3*AE290+3*AE353+3*AE415+AE217+AE72+2*AE296+2*AE307+AE362+AE198)/17</f>
        <v/>
      </c>
      <c r="AF143" s="10">
        <f>(3*AF290+3*AF353+3*AF415+AF217+AF72+2*AF296+2*AF307+AF362+AF198)/17</f>
        <v/>
      </c>
      <c r="AG143" s="10">
        <f>(3*AG290+3*AG353+3*AG415+AG217+AG72+2*AG296+2*AG307+AG362+AG198)/17</f>
        <v/>
      </c>
      <c r="AH143" s="10">
        <f>(3*AH290+3*AH353+3*AH415+AH217+AH72+2*AH296+2*AH307+AH362+AH198)/17</f>
        <v/>
      </c>
      <c r="AI143" s="10">
        <f>(3*AI290+3*AI353+3*AI415+AI217+AI72+2*AI296+2*AI307+AI362+AI198)/17</f>
        <v/>
      </c>
      <c r="AJ143" s="10">
        <f>(3*AJ290+3*AJ353+3*AJ415+AJ217+AJ72+2*AJ296+2*AJ307+AJ362+AJ198)/17</f>
        <v/>
      </c>
      <c r="AK143" s="10">
        <f>(3*AK290+3*AK353+3*AK415+AK217+AK72+2*AK296+2*AK307+AK362+AK198)/17</f>
        <v/>
      </c>
      <c r="AL143" s="10">
        <f>(3*AL290+3*AL353+3*AL415+AL217+AL72+2*AL296+2*AL307+AL362+AL198)/17</f>
        <v/>
      </c>
      <c r="AM143" s="10">
        <f>(3*AM290+3*AM353+3*AM415+AM217+AM72+2*AM296+2*AM307+AM362+AM198)/17</f>
        <v/>
      </c>
      <c r="AN143" s="10">
        <f>(3*AN290+3*AN353+3*AN415+AN217+AN72+2*AN296+2*AN307+AN362+AN198)/17</f>
        <v/>
      </c>
      <c r="AO143" s="10">
        <f>(3*AO290+3*AO353+3*AO415+AO217+AO72+2*AO296+2*AO307+AO362+AO198)/17</f>
        <v/>
      </c>
      <c r="AP143" s="10">
        <f>(3*AP290+3*AP353+3*AP415+AP217+AP72+2*AP296+2*AP307+AP362+AP198)/17</f>
        <v/>
      </c>
      <c r="AQ143" s="10">
        <f>(3*AQ290+3*AQ353+3*AQ415+AQ217+AQ72+2*AQ296+2*AQ307+AQ362+AQ198)/17</f>
        <v/>
      </c>
      <c r="AR143" s="10">
        <f>(3*AR290+3*AR353+3*AR415+AR217+AR72+2*AR296+2*AR307+AR362+AR198)/17</f>
        <v/>
      </c>
      <c r="AS143" s="10">
        <f>(3*AS290+3*AS353+3*AS415+AS217+AS72+2*AS296+2*AS307+AS362+AS198)/17</f>
        <v/>
      </c>
      <c r="AT143" s="10">
        <f>(3*AT290+3*AT353+3*AT415+AT217+AT72+2*AT296+2*AT307+AT362+AT198)/17</f>
        <v/>
      </c>
      <c r="AU143" s="10">
        <f>(3*AU290+3*AU353+3*AU415+AU217+AU72+2*AU296+2*AU307+AU362+AU198)/17</f>
        <v/>
      </c>
      <c r="AV143" s="10">
        <f>(3*AV290+3*AV353+3*AV415+AV217+AV72+2*AV296+2*AV307+AV362+AV198)/17</f>
        <v/>
      </c>
      <c r="AW143" s="10">
        <f>(3*AW290+3*AW353+3*AW415+AW217+AW72+2*AW296+2*AW307+AW362+AW198)/17</f>
        <v/>
      </c>
      <c r="AX143" s="10">
        <f>(3*AX290+3*AX353+3*AX415+AX217+AX72+2*AX296+2*AX307+AX362+AX198)/17</f>
        <v/>
      </c>
      <c r="AY143" s="10">
        <f>(3*AY290+3*AY353+3*AY415+AY217+AY72+2*AY296+2*AY307+AY362+AY198)/17</f>
        <v/>
      </c>
      <c r="AZ143" s="10">
        <f>(3*AZ290+3*AZ353+3*AZ415+AZ217+AZ72+2*AZ296+2*AZ307+AZ362+AZ198)/17</f>
        <v/>
      </c>
      <c r="BA143" s="10">
        <f>(3*BA290+3*BA353+3*BA415+BA217+BA72+2*BA296+2*BA307+BA362+BA198)/17</f>
        <v/>
      </c>
      <c r="BB143" s="10">
        <f>(3*BB290+3*BB353+3*BB415+BB217+BB72+2*BB296+2*BB307+BB362+BB198)/17</f>
        <v/>
      </c>
      <c r="BC143" s="10">
        <f>(3*BC290+3*BC353+3*BC415+BC217+BC72+2*BC296+2*BC307+BC362+BC198)/17</f>
        <v/>
      </c>
      <c r="BD143" s="10">
        <f>(3*BD290+3*BD353+3*BD415+BD217+BD72+2*BD296+2*BD307+BD362+BD198)/17</f>
        <v/>
      </c>
      <c r="BE143" s="10">
        <f>(3*BE290+3*BE353+3*BE415+BE217+BE72+2*BE296+2*BE307+BE362+BE198)/17</f>
        <v/>
      </c>
      <c r="BF143" s="10">
        <f>(3*BF290+3*BF353+3*BF415+BF217+BF72+2*BF296+2*BF307+BF362+BF198)/17</f>
        <v/>
      </c>
      <c r="BG143">
        <f>IF($F143=0,"0",MIN(
BH143/(30*$F143),
BI143/(61*$F143),
BJ143/(48*$F143),
(BK143+BL143)/(23*$F143),
(BM143+BN143)/(41*$F143),
BO143/(25*$F143),
BP143/(6.6*$F143),
BQ143/(40*$F143),
BS143/(16*$F143)
)*100)</f>
        <v/>
      </c>
      <c r="BH143" s="10">
        <f>(3*BH290+3*BH353+3*BH415+BH217+BH72+2*BH296+2*BH307+BH362+BH198)/17</f>
        <v/>
      </c>
      <c r="BI143" s="10">
        <f>(3*BI290+3*BI353+3*BI415+BI217+BI72+2*BI296+2*BI307+BI362+BI198)/17</f>
        <v/>
      </c>
      <c r="BJ143" s="10">
        <f>(3*BJ290+3*BJ353+3*BJ415+BJ217+BJ72+2*BJ296+2*BJ307+BJ362+BJ198)/17</f>
        <v/>
      </c>
      <c r="BK143" s="10">
        <f>(3*BK290+3*BK353+3*BK415+BK217+BK72+2*BK296+2*BK307+BK362+BK198)/17</f>
        <v/>
      </c>
      <c r="BL143" s="10">
        <f>(3*BL290+3*BL353+3*BL415+BL217+BL72+2*BL296+2*BL307+BL362+BL198)/17</f>
        <v/>
      </c>
      <c r="BM143" s="10">
        <f>(3*BM290+3*BM353+3*BM415+BM217+BM72+2*BM296+2*BM307+BM362+BM198)/17</f>
        <v/>
      </c>
      <c r="BN143" s="10">
        <f>(3*BN290+3*BN353+3*BN415+BN217+BN72+2*BN296+2*BN307+BN362+BN198)/17</f>
        <v/>
      </c>
      <c r="BO143" s="10">
        <f>(3*BO290+3*BO353+3*BO415+BO217+BO72+2*BO296+2*BO307+BO362+BO198)/17</f>
        <v/>
      </c>
      <c r="BP143" s="10">
        <f>(3*BP290+3*BP353+3*BP415+BP217+BP72+2*BP296+2*BP307+BP362+BP198)/17</f>
        <v/>
      </c>
      <c r="BQ143" s="10">
        <f>(3*BQ290+3*BQ353+3*BQ415+BQ217+BQ72+2*BQ296+2*BQ307+BQ362+BQ198)/17</f>
        <v/>
      </c>
      <c r="BR143" s="10">
        <f>(3*BR290+3*BR353+3*BR415+BR217+BR72+2*BR296+2*BR307+BR362+BR198)/17</f>
        <v/>
      </c>
      <c r="BS143" s="10">
        <f>(3*BS290+3*BS353+3*BS415+BS217+BS72+2*BS296+2*BS307+BS362+BS198)/17</f>
        <v/>
      </c>
      <c r="BT143" s="10">
        <f>(3*BT290+3*BT353+3*BT415+BT217+BT72+2*BT296+2*BT307+BT362+BT198)/17</f>
        <v/>
      </c>
      <c r="BU143" s="10">
        <f>(3*BU290+3*BU353+3*BU415+BU217+BU72+2*BU296+2*BU307+BU362+BU198)/17</f>
        <v/>
      </c>
      <c r="BV143" s="10">
        <f>(3*BV290+3*BV353+3*BV415+BV217+BV72+2*BV296+2*BV307+BV362+BV198)/17</f>
        <v/>
      </c>
      <c r="BW143" s="10">
        <f>(3*BW290+3*BW353+3*BW415+BW217+BW72+2*BW296+2*BW307+BW362+BW198)/17</f>
        <v/>
      </c>
      <c r="BX143" s="10">
        <f>(3*BX290+3*BX353+3*BX415+BX217+BX72+2*BX296+2*BX307+BX362+BX198)/17</f>
        <v/>
      </c>
      <c r="BY143" s="10">
        <f>(3*BY290+3*BY353+3*BY415+BY217+BY72+2*BY296+2*BY307+BY362+BY198)/17</f>
        <v/>
      </c>
      <c r="BZ143" s="10">
        <f>(3*BZ290+3*BZ353+3*BZ415+BZ217+BZ72+2*BZ296+2*BZ307+BZ362+BZ198)/17</f>
        <v/>
      </c>
      <c r="CA143" s="10">
        <f>(3*CA290+3*CA353+3*CA415+CA217+CA72+2*CA296+2*CA307+CA362+CA198)/17</f>
        <v/>
      </c>
      <c r="CB143" s="10">
        <f>(3*CB290+3*CB353+3*CB415+CB217+CB72+2*CB296+2*CB307+CB362+CB198)/17</f>
        <v/>
      </c>
      <c r="CC143" s="10">
        <f>(3*CC290+3*CC353+3*CC415+CC217+CC72+2*CC296+2*CC307+CC362+CC198)/17</f>
        <v/>
      </c>
      <c r="CD143" s="10">
        <f>(3*CD290+3*CD353+3*CD415+CD217+CD72+2*CD296+2*CD307+CD362+CD198)/17</f>
        <v/>
      </c>
      <c r="CE143" s="10">
        <f>(3*CE290+3*CE353+3*CE415+CE217+CE72+2*CE296+2*CE307+CE362+CE198)/17</f>
        <v/>
      </c>
      <c r="CF143" s="10">
        <f>(3*CF290+3*CF353+3*CF415+CF217+CF72+2*CF296+2*CF307+CF362+CF198)/17</f>
        <v/>
      </c>
      <c r="CG143" s="10">
        <f>(3*CG290+3*CG353+3*CG415+CG217+CG72+2*CG296+2*CG307+CG362+CG198)/17</f>
        <v/>
      </c>
      <c r="CH143" s="10">
        <f>(3*CH290+3*CH353+3*CH415+CH217+CH72+2*CH296+2*CH307+CH362+CH198)/17</f>
        <v/>
      </c>
      <c r="CI143" s="10">
        <f>(3*CI290+3*CI353+3*CI415+CI217+CI72+2*CI296+2*CI307+CI362+CI198)/17</f>
        <v/>
      </c>
      <c r="CJ143" s="10">
        <f>(3*CJ290+3*CJ353+3*CJ415+CJ217+CJ72+2*CJ296+2*CJ307+CJ362+CJ198)/17</f>
        <v/>
      </c>
      <c r="CK143" s="10">
        <f>(3*CK290+3*CK353+3*CK415+CK217+CK72+2*CK296+2*CK307+CK362+CK198)/17</f>
        <v/>
      </c>
      <c r="CL143" s="10">
        <f>(3*CL290+3*CL353+3*CL415+CL217+CL72+2*CL296+2*CL307+CL362+CL198)/17</f>
        <v/>
      </c>
      <c r="CM143" s="10">
        <f>(3*CM290+3*CM353+3*CM415+CM217+CM72+2*CM296+2*CM307+CM362+CM198)/17</f>
        <v/>
      </c>
      <c r="CN143" s="10">
        <f>(3*CN290+3*CN353+3*CN415+CN217+CN72+2*CN296+2*CN307+CN362+CN198)/17</f>
        <v/>
      </c>
      <c r="CO143" s="10">
        <f>(3*CO290+3*CO353+3*CO415+CO217+CO72+2*CO296+2*CO307+CO362+CO198)/17</f>
        <v/>
      </c>
      <c r="CP143" s="10">
        <f>(3*CP290+3*CP353+3*CP415+CP217+CP72+2*CP296+2*CP307+CP362+CP198)/17</f>
        <v/>
      </c>
      <c r="CQ143" s="10">
        <f>(3*CQ290+3*CQ353+3*CQ415+CQ217+CQ72+2*CQ296+2*CQ307+CQ362+CQ198)/17</f>
        <v/>
      </c>
      <c r="CR143" s="10">
        <f>(3*CR290+3*CR353+3*CR415+CR217+CR72+2*CR296+2*CR307+CR362+CR198)/17</f>
        <v/>
      </c>
      <c r="CS143" s="10">
        <f>(3*CS290+3*CS353+3*CS415+CS217+CS72+2*CS296+2*CS307+CS362+CS198)/17</f>
        <v/>
      </c>
      <c r="CT143" s="10">
        <f>(3*CT290+3*CT353+3*CT415+CT217+CT72+2*CT296+2*CT307+CT362+CT198)/17</f>
        <v/>
      </c>
      <c r="CU143" s="10">
        <f>(3*CU290+3*CU353+3*CU415+CU217+CU72+2*CU296+2*CU307+CU362+CU198)/17</f>
        <v/>
      </c>
      <c r="CV143" s="10">
        <f>(3*CV290+3*CV353+3*CV415+CV217+CV72+2*CV296+2*CV307+CV362+CV198)/17</f>
        <v/>
      </c>
      <c r="CW143" s="10">
        <f>(3*CW290+3*CW353+3*CW415+CW217+CW72+2*CW296+2*CW307+CW362+CW198)/17</f>
        <v/>
      </c>
      <c r="CX143" s="10">
        <f>(3*CX290+3*CX353+3*CX415+CX217+CX72+2*CX296+2*CX307+CX362+CX198)/17</f>
        <v/>
      </c>
      <c r="CY143" s="10">
        <f>(3*CY290+3*CY353+3*CY415+CY217+CY72+2*CY296+2*CY307+CY362+CY198)/17</f>
        <v/>
      </c>
      <c r="CZ143" s="10">
        <f>(3*CZ290+3*CZ353+3*CZ415+CZ217+CZ72+2*CZ296+2*CZ307+CZ362+CZ198)/17</f>
        <v/>
      </c>
      <c r="DA143" s="10">
        <f>(3*DA290+3*DA353+3*DA415+DA217+DA72+2*DA296+2*DA307+DA362+DA198)/17</f>
        <v/>
      </c>
      <c r="DB143" s="10">
        <f>(3*DB290+3*DB353+3*DB415+DB217+DB72+2*DB296+2*DB307+DB362+DB198)/17</f>
        <v/>
      </c>
      <c r="DC143" s="10">
        <f>(3*DC290+3*DC353+3*DC415+DC217+DC72+2*DC296+2*DC307+DC362+DC198)/17</f>
        <v/>
      </c>
      <c r="DD143" s="10">
        <f>(3*DD290+3*DD353+3*DD415+DD217+DD72+2*DD296+2*DD307+DD362+DD198)/17</f>
        <v/>
      </c>
      <c r="DE143" s="10">
        <f>(3*DE290+3*DE353+3*DE415+DE217+DE72+2*DE296+2*DE307+DE362+DE198)/17</f>
        <v/>
      </c>
      <c r="DF143" s="10">
        <f>(3*DF290+3*DF353+3*DF415+DF217+DF72+2*DF296+2*DF307+DF362+DF198)/17</f>
        <v/>
      </c>
      <c r="DG143" s="10">
        <f>(3*DG290+3*DG353+3*DG415+DG217+DG72+2*DG296+2*DG307+DG362+DG198)/17</f>
        <v/>
      </c>
      <c r="DH143" s="10">
        <f>(3*DH290+3*DH353+3*DH415+DH217+DH72+2*DH296+2*DH307+DH362+DH198)/17</f>
        <v/>
      </c>
      <c r="DI143" s="10">
        <f>(3*DI290+3*DI353+3*DI415+DI217+DI72+2*DI296+2*DI307+DI362+DI198)/17</f>
        <v/>
      </c>
      <c r="DJ143" s="10">
        <f>(3*DJ290+3*DJ353+3*DJ415+DJ217+DJ72+2*DJ296+2*DJ307+DJ362+DJ198)/17</f>
        <v/>
      </c>
      <c r="DK143" s="10">
        <f>(3*DK290+3*DK353+3*DK415+DK217+DK72+2*DK296+2*DK307+DK362+DK198)/17</f>
        <v/>
      </c>
      <c r="DL143" s="10">
        <f>(3*DL290+3*DL353+3*DL415+DL217+DL72+2*DL296+2*DL307+DL362+DL198)/17</f>
        <v/>
      </c>
      <c r="DM143" s="10">
        <f>(3*DM290+3*DM353+3*DM415+DM217+DM72+2*DM296+2*DM307+DM362+DM198)/17</f>
        <v/>
      </c>
      <c r="DN143" s="10">
        <f>(3*DN290+3*DN353+3*DN415+DN217+DN72+2*DN296+2*DN307+DN362+DN198)/17</f>
        <v/>
      </c>
      <c r="DO143" s="10">
        <f>(3*DO290+3*DO353+3*DO415+DO217+DO72+2*DO296+2*DO307+DO362+DO198)/17</f>
        <v/>
      </c>
      <c r="DP143" s="10">
        <f>(3*DP290+3*DP353+3*DP415+DP217+DP72+2*DP296+2*DP307+DP362+DP198)/17</f>
        <v/>
      </c>
      <c r="DQ143" s="10">
        <f>(3*DQ290+3*DQ353+3*DQ415+DQ217+DQ72+2*DQ296+2*DQ307+DQ362+DQ198)/17</f>
        <v/>
      </c>
      <c r="DR143" s="10">
        <f>(3*DR290+3*DR353+3*DR415+DR217+DR72+2*DR296+2*DR307+DR362+DR198)/17</f>
        <v/>
      </c>
      <c r="DS143" s="10">
        <f>(3*DS290+3*DS353+3*DS415+DS217+DS72+2*DS296+2*DS307+DS362+DS198)/17</f>
        <v/>
      </c>
      <c r="DT143" s="10">
        <f>(3*DT290+3*DT353+3*DT415+DT217+DT72+2*DT296+2*DT307+DT362+DT198)/17</f>
        <v/>
      </c>
      <c r="DU143" s="10">
        <f>(3*DU290+3*DU353+3*DU415+DU217+DU72+2*DU296+2*DU307+DU362+DU198)/17</f>
        <v/>
      </c>
      <c r="DV143" s="10">
        <f>(3*DV290+3*DV353+3*DV415+DV217+DV72+2*DV296+2*DV307+DV362+DV198)/17</f>
        <v/>
      </c>
      <c r="DW143" s="10">
        <f>(3*DW290+3*DW353+3*DW415+DW217+DW72+2*DW296+2*DW307+DW362+DW198)/17</f>
        <v/>
      </c>
      <c r="DX143" s="10">
        <f>(3*DX290+3*DX353+3*DX415+DX217+DX72+2*DX296+2*DX307+DX362+DX198)/17</f>
        <v/>
      </c>
      <c r="DY143" s="10">
        <f>(3*DY290+3*DY353+3*DY415+DY217+DY72+2*DY296+2*DY307+DY362+DY198)/17</f>
        <v/>
      </c>
      <c r="DZ143" s="10">
        <f>(3*DZ290+3*DZ353+3*DZ415+DZ217+DZ72+2*DZ296+2*DZ307+DZ362+DZ198)/17</f>
        <v/>
      </c>
      <c r="EA143" s="10">
        <f>(3*EA290+3*EA353+3*EA415+EA217+EA72+2*EA296+2*EA307+EA362+EA198)/17</f>
        <v/>
      </c>
      <c r="EB143" s="10">
        <f>(3*EB290+3*EB353+3*EB415+EB217+EB72+2*EB296+2*EB307+EB362+EB198)/17</f>
        <v/>
      </c>
      <c r="EC143" s="10">
        <f>(3*EC290+3*EC353+3*EC415+EC217+EC72+2*EC296+2*EC307+EC362+EC198)/17</f>
        <v/>
      </c>
      <c r="ED143" s="10">
        <f>(3*ED290+3*ED353+3*ED415+ED217+ED72+2*ED296+2*ED307+ED362+ED198)/17</f>
        <v/>
      </c>
      <c r="EE143" s="10">
        <f>(3*EE290+3*EE353+3*EE415+EE217+EE72+2*EE296+2*EE307+EE362+EE198)/17</f>
        <v/>
      </c>
      <c r="EF143" s="10">
        <f>(3*EF290+3*EF353+3*EF415+EF217+EF72+2*EF296+2*EF307+EF362+EF198)/17</f>
        <v/>
      </c>
      <c r="EG143" s="10">
        <f>(3*EG290+3*EG353+3*EG415+EG217+EG72+2*EG296+2*EG307+EG362+EG198)/17</f>
        <v/>
      </c>
      <c r="EH143" s="10">
        <f>(3*EH290+3*EH353+3*EH415+EH217+EH72+2*EH296+2*EH307+EH362+EH198)/17</f>
        <v/>
      </c>
      <c r="EI143" s="10">
        <f>(3*EI290+3*EI353+3*EI415+EI217+EI72+2*EI296+2*EI307+EI362+EI198)/17</f>
        <v/>
      </c>
      <c r="EJ143" s="10">
        <f>(3*EJ290+3*EJ353+3*EJ415+EJ217+EJ72+2*EJ296+2*EJ307+EJ362+EJ198)/17</f>
        <v/>
      </c>
      <c r="EK143" s="10">
        <f>(3*EK290+3*EK353+3*EK415+EK217+EK72+2*EK296+2*EK307+EK362+EK198)/17</f>
        <v/>
      </c>
    </row>
    <row r="144">
      <c r="A144">
        <f>[1]ingredient!B143</f>
        <v/>
      </c>
      <c r="B144" t="inlineStr">
        <is>
          <t>https://www.naehrwertrechner.de/naehrwerte/C131000/Hafer+ganzes+Korn+roh/?menge=100</t>
        </is>
      </c>
      <c r="C144" s="7">
        <f>_xlfn.XLOOKUP(A144,[1]ingredient!$B$2:$B$521,[1]ingredient!$A$2:$A$521)</f>
        <v/>
      </c>
      <c r="D144" t="n">
        <v>332</v>
      </c>
      <c r="E144" t="n">
        <v>7</v>
      </c>
      <c r="F144" t="n">
        <v>11</v>
      </c>
      <c r="G144" t="n">
        <v>56</v>
      </c>
      <c r="H144" t="n">
        <v>10</v>
      </c>
      <c r="I144" t="n">
        <v>1</v>
      </c>
      <c r="J144" t="n">
        <v>0.13</v>
      </c>
      <c r="K144" t="n">
        <v>14</v>
      </c>
      <c r="L144" t="n">
        <v>0</v>
      </c>
      <c r="M144" t="n">
        <v>0</v>
      </c>
      <c r="N144" t="n">
        <v>0</v>
      </c>
      <c r="O144" t="n">
        <v>0</v>
      </c>
      <c r="P144" t="n">
        <v>674</v>
      </c>
      <c r="Q144" t="n">
        <v>170</v>
      </c>
      <c r="R144" t="n">
        <v>2370</v>
      </c>
      <c r="S144" t="n">
        <v>5537</v>
      </c>
      <c r="T144" t="n">
        <v>710</v>
      </c>
      <c r="U144" t="n">
        <v>960</v>
      </c>
      <c r="V144" t="n">
        <v>13</v>
      </c>
      <c r="W144" t="n">
        <v>33</v>
      </c>
      <c r="X144" t="n">
        <v>0</v>
      </c>
      <c r="Y144" t="n">
        <v>0</v>
      </c>
      <c r="Z144" t="n">
        <v>0</v>
      </c>
      <c r="AA144" t="n">
        <v>470</v>
      </c>
      <c r="AB144" t="n">
        <v>50</v>
      </c>
      <c r="AC144" t="n">
        <v>8</v>
      </c>
      <c r="AD144" t="n">
        <v>355</v>
      </c>
      <c r="AE144" t="n">
        <v>80</v>
      </c>
      <c r="AF144" t="n">
        <v>129</v>
      </c>
      <c r="AG144" t="n">
        <v>342</v>
      </c>
      <c r="AH144" t="n">
        <v>200</v>
      </c>
      <c r="AI144" t="n">
        <v>119</v>
      </c>
      <c r="AJ144" t="n">
        <v>5800</v>
      </c>
      <c r="AK144" t="n">
        <v>3204</v>
      </c>
      <c r="AL144" t="n">
        <v>410</v>
      </c>
      <c r="AM144" t="n">
        <v>3000</v>
      </c>
      <c r="AN144" t="n">
        <v>95</v>
      </c>
      <c r="AO144" t="n">
        <v>8</v>
      </c>
      <c r="AP144" t="n">
        <v>0</v>
      </c>
      <c r="AQ144" t="n">
        <v>0</v>
      </c>
      <c r="AR144" t="n">
        <v>0</v>
      </c>
      <c r="AS144" t="n">
        <v>0</v>
      </c>
      <c r="AT144" t="n">
        <v>0</v>
      </c>
      <c r="AU144" t="n">
        <v>0</v>
      </c>
      <c r="AV144" t="n">
        <v>0</v>
      </c>
      <c r="AW144" t="n">
        <v>0</v>
      </c>
      <c r="AX144" t="n">
        <v>1050</v>
      </c>
      <c r="AY144" t="n">
        <v>30</v>
      </c>
      <c r="AZ144" t="n">
        <v>0</v>
      </c>
      <c r="BA144" t="n">
        <v>1080</v>
      </c>
      <c r="BB144" t="n">
        <v>557</v>
      </c>
      <c r="BC144" t="n">
        <v>250</v>
      </c>
      <c r="BD144" t="n">
        <v>0</v>
      </c>
      <c r="BE144" t="n">
        <v>54251</v>
      </c>
      <c r="BF144" t="n">
        <v>54251</v>
      </c>
      <c r="BG144">
        <f>IF($F144=0,"0",MIN(
BH144/(30*$F144),
BI144/(61*$F144),
BJ144/(48*$F144),
(BK144+BL144)/(23*$F144),
(BM144+BN144)/(41*$F144),
BO144/(25*$F144),
BP144/(6.6*$F144),
BQ144/(40*$F144),
BS144/(16*$F144)
)*100)</f>
        <v/>
      </c>
      <c r="BH144" t="n">
        <v>468</v>
      </c>
      <c r="BI144" t="n">
        <v>870</v>
      </c>
      <c r="BJ144" t="n">
        <v>495</v>
      </c>
      <c r="BK144" t="n">
        <v>191</v>
      </c>
      <c r="BL144" t="n">
        <v>323</v>
      </c>
      <c r="BM144" t="n">
        <v>605</v>
      </c>
      <c r="BN144" t="n">
        <v>424</v>
      </c>
      <c r="BO144" t="n">
        <v>424</v>
      </c>
      <c r="BP144" t="n">
        <v>190</v>
      </c>
      <c r="BQ144" t="n">
        <v>643</v>
      </c>
      <c r="BR144" t="n">
        <v>772</v>
      </c>
      <c r="BS144" t="n">
        <v>225</v>
      </c>
      <c r="BT144" t="n">
        <v>5629</v>
      </c>
      <c r="BU144" t="n">
        <v>656</v>
      </c>
      <c r="BV144" t="n">
        <v>1008</v>
      </c>
      <c r="BW144" t="n">
        <v>2547</v>
      </c>
      <c r="BX144" t="n">
        <v>709</v>
      </c>
      <c r="BY144" t="n">
        <v>799</v>
      </c>
      <c r="BZ144" t="n">
        <v>660</v>
      </c>
      <c r="CA144" t="n">
        <v>6378</v>
      </c>
      <c r="CB144" t="n">
        <v>94</v>
      </c>
      <c r="CC144" t="n">
        <v>39</v>
      </c>
      <c r="CD144" t="n">
        <v>120</v>
      </c>
      <c r="CE144" t="n">
        <v>2747</v>
      </c>
      <c r="CF144" t="n">
        <v>22.89</v>
      </c>
      <c r="CG144" t="n">
        <v>0</v>
      </c>
      <c r="CH144" t="n">
        <v>0</v>
      </c>
      <c r="CI144" t="n">
        <v>0</v>
      </c>
      <c r="CJ144" t="n">
        <v>0</v>
      </c>
      <c r="CK144" t="n">
        <v>7</v>
      </c>
      <c r="CL144" t="n">
        <v>40</v>
      </c>
      <c r="CM144" t="n">
        <v>0</v>
      </c>
      <c r="CN144" t="n">
        <v>1280</v>
      </c>
      <c r="CO144" t="n">
        <v>0</v>
      </c>
      <c r="CP144" t="n">
        <v>110</v>
      </c>
      <c r="CQ144" t="n">
        <v>33</v>
      </c>
      <c r="CR144" t="n">
        <v>0</v>
      </c>
      <c r="CS144" t="n">
        <v>0</v>
      </c>
      <c r="CT144" t="n">
        <v>1470</v>
      </c>
      <c r="CU144" t="n">
        <v>0</v>
      </c>
      <c r="CV144" t="n">
        <v>0</v>
      </c>
      <c r="CW144" t="n">
        <v>54</v>
      </c>
      <c r="CX144" t="n">
        <v>0</v>
      </c>
      <c r="CY144" t="n">
        <v>2460</v>
      </c>
      <c r="CZ144" t="n">
        <v>7</v>
      </c>
      <c r="DA144" t="n">
        <v>0</v>
      </c>
      <c r="DB144" t="n">
        <v>0</v>
      </c>
      <c r="DC144" t="n">
        <v>2521</v>
      </c>
      <c r="DD144" t="n">
        <v>0</v>
      </c>
      <c r="DE144" t="n">
        <v>0</v>
      </c>
      <c r="DF144" t="n">
        <v>2740</v>
      </c>
      <c r="DG144" t="n">
        <v>120</v>
      </c>
      <c r="DH144" t="n">
        <v>0</v>
      </c>
      <c r="DI144" t="n">
        <v>0</v>
      </c>
      <c r="DJ144" t="n">
        <v>0</v>
      </c>
      <c r="DK144" t="n">
        <v>0</v>
      </c>
      <c r="DL144" t="n">
        <v>7</v>
      </c>
      <c r="DM144" t="n">
        <v>0</v>
      </c>
      <c r="DN144" t="n">
        <v>0</v>
      </c>
      <c r="DO144" t="n">
        <v>0</v>
      </c>
      <c r="DP144" t="n">
        <v>0</v>
      </c>
      <c r="DQ144" t="n">
        <v>0</v>
      </c>
      <c r="DR144" t="n">
        <v>0</v>
      </c>
      <c r="DS144" t="n">
        <v>2867</v>
      </c>
      <c r="DT144" t="n">
        <v>6858</v>
      </c>
      <c r="DU144" t="n">
        <v>425</v>
      </c>
      <c r="DV144" t="n">
        <v>0</v>
      </c>
      <c r="DW144" t="n">
        <v>0</v>
      </c>
      <c r="DX144" t="n">
        <v>0</v>
      </c>
      <c r="DY144" t="n">
        <v>3094</v>
      </c>
      <c r="DZ144" t="n">
        <v>4352</v>
      </c>
      <c r="EA144" t="n">
        <v>484</v>
      </c>
      <c r="EB144" t="n">
        <v>1160</v>
      </c>
      <c r="EC144" t="n">
        <v>580</v>
      </c>
      <c r="ED144" t="n">
        <v>4760</v>
      </c>
      <c r="EE144" t="n">
        <v>4910</v>
      </c>
      <c r="EF144" t="n">
        <v>0</v>
      </c>
      <c r="EG144" t="n">
        <v>0</v>
      </c>
      <c r="EH144" t="n">
        <v>2.9</v>
      </c>
      <c r="EI144" t="n">
        <v>4.9</v>
      </c>
      <c r="EJ144" t="n">
        <v>7.1</v>
      </c>
      <c r="EK144" t="n">
        <v>12.3</v>
      </c>
    </row>
    <row r="145">
      <c r="A145">
        <f>[1]ingredient!B144</f>
        <v/>
      </c>
      <c r="B145" t="inlineStr">
        <is>
          <t>https://www.naehrwertrechner.de/naehrwerte/C133100/Hafer+Vollkornflocken/?menge=100</t>
        </is>
      </c>
      <c r="C145" s="7">
        <f>_xlfn.XLOOKUP(A145,[1]ingredient!$B$2:$B$521,[1]ingredient!$A$2:$A$521)</f>
        <v/>
      </c>
      <c r="D145" t="n">
        <v>354</v>
      </c>
      <c r="E145" t="n">
        <v>7</v>
      </c>
      <c r="F145" t="n">
        <v>13</v>
      </c>
      <c r="G145" t="n">
        <v>60</v>
      </c>
      <c r="H145" t="n">
        <v>10</v>
      </c>
      <c r="I145" t="n">
        <v>1</v>
      </c>
      <c r="J145" t="n">
        <v>0.06</v>
      </c>
      <c r="K145" t="n">
        <v>10</v>
      </c>
      <c r="L145" t="n">
        <v>0</v>
      </c>
      <c r="M145" t="n">
        <v>0</v>
      </c>
      <c r="N145" t="n">
        <v>0</v>
      </c>
      <c r="O145" t="n">
        <v>0</v>
      </c>
      <c r="P145" t="n">
        <v>562</v>
      </c>
      <c r="Q145" t="n">
        <v>28</v>
      </c>
      <c r="R145" t="n">
        <v>1000</v>
      </c>
      <c r="S145" t="n">
        <v>3883</v>
      </c>
      <c r="T145" t="n">
        <v>1090</v>
      </c>
      <c r="U145" t="n">
        <v>98</v>
      </c>
      <c r="V145" t="n">
        <v>20</v>
      </c>
      <c r="W145" t="n">
        <v>87</v>
      </c>
      <c r="X145" t="n">
        <v>0</v>
      </c>
      <c r="Y145" t="n">
        <v>0</v>
      </c>
      <c r="Z145" t="n">
        <v>0</v>
      </c>
      <c r="AA145" t="n">
        <v>800</v>
      </c>
      <c r="AB145" t="n">
        <v>63</v>
      </c>
      <c r="AC145" t="n">
        <v>2</v>
      </c>
      <c r="AD145" t="n">
        <v>382</v>
      </c>
      <c r="AE145" t="n">
        <v>16</v>
      </c>
      <c r="AF145" t="n">
        <v>121</v>
      </c>
      <c r="AG145" t="n">
        <v>325</v>
      </c>
      <c r="AH145" t="n">
        <v>200</v>
      </c>
      <c r="AI145" t="n">
        <v>61</v>
      </c>
      <c r="AJ145" t="n">
        <v>4437</v>
      </c>
      <c r="AK145" t="n">
        <v>3642</v>
      </c>
      <c r="AL145" t="n">
        <v>410</v>
      </c>
      <c r="AM145" t="n">
        <v>4934</v>
      </c>
      <c r="AN145" t="n">
        <v>80</v>
      </c>
      <c r="AO145" t="n">
        <v>1</v>
      </c>
      <c r="AP145" t="n">
        <v>0</v>
      </c>
      <c r="AQ145" t="n">
        <v>0</v>
      </c>
      <c r="AR145" t="n">
        <v>0</v>
      </c>
      <c r="AS145" t="n">
        <v>0</v>
      </c>
      <c r="AT145" t="n">
        <v>0</v>
      </c>
      <c r="AU145" t="n">
        <v>0</v>
      </c>
      <c r="AV145" t="n">
        <v>0</v>
      </c>
      <c r="AW145" t="n">
        <v>0</v>
      </c>
      <c r="AX145" t="n">
        <v>712</v>
      </c>
      <c r="AY145" t="n">
        <v>60</v>
      </c>
      <c r="AZ145" t="n">
        <v>0</v>
      </c>
      <c r="BA145" t="n">
        <v>772</v>
      </c>
      <c r="BB145" t="n">
        <v>598</v>
      </c>
      <c r="BC145" t="n">
        <v>0</v>
      </c>
      <c r="BD145" t="n">
        <v>0</v>
      </c>
      <c r="BE145" t="n">
        <v>58171</v>
      </c>
      <c r="BF145" t="n">
        <v>58171</v>
      </c>
      <c r="BG145">
        <f>IF($F145=0,"0",MIN(
BH145/(30*$F145),
BI145/(61*$F145),
BJ145/(48*$F145),
(BK145+BL145)/(23*$F145),
(BM145+BN145)/(41*$F145),
BO145/(25*$F145),
BP145/(6.6*$F145),
BQ145/(40*$F145),
BS145/(16*$F145)
)*100)</f>
        <v/>
      </c>
      <c r="BH145" t="n">
        <v>557</v>
      </c>
      <c r="BI145" t="n">
        <v>1032</v>
      </c>
      <c r="BJ145" t="n">
        <v>457</v>
      </c>
      <c r="BK145" t="n">
        <v>219</v>
      </c>
      <c r="BL145" t="n">
        <v>356</v>
      </c>
      <c r="BM145" t="n">
        <v>712</v>
      </c>
      <c r="BN145" t="n">
        <v>520</v>
      </c>
      <c r="BO145" t="n">
        <v>484</v>
      </c>
      <c r="BP145" t="n">
        <v>173</v>
      </c>
      <c r="BQ145" t="n">
        <v>740</v>
      </c>
      <c r="BR145" t="n">
        <v>794</v>
      </c>
      <c r="BS145" t="n">
        <v>274</v>
      </c>
      <c r="BT145" t="n">
        <v>6318</v>
      </c>
      <c r="BU145" t="n">
        <v>721</v>
      </c>
      <c r="BV145" t="n">
        <v>1178</v>
      </c>
      <c r="BW145" t="n">
        <v>2812</v>
      </c>
      <c r="BX145" t="n">
        <v>776</v>
      </c>
      <c r="BY145" t="n">
        <v>767</v>
      </c>
      <c r="BZ145" t="n">
        <v>648</v>
      </c>
      <c r="CA145" t="n">
        <v>6902</v>
      </c>
      <c r="CB145" t="n">
        <v>100</v>
      </c>
      <c r="CC145" t="n">
        <v>42</v>
      </c>
      <c r="CD145" t="n">
        <v>58</v>
      </c>
      <c r="CE145" t="n">
        <v>2429</v>
      </c>
      <c r="CF145" t="n">
        <v>41.88</v>
      </c>
      <c r="CG145" t="n">
        <v>0</v>
      </c>
      <c r="CH145" t="n">
        <v>0</v>
      </c>
      <c r="CI145" t="n">
        <v>0</v>
      </c>
      <c r="CJ145" t="n">
        <v>0</v>
      </c>
      <c r="CK145" t="n">
        <v>54</v>
      </c>
      <c r="CL145" t="n">
        <v>0</v>
      </c>
      <c r="CM145" t="n">
        <v>0</v>
      </c>
      <c r="CN145" t="n">
        <v>1079</v>
      </c>
      <c r="CO145" t="n">
        <v>0</v>
      </c>
      <c r="CP145" t="n">
        <v>112</v>
      </c>
      <c r="CQ145" t="n">
        <v>0</v>
      </c>
      <c r="CR145" t="n">
        <v>0</v>
      </c>
      <c r="CS145" t="n">
        <v>0</v>
      </c>
      <c r="CT145" t="n">
        <v>1245</v>
      </c>
      <c r="CU145" t="n">
        <v>0</v>
      </c>
      <c r="CV145" t="n">
        <v>0</v>
      </c>
      <c r="CW145" t="n">
        <v>14</v>
      </c>
      <c r="CX145" t="n">
        <v>0</v>
      </c>
      <c r="CY145" t="n">
        <v>2381</v>
      </c>
      <c r="CZ145" t="n">
        <v>73</v>
      </c>
      <c r="DA145" t="n">
        <v>0</v>
      </c>
      <c r="DB145" t="n">
        <v>0</v>
      </c>
      <c r="DC145" t="n">
        <v>2468</v>
      </c>
      <c r="DD145" t="n">
        <v>0</v>
      </c>
      <c r="DE145" t="n">
        <v>0</v>
      </c>
      <c r="DF145" t="n">
        <v>2429</v>
      </c>
      <c r="DG145" t="n">
        <v>55</v>
      </c>
      <c r="DH145" t="n">
        <v>0</v>
      </c>
      <c r="DI145" t="n">
        <v>0</v>
      </c>
      <c r="DJ145" t="n">
        <v>0</v>
      </c>
      <c r="DK145" t="n">
        <v>0</v>
      </c>
      <c r="DL145" t="n">
        <v>0</v>
      </c>
      <c r="DM145" t="n">
        <v>3</v>
      </c>
      <c r="DN145" t="n">
        <v>0</v>
      </c>
      <c r="DO145" t="n">
        <v>0</v>
      </c>
      <c r="DP145" t="n">
        <v>0</v>
      </c>
      <c r="DQ145" t="n">
        <v>0</v>
      </c>
      <c r="DR145" t="n">
        <v>0</v>
      </c>
      <c r="DS145" t="n">
        <v>2487</v>
      </c>
      <c r="DT145" t="n">
        <v>6200</v>
      </c>
      <c r="DU145" t="n">
        <v>450</v>
      </c>
      <c r="DV145" t="n">
        <v>0</v>
      </c>
      <c r="DW145" t="n">
        <v>0</v>
      </c>
      <c r="DX145" t="n">
        <v>0</v>
      </c>
      <c r="DY145" t="n">
        <v>3210</v>
      </c>
      <c r="DZ145" t="n">
        <v>4515</v>
      </c>
      <c r="EA145" t="n">
        <v>502</v>
      </c>
      <c r="EB145" t="n">
        <v>831</v>
      </c>
      <c r="EC145" t="n">
        <v>602</v>
      </c>
      <c r="ED145" t="n">
        <v>4950</v>
      </c>
      <c r="EE145" t="n">
        <v>5080</v>
      </c>
      <c r="EF145" t="n">
        <v>0</v>
      </c>
      <c r="EG145" t="n">
        <v>0</v>
      </c>
      <c r="EH145" t="n">
        <v>0.9</v>
      </c>
      <c r="EI145" t="n">
        <v>5.1</v>
      </c>
      <c r="EJ145" t="n">
        <v>6.7</v>
      </c>
      <c r="EK145" t="n">
        <v>13.6</v>
      </c>
    </row>
    <row r="146">
      <c r="A146">
        <f>[1]ingredient!B145</f>
        <v/>
      </c>
      <c r="C146" s="7">
        <f>_xlfn.XLOOKUP(A146,[1]ingredient!$B$2:$B$521,[1]ingredient!$A$2:$A$521)</f>
        <v/>
      </c>
      <c r="D146" t="n">
        <v>95</v>
      </c>
      <c r="E146" t="n">
        <v>5.4</v>
      </c>
      <c r="F146" t="n">
        <v>0.5</v>
      </c>
      <c r="G146" t="n">
        <v>12</v>
      </c>
      <c r="H146" t="n">
        <v>0</v>
      </c>
      <c r="I146" t="n">
        <v>3</v>
      </c>
      <c r="J146" t="n">
        <v>0.05</v>
      </c>
      <c r="K146" t="n">
        <v>80</v>
      </c>
      <c r="BG146">
        <f>IF($F146=0,"0",MIN(
BH146/(30*$F146),
BI146/(61*$F146),
BJ146/(48*$F146),
(BK146+BL146)/(23*$F146),
(BM146+BN146)/(41*$F146),
BO146/(25*$F146),
BP146/(6.6*$F146),
BQ146/(40*$F146),
BS146/(16*$F146)
)*100)</f>
        <v/>
      </c>
      <c r="CT146" t="n">
        <v>4.6</v>
      </c>
    </row>
    <row r="147">
      <c r="A147">
        <f>[1]ingredient!B146</f>
        <v/>
      </c>
      <c r="B147" t="inlineStr">
        <is>
          <t>https://www.naehrwertrechner.de/naehrwerte/C138000/Haferkleieflocken/?menge=100</t>
        </is>
      </c>
      <c r="C147" s="7">
        <f>_xlfn.XLOOKUP(A147,[1]ingredient!$B$2:$B$521,[1]ingredient!$A$2:$A$521)</f>
        <v/>
      </c>
      <c r="D147" t="n">
        <v>354</v>
      </c>
      <c r="E147" t="n">
        <v>7</v>
      </c>
      <c r="F147" t="n">
        <v>13</v>
      </c>
      <c r="G147" t="n">
        <v>60</v>
      </c>
      <c r="H147" t="n">
        <v>10</v>
      </c>
      <c r="I147" t="n">
        <v>1</v>
      </c>
      <c r="J147" t="n">
        <v>0.06</v>
      </c>
      <c r="K147" t="n">
        <v>10</v>
      </c>
      <c r="L147" t="n">
        <v>0</v>
      </c>
      <c r="M147" t="n">
        <v>0</v>
      </c>
      <c r="N147" t="n">
        <v>0</v>
      </c>
      <c r="O147" t="n">
        <v>0</v>
      </c>
      <c r="P147" t="n">
        <v>562</v>
      </c>
      <c r="Q147" t="n">
        <v>28</v>
      </c>
      <c r="R147" t="n">
        <v>1000</v>
      </c>
      <c r="S147" t="n">
        <v>3883</v>
      </c>
      <c r="T147" t="n">
        <v>1090</v>
      </c>
      <c r="U147" t="n">
        <v>98</v>
      </c>
      <c r="V147" t="n">
        <v>20</v>
      </c>
      <c r="W147" t="n">
        <v>87</v>
      </c>
      <c r="X147" t="n">
        <v>0</v>
      </c>
      <c r="Y147" t="n">
        <v>0</v>
      </c>
      <c r="Z147" t="n">
        <v>0</v>
      </c>
      <c r="AA147" t="n">
        <v>800</v>
      </c>
      <c r="AB147" t="n">
        <v>63</v>
      </c>
      <c r="AC147" t="n">
        <v>2</v>
      </c>
      <c r="AD147" t="n">
        <v>382</v>
      </c>
      <c r="AE147" t="n">
        <v>16</v>
      </c>
      <c r="AF147" t="n">
        <v>121</v>
      </c>
      <c r="AG147" t="n">
        <v>325</v>
      </c>
      <c r="AH147" t="n">
        <v>200</v>
      </c>
      <c r="AI147" t="n">
        <v>61</v>
      </c>
      <c r="AJ147" t="n">
        <v>4437</v>
      </c>
      <c r="AK147" t="n">
        <v>3642</v>
      </c>
      <c r="AL147" t="n">
        <v>410</v>
      </c>
      <c r="AM147" t="n">
        <v>4934</v>
      </c>
      <c r="AN147" t="n">
        <v>80</v>
      </c>
      <c r="AO147" t="n">
        <v>1</v>
      </c>
      <c r="AP147" t="n">
        <v>0</v>
      </c>
      <c r="AQ147" t="n">
        <v>0</v>
      </c>
      <c r="AR147" t="n">
        <v>0</v>
      </c>
      <c r="AS147" t="n">
        <v>0</v>
      </c>
      <c r="AT147" t="n">
        <v>0</v>
      </c>
      <c r="AU147" t="n">
        <v>0</v>
      </c>
      <c r="AV147" t="n">
        <v>0</v>
      </c>
      <c r="AW147" t="n">
        <v>0</v>
      </c>
      <c r="AX147" t="n">
        <v>712</v>
      </c>
      <c r="AY147" t="n">
        <v>60</v>
      </c>
      <c r="AZ147" t="n">
        <v>0</v>
      </c>
      <c r="BA147" t="n">
        <v>772</v>
      </c>
      <c r="BB147" t="n">
        <v>598</v>
      </c>
      <c r="BC147" t="n">
        <v>0</v>
      </c>
      <c r="BD147" t="n">
        <v>0</v>
      </c>
      <c r="BE147" t="n">
        <v>58171</v>
      </c>
      <c r="BF147" t="n">
        <v>58171</v>
      </c>
      <c r="BG147">
        <f>IF($F147=0,"0",MIN(
BH147/(30*$F147),
BI147/(61*$F147),
BJ147/(48*$F147),
(BK147+BL147)/(23*$F147),
(BM147+BN147)/(41*$F147),
BO147/(25*$F147),
BP147/(6.6*$F147),
BQ147/(40*$F147),
BS147/(16*$F147)
)*100)</f>
        <v/>
      </c>
      <c r="BH147" t="n">
        <v>557</v>
      </c>
      <c r="BI147" t="n">
        <v>1032</v>
      </c>
      <c r="BJ147" t="n">
        <v>457</v>
      </c>
      <c r="BK147" t="n">
        <v>219</v>
      </c>
      <c r="BL147" t="n">
        <v>356</v>
      </c>
      <c r="BM147" t="n">
        <v>712</v>
      </c>
      <c r="BN147" t="n">
        <v>520</v>
      </c>
      <c r="BO147" t="n">
        <v>484</v>
      </c>
      <c r="BP147" t="n">
        <v>173</v>
      </c>
      <c r="BQ147" t="n">
        <v>740</v>
      </c>
      <c r="BR147" t="n">
        <v>794</v>
      </c>
      <c r="BS147" t="n">
        <v>274</v>
      </c>
      <c r="BT147" t="n">
        <v>6318</v>
      </c>
      <c r="BU147" t="n">
        <v>721</v>
      </c>
      <c r="BV147" t="n">
        <v>1178</v>
      </c>
      <c r="BW147" t="n">
        <v>2812</v>
      </c>
      <c r="BX147" t="n">
        <v>776</v>
      </c>
      <c r="BY147" t="n">
        <v>767</v>
      </c>
      <c r="BZ147" t="n">
        <v>648</v>
      </c>
      <c r="CA147" t="n">
        <v>6902</v>
      </c>
      <c r="CB147" t="n">
        <v>100</v>
      </c>
      <c r="CC147" t="n">
        <v>42</v>
      </c>
      <c r="CD147" t="n">
        <v>58</v>
      </c>
      <c r="CE147" t="n">
        <v>2429</v>
      </c>
      <c r="CF147" t="n">
        <v>41.88</v>
      </c>
      <c r="CG147" t="n">
        <v>0</v>
      </c>
      <c r="CH147" t="n">
        <v>0</v>
      </c>
      <c r="CI147" t="n">
        <v>0</v>
      </c>
      <c r="CJ147" t="n">
        <v>0</v>
      </c>
      <c r="CK147" t="n">
        <v>54</v>
      </c>
      <c r="CL147" t="n">
        <v>0</v>
      </c>
      <c r="CM147" t="n">
        <v>0</v>
      </c>
      <c r="CN147" t="n">
        <v>1079</v>
      </c>
      <c r="CO147" t="n">
        <v>0</v>
      </c>
      <c r="CP147" t="n">
        <v>112</v>
      </c>
      <c r="CQ147" t="n">
        <v>0</v>
      </c>
      <c r="CR147" t="n">
        <v>0</v>
      </c>
      <c r="CS147" t="n">
        <v>0</v>
      </c>
      <c r="CT147" t="n">
        <v>1245</v>
      </c>
      <c r="CU147" t="n">
        <v>0</v>
      </c>
      <c r="CV147" t="n">
        <v>0</v>
      </c>
      <c r="CW147" t="n">
        <v>14</v>
      </c>
      <c r="CX147" t="n">
        <v>0</v>
      </c>
      <c r="CY147" t="n">
        <v>2381</v>
      </c>
      <c r="CZ147" t="n">
        <v>73</v>
      </c>
      <c r="DA147" t="n">
        <v>0</v>
      </c>
      <c r="DB147" t="n">
        <v>0</v>
      </c>
      <c r="DC147" t="n">
        <v>2468</v>
      </c>
      <c r="DD147" t="n">
        <v>0</v>
      </c>
      <c r="DE147" t="n">
        <v>0</v>
      </c>
      <c r="DF147" t="n">
        <v>2429</v>
      </c>
      <c r="DG147" t="n">
        <v>55</v>
      </c>
      <c r="DH147" t="n">
        <v>0</v>
      </c>
      <c r="DI147" t="n">
        <v>0</v>
      </c>
      <c r="DJ147" t="n">
        <v>0</v>
      </c>
      <c r="DK147" t="n">
        <v>0</v>
      </c>
      <c r="DL147" t="n">
        <v>0</v>
      </c>
      <c r="DM147" t="n">
        <v>3</v>
      </c>
      <c r="DN147" t="n">
        <v>0</v>
      </c>
      <c r="DO147" t="n">
        <v>0</v>
      </c>
      <c r="DP147" t="n">
        <v>0</v>
      </c>
      <c r="DQ147" t="n">
        <v>0</v>
      </c>
      <c r="DR147" t="n">
        <v>0</v>
      </c>
      <c r="DS147" t="n">
        <v>2487</v>
      </c>
      <c r="DT147" t="n">
        <v>6200</v>
      </c>
      <c r="DU147" t="n">
        <v>450</v>
      </c>
      <c r="DV147" t="n">
        <v>0</v>
      </c>
      <c r="DW147" t="n">
        <v>0</v>
      </c>
      <c r="DX147" t="n">
        <v>0</v>
      </c>
      <c r="DY147" t="n">
        <v>3210</v>
      </c>
      <c r="DZ147" t="n">
        <v>4515</v>
      </c>
      <c r="EA147" t="n">
        <v>502</v>
      </c>
      <c r="EB147" t="n">
        <v>831</v>
      </c>
      <c r="EC147" t="n">
        <v>602</v>
      </c>
      <c r="ED147" t="n">
        <v>4950</v>
      </c>
      <c r="EE147" t="n">
        <v>5080</v>
      </c>
      <c r="EF147" t="n">
        <v>0</v>
      </c>
      <c r="EG147" t="n">
        <v>0</v>
      </c>
      <c r="EH147" t="n">
        <v>0.9</v>
      </c>
      <c r="EI147" t="n">
        <v>5.1</v>
      </c>
      <c r="EJ147" t="n">
        <v>6.7</v>
      </c>
      <c r="EK147" t="n">
        <v>13.6</v>
      </c>
    </row>
    <row r="148">
      <c r="A148">
        <f>[1]ingredient!B147</f>
        <v/>
      </c>
      <c r="B148" t="inlineStr">
        <is>
          <t>https://www.naehrwertrechner.de/naehrwerte/C233011/Hafer+Mehl/?menge=100</t>
        </is>
      </c>
      <c r="C148" s="7">
        <f>_xlfn.XLOOKUP(A148,[1]ingredient!$B$2:$B$521,[1]ingredient!$A$2:$A$521)</f>
        <v/>
      </c>
      <c r="D148" t="n">
        <v>375</v>
      </c>
      <c r="E148" t="n">
        <v>7</v>
      </c>
      <c r="F148" t="n">
        <v>14</v>
      </c>
      <c r="G148" t="n">
        <v>63</v>
      </c>
      <c r="H148" t="n">
        <v>5</v>
      </c>
      <c r="I148" t="n">
        <v>1</v>
      </c>
      <c r="J148" t="n">
        <v>0.08</v>
      </c>
      <c r="K148" t="n">
        <v>9</v>
      </c>
      <c r="L148" t="n">
        <v>0</v>
      </c>
      <c r="M148" t="n">
        <v>0</v>
      </c>
      <c r="N148" t="n">
        <v>0</v>
      </c>
      <c r="O148" t="n">
        <v>0</v>
      </c>
      <c r="P148" t="n">
        <v>560</v>
      </c>
      <c r="Q148" t="n">
        <v>120</v>
      </c>
      <c r="R148" t="n">
        <v>930</v>
      </c>
      <c r="S148" t="n">
        <v>3697</v>
      </c>
      <c r="T148" t="n">
        <v>1000</v>
      </c>
      <c r="U148" t="n">
        <v>200</v>
      </c>
      <c r="V148" t="n">
        <v>20</v>
      </c>
      <c r="W148" t="n">
        <v>60</v>
      </c>
      <c r="X148" t="n">
        <v>0</v>
      </c>
      <c r="Y148" t="n">
        <v>0</v>
      </c>
      <c r="Z148" t="n">
        <v>0</v>
      </c>
      <c r="AA148" t="n">
        <v>1700</v>
      </c>
      <c r="AB148" t="n">
        <v>63</v>
      </c>
      <c r="AC148" t="n">
        <v>6</v>
      </c>
      <c r="AD148" t="n">
        <v>268</v>
      </c>
      <c r="AE148" t="n">
        <v>55</v>
      </c>
      <c r="AF148" t="n">
        <v>131</v>
      </c>
      <c r="AG148" t="n">
        <v>405</v>
      </c>
      <c r="AH148" t="n">
        <v>160</v>
      </c>
      <c r="AI148" t="n">
        <v>73</v>
      </c>
      <c r="AJ148" t="n">
        <v>4200</v>
      </c>
      <c r="AK148" t="n">
        <v>3300</v>
      </c>
      <c r="AL148" t="n">
        <v>230</v>
      </c>
      <c r="AM148" t="n">
        <v>3700</v>
      </c>
      <c r="AN148" t="n">
        <v>95</v>
      </c>
      <c r="AO148" t="n">
        <v>4</v>
      </c>
      <c r="AP148" t="n">
        <v>0</v>
      </c>
      <c r="AQ148" t="n">
        <v>0</v>
      </c>
      <c r="AR148" t="n">
        <v>0</v>
      </c>
      <c r="AS148" t="n">
        <v>0</v>
      </c>
      <c r="AT148" t="n">
        <v>63</v>
      </c>
      <c r="AU148" t="n">
        <v>0</v>
      </c>
      <c r="AV148" t="n">
        <v>0</v>
      </c>
      <c r="AW148" t="n">
        <v>63</v>
      </c>
      <c r="AX148" t="n">
        <v>440</v>
      </c>
      <c r="AY148" t="n">
        <v>0</v>
      </c>
      <c r="AZ148" t="n">
        <v>0</v>
      </c>
      <c r="BA148" t="n">
        <v>440</v>
      </c>
      <c r="BB148" t="n">
        <v>314</v>
      </c>
      <c r="BC148" t="n">
        <v>280</v>
      </c>
      <c r="BD148" t="n">
        <v>0</v>
      </c>
      <c r="BE148" t="n">
        <v>62053</v>
      </c>
      <c r="BF148" t="n">
        <v>62053</v>
      </c>
      <c r="BG148">
        <f>IF($F148=0,"0",MIN(
BH148/(30*$F148),
BI148/(61*$F148),
BJ148/(48*$F148),
(BK148+BL148)/(23*$F148),
(BM148+BN148)/(41*$F148),
BO148/(25*$F148),
BP148/(6.6*$F148),
BQ148/(40*$F148),
BS148/(16*$F148)
)*100)</f>
        <v/>
      </c>
      <c r="BH148" t="n">
        <v>622</v>
      </c>
      <c r="BI148" t="n">
        <v>1037</v>
      </c>
      <c r="BJ148" t="n">
        <v>498</v>
      </c>
      <c r="BK148" t="n">
        <v>207</v>
      </c>
      <c r="BL148" t="n">
        <v>346</v>
      </c>
      <c r="BM148" t="n">
        <v>733</v>
      </c>
      <c r="BN148" t="n">
        <v>498</v>
      </c>
      <c r="BO148" t="n">
        <v>470</v>
      </c>
      <c r="BP148" t="n">
        <v>166</v>
      </c>
      <c r="BQ148" t="n">
        <v>802</v>
      </c>
      <c r="BR148" t="n">
        <v>899</v>
      </c>
      <c r="BS148" t="n">
        <v>304</v>
      </c>
      <c r="BT148" t="n">
        <v>6582</v>
      </c>
      <c r="BU148" t="n">
        <v>664</v>
      </c>
      <c r="BV148" t="n">
        <v>1134</v>
      </c>
      <c r="BW148" t="n">
        <v>3098</v>
      </c>
      <c r="BX148" t="n">
        <v>692</v>
      </c>
      <c r="BY148" t="n">
        <v>761</v>
      </c>
      <c r="BZ148" t="n">
        <v>692</v>
      </c>
      <c r="CA148" t="n">
        <v>7041</v>
      </c>
      <c r="CB148" t="n">
        <v>149</v>
      </c>
      <c r="CC148" t="n">
        <v>62</v>
      </c>
      <c r="CD148" t="n">
        <v>101</v>
      </c>
      <c r="CE148" t="n">
        <v>2728</v>
      </c>
      <c r="CF148" t="n">
        <v>27.01</v>
      </c>
      <c r="CG148" t="n">
        <v>0</v>
      </c>
      <c r="CH148" t="n">
        <v>0</v>
      </c>
      <c r="CI148" t="n">
        <v>0</v>
      </c>
      <c r="CJ148" t="n">
        <v>0</v>
      </c>
      <c r="CK148" t="n">
        <v>7</v>
      </c>
      <c r="CL148" t="n">
        <v>20</v>
      </c>
      <c r="CM148" t="n">
        <v>0</v>
      </c>
      <c r="CN148" t="n">
        <v>1163</v>
      </c>
      <c r="CO148" t="n">
        <v>0</v>
      </c>
      <c r="CP148" t="n">
        <v>87</v>
      </c>
      <c r="CQ148" t="n">
        <v>34</v>
      </c>
      <c r="CR148" t="n">
        <v>0</v>
      </c>
      <c r="CS148" t="n">
        <v>0</v>
      </c>
      <c r="CT148" t="n">
        <v>1311</v>
      </c>
      <c r="CU148" t="n">
        <v>0</v>
      </c>
      <c r="CV148" t="n">
        <v>0</v>
      </c>
      <c r="CW148" t="n">
        <v>20</v>
      </c>
      <c r="CX148" t="n">
        <v>0</v>
      </c>
      <c r="CY148" t="n">
        <v>2554</v>
      </c>
      <c r="CZ148" t="n">
        <v>7</v>
      </c>
      <c r="DA148" t="n">
        <v>0</v>
      </c>
      <c r="DB148" t="n">
        <v>0</v>
      </c>
      <c r="DC148" t="n">
        <v>2581</v>
      </c>
      <c r="DD148" t="n">
        <v>0</v>
      </c>
      <c r="DE148" t="n">
        <v>0</v>
      </c>
      <c r="DF148" t="n">
        <v>2721</v>
      </c>
      <c r="DG148" t="n">
        <v>101</v>
      </c>
      <c r="DH148" t="n">
        <v>0</v>
      </c>
      <c r="DI148" t="n">
        <v>0</v>
      </c>
      <c r="DJ148" t="n">
        <v>0</v>
      </c>
      <c r="DK148" t="n">
        <v>0</v>
      </c>
      <c r="DL148" t="n">
        <v>7</v>
      </c>
      <c r="DM148" t="n">
        <v>0</v>
      </c>
      <c r="DN148" t="n">
        <v>0</v>
      </c>
      <c r="DO148" t="n">
        <v>0</v>
      </c>
      <c r="DP148" t="n">
        <v>0</v>
      </c>
      <c r="DQ148" t="n">
        <v>0</v>
      </c>
      <c r="DR148" t="n">
        <v>0</v>
      </c>
      <c r="DS148" t="n">
        <v>2829</v>
      </c>
      <c r="DT148" t="n">
        <v>6721</v>
      </c>
      <c r="DU148" t="n">
        <v>429</v>
      </c>
      <c r="DV148" t="n">
        <v>0</v>
      </c>
      <c r="DW148" t="n">
        <v>0</v>
      </c>
      <c r="DX148" t="n">
        <v>0</v>
      </c>
      <c r="DY148" t="n">
        <v>1600</v>
      </c>
      <c r="DZ148" t="n">
        <v>2250</v>
      </c>
      <c r="EA148" t="n">
        <v>250</v>
      </c>
      <c r="EB148" t="n">
        <v>600</v>
      </c>
      <c r="EC148" t="n">
        <v>300</v>
      </c>
      <c r="ED148" t="n">
        <v>1500</v>
      </c>
      <c r="EE148" t="n">
        <v>3500</v>
      </c>
      <c r="EF148" t="n">
        <v>0</v>
      </c>
      <c r="EG148" t="n">
        <v>0</v>
      </c>
      <c r="EH148" t="n">
        <v>1.8</v>
      </c>
      <c r="EI148" t="n">
        <v>3.5</v>
      </c>
      <c r="EJ148" t="n">
        <v>7.2</v>
      </c>
      <c r="EK148" t="n">
        <v>14.1</v>
      </c>
    </row>
    <row r="149">
      <c r="A149">
        <f>[1]ingredient!B148</f>
        <v/>
      </c>
      <c r="B149" t="inlineStr">
        <is>
          <t>https://www.naehrwertrechner.de/naehrwerte/C139000/Haferdrink/?menge=100</t>
        </is>
      </c>
      <c r="C149" s="7">
        <f>_xlfn.XLOOKUP(A149,[1]ingredient!$B$2:$B$521,[1]ingredient!$A$2:$A$521)</f>
        <v/>
      </c>
      <c r="D149" t="n">
        <v>46</v>
      </c>
      <c r="E149" t="n">
        <v>2</v>
      </c>
      <c r="F149" t="n">
        <v>1</v>
      </c>
      <c r="G149" t="n">
        <v>7</v>
      </c>
      <c r="H149" t="n">
        <v>1</v>
      </c>
      <c r="I149" t="n">
        <v>4</v>
      </c>
      <c r="J149" t="n">
        <v>0.11</v>
      </c>
      <c r="K149" t="n">
        <v>90</v>
      </c>
      <c r="L149" t="n">
        <v>0</v>
      </c>
      <c r="M149" t="n">
        <v>0</v>
      </c>
      <c r="N149" t="n">
        <v>0</v>
      </c>
      <c r="O149" t="n">
        <v>0</v>
      </c>
      <c r="P149" t="n">
        <v>100</v>
      </c>
      <c r="Q149" t="n">
        <v>200</v>
      </c>
      <c r="R149" t="n">
        <v>100</v>
      </c>
      <c r="S149" t="n">
        <v>400</v>
      </c>
      <c r="T149" t="n">
        <v>100</v>
      </c>
      <c r="U149" t="n">
        <v>0</v>
      </c>
      <c r="V149" t="n">
        <v>2</v>
      </c>
      <c r="W149" t="n">
        <v>6</v>
      </c>
      <c r="X149" t="n">
        <v>0.4</v>
      </c>
      <c r="Y149" t="n">
        <v>0</v>
      </c>
      <c r="Z149" t="n">
        <v>1</v>
      </c>
      <c r="AA149" t="n">
        <v>0</v>
      </c>
      <c r="AB149" t="n">
        <v>2</v>
      </c>
      <c r="AC149" t="n">
        <v>40</v>
      </c>
      <c r="AD149" t="n">
        <v>27</v>
      </c>
      <c r="AE149" t="n">
        <v>120</v>
      </c>
      <c r="AF149" t="n">
        <v>14</v>
      </c>
      <c r="AG149" t="n">
        <v>41</v>
      </c>
      <c r="AH149" t="n">
        <v>17</v>
      </c>
      <c r="AI149" t="n">
        <v>70</v>
      </c>
      <c r="AJ149" t="n">
        <v>400</v>
      </c>
      <c r="AK149" t="n">
        <v>300</v>
      </c>
      <c r="AL149" t="n">
        <v>0</v>
      </c>
      <c r="AM149" t="n">
        <v>400</v>
      </c>
      <c r="AN149" t="n">
        <v>0</v>
      </c>
      <c r="AO149" t="n">
        <v>23</v>
      </c>
      <c r="AP149" t="n">
        <v>0</v>
      </c>
      <c r="AQ149" t="n">
        <v>0</v>
      </c>
      <c r="AR149" t="n">
        <v>0</v>
      </c>
      <c r="AS149" t="n">
        <v>0</v>
      </c>
      <c r="AT149" t="n">
        <v>1900</v>
      </c>
      <c r="AU149" t="n">
        <v>100</v>
      </c>
      <c r="AV149" t="n">
        <v>0</v>
      </c>
      <c r="AW149" t="n">
        <v>2000</v>
      </c>
      <c r="AX149" t="n">
        <v>200</v>
      </c>
      <c r="AY149" t="n">
        <v>1900</v>
      </c>
      <c r="AZ149" t="n">
        <v>0</v>
      </c>
      <c r="BA149" t="n">
        <v>2100</v>
      </c>
      <c r="BB149" t="n">
        <v>600</v>
      </c>
      <c r="BC149" t="n">
        <v>28</v>
      </c>
      <c r="BD149" t="n">
        <v>0</v>
      </c>
      <c r="BE149" t="n">
        <v>2000</v>
      </c>
      <c r="BF149" t="n">
        <v>0</v>
      </c>
      <c r="BG149">
        <f>IF($F149=0,"0",MIN(
BH149/(30*$F149),
BI149/(61*$F149),
BJ149/(48*$F149),
(BK149+BL149)/(23*$F149),
(BM149+BN149)/(41*$F149),
BO149/(25*$F149),
BP149/(6.6*$F149),
BQ149/(40*$F149),
BS149/(16*$F149)
)*100)</f>
        <v/>
      </c>
      <c r="BH149" t="n">
        <v>41</v>
      </c>
      <c r="BI149" t="n">
        <v>77</v>
      </c>
      <c r="BJ149" t="n">
        <v>40</v>
      </c>
      <c r="BK149" t="n">
        <v>18</v>
      </c>
      <c r="BL149" t="n">
        <v>34</v>
      </c>
      <c r="BM149" t="n">
        <v>52</v>
      </c>
      <c r="BN149" t="n">
        <v>31</v>
      </c>
      <c r="BO149" t="n">
        <v>36</v>
      </c>
      <c r="BP149" t="n">
        <v>15</v>
      </c>
      <c r="BQ149" t="n">
        <v>54</v>
      </c>
      <c r="BR149" t="n">
        <v>62</v>
      </c>
      <c r="BS149" t="n">
        <v>20</v>
      </c>
      <c r="BT149" t="n">
        <v>480</v>
      </c>
      <c r="BU149" t="n">
        <v>53</v>
      </c>
      <c r="BV149" t="n">
        <v>83</v>
      </c>
      <c r="BW149" t="n">
        <v>217</v>
      </c>
      <c r="BX149" t="n">
        <v>53</v>
      </c>
      <c r="BY149" t="n">
        <v>59</v>
      </c>
      <c r="BZ149" t="n">
        <v>54</v>
      </c>
      <c r="CA149" t="n">
        <v>520</v>
      </c>
      <c r="CB149" t="n">
        <v>15</v>
      </c>
      <c r="CC149" t="n">
        <v>6</v>
      </c>
      <c r="CD149" t="n">
        <v>100</v>
      </c>
      <c r="CE149" t="n">
        <v>401</v>
      </c>
      <c r="CF149" t="n">
        <v>4.01</v>
      </c>
      <c r="CG149" t="n">
        <v>0</v>
      </c>
      <c r="CH149" t="n">
        <v>0</v>
      </c>
      <c r="CI149" t="n">
        <v>0</v>
      </c>
      <c r="CJ149" t="n">
        <v>0</v>
      </c>
      <c r="CK149" t="n">
        <v>1</v>
      </c>
      <c r="CL149" t="n">
        <v>2</v>
      </c>
      <c r="CM149" t="n">
        <v>0.3</v>
      </c>
      <c r="CN149" t="n">
        <v>160</v>
      </c>
      <c r="CO149" t="n">
        <v>1</v>
      </c>
      <c r="CP149" t="n">
        <v>27</v>
      </c>
      <c r="CQ149" t="n">
        <v>6</v>
      </c>
      <c r="CR149" t="n">
        <v>3</v>
      </c>
      <c r="CS149" t="n">
        <v>1</v>
      </c>
      <c r="CT149" t="n">
        <v>200</v>
      </c>
      <c r="CU149" t="n">
        <v>0</v>
      </c>
      <c r="CV149" t="n">
        <v>0</v>
      </c>
      <c r="CW149" t="n">
        <v>5</v>
      </c>
      <c r="CX149" t="n">
        <v>0</v>
      </c>
      <c r="CY149" t="n">
        <v>673</v>
      </c>
      <c r="CZ149" t="n">
        <v>28</v>
      </c>
      <c r="DA149" t="n">
        <v>3</v>
      </c>
      <c r="DB149" t="n">
        <v>1</v>
      </c>
      <c r="DC149" t="n">
        <v>700</v>
      </c>
      <c r="DD149" t="n">
        <v>0</v>
      </c>
      <c r="DE149" t="n">
        <v>0</v>
      </c>
      <c r="DF149" t="n">
        <v>400</v>
      </c>
      <c r="DG149" t="n">
        <v>100</v>
      </c>
      <c r="DH149" t="n">
        <v>0</v>
      </c>
      <c r="DI149" t="n">
        <v>0</v>
      </c>
      <c r="DJ149" t="n">
        <v>0.1</v>
      </c>
      <c r="DK149" t="n">
        <v>0</v>
      </c>
      <c r="DL149" t="n">
        <v>1</v>
      </c>
      <c r="DM149" t="n">
        <v>0</v>
      </c>
      <c r="DN149" t="n">
        <v>0</v>
      </c>
      <c r="DO149" t="n">
        <v>0</v>
      </c>
      <c r="DP149" t="n">
        <v>0</v>
      </c>
      <c r="DQ149" t="n">
        <v>0</v>
      </c>
      <c r="DR149" t="n">
        <v>0</v>
      </c>
      <c r="DS149" t="n">
        <v>500</v>
      </c>
      <c r="DT149" t="n">
        <v>1418</v>
      </c>
      <c r="DU149" t="n">
        <v>82</v>
      </c>
      <c r="DV149" t="n">
        <v>0</v>
      </c>
      <c r="DW149" t="n">
        <v>0</v>
      </c>
      <c r="DX149" t="n">
        <v>0</v>
      </c>
      <c r="DY149" t="n">
        <v>256</v>
      </c>
      <c r="DZ149" t="n">
        <v>360</v>
      </c>
      <c r="EA149" t="n">
        <v>40</v>
      </c>
      <c r="EB149" t="n">
        <v>96</v>
      </c>
      <c r="EC149" t="n">
        <v>48</v>
      </c>
      <c r="ED149" t="n">
        <v>240</v>
      </c>
      <c r="EE149" t="n">
        <v>560</v>
      </c>
      <c r="EF149" t="n">
        <v>0</v>
      </c>
      <c r="EG149" t="n">
        <v>20</v>
      </c>
      <c r="EH149" t="n">
        <v>0.3</v>
      </c>
      <c r="EI149" t="n">
        <v>0.6</v>
      </c>
      <c r="EJ149" t="n">
        <v>1.5</v>
      </c>
      <c r="EK149" t="n">
        <v>1</v>
      </c>
    </row>
    <row r="150">
      <c r="A150">
        <f>[1]ingredient!B149</f>
        <v/>
      </c>
      <c r="C150" s="7">
        <f>_xlfn.XLOOKUP(A150,[1]ingredient!$B$2:$B$521,[1]ingredient!$A$2:$A$521)</f>
        <v/>
      </c>
      <c r="D150">
        <f>IFERROR(D151*(D385/D380),0)</f>
        <v/>
      </c>
      <c r="E150">
        <f>IFERROR(E151*(E385/E380),0)</f>
        <v/>
      </c>
      <c r="F150">
        <f>IFERROR(F151*(F385/F380),0)</f>
        <v/>
      </c>
      <c r="G150">
        <f>IFERROR(G151*(G385/G380),0)</f>
        <v/>
      </c>
      <c r="H150">
        <f>IFERROR(H151*(H385/H380),0)</f>
        <v/>
      </c>
      <c r="I150">
        <f>IFERROR(I151*(I385/I380),0)</f>
        <v/>
      </c>
      <c r="J150">
        <f>IFERROR(J151*(J385/J380),0)</f>
        <v/>
      </c>
      <c r="K150">
        <f>IFERROR(K151*(K385/K380),0)</f>
        <v/>
      </c>
      <c r="L150">
        <f>IFERROR(L151*(L385/L380),0)</f>
        <v/>
      </c>
      <c r="M150">
        <f>IFERROR(M151*(M385/M380),0)</f>
        <v/>
      </c>
      <c r="N150">
        <f>IFERROR(N151*(N385/N380),0)</f>
        <v/>
      </c>
      <c r="O150">
        <f>IFERROR(O151*(O385/O380),0)</f>
        <v/>
      </c>
      <c r="P150">
        <f>IFERROR(P151*(P385/P380),0)</f>
        <v/>
      </c>
      <c r="Q150">
        <f>IFERROR(Q151*(Q385/Q380),0)</f>
        <v/>
      </c>
      <c r="R150">
        <f>IFERROR(R151*(R385/R380),0)</f>
        <v/>
      </c>
      <c r="S150">
        <f>IFERROR(S151*(S385/S380),0)</f>
        <v/>
      </c>
      <c r="T150">
        <f>IFERROR(T151*(T385/T380),0)</f>
        <v/>
      </c>
      <c r="U150">
        <f>IFERROR(U151*(U385/U380),0)</f>
        <v/>
      </c>
      <c r="V150">
        <f>IFERROR(V151*(V385/V380),0)</f>
        <v/>
      </c>
      <c r="W150">
        <f>IFERROR(W151*(W385/W380),0)</f>
        <v/>
      </c>
      <c r="X150">
        <f>IFERROR(X151*(X385/X380),0)</f>
        <v/>
      </c>
      <c r="Y150">
        <f>IFERROR(Y151*(Y385/Y380),0)</f>
        <v/>
      </c>
      <c r="Z150">
        <f>IFERROR(Z151*(Z385/Z380),0)</f>
        <v/>
      </c>
      <c r="AA150">
        <f>IFERROR(AA151*(AA385/AA380),0)</f>
        <v/>
      </c>
      <c r="AB150">
        <f>IFERROR(AB151*(AB385/AB380),0)</f>
        <v/>
      </c>
      <c r="AC150">
        <f>IFERROR(AC151*(AC385/AC380),0)</f>
        <v/>
      </c>
      <c r="AD150">
        <f>IFERROR(AD151*(AD385/AD380),0)</f>
        <v/>
      </c>
      <c r="AE150">
        <f>IFERROR(AE151*(AE385/AE380),0)</f>
        <v/>
      </c>
      <c r="AF150">
        <f>IFERROR(AF151*(AF385/AF380),0)</f>
        <v/>
      </c>
      <c r="AG150">
        <f>IFERROR(AG151*(AG385/AG380),0)</f>
        <v/>
      </c>
      <c r="AH150">
        <f>IFERROR(AH151*(AH385/AH380),0)</f>
        <v/>
      </c>
      <c r="AI150">
        <f>IFERROR(AI151*(AI385/AI380),0)</f>
        <v/>
      </c>
      <c r="AJ150">
        <f>IFERROR(AJ151*(AJ385/AJ380),0)</f>
        <v/>
      </c>
      <c r="AK150">
        <f>IFERROR(AK151*(AK385/AK380),0)</f>
        <v/>
      </c>
      <c r="AL150">
        <f>IFERROR(AL151*(AL385/AL380),0)</f>
        <v/>
      </c>
      <c r="AM150">
        <f>IFERROR(AM151*(AM385/AM380),0)</f>
        <v/>
      </c>
      <c r="AN150">
        <f>IFERROR(AN151*(AN385/AN380),0)</f>
        <v/>
      </c>
      <c r="AO150">
        <f>IFERROR(AO151*(AO385/AO380),0)</f>
        <v/>
      </c>
      <c r="AP150">
        <f>IFERROR(AP151*(AP385/AP380),0)</f>
        <v/>
      </c>
      <c r="AQ150">
        <f>IFERROR(AQ151*(AQ385/AQ380),0)</f>
        <v/>
      </c>
      <c r="AR150">
        <f>IFERROR(AR151*(AR385/AR380),0)</f>
        <v/>
      </c>
      <c r="AS150">
        <f>IFERROR(AS151*(AS385/AS380),0)</f>
        <v/>
      </c>
      <c r="AT150">
        <f>IFERROR(AT151*(AT385/AT380),0)</f>
        <v/>
      </c>
      <c r="AU150">
        <f>IFERROR(AU151*(AU385/AU380),0)</f>
        <v/>
      </c>
      <c r="AV150">
        <f>IFERROR(AV151*(AV385/AV380),0)</f>
        <v/>
      </c>
      <c r="AW150">
        <f>IFERROR(AW151*(AW385/AW380),0)</f>
        <v/>
      </c>
      <c r="AX150">
        <f>IFERROR(AX151*(AX385/AX380),0)</f>
        <v/>
      </c>
      <c r="AY150">
        <f>IFERROR(AY151*(AY385/AY380),0)</f>
        <v/>
      </c>
      <c r="AZ150">
        <f>IFERROR(AZ151*(AZ385/AZ380),0)</f>
        <v/>
      </c>
      <c r="BA150">
        <f>IFERROR(BA151*(BA385/BA380),0)</f>
        <v/>
      </c>
      <c r="BB150">
        <f>IFERROR(BB151*(BB385/BB380),0)</f>
        <v/>
      </c>
      <c r="BC150">
        <f>IFERROR(BC151*(BC385/BC380),0)</f>
        <v/>
      </c>
      <c r="BD150">
        <f>IFERROR(BD151*(BD385/BD380),0)</f>
        <v/>
      </c>
      <c r="BE150">
        <f>IFERROR(BE151*(BE385/BE380),0)</f>
        <v/>
      </c>
      <c r="BF150">
        <f>IFERROR(BF151*(BF385/BF380),0)</f>
        <v/>
      </c>
      <c r="BG150">
        <f>IF($F150=0,"0",MIN(
BH150/(30*$F150),
BI150/(61*$F150),
BJ150/(48*$F150),
(BK150+BL150)/(23*$F150),
(BM150+BN150)/(41*$F150),
BO150/(25*$F150),
BP150/(6.6*$F150),
BQ150/(40*$F150),
BS150/(16*$F150)
)*100)</f>
        <v/>
      </c>
      <c r="BH150">
        <f>IFERROR(BH151*(BH385/BH380),0)</f>
        <v/>
      </c>
      <c r="BI150">
        <f>IFERROR(BI151*(BI385/BI380),0)</f>
        <v/>
      </c>
      <c r="BJ150">
        <f>IFERROR(BJ151*(BJ385/BJ380),0)</f>
        <v/>
      </c>
      <c r="BK150">
        <f>IFERROR(BK151*(BK385/BK380),0)</f>
        <v/>
      </c>
      <c r="BL150">
        <f>IFERROR(BL151*(BL385/BL380),0)</f>
        <v/>
      </c>
      <c r="BM150">
        <f>IFERROR(BM151*(BM385/BM380),0)</f>
        <v/>
      </c>
      <c r="BN150">
        <f>IFERROR(BN151*(BN385/BN380),0)</f>
        <v/>
      </c>
      <c r="BO150">
        <f>IFERROR(BO151*(BO385/BO380),0)</f>
        <v/>
      </c>
      <c r="BP150">
        <f>IFERROR(BP151*(BP385/BP380),0)</f>
        <v/>
      </c>
      <c r="BQ150">
        <f>IFERROR(BQ151*(BQ385/BQ380),0)</f>
        <v/>
      </c>
      <c r="BR150">
        <f>IFERROR(BR151*(BR385/BR380),0)</f>
        <v/>
      </c>
      <c r="BS150">
        <f>IFERROR(BS151*(BS385/BS380),0)</f>
        <v/>
      </c>
      <c r="BT150">
        <f>IFERROR(BT151*(BT385/BT380),0)</f>
        <v/>
      </c>
      <c r="BU150">
        <f>IFERROR(BU151*(BU385/BU380),0)</f>
        <v/>
      </c>
      <c r="BV150">
        <f>IFERROR(BV151*(BV385/BV380),0)</f>
        <v/>
      </c>
      <c r="BW150">
        <f>IFERROR(BW151*(BW385/BW380),0)</f>
        <v/>
      </c>
      <c r="BX150">
        <f>IFERROR(BX151*(BX385/BX380),0)</f>
        <v/>
      </c>
      <c r="BY150">
        <f>IFERROR(BY151*(BY385/BY380),0)</f>
        <v/>
      </c>
      <c r="BZ150">
        <f>IFERROR(BZ151*(BZ385/BZ380),0)</f>
        <v/>
      </c>
      <c r="CA150">
        <f>IFERROR(CA151*(CA385/CA380),0)</f>
        <v/>
      </c>
      <c r="CB150">
        <f>IFERROR(CB151*(CB385/CB380),0)</f>
        <v/>
      </c>
      <c r="CC150">
        <f>IFERROR(CC151*(CC385/CC380),0)</f>
        <v/>
      </c>
      <c r="CD150">
        <f>IFERROR(CD151*(CD385/CD380),0)</f>
        <v/>
      </c>
      <c r="CE150">
        <f>IFERROR(CE151*(CE385/CE380),0)</f>
        <v/>
      </c>
      <c r="CF150">
        <f>IFERROR(CF151*(CF385/CF380),0)</f>
        <v/>
      </c>
      <c r="CG150">
        <f>IFERROR(CG151*(CG385/CG380),0)</f>
        <v/>
      </c>
      <c r="CH150">
        <f>IFERROR(CH151*(CH385/CH380),0)</f>
        <v/>
      </c>
      <c r="CI150">
        <f>IFERROR(CI151*(CI385/CI380),0)</f>
        <v/>
      </c>
      <c r="CJ150">
        <f>IFERROR(CJ151*(CJ385/CJ380),0)</f>
        <v/>
      </c>
      <c r="CK150">
        <f>IFERROR(CK151*(CK385/CK380),0)</f>
        <v/>
      </c>
      <c r="CL150">
        <f>IFERROR(CL151*(CL385/CL380),0)</f>
        <v/>
      </c>
      <c r="CM150">
        <f>IFERROR(CM151*(CM385/CM380),0)</f>
        <v/>
      </c>
      <c r="CN150">
        <f>IFERROR(CN151*(CN385/CN380),0)</f>
        <v/>
      </c>
      <c r="CO150">
        <f>IFERROR(CO151*(CO385/CO380),0)</f>
        <v/>
      </c>
      <c r="CP150">
        <f>IFERROR(CP151*(CP385/CP380),0)</f>
        <v/>
      </c>
      <c r="CQ150">
        <f>IFERROR(CQ151*(CQ385/CQ380),0)</f>
        <v/>
      </c>
      <c r="CR150">
        <f>IFERROR(CR151*(CR385/CR380),0)</f>
        <v/>
      </c>
      <c r="CS150">
        <f>IFERROR(CS151*(CS385/CS380),0)</f>
        <v/>
      </c>
      <c r="CT150">
        <f>IFERROR(CT151*(CT385/CT380),0)</f>
        <v/>
      </c>
      <c r="CU150">
        <f>IFERROR(CU151*(CU385/CU380),0)</f>
        <v/>
      </c>
      <c r="CV150">
        <f>IFERROR(CV151*(CV385/CV380),0)</f>
        <v/>
      </c>
      <c r="CW150">
        <f>IFERROR(CW151*(CW385/CW380),0)</f>
        <v/>
      </c>
      <c r="CX150">
        <f>IFERROR(CX151*(CX385/CX380),0)</f>
        <v/>
      </c>
      <c r="CY150">
        <f>IFERROR(CY151*(CY385/CY380),0)</f>
        <v/>
      </c>
      <c r="CZ150">
        <f>IFERROR(CZ151*(CZ385/CZ380),0)</f>
        <v/>
      </c>
      <c r="DA150">
        <f>IFERROR(DA151*(DA385/DA380),0)</f>
        <v/>
      </c>
      <c r="DB150">
        <f>IFERROR(DB151*(DB385/DB380),0)</f>
        <v/>
      </c>
      <c r="DC150">
        <f>IFERROR(DC151*(DC385/DC380),0)</f>
        <v/>
      </c>
      <c r="DD150">
        <f>IFERROR(DD151*(DD385/DD380),0)</f>
        <v/>
      </c>
      <c r="DE150">
        <f>IFERROR(DE151*(DE385/DE380),0)</f>
        <v/>
      </c>
      <c r="DF150">
        <f>IFERROR(DF151*(DF385/DF380),0)</f>
        <v/>
      </c>
      <c r="DG150">
        <f>IFERROR(DG151*(DG385/DG380),0)</f>
        <v/>
      </c>
      <c r="DH150">
        <f>IFERROR(DH151*(DH385/DH380),0)</f>
        <v/>
      </c>
      <c r="DI150">
        <f>IFERROR(DI151*(DI385/DI380),0)</f>
        <v/>
      </c>
      <c r="DJ150">
        <f>IFERROR(DJ151*(DJ385/DJ380),0)</f>
        <v/>
      </c>
      <c r="DK150">
        <f>IFERROR(DK151*(DK385/DK380),0)</f>
        <v/>
      </c>
      <c r="DL150">
        <f>IFERROR(DL151*(DL385/DL380),0)</f>
        <v/>
      </c>
      <c r="DM150">
        <f>IFERROR(DM151*(DM385/DM380),0)</f>
        <v/>
      </c>
      <c r="DN150">
        <f>IFERROR(DN151*(DN385/DN380),0)</f>
        <v/>
      </c>
      <c r="DO150">
        <f>IFERROR(DO151*(DO385/DO380),0)</f>
        <v/>
      </c>
      <c r="DP150">
        <f>IFERROR(DP151*(DP385/DP380),0)</f>
        <v/>
      </c>
      <c r="DQ150">
        <f>IFERROR(DQ151*(DQ385/DQ380),0)</f>
        <v/>
      </c>
      <c r="DR150">
        <f>IFERROR(DR151*(DR385/DR380),0)</f>
        <v/>
      </c>
      <c r="DS150">
        <f>IFERROR(DS151*(DS385/DS380),0)</f>
        <v/>
      </c>
      <c r="DT150">
        <f>IFERROR(DT151*(DT385/DT380),0)</f>
        <v/>
      </c>
      <c r="DU150">
        <f>IFERROR(DU151*(DU385/DU380),0)</f>
        <v/>
      </c>
      <c r="DV150">
        <f>IFERROR(DV151*(DV385/DV380),0)</f>
        <v/>
      </c>
      <c r="DW150">
        <f>IFERROR(DW151*(DW385/DW380),0)</f>
        <v/>
      </c>
      <c r="DX150">
        <f>IFERROR(DX151*(DX385/DX380),0)</f>
        <v/>
      </c>
      <c r="DY150">
        <f>IFERROR(DY151*(DY385/DY380),0)</f>
        <v/>
      </c>
      <c r="DZ150">
        <f>IFERROR(DZ151*(DZ385/DZ380),0)</f>
        <v/>
      </c>
      <c r="EA150">
        <f>IFERROR(EA151*(EA385/EA380),0)</f>
        <v/>
      </c>
      <c r="EB150">
        <f>IFERROR(EB151*(EB385/EB380),0)</f>
        <v/>
      </c>
      <c r="EC150">
        <f>IFERROR(EC151*(EC385/EC380),0)</f>
        <v/>
      </c>
      <c r="ED150">
        <f>IFERROR(ED151*(ED385/ED380),0)</f>
        <v/>
      </c>
      <c r="EE150">
        <f>IFERROR(EE151*(EE385/EE380),0)</f>
        <v/>
      </c>
      <c r="EF150">
        <f>IFERROR(EF151*(EF385/EF380),0)</f>
        <v/>
      </c>
      <c r="EG150">
        <f>IFERROR(EG151*(EG385/EG380),0)</f>
        <v/>
      </c>
      <c r="EH150">
        <f>IFERROR(EH151*(EH385/EH380),0)</f>
        <v/>
      </c>
      <c r="EI150">
        <f>IFERROR(EI151*(EI385/EI380),0)</f>
        <v/>
      </c>
      <c r="EJ150">
        <f>IFERROR(EJ151*(EJ385/EJ380),0)</f>
        <v/>
      </c>
      <c r="EK150">
        <f>IFERROR(EK151*(EK385/EK380),0)</f>
        <v/>
      </c>
    </row>
    <row r="151">
      <c r="A151">
        <f>[1]ingredient!B150</f>
        <v/>
      </c>
      <c r="B151" t="inlineStr">
        <is>
          <t>https://www.naehrwertrechner.de/naehrwerte/H440000/Hanfsamen/?menge=100</t>
        </is>
      </c>
      <c r="C151" s="7">
        <f>_xlfn.XLOOKUP(A151,[1]ingredient!$B$2:$B$521,[1]ingredient!$A$2:$A$521)</f>
        <v/>
      </c>
      <c r="D151" t="n">
        <v>464</v>
      </c>
      <c r="E151" t="n">
        <v>33</v>
      </c>
      <c r="F151" t="n">
        <v>26</v>
      </c>
      <c r="G151" t="n">
        <v>2</v>
      </c>
      <c r="H151" t="n">
        <v>30</v>
      </c>
      <c r="I151" t="n">
        <v>2</v>
      </c>
      <c r="J151" t="n">
        <v>0.05</v>
      </c>
      <c r="K151" t="n">
        <v>7</v>
      </c>
      <c r="L151" t="n">
        <v>0</v>
      </c>
      <c r="M151" t="n">
        <v>0</v>
      </c>
      <c r="N151" t="n">
        <v>0</v>
      </c>
      <c r="O151" t="n">
        <v>0</v>
      </c>
      <c r="P151" t="n">
        <v>500</v>
      </c>
      <c r="Q151" t="n">
        <v>200</v>
      </c>
      <c r="R151" t="n">
        <v>2600</v>
      </c>
      <c r="S151" t="n">
        <v>10100</v>
      </c>
      <c r="T151" t="n">
        <v>0</v>
      </c>
      <c r="U151" t="n">
        <v>400</v>
      </c>
      <c r="V151" t="n">
        <v>16</v>
      </c>
      <c r="W151" t="n">
        <v>73</v>
      </c>
      <c r="X151" t="n">
        <v>0</v>
      </c>
      <c r="Y151" t="n">
        <v>0</v>
      </c>
      <c r="Z151" t="n">
        <v>3</v>
      </c>
      <c r="AA151" t="n">
        <v>0</v>
      </c>
      <c r="AB151" t="n">
        <v>4</v>
      </c>
      <c r="AC151" t="n">
        <v>28</v>
      </c>
      <c r="AD151" t="n">
        <v>1178</v>
      </c>
      <c r="AE151" t="n">
        <v>332</v>
      </c>
      <c r="AF151" t="n">
        <v>520</v>
      </c>
      <c r="AG151" t="n">
        <v>859</v>
      </c>
      <c r="AH151" t="n">
        <v>354</v>
      </c>
      <c r="AI151" t="n">
        <v>26</v>
      </c>
      <c r="AJ151" t="n">
        <v>10900</v>
      </c>
      <c r="AK151" t="n">
        <v>6700</v>
      </c>
      <c r="AL151" t="n">
        <v>1900</v>
      </c>
      <c r="AM151" t="n">
        <v>3600</v>
      </c>
      <c r="AN151" t="n">
        <v>100</v>
      </c>
      <c r="AO151" t="n">
        <v>3</v>
      </c>
      <c r="AP151" t="n">
        <v>0</v>
      </c>
      <c r="AQ151" t="n">
        <v>0</v>
      </c>
      <c r="AR151" t="n">
        <v>0</v>
      </c>
      <c r="AS151" t="n">
        <v>0</v>
      </c>
      <c r="AT151" t="n">
        <v>89</v>
      </c>
      <c r="AU151" t="n">
        <v>119</v>
      </c>
      <c r="AV151" t="n">
        <v>0</v>
      </c>
      <c r="AW151" t="n">
        <v>208</v>
      </c>
      <c r="AX151" t="n">
        <v>1800</v>
      </c>
      <c r="AY151" t="n">
        <v>0</v>
      </c>
      <c r="AZ151" t="n">
        <v>0</v>
      </c>
      <c r="BA151" t="n">
        <v>1793</v>
      </c>
      <c r="BB151" t="n">
        <v>0</v>
      </c>
      <c r="BC151" t="n">
        <v>0</v>
      </c>
      <c r="BD151" t="n">
        <v>0</v>
      </c>
      <c r="BE151" t="n">
        <v>0</v>
      </c>
      <c r="BF151" t="n">
        <v>0</v>
      </c>
      <c r="BG151">
        <f>IF($F151=0,"0",MIN(
BH151/(30*$F151),
BI151/(61*$F151),
BJ151/(48*$F151),
(BK151+BL151)/(23*$F151),
(BM151+BN151)/(41*$F151),
BO151/(25*$F151),
BP151/(6.6*$F151),
BQ151/(40*$F151),
BS151/(16*$F151)
)*100)</f>
        <v/>
      </c>
      <c r="BH151" t="n">
        <v>1094</v>
      </c>
      <c r="BI151" t="n">
        <v>1559</v>
      </c>
      <c r="BJ151" t="n">
        <v>1047</v>
      </c>
      <c r="BK151" t="n">
        <v>512</v>
      </c>
      <c r="BL151" t="n">
        <v>487</v>
      </c>
      <c r="BM151" t="n">
        <v>1273</v>
      </c>
      <c r="BN151" t="n">
        <v>678</v>
      </c>
      <c r="BO151" t="n">
        <v>999</v>
      </c>
      <c r="BP151" t="n">
        <v>452</v>
      </c>
      <c r="BQ151" t="n">
        <v>1321</v>
      </c>
      <c r="BR151" t="n">
        <v>2569</v>
      </c>
      <c r="BS151" t="n">
        <v>594</v>
      </c>
      <c r="BT151" t="n">
        <v>12586</v>
      </c>
      <c r="BU151" t="n">
        <v>1226</v>
      </c>
      <c r="BV151" t="n">
        <v>2558</v>
      </c>
      <c r="BW151" t="n">
        <v>5401</v>
      </c>
      <c r="BX151" t="n">
        <v>1582</v>
      </c>
      <c r="BY151" t="n">
        <v>976</v>
      </c>
      <c r="BZ151" t="n">
        <v>1273</v>
      </c>
      <c r="CA151" t="n">
        <v>13014</v>
      </c>
      <c r="CB151" t="n">
        <v>0</v>
      </c>
      <c r="CC151" t="n">
        <v>0</v>
      </c>
      <c r="CD151" t="n">
        <v>5400</v>
      </c>
      <c r="CE151" t="n">
        <v>21100</v>
      </c>
      <c r="CF151" t="n">
        <v>3.91</v>
      </c>
      <c r="CG151" t="n">
        <v>0</v>
      </c>
      <c r="CH151" t="n">
        <v>0</v>
      </c>
      <c r="CI151" t="n">
        <v>0</v>
      </c>
      <c r="CJ151" t="n">
        <v>0</v>
      </c>
      <c r="CK151" t="n">
        <v>4</v>
      </c>
      <c r="CL151" t="n">
        <v>16</v>
      </c>
      <c r="CM151" t="n">
        <v>6</v>
      </c>
      <c r="CN151" t="n">
        <v>1729</v>
      </c>
      <c r="CO151" t="n">
        <v>19</v>
      </c>
      <c r="CP151" t="n">
        <v>1298</v>
      </c>
      <c r="CQ151" t="n">
        <v>49</v>
      </c>
      <c r="CR151" t="n">
        <v>49</v>
      </c>
      <c r="CS151" t="n">
        <v>29</v>
      </c>
      <c r="CT151" t="n">
        <v>3200</v>
      </c>
      <c r="CU151" t="n">
        <v>0</v>
      </c>
      <c r="CV151" t="n">
        <v>0</v>
      </c>
      <c r="CW151" t="n">
        <v>11</v>
      </c>
      <c r="CX151" t="n">
        <v>6</v>
      </c>
      <c r="CY151" t="n">
        <v>2962</v>
      </c>
      <c r="CZ151" t="n">
        <v>20</v>
      </c>
      <c r="DA151" t="n">
        <v>0</v>
      </c>
      <c r="DB151" t="n">
        <v>2</v>
      </c>
      <c r="DC151" t="n">
        <v>3000</v>
      </c>
      <c r="DD151" t="n">
        <v>0</v>
      </c>
      <c r="DE151" t="n">
        <v>0</v>
      </c>
      <c r="DF151" t="n">
        <v>21100</v>
      </c>
      <c r="DG151" t="n">
        <v>5400</v>
      </c>
      <c r="DH151" t="n">
        <v>0</v>
      </c>
      <c r="DI151" t="n">
        <v>0</v>
      </c>
      <c r="DJ151" t="n">
        <v>0</v>
      </c>
      <c r="DK151" t="n">
        <v>0</v>
      </c>
      <c r="DL151" t="n">
        <v>0</v>
      </c>
      <c r="DM151" t="n">
        <v>0</v>
      </c>
      <c r="DN151" t="n">
        <v>0</v>
      </c>
      <c r="DO151" t="n">
        <v>0</v>
      </c>
      <c r="DP151" t="n">
        <v>0</v>
      </c>
      <c r="DQ151" t="n">
        <v>0</v>
      </c>
      <c r="DR151" t="n">
        <v>0</v>
      </c>
      <c r="DS151" t="n">
        <v>26500</v>
      </c>
      <c r="DT151" t="n">
        <v>32700</v>
      </c>
      <c r="DU151" t="n">
        <v>0</v>
      </c>
      <c r="DV151" t="n">
        <v>0</v>
      </c>
      <c r="DW151" t="n">
        <v>0</v>
      </c>
      <c r="DX151" t="n">
        <v>0</v>
      </c>
      <c r="DY151" t="n">
        <v>0</v>
      </c>
      <c r="DZ151" t="n">
        <v>0</v>
      </c>
      <c r="EA151" t="n">
        <v>0</v>
      </c>
      <c r="EB151" t="n">
        <v>0</v>
      </c>
      <c r="EC151" t="n">
        <v>0</v>
      </c>
      <c r="ED151" t="n">
        <v>14850</v>
      </c>
      <c r="EE151" t="n">
        <v>14850</v>
      </c>
      <c r="EF151" t="n">
        <v>0</v>
      </c>
      <c r="EG151" t="n">
        <v>0</v>
      </c>
      <c r="EH151" t="n">
        <v>3.3</v>
      </c>
      <c r="EI151" t="n">
        <v>14.9</v>
      </c>
      <c r="EJ151" t="n">
        <v>32.7</v>
      </c>
      <c r="EK151" t="n">
        <v>25.6</v>
      </c>
    </row>
    <row r="152">
      <c r="A152">
        <f>[1]ingredient!B151</f>
        <v/>
      </c>
      <c r="B152" t="inlineStr">
        <is>
          <t>https://www.naehrwertrechner.de/naehrwerte/R471000/Harissa/?menge=100</t>
        </is>
      </c>
      <c r="C152" s="7">
        <f>_xlfn.XLOOKUP(A152,[1]ingredient!$B$2:$B$521,[1]ingredient!$A$2:$A$521)</f>
        <v/>
      </c>
      <c r="D152" t="n">
        <v>302</v>
      </c>
      <c r="E152" t="n">
        <v>10</v>
      </c>
      <c r="F152" t="n">
        <v>13</v>
      </c>
      <c r="G152" t="n">
        <v>33</v>
      </c>
      <c r="H152" t="n">
        <v>13</v>
      </c>
      <c r="I152" t="n">
        <v>28</v>
      </c>
      <c r="J152" t="n">
        <v>10</v>
      </c>
      <c r="K152" t="n">
        <v>17</v>
      </c>
      <c r="L152" t="n">
        <v>2300</v>
      </c>
      <c r="M152" t="n">
        <v>1158</v>
      </c>
      <c r="N152" t="n">
        <v>0</v>
      </c>
      <c r="O152" t="n">
        <v>13900</v>
      </c>
      <c r="P152" t="n">
        <v>400</v>
      </c>
      <c r="Q152" t="n">
        <v>800</v>
      </c>
      <c r="R152" t="n">
        <v>8100</v>
      </c>
      <c r="S152" t="n">
        <v>10700</v>
      </c>
      <c r="T152" t="n">
        <v>500</v>
      </c>
      <c r="U152" t="n">
        <v>600</v>
      </c>
      <c r="V152" t="n">
        <v>8</v>
      </c>
      <c r="W152" t="n">
        <v>36</v>
      </c>
      <c r="X152" t="n">
        <v>0</v>
      </c>
      <c r="Y152" t="n">
        <v>24000</v>
      </c>
      <c r="Z152" t="n">
        <v>0</v>
      </c>
      <c r="AA152" t="n">
        <v>0</v>
      </c>
      <c r="AB152" t="n">
        <v>48</v>
      </c>
      <c r="AC152" t="n">
        <v>3952</v>
      </c>
      <c r="AD152" t="n">
        <v>1725</v>
      </c>
      <c r="AE152" t="n">
        <v>257</v>
      </c>
      <c r="AF152" t="n">
        <v>161</v>
      </c>
      <c r="AG152" t="n">
        <v>286</v>
      </c>
      <c r="AH152" t="n">
        <v>94</v>
      </c>
      <c r="AI152" t="n">
        <v>6166</v>
      </c>
      <c r="AJ152" t="n">
        <v>15700</v>
      </c>
      <c r="AK152" t="n">
        <v>2800</v>
      </c>
      <c r="AL152" t="n">
        <v>600</v>
      </c>
      <c r="AM152" t="n">
        <v>1200</v>
      </c>
      <c r="AN152" t="n">
        <v>300</v>
      </c>
      <c r="AO152" t="n">
        <v>8</v>
      </c>
      <c r="AP152" t="n">
        <v>0</v>
      </c>
      <c r="AQ152" t="n">
        <v>0</v>
      </c>
      <c r="AR152" t="n">
        <v>0</v>
      </c>
      <c r="AS152" t="n">
        <v>0</v>
      </c>
      <c r="AT152" t="n">
        <v>12091</v>
      </c>
      <c r="AU152" t="n">
        <v>13846</v>
      </c>
      <c r="AV152" t="n">
        <v>0</v>
      </c>
      <c r="AW152" t="n">
        <v>25937</v>
      </c>
      <c r="AX152" t="n">
        <v>2000</v>
      </c>
      <c r="AY152" t="n">
        <v>0</v>
      </c>
      <c r="AZ152" t="n">
        <v>0</v>
      </c>
      <c r="BA152" t="n">
        <v>1963</v>
      </c>
      <c r="BB152" t="n">
        <v>2900</v>
      </c>
      <c r="BC152" t="n">
        <v>0</v>
      </c>
      <c r="BD152" t="n">
        <v>0</v>
      </c>
      <c r="BE152" t="n">
        <v>2000</v>
      </c>
      <c r="BF152" t="n">
        <v>0</v>
      </c>
      <c r="BG152">
        <f>IF($F152=0,"0",MIN(
BH152/(30*$F152),
BI152/(61*$F152),
BJ152/(48*$F152),
(BK152+BL152)/(23*$F152),
(BM152+BN152)/(41*$F152),
BO152/(25*$F152),
BP152/(6.6*$F152),
BQ152/(40*$F152),
BS152/(16*$F152)
)*100)</f>
        <v/>
      </c>
      <c r="BH152" t="n">
        <v>483</v>
      </c>
      <c r="BI152" t="n">
        <v>762</v>
      </c>
      <c r="BJ152" t="n">
        <v>703</v>
      </c>
      <c r="BK152" t="n">
        <v>221</v>
      </c>
      <c r="BL152" t="n">
        <v>136</v>
      </c>
      <c r="BM152" t="n">
        <v>524</v>
      </c>
      <c r="BN152" t="n">
        <v>296</v>
      </c>
      <c r="BO152" t="n">
        <v>413</v>
      </c>
      <c r="BP152" t="n">
        <v>156</v>
      </c>
      <c r="BQ152" t="n">
        <v>606</v>
      </c>
      <c r="BR152" t="n">
        <v>754</v>
      </c>
      <c r="BS152" t="n">
        <v>250</v>
      </c>
      <c r="BT152" t="n">
        <v>5304</v>
      </c>
      <c r="BU152" t="n">
        <v>776</v>
      </c>
      <c r="BV152" t="n">
        <v>2145</v>
      </c>
      <c r="BW152" t="n">
        <v>3041</v>
      </c>
      <c r="BX152" t="n">
        <v>564</v>
      </c>
      <c r="BY152" t="n">
        <v>481</v>
      </c>
      <c r="BZ152" t="n">
        <v>590</v>
      </c>
      <c r="CA152" t="n">
        <v>7596</v>
      </c>
      <c r="CB152" t="n">
        <v>119</v>
      </c>
      <c r="CC152" t="n">
        <v>40</v>
      </c>
      <c r="CD152" t="n">
        <v>500</v>
      </c>
      <c r="CE152" t="n">
        <v>4600</v>
      </c>
      <c r="CF152" t="n">
        <v>9.199999999999999</v>
      </c>
      <c r="CG152" t="n">
        <v>0</v>
      </c>
      <c r="CH152" t="n">
        <v>3</v>
      </c>
      <c r="CI152" t="n">
        <v>5</v>
      </c>
      <c r="CJ152" t="n">
        <v>3</v>
      </c>
      <c r="CK152" t="n">
        <v>85</v>
      </c>
      <c r="CL152" t="n">
        <v>205</v>
      </c>
      <c r="CM152" t="n">
        <v>0</v>
      </c>
      <c r="CN152" t="n">
        <v>822</v>
      </c>
      <c r="CO152" t="n">
        <v>3</v>
      </c>
      <c r="CP152" t="n">
        <v>213</v>
      </c>
      <c r="CQ152" t="n">
        <v>11</v>
      </c>
      <c r="CR152" t="n">
        <v>11</v>
      </c>
      <c r="CS152" t="n">
        <v>0</v>
      </c>
      <c r="CT152" t="n">
        <v>1400</v>
      </c>
      <c r="CU152" t="n">
        <v>0</v>
      </c>
      <c r="CV152" t="n">
        <v>0</v>
      </c>
      <c r="CW152" t="n">
        <v>74</v>
      </c>
      <c r="CX152" t="n">
        <v>0</v>
      </c>
      <c r="CY152" t="n">
        <v>2405</v>
      </c>
      <c r="CZ152" t="n">
        <v>3</v>
      </c>
      <c r="DA152" t="n">
        <v>0</v>
      </c>
      <c r="DB152" t="n">
        <v>0</v>
      </c>
      <c r="DC152" t="n">
        <v>2500</v>
      </c>
      <c r="DD152" t="n">
        <v>0</v>
      </c>
      <c r="DE152" t="n">
        <v>0</v>
      </c>
      <c r="DF152" t="n">
        <v>4600</v>
      </c>
      <c r="DG152" t="n">
        <v>500</v>
      </c>
      <c r="DH152" t="n">
        <v>0</v>
      </c>
      <c r="DI152" t="n">
        <v>0</v>
      </c>
      <c r="DJ152" t="n">
        <v>0</v>
      </c>
      <c r="DK152" t="n">
        <v>0</v>
      </c>
      <c r="DL152" t="n">
        <v>0</v>
      </c>
      <c r="DM152" t="n">
        <v>0</v>
      </c>
      <c r="DN152" t="n">
        <v>0</v>
      </c>
      <c r="DO152" t="n">
        <v>0</v>
      </c>
      <c r="DP152" t="n">
        <v>0</v>
      </c>
      <c r="DQ152" t="n">
        <v>0</v>
      </c>
      <c r="DR152" t="n">
        <v>0</v>
      </c>
      <c r="DS152" t="n">
        <v>5100</v>
      </c>
      <c r="DT152" t="n">
        <v>8929</v>
      </c>
      <c r="DU152" t="n">
        <v>1061</v>
      </c>
      <c r="DV152" t="n">
        <v>0</v>
      </c>
      <c r="DW152" t="n">
        <v>3</v>
      </c>
      <c r="DX152" t="n">
        <v>8</v>
      </c>
      <c r="DY152" t="n">
        <v>2541</v>
      </c>
      <c r="DZ152" t="n">
        <v>2493</v>
      </c>
      <c r="EA152" t="n">
        <v>2859</v>
      </c>
      <c r="EB152" t="n">
        <v>3024</v>
      </c>
      <c r="EC152" t="n">
        <v>2526</v>
      </c>
      <c r="ED152" t="n">
        <v>3871</v>
      </c>
      <c r="EE152" t="n">
        <v>8929</v>
      </c>
      <c r="EF152" t="n">
        <v>0</v>
      </c>
      <c r="EG152" t="n">
        <v>1200</v>
      </c>
      <c r="EH152" t="n">
        <v>12.7</v>
      </c>
      <c r="EI152" t="n">
        <v>8.9</v>
      </c>
      <c r="EJ152" t="n">
        <v>10</v>
      </c>
      <c r="EK152" t="n">
        <v>13.3</v>
      </c>
    </row>
    <row r="153">
      <c r="A153">
        <f>[1]ingredient!B152</f>
        <v/>
      </c>
      <c r="B153" t="inlineStr">
        <is>
          <t>https://www.naehrwertrechner.de/naehrwerte/C116001/Weizen+Grie%C3%9F/?menge=100</t>
        </is>
      </c>
      <c r="C153" s="7">
        <f>_xlfn.XLOOKUP(A153,[1]ingredient!$B$2:$B$521,[1]ingredient!$A$2:$A$521)</f>
        <v/>
      </c>
      <c r="D153" t="n">
        <v>329</v>
      </c>
      <c r="E153" t="n">
        <v>1</v>
      </c>
      <c r="F153" t="n">
        <v>10</v>
      </c>
      <c r="G153" t="n">
        <v>69</v>
      </c>
      <c r="H153" t="n">
        <v>7</v>
      </c>
      <c r="I153" t="n">
        <v>1</v>
      </c>
      <c r="J153" t="n">
        <v>0.09</v>
      </c>
      <c r="K153" t="n">
        <v>12</v>
      </c>
      <c r="L153" t="n">
        <v>0</v>
      </c>
      <c r="M153" t="n">
        <v>0</v>
      </c>
      <c r="N153" t="n">
        <v>0</v>
      </c>
      <c r="O153" t="n">
        <v>0</v>
      </c>
      <c r="P153" t="n">
        <v>120</v>
      </c>
      <c r="Q153" t="n">
        <v>38</v>
      </c>
      <c r="R153" t="n">
        <v>1300</v>
      </c>
      <c r="S153" t="n">
        <v>3033</v>
      </c>
      <c r="T153" t="n">
        <v>500</v>
      </c>
      <c r="U153" t="n">
        <v>85</v>
      </c>
      <c r="V153" t="n">
        <v>1</v>
      </c>
      <c r="W153" t="n">
        <v>17</v>
      </c>
      <c r="X153" t="n">
        <v>0</v>
      </c>
      <c r="Y153" t="n">
        <v>0</v>
      </c>
      <c r="Z153" t="n">
        <v>0</v>
      </c>
      <c r="AA153" t="n">
        <v>800</v>
      </c>
      <c r="AB153" t="n">
        <v>0</v>
      </c>
      <c r="AC153" t="n">
        <v>1</v>
      </c>
      <c r="AD153" t="n">
        <v>112</v>
      </c>
      <c r="AE153" t="n">
        <v>17</v>
      </c>
      <c r="AF153" t="n">
        <v>30</v>
      </c>
      <c r="AG153" t="n">
        <v>87</v>
      </c>
      <c r="AH153" t="n">
        <v>130</v>
      </c>
      <c r="AI153" t="n">
        <v>87</v>
      </c>
      <c r="AJ153" t="n">
        <v>1000</v>
      </c>
      <c r="AK153" t="n">
        <v>3300</v>
      </c>
      <c r="AL153" t="n">
        <v>150</v>
      </c>
      <c r="AM153" t="n">
        <v>600</v>
      </c>
      <c r="AN153" t="n">
        <v>60</v>
      </c>
      <c r="AO153" t="n">
        <v>5</v>
      </c>
      <c r="AP153" t="n">
        <v>0</v>
      </c>
      <c r="AQ153" t="n">
        <v>0</v>
      </c>
      <c r="AR153" t="n">
        <v>0</v>
      </c>
      <c r="AS153" t="n">
        <v>0</v>
      </c>
      <c r="AT153" t="n">
        <v>69</v>
      </c>
      <c r="AU153" t="n">
        <v>69</v>
      </c>
      <c r="AV153" t="n">
        <v>0</v>
      </c>
      <c r="AW153" t="n">
        <v>138</v>
      </c>
      <c r="AX153" t="n">
        <v>690</v>
      </c>
      <c r="AY153" t="n">
        <v>0</v>
      </c>
      <c r="AZ153" t="n">
        <v>0</v>
      </c>
      <c r="BA153" t="n">
        <v>690</v>
      </c>
      <c r="BB153" t="n">
        <v>414</v>
      </c>
      <c r="BC153" t="n">
        <v>0</v>
      </c>
      <c r="BD153" t="n">
        <v>0</v>
      </c>
      <c r="BE153" t="n">
        <v>67718</v>
      </c>
      <c r="BF153" t="n">
        <v>67718</v>
      </c>
      <c r="BG153">
        <f>IF($F153=0,"0",MIN(
BH153/(30*$F153),
BI153/(61*$F153),
BJ153/(48*$F153),
(BK153+BL153)/(23*$F153),
(BM153+BN153)/(41*$F153),
BO153/(25*$F153),
BP153/(6.6*$F153),
BQ153/(40*$F153),
BS153/(16*$F153)
)*100)</f>
        <v/>
      </c>
      <c r="BH153" t="n">
        <v>406</v>
      </c>
      <c r="BI153" t="n">
        <v>697</v>
      </c>
      <c r="BJ153" t="n">
        <v>281</v>
      </c>
      <c r="BK153" t="n">
        <v>157</v>
      </c>
      <c r="BL153" t="n">
        <v>208</v>
      </c>
      <c r="BM153" t="n">
        <v>479</v>
      </c>
      <c r="BN153" t="n">
        <v>312</v>
      </c>
      <c r="BO153" t="n">
        <v>302</v>
      </c>
      <c r="BP153" t="n">
        <v>104</v>
      </c>
      <c r="BQ153" t="n">
        <v>469</v>
      </c>
      <c r="BR153" t="n">
        <v>469</v>
      </c>
      <c r="BS153" t="n">
        <v>198</v>
      </c>
      <c r="BT153" t="n">
        <v>4082</v>
      </c>
      <c r="BU153" t="n">
        <v>365</v>
      </c>
      <c r="BV153" t="n">
        <v>510</v>
      </c>
      <c r="BW153" t="n">
        <v>3152</v>
      </c>
      <c r="BX153" t="n">
        <v>479</v>
      </c>
      <c r="BY153" t="n">
        <v>1186</v>
      </c>
      <c r="BZ153" t="n">
        <v>530</v>
      </c>
      <c r="CA153" t="n">
        <v>6222</v>
      </c>
      <c r="CB153" t="n">
        <v>80</v>
      </c>
      <c r="CC153" t="n">
        <v>27</v>
      </c>
      <c r="CD153" t="n">
        <v>23</v>
      </c>
      <c r="CE153" t="n">
        <v>338</v>
      </c>
      <c r="CF153" t="n">
        <v>14.7</v>
      </c>
      <c r="CG153" t="n">
        <v>0</v>
      </c>
      <c r="CH153" t="n">
        <v>0</v>
      </c>
      <c r="CI153" t="n">
        <v>0</v>
      </c>
      <c r="CJ153" t="n">
        <v>0</v>
      </c>
      <c r="CK153" t="n">
        <v>1</v>
      </c>
      <c r="CL153" t="n">
        <v>1</v>
      </c>
      <c r="CM153" t="n">
        <v>1</v>
      </c>
      <c r="CN153" t="n">
        <v>102</v>
      </c>
      <c r="CO153" t="n">
        <v>0</v>
      </c>
      <c r="CP153" t="n">
        <v>6</v>
      </c>
      <c r="CQ153" t="n">
        <v>5</v>
      </c>
      <c r="CR153" t="n">
        <v>0</v>
      </c>
      <c r="CS153" t="n">
        <v>0</v>
      </c>
      <c r="CT153" t="n">
        <v>116</v>
      </c>
      <c r="CU153" t="n">
        <v>0</v>
      </c>
      <c r="CV153" t="n">
        <v>0</v>
      </c>
      <c r="CW153" t="n">
        <v>3</v>
      </c>
      <c r="CX153" t="n">
        <v>0</v>
      </c>
      <c r="CY153" t="n">
        <v>87</v>
      </c>
      <c r="CZ153" t="n">
        <v>2</v>
      </c>
      <c r="DA153" t="n">
        <v>0</v>
      </c>
      <c r="DB153" t="n">
        <v>0</v>
      </c>
      <c r="DC153" t="n">
        <v>92</v>
      </c>
      <c r="DD153" t="n">
        <v>0</v>
      </c>
      <c r="DE153" t="n">
        <v>0</v>
      </c>
      <c r="DF153" t="n">
        <v>337</v>
      </c>
      <c r="DG153" t="n">
        <v>23</v>
      </c>
      <c r="DH153" t="n">
        <v>0</v>
      </c>
      <c r="DI153" t="n">
        <v>0</v>
      </c>
      <c r="DJ153" t="n">
        <v>0</v>
      </c>
      <c r="DK153" t="n">
        <v>0</v>
      </c>
      <c r="DL153" t="n">
        <v>1</v>
      </c>
      <c r="DM153" t="n">
        <v>0</v>
      </c>
      <c r="DN153" t="n">
        <v>0</v>
      </c>
      <c r="DO153" t="n">
        <v>0</v>
      </c>
      <c r="DP153" t="n">
        <v>0</v>
      </c>
      <c r="DQ153" t="n">
        <v>0</v>
      </c>
      <c r="DR153" t="n">
        <v>0</v>
      </c>
      <c r="DS153" t="n">
        <v>361</v>
      </c>
      <c r="DT153" t="n">
        <v>569</v>
      </c>
      <c r="DU153" t="n">
        <v>221</v>
      </c>
      <c r="DV153" t="n">
        <v>0</v>
      </c>
      <c r="DW153" t="n">
        <v>0</v>
      </c>
      <c r="DX153" t="n">
        <v>0</v>
      </c>
      <c r="DY153" t="n">
        <v>2840</v>
      </c>
      <c r="DZ153" t="n">
        <v>2130</v>
      </c>
      <c r="EA153" t="n">
        <v>497</v>
      </c>
      <c r="EB153" t="n">
        <v>1278</v>
      </c>
      <c r="EC153" t="n">
        <v>355</v>
      </c>
      <c r="ED153" t="n">
        <v>2170</v>
      </c>
      <c r="EE153" t="n">
        <v>4950</v>
      </c>
      <c r="EF153" t="n">
        <v>0</v>
      </c>
      <c r="EG153" t="n">
        <v>0</v>
      </c>
      <c r="EH153" t="n">
        <v>0.5</v>
      </c>
      <c r="EI153" t="n">
        <v>5</v>
      </c>
      <c r="EJ153" t="n">
        <v>0.8</v>
      </c>
      <c r="EK153" t="n">
        <v>10.5</v>
      </c>
    </row>
    <row r="154">
      <c r="A154">
        <f>[1]ingredient!B153</f>
        <v/>
      </c>
      <c r="B154" t="inlineStr">
        <is>
          <t>https://www.naehrwertrechner.de/naehrwerte/H130100/Haselnuss+roh/?menge=100</t>
        </is>
      </c>
      <c r="C154" s="7">
        <f>_xlfn.XLOOKUP(A154,[1]ingredient!$B$2:$B$521,[1]ingredient!$A$2:$A$521)</f>
        <v/>
      </c>
      <c r="D154" t="n">
        <v>636</v>
      </c>
      <c r="E154" t="n">
        <v>62</v>
      </c>
      <c r="F154" t="n">
        <v>16</v>
      </c>
      <c r="G154" t="n">
        <v>6</v>
      </c>
      <c r="H154" t="n">
        <v>8</v>
      </c>
      <c r="I154" t="n">
        <v>4</v>
      </c>
      <c r="J154" t="n">
        <v>0.03</v>
      </c>
      <c r="K154" t="n">
        <v>4</v>
      </c>
      <c r="L154" t="n">
        <v>4</v>
      </c>
      <c r="M154" t="n">
        <v>2</v>
      </c>
      <c r="N154" t="n">
        <v>0</v>
      </c>
      <c r="O154" t="n">
        <v>22</v>
      </c>
      <c r="P154" t="n">
        <v>450</v>
      </c>
      <c r="Q154" t="n">
        <v>147</v>
      </c>
      <c r="R154" t="n">
        <v>1389</v>
      </c>
      <c r="S154" t="n">
        <v>4651</v>
      </c>
      <c r="T154" t="n">
        <v>0</v>
      </c>
      <c r="U154" t="n">
        <v>646</v>
      </c>
      <c r="V154" t="n">
        <v>60</v>
      </c>
      <c r="W154" t="n">
        <v>88</v>
      </c>
      <c r="X154" t="n">
        <v>0</v>
      </c>
      <c r="Y154" t="n">
        <v>0</v>
      </c>
      <c r="Z154" t="n">
        <v>0</v>
      </c>
      <c r="AA154" t="n">
        <v>23992</v>
      </c>
      <c r="AB154" t="n">
        <v>11</v>
      </c>
      <c r="AC154" t="n">
        <v>0</v>
      </c>
      <c r="AD154" t="n">
        <v>729</v>
      </c>
      <c r="AE154" t="n">
        <v>146</v>
      </c>
      <c r="AF154" t="n">
        <v>159</v>
      </c>
      <c r="AG154" t="n">
        <v>282</v>
      </c>
      <c r="AH154" t="n">
        <v>157</v>
      </c>
      <c r="AI154" t="n">
        <v>26</v>
      </c>
      <c r="AJ154" t="n">
        <v>3356</v>
      </c>
      <c r="AK154" t="n">
        <v>2035</v>
      </c>
      <c r="AL154" t="n">
        <v>1566</v>
      </c>
      <c r="AM154" t="n">
        <v>3386</v>
      </c>
      <c r="AN154" t="n">
        <v>0</v>
      </c>
      <c r="AO154" t="n">
        <v>1</v>
      </c>
      <c r="AP154" t="n">
        <v>0</v>
      </c>
      <c r="AQ154" t="n">
        <v>0</v>
      </c>
      <c r="AR154" t="n">
        <v>0</v>
      </c>
      <c r="AS154" t="n">
        <v>0</v>
      </c>
      <c r="AT154" t="n">
        <v>0</v>
      </c>
      <c r="AU154" t="n">
        <v>0</v>
      </c>
      <c r="AV154" t="n">
        <v>0</v>
      </c>
      <c r="AW154" t="n">
        <v>0</v>
      </c>
      <c r="AX154" t="n">
        <v>3767</v>
      </c>
      <c r="AY154" t="n">
        <v>0</v>
      </c>
      <c r="AZ154" t="n">
        <v>0</v>
      </c>
      <c r="BA154" t="n">
        <v>3767</v>
      </c>
      <c r="BB154" t="n">
        <v>0</v>
      </c>
      <c r="BC154" t="n">
        <v>0</v>
      </c>
      <c r="BD154" t="n">
        <v>0</v>
      </c>
      <c r="BE154" t="n">
        <v>0</v>
      </c>
      <c r="BF154" t="n">
        <v>0</v>
      </c>
      <c r="BG154">
        <f>IF($F154=0,"0",MIN(
BH154/(30*$F154),
BI154/(61*$F154),
BJ154/(48*$F154),
(BK154+BL154)/(23*$F154),
(BM154+BN154)/(41*$F154),
BO154/(25*$F154),
BP154/(6.6*$F154),
BQ154/(40*$F154),
BS154/(16*$F154)
)*100)</f>
        <v/>
      </c>
      <c r="BH154" t="n">
        <v>538</v>
      </c>
      <c r="BI154" t="n">
        <v>1027</v>
      </c>
      <c r="BJ154" t="n">
        <v>440</v>
      </c>
      <c r="BK154" t="n">
        <v>196</v>
      </c>
      <c r="BL154" t="n">
        <v>303</v>
      </c>
      <c r="BM154" t="n">
        <v>665</v>
      </c>
      <c r="BN154" t="n">
        <v>401</v>
      </c>
      <c r="BO154" t="n">
        <v>450</v>
      </c>
      <c r="BP154" t="n">
        <v>196</v>
      </c>
      <c r="BQ154" t="n">
        <v>705</v>
      </c>
      <c r="BR154" t="n">
        <v>2123</v>
      </c>
      <c r="BS154" t="n">
        <v>382</v>
      </c>
      <c r="BT154" t="n">
        <v>7427</v>
      </c>
      <c r="BU154" t="n">
        <v>714</v>
      </c>
      <c r="BV154" t="n">
        <v>1536</v>
      </c>
      <c r="BW154" t="n">
        <v>3591</v>
      </c>
      <c r="BX154" t="n">
        <v>705</v>
      </c>
      <c r="BY154" t="n">
        <v>538</v>
      </c>
      <c r="BZ154" t="n">
        <v>665</v>
      </c>
      <c r="CA154" t="n">
        <v>7750</v>
      </c>
      <c r="CB154" t="n">
        <v>0</v>
      </c>
      <c r="CC154" t="n">
        <v>0</v>
      </c>
      <c r="CD154" t="n">
        <v>56</v>
      </c>
      <c r="CE154" t="n">
        <v>6127</v>
      </c>
      <c r="CF154" t="n">
        <v>109.87</v>
      </c>
      <c r="CG154" t="n">
        <v>0</v>
      </c>
      <c r="CH154" t="n">
        <v>0</v>
      </c>
      <c r="CI154" t="n">
        <v>0</v>
      </c>
      <c r="CJ154" t="n">
        <v>0</v>
      </c>
      <c r="CK154" t="n">
        <v>0</v>
      </c>
      <c r="CL154" t="n">
        <v>24</v>
      </c>
      <c r="CM154" t="n">
        <v>6</v>
      </c>
      <c r="CN154" t="n">
        <v>3544</v>
      </c>
      <c r="CO154" t="n">
        <v>24</v>
      </c>
      <c r="CP154" t="n">
        <v>1462</v>
      </c>
      <c r="CQ154" t="n">
        <v>74</v>
      </c>
      <c r="CR154" t="n">
        <v>13</v>
      </c>
      <c r="CS154" t="n">
        <v>6</v>
      </c>
      <c r="CT154" t="n">
        <v>5154</v>
      </c>
      <c r="CU154" t="n">
        <v>0</v>
      </c>
      <c r="CV154" t="n">
        <v>0</v>
      </c>
      <c r="CW154" t="n">
        <v>136</v>
      </c>
      <c r="CX154" t="n">
        <v>50</v>
      </c>
      <c r="CY154" t="n">
        <v>49286</v>
      </c>
      <c r="CZ154" t="n">
        <v>93</v>
      </c>
      <c r="DA154" t="n">
        <v>0</v>
      </c>
      <c r="DB154" t="n">
        <v>0</v>
      </c>
      <c r="DC154" t="n">
        <v>49565</v>
      </c>
      <c r="DD154" t="n">
        <v>0</v>
      </c>
      <c r="DE154" t="n">
        <v>0</v>
      </c>
      <c r="DF154" t="n">
        <v>6127</v>
      </c>
      <c r="DG154" t="n">
        <v>56</v>
      </c>
      <c r="DH154" t="n">
        <v>0</v>
      </c>
      <c r="DI154" t="n">
        <v>0</v>
      </c>
      <c r="DJ154" t="n">
        <v>0</v>
      </c>
      <c r="DK154" t="n">
        <v>0</v>
      </c>
      <c r="DL154" t="n">
        <v>0</v>
      </c>
      <c r="DM154" t="n">
        <v>0</v>
      </c>
      <c r="DN154" t="n">
        <v>0</v>
      </c>
      <c r="DO154" t="n">
        <v>0</v>
      </c>
      <c r="DP154" t="n">
        <v>0</v>
      </c>
      <c r="DQ154" t="n">
        <v>0</v>
      </c>
      <c r="DR154" t="n">
        <v>0</v>
      </c>
      <c r="DS154" t="n">
        <v>6183</v>
      </c>
      <c r="DT154" t="n">
        <v>60901</v>
      </c>
      <c r="DU154" t="n">
        <v>0</v>
      </c>
      <c r="DV154" t="n">
        <v>0</v>
      </c>
      <c r="DW154" t="n">
        <v>0</v>
      </c>
      <c r="DX154" t="n">
        <v>0</v>
      </c>
      <c r="DY154" t="n">
        <v>0</v>
      </c>
      <c r="DZ154" t="n">
        <v>0</v>
      </c>
      <c r="EA154" t="n">
        <v>0</v>
      </c>
      <c r="EB154" t="n">
        <v>0</v>
      </c>
      <c r="EC154" t="n">
        <v>0</v>
      </c>
      <c r="ED154" t="n">
        <v>0</v>
      </c>
      <c r="EE154" t="n">
        <v>7534</v>
      </c>
      <c r="EF154" t="n">
        <v>0</v>
      </c>
      <c r="EG154" t="n">
        <v>0</v>
      </c>
      <c r="EH154" t="n">
        <v>2.4</v>
      </c>
      <c r="EI154" t="n">
        <v>7.5</v>
      </c>
      <c r="EJ154" t="n">
        <v>61.9</v>
      </c>
      <c r="EK154" t="n">
        <v>15.2</v>
      </c>
    </row>
    <row r="155">
      <c r="A155">
        <f>[1]ingredient!B154</f>
        <v/>
      </c>
      <c r="C155" s="7">
        <f>_xlfn.XLOOKUP(A155,[1]ingredient!$B$2:$B$521,[1]ingredient!$A$2:$A$521)</f>
        <v/>
      </c>
      <c r="D155">
        <f>IFERROR(D154*(D256/D259),0)</f>
        <v/>
      </c>
      <c r="E155">
        <f>IFERROR(E154*(E256/E259),0)</f>
        <v/>
      </c>
      <c r="F155">
        <f>IFERROR(F154*(F256/F259),0)</f>
        <v/>
      </c>
      <c r="G155">
        <f>IFERROR(G154*(G256/G259),0)</f>
        <v/>
      </c>
      <c r="H155">
        <f>IFERROR(H154*(H256/H259),0)</f>
        <v/>
      </c>
      <c r="I155">
        <f>IFERROR(I154*(I256/I259),0)</f>
        <v/>
      </c>
      <c r="J155">
        <f>IFERROR(J154*(J256/J259),0)</f>
        <v/>
      </c>
      <c r="K155">
        <f>IFERROR(K154*(K256/K259),0)</f>
        <v/>
      </c>
      <c r="L155">
        <f>IFERROR(L154*(L256/L259),0)</f>
        <v/>
      </c>
      <c r="M155">
        <f>IFERROR(M154*(M256/M259),0)</f>
        <v/>
      </c>
      <c r="N155">
        <f>IFERROR(N154*(N256/N259),0)</f>
        <v/>
      </c>
      <c r="O155">
        <f>IFERROR(O154*(O256/O259),0)</f>
        <v/>
      </c>
      <c r="P155">
        <f>IFERROR(P154*(P256/P259),0)</f>
        <v/>
      </c>
      <c r="Q155">
        <f>IFERROR(Q154*(Q256/Q259),0)</f>
        <v/>
      </c>
      <c r="R155">
        <f>IFERROR(R154*(R256/R259),0)</f>
        <v/>
      </c>
      <c r="S155">
        <f>IFERROR(S154*(S256/S259),0)</f>
        <v/>
      </c>
      <c r="T155">
        <f>IFERROR(T154*(T256/T259),0)</f>
        <v/>
      </c>
      <c r="U155">
        <f>IFERROR(U154*(U256/U259),0)</f>
        <v/>
      </c>
      <c r="V155">
        <f>IFERROR(V154*(V256/V259),0)</f>
        <v/>
      </c>
      <c r="W155">
        <f>IFERROR(W154*(W256/W259),0)</f>
        <v/>
      </c>
      <c r="X155">
        <f>IFERROR(X154*(X256/X259),0)</f>
        <v/>
      </c>
      <c r="Y155">
        <f>IFERROR(Y154*(Y256/Y259),0)</f>
        <v/>
      </c>
      <c r="Z155">
        <f>IFERROR(Z154*(Z256/Z259),0)</f>
        <v/>
      </c>
      <c r="AA155">
        <f>IFERROR(AA154*(AA256/AA259),0)</f>
        <v/>
      </c>
      <c r="AB155">
        <f>IFERROR(AB154*(AB256/AB259),0)</f>
        <v/>
      </c>
      <c r="AC155">
        <f>IFERROR(AC154*(AC256/AC259),0)</f>
        <v/>
      </c>
      <c r="AD155">
        <f>IFERROR(AD154*(AD256/AD259),0)</f>
        <v/>
      </c>
      <c r="AE155">
        <f>IFERROR(AE154*(AE256/AE259),0)</f>
        <v/>
      </c>
      <c r="AF155">
        <f>IFERROR(AF154*(AF256/AF259),0)</f>
        <v/>
      </c>
      <c r="AG155">
        <f>IFERROR(AG154*(AG256/AG259),0)</f>
        <v/>
      </c>
      <c r="AH155">
        <f>IFERROR(AH154*(AH256/AH259),0)</f>
        <v/>
      </c>
      <c r="AI155">
        <f>IFERROR(AI154*(AI256/AI259),0)</f>
        <v/>
      </c>
      <c r="AJ155">
        <f>IFERROR(AJ154*(AJ256/AJ259),0)</f>
        <v/>
      </c>
      <c r="AK155">
        <f>IFERROR(AK154*(AK256/AK259),0)</f>
        <v/>
      </c>
      <c r="AL155">
        <f>IFERROR(AL154*(AL256/AL259),0)</f>
        <v/>
      </c>
      <c r="AM155">
        <f>IFERROR(AM154*(AM256/AM259),0)</f>
        <v/>
      </c>
      <c r="AN155">
        <f>IFERROR(AN154*(AN256/AN259),0)</f>
        <v/>
      </c>
      <c r="AO155">
        <f>IFERROR(AO154*(AO256/AO259),0)</f>
        <v/>
      </c>
      <c r="AP155">
        <f>IFERROR(AP154*(AP256/AP259),0)</f>
        <v/>
      </c>
      <c r="AQ155">
        <f>IFERROR(AQ154*(AQ256/AQ259),0)</f>
        <v/>
      </c>
      <c r="AR155">
        <f>IFERROR(AR154*(AR256/AR259),0)</f>
        <v/>
      </c>
      <c r="AS155">
        <f>IFERROR(AS154*(AS256/AS259),0)</f>
        <v/>
      </c>
      <c r="AT155">
        <f>IFERROR(AT154*(AT256/AT259),0)</f>
        <v/>
      </c>
      <c r="AU155">
        <f>IFERROR(AU154*(AU256/AU259),0)</f>
        <v/>
      </c>
      <c r="AV155">
        <f>IFERROR(AV154*(AV256/AV259),0)</f>
        <v/>
      </c>
      <c r="AW155">
        <f>IFERROR(AW154*(AW256/AW259),0)</f>
        <v/>
      </c>
      <c r="AX155">
        <f>IFERROR(AX154*(AX256/AX259),0)</f>
        <v/>
      </c>
      <c r="AY155">
        <f>IFERROR(AY154*(AY256/AY259),0)</f>
        <v/>
      </c>
      <c r="AZ155">
        <f>IFERROR(AZ154*(AZ256/AZ259),0)</f>
        <v/>
      </c>
      <c r="BA155">
        <f>IFERROR(BA154*(BA256/BA259),0)</f>
        <v/>
      </c>
      <c r="BB155">
        <f>IFERROR(BB154*(BB256/BB259),0)</f>
        <v/>
      </c>
      <c r="BC155">
        <f>IFERROR(BC154*(BC256/BC259),0)</f>
        <v/>
      </c>
      <c r="BD155">
        <f>IFERROR(BD154*(BD256/BD259),0)</f>
        <v/>
      </c>
      <c r="BE155">
        <f>IFERROR(BE154*(BE256/BE259),0)</f>
        <v/>
      </c>
      <c r="BF155">
        <f>IFERROR(BF154*(BF256/BF259),0)</f>
        <v/>
      </c>
      <c r="BG155">
        <f>IF($F155=0,"0",MIN(
BH155/(30*$F155),
BI155/(61*$F155),
BJ155/(48*$F155),
(BK155+BL155)/(23*$F155),
(BM155+BN155)/(41*$F155),
BO155/(25*$F155),
BP155/(6.6*$F155),
BQ155/(40*$F155),
BS155/(16*$F155)
)*100)</f>
        <v/>
      </c>
      <c r="BH155">
        <f>IFERROR(BH154*(BH256/BH259),0)</f>
        <v/>
      </c>
      <c r="BI155">
        <f>IFERROR(BI154*(BI256/BI259),0)</f>
        <v/>
      </c>
      <c r="BJ155">
        <f>IFERROR(BJ154*(BJ256/BJ259),0)</f>
        <v/>
      </c>
      <c r="BK155">
        <f>IFERROR(BK154*(BK256/BK259),0)</f>
        <v/>
      </c>
      <c r="BL155">
        <f>IFERROR(BL154*(BL256/BL259),0)</f>
        <v/>
      </c>
      <c r="BM155">
        <f>IFERROR(BM154*(BM256/BM259),0)</f>
        <v/>
      </c>
      <c r="BN155">
        <f>IFERROR(BN154*(BN256/BN259),0)</f>
        <v/>
      </c>
      <c r="BO155">
        <f>IFERROR(BO154*(BO256/BO259),0)</f>
        <v/>
      </c>
      <c r="BP155">
        <f>IFERROR(BP154*(BP256/BP259),0)</f>
        <v/>
      </c>
      <c r="BQ155">
        <f>IFERROR(BQ154*(BQ256/BQ259),0)</f>
        <v/>
      </c>
      <c r="BR155">
        <f>IFERROR(BR154*(BR256/BR259),0)</f>
        <v/>
      </c>
      <c r="BS155">
        <f>IFERROR(BS154*(BS256/BS259),0)</f>
        <v/>
      </c>
      <c r="BT155">
        <f>IFERROR(BT154*(BT256/BT259),0)</f>
        <v/>
      </c>
      <c r="BU155">
        <f>IFERROR(BU154*(BU256/BU259),0)</f>
        <v/>
      </c>
      <c r="BV155">
        <f>IFERROR(BV154*(BV256/BV259),0)</f>
        <v/>
      </c>
      <c r="BW155">
        <f>IFERROR(BW154*(BW256/BW259),0)</f>
        <v/>
      </c>
      <c r="BX155">
        <f>IFERROR(BX154*(BX256/BX259),0)</f>
        <v/>
      </c>
      <c r="BY155">
        <f>IFERROR(BY154*(BY256/BY259),0)</f>
        <v/>
      </c>
      <c r="BZ155">
        <f>IFERROR(BZ154*(BZ256/BZ259),0)</f>
        <v/>
      </c>
      <c r="CA155">
        <f>IFERROR(CA154*(CA256/CA259),0)</f>
        <v/>
      </c>
      <c r="CB155">
        <f>IFERROR(CB154*(CB256/CB259),0)</f>
        <v/>
      </c>
      <c r="CC155">
        <f>IFERROR(CC154*(CC256/CC259),0)</f>
        <v/>
      </c>
      <c r="CD155">
        <f>IFERROR(CD154*(CD256/CD259),0)</f>
        <v/>
      </c>
      <c r="CE155">
        <f>IFERROR(CE154*(CE256/CE259),0)</f>
        <v/>
      </c>
      <c r="CF155">
        <f>IFERROR(CF154*(CF256/CF259),0)</f>
        <v/>
      </c>
      <c r="CG155">
        <f>IFERROR(CG154*(CG256/CG259),0)</f>
        <v/>
      </c>
      <c r="CH155">
        <f>IFERROR(CH154*(CH256/CH259),0)</f>
        <v/>
      </c>
      <c r="CI155">
        <f>IFERROR(CI154*(CI256/CI259),0)</f>
        <v/>
      </c>
      <c r="CJ155">
        <f>IFERROR(CJ154*(CJ256/CJ259),0)</f>
        <v/>
      </c>
      <c r="CK155">
        <f>IFERROR(CK154*(CK256/CK259),0)</f>
        <v/>
      </c>
      <c r="CL155">
        <f>IFERROR(CL154*(CL256/CL259),0)</f>
        <v/>
      </c>
      <c r="CM155">
        <f>IFERROR(CM154*(CM256/CM259),0)</f>
        <v/>
      </c>
      <c r="CN155">
        <f>IFERROR(CN154*(CN256/CN259),0)</f>
        <v/>
      </c>
      <c r="CO155">
        <f>IFERROR(CO154*(CO256/CO259),0)</f>
        <v/>
      </c>
      <c r="CP155">
        <f>IFERROR(CP154*(CP256/CP259),0)</f>
        <v/>
      </c>
      <c r="CQ155">
        <f>IFERROR(CQ154*(CQ256/CQ259),0)</f>
        <v/>
      </c>
      <c r="CR155">
        <f>IFERROR(CR154*(CR256/CR259),0)</f>
        <v/>
      </c>
      <c r="CS155">
        <f>IFERROR(CS154*(CS256/CS259),0)</f>
        <v/>
      </c>
      <c r="CT155">
        <f>IFERROR(CT154*(CT256/CT259),0)</f>
        <v/>
      </c>
      <c r="CU155">
        <f>IFERROR(CU154*(CU256/CU259),0)</f>
        <v/>
      </c>
      <c r="CV155">
        <f>IFERROR(CV154*(CV256/CV259),0)</f>
        <v/>
      </c>
      <c r="CW155">
        <f>IFERROR(CW154*(CW256/CW259),0)</f>
        <v/>
      </c>
      <c r="CX155">
        <f>IFERROR(CX154*(CX256/CX259),0)</f>
        <v/>
      </c>
      <c r="CY155">
        <f>IFERROR(CY154*(CY256/CY259),0)</f>
        <v/>
      </c>
      <c r="CZ155">
        <f>IFERROR(CZ154*(CZ256/CZ259),0)</f>
        <v/>
      </c>
      <c r="DA155">
        <f>IFERROR(DA154*(DA256/DA259),0)</f>
        <v/>
      </c>
      <c r="DB155">
        <f>IFERROR(DB154*(DB256/DB259),0)</f>
        <v/>
      </c>
      <c r="DC155">
        <f>IFERROR(DC154*(DC256/DC259),0)</f>
        <v/>
      </c>
      <c r="DD155">
        <f>IFERROR(DD154*(DD256/DD259),0)</f>
        <v/>
      </c>
      <c r="DE155">
        <f>IFERROR(DE154*(DE256/DE259),0)</f>
        <v/>
      </c>
      <c r="DF155">
        <f>IFERROR(DF154*(DF256/DF259),0)</f>
        <v/>
      </c>
      <c r="DG155">
        <f>IFERROR(DG154*(DG256/DG259),0)</f>
        <v/>
      </c>
      <c r="DH155">
        <f>IFERROR(DH154*(DH256/DH259),0)</f>
        <v/>
      </c>
      <c r="DI155">
        <f>IFERROR(DI154*(DI256/DI259),0)</f>
        <v/>
      </c>
      <c r="DJ155">
        <f>IFERROR(DJ154*(DJ256/DJ259),0)</f>
        <v/>
      </c>
      <c r="DK155">
        <f>IFERROR(DK154*(DK256/DK259),0)</f>
        <v/>
      </c>
      <c r="DL155">
        <f>IFERROR(DL154*(DL256/DL259),0)</f>
        <v/>
      </c>
      <c r="DM155">
        <f>IFERROR(DM154*(DM256/DM259),0)</f>
        <v/>
      </c>
      <c r="DN155">
        <f>IFERROR(DN154*(DN256/DN259),0)</f>
        <v/>
      </c>
      <c r="DO155">
        <f>IFERROR(DO154*(DO256/DO259),0)</f>
        <v/>
      </c>
      <c r="DP155">
        <f>IFERROR(DP154*(DP256/DP259),0)</f>
        <v/>
      </c>
      <c r="DQ155">
        <f>IFERROR(DQ154*(DQ256/DQ259),0)</f>
        <v/>
      </c>
      <c r="DR155">
        <f>IFERROR(DR154*(DR256/DR259),0)</f>
        <v/>
      </c>
      <c r="DS155">
        <f>IFERROR(DS154*(DS256/DS259),0)</f>
        <v/>
      </c>
      <c r="DT155">
        <f>IFERROR(DT154*(DT256/DT259),0)</f>
        <v/>
      </c>
      <c r="DU155">
        <f>IFERROR(DU154*(DU256/DU259),0)</f>
        <v/>
      </c>
      <c r="DV155">
        <f>IFERROR(DV154*(DV256/DV259),0)</f>
        <v/>
      </c>
      <c r="DW155">
        <f>IFERROR(DW154*(DW256/DW259),0)</f>
        <v/>
      </c>
      <c r="DX155">
        <f>IFERROR(DX154*(DX256/DX259),0)</f>
        <v/>
      </c>
      <c r="DY155">
        <f>IFERROR(DY154*(DY256/DY259),0)</f>
        <v/>
      </c>
      <c r="DZ155">
        <f>IFERROR(DZ154*(DZ256/DZ259),0)</f>
        <v/>
      </c>
      <c r="EA155">
        <f>IFERROR(EA154*(EA256/EA259),0)</f>
        <v/>
      </c>
      <c r="EB155">
        <f>IFERROR(EB154*(EB256/EB259),0)</f>
        <v/>
      </c>
      <c r="EC155">
        <f>IFERROR(EC154*(EC256/EC259),0)</f>
        <v/>
      </c>
      <c r="ED155">
        <f>IFERROR(ED154*(ED256/ED259),0)</f>
        <v/>
      </c>
      <c r="EE155">
        <f>IFERROR(EE154*(EE256/EE259),0)</f>
        <v/>
      </c>
      <c r="EF155">
        <f>IFERROR(EF154*(EF256/EF259),0)</f>
        <v/>
      </c>
      <c r="EG155">
        <f>IFERROR(EG154*(EG256/EG259),0)</f>
        <v/>
      </c>
      <c r="EH155">
        <f>IFERROR(EH154*(EH256/EH259),0)</f>
        <v/>
      </c>
      <c r="EI155">
        <f>IFERROR(EI154*(EI256/EI259),0)</f>
        <v/>
      </c>
      <c r="EJ155">
        <f>IFERROR(EJ154*(EJ256/EJ259),0)</f>
        <v/>
      </c>
      <c r="EK155">
        <f>IFERROR(EK154*(EK256/EK259),0)</f>
        <v/>
      </c>
    </row>
    <row r="156">
      <c r="A156">
        <f>[1]ingredient!B155</f>
        <v/>
      </c>
      <c r="B156" t="inlineStr">
        <is>
          <t>https://www.naehrwertrechner.de/naehrwerte/H130800/Haselnussmus/?menge=100</t>
        </is>
      </c>
      <c r="C156" s="7">
        <f>_xlfn.XLOOKUP(A156,[1]ingredient!$B$2:$B$521,[1]ingredient!$A$2:$A$521)</f>
        <v/>
      </c>
      <c r="D156" t="n">
        <v>665</v>
      </c>
      <c r="E156" t="n">
        <v>65</v>
      </c>
      <c r="F156" t="n">
        <v>17</v>
      </c>
      <c r="G156" t="n">
        <v>6</v>
      </c>
      <c r="H156" t="n">
        <v>6</v>
      </c>
      <c r="I156" t="n">
        <v>6</v>
      </c>
      <c r="J156" t="n">
        <v>0.03</v>
      </c>
      <c r="K156" t="n">
        <v>4</v>
      </c>
      <c r="L156" t="n">
        <v>3</v>
      </c>
      <c r="M156" t="n">
        <v>2</v>
      </c>
      <c r="N156" t="n">
        <v>0</v>
      </c>
      <c r="O156" t="n">
        <v>18</v>
      </c>
      <c r="P156" t="n">
        <v>236</v>
      </c>
      <c r="Q156" t="n">
        <v>108</v>
      </c>
      <c r="R156" t="n">
        <v>1018</v>
      </c>
      <c r="S156" t="n">
        <v>4601</v>
      </c>
      <c r="T156" t="n">
        <v>0</v>
      </c>
      <c r="U156" t="n">
        <v>406</v>
      </c>
      <c r="V156" t="n">
        <v>32</v>
      </c>
      <c r="W156" t="n">
        <v>46</v>
      </c>
      <c r="X156" t="n">
        <v>0</v>
      </c>
      <c r="Y156" t="n">
        <v>0</v>
      </c>
      <c r="Z156" t="n">
        <v>0</v>
      </c>
      <c r="AA156" t="n">
        <v>22600</v>
      </c>
      <c r="AB156" t="n">
        <v>11</v>
      </c>
      <c r="AC156" t="n">
        <v>0</v>
      </c>
      <c r="AD156" t="n">
        <v>763</v>
      </c>
      <c r="AE156" t="n">
        <v>153</v>
      </c>
      <c r="AF156" t="n">
        <v>167</v>
      </c>
      <c r="AG156" t="n">
        <v>295</v>
      </c>
      <c r="AH156" t="n">
        <v>164</v>
      </c>
      <c r="AI156" t="n">
        <v>28</v>
      </c>
      <c r="AJ156" t="n">
        <v>3513</v>
      </c>
      <c r="AK156" t="n">
        <v>2130</v>
      </c>
      <c r="AL156" t="n">
        <v>1639</v>
      </c>
      <c r="AM156" t="n">
        <v>3543</v>
      </c>
      <c r="AN156" t="n">
        <v>0</v>
      </c>
      <c r="AO156" t="n">
        <v>1</v>
      </c>
      <c r="AP156" t="n">
        <v>0</v>
      </c>
      <c r="AQ156" t="n">
        <v>0</v>
      </c>
      <c r="AR156" t="n">
        <v>0</v>
      </c>
      <c r="AS156" t="n">
        <v>0</v>
      </c>
      <c r="AT156" t="n">
        <v>0</v>
      </c>
      <c r="AU156" t="n">
        <v>0</v>
      </c>
      <c r="AV156" t="n">
        <v>0</v>
      </c>
      <c r="AW156" t="n">
        <v>0</v>
      </c>
      <c r="AX156" t="n">
        <v>6114</v>
      </c>
      <c r="AY156" t="n">
        <v>0</v>
      </c>
      <c r="AZ156" t="n">
        <v>0</v>
      </c>
      <c r="BA156" t="n">
        <v>6114</v>
      </c>
      <c r="BB156" t="n">
        <v>0</v>
      </c>
      <c r="BC156" t="n">
        <v>0</v>
      </c>
      <c r="BD156" t="n">
        <v>0</v>
      </c>
      <c r="BE156" t="n">
        <v>0</v>
      </c>
      <c r="BF156" t="n">
        <v>0</v>
      </c>
      <c r="BG156">
        <f>IF($F156=0,"0",MIN(
BH156/(30*$F156),
BI156/(61*$F156),
BJ156/(48*$F156),
(BK156+BL156)/(23*$F156),
(BM156+BN156)/(41*$F156),
BO156/(25*$F156),
BP156/(6.6*$F156),
BQ156/(40*$F156),
BS156/(16*$F156)
)*100)</f>
        <v/>
      </c>
      <c r="BH156" t="n">
        <v>590</v>
      </c>
      <c r="BI156" t="n">
        <v>1126</v>
      </c>
      <c r="BJ156" t="n">
        <v>483</v>
      </c>
      <c r="BK156" t="n">
        <v>215</v>
      </c>
      <c r="BL156" t="n">
        <v>332</v>
      </c>
      <c r="BM156" t="n">
        <v>729</v>
      </c>
      <c r="BN156" t="n">
        <v>440</v>
      </c>
      <c r="BO156" t="n">
        <v>494</v>
      </c>
      <c r="BP156" t="n">
        <v>215</v>
      </c>
      <c r="BQ156" t="n">
        <v>772</v>
      </c>
      <c r="BR156" t="n">
        <v>2328</v>
      </c>
      <c r="BS156" t="n">
        <v>418</v>
      </c>
      <c r="BT156" t="n">
        <v>8142</v>
      </c>
      <c r="BU156" t="n">
        <v>784</v>
      </c>
      <c r="BV156" t="n">
        <v>1685</v>
      </c>
      <c r="BW156" t="n">
        <v>3938</v>
      </c>
      <c r="BX156" t="n">
        <v>772</v>
      </c>
      <c r="BY156" t="n">
        <v>590</v>
      </c>
      <c r="BZ156" t="n">
        <v>729</v>
      </c>
      <c r="CA156" t="n">
        <v>8498</v>
      </c>
      <c r="CB156" t="n">
        <v>0</v>
      </c>
      <c r="CC156" t="n">
        <v>0</v>
      </c>
      <c r="CD156" t="n">
        <v>59</v>
      </c>
      <c r="CE156" t="n">
        <v>6522</v>
      </c>
      <c r="CF156" t="n">
        <v>110.54</v>
      </c>
      <c r="CG156" t="n">
        <v>0</v>
      </c>
      <c r="CH156" t="n">
        <v>0</v>
      </c>
      <c r="CI156" t="n">
        <v>0</v>
      </c>
      <c r="CJ156" t="n">
        <v>0</v>
      </c>
      <c r="CK156" t="n">
        <v>0</v>
      </c>
      <c r="CL156" t="n">
        <v>26</v>
      </c>
      <c r="CM156" t="n">
        <v>6</v>
      </c>
      <c r="CN156" t="n">
        <v>3772</v>
      </c>
      <c r="CO156" t="n">
        <v>26</v>
      </c>
      <c r="CP156" t="n">
        <v>1556</v>
      </c>
      <c r="CQ156" t="n">
        <v>79</v>
      </c>
      <c r="CR156" t="n">
        <v>13</v>
      </c>
      <c r="CS156" t="n">
        <v>6</v>
      </c>
      <c r="CT156" t="n">
        <v>5484</v>
      </c>
      <c r="CU156" t="n">
        <v>0</v>
      </c>
      <c r="CV156" t="n">
        <v>0</v>
      </c>
      <c r="CW156" t="n">
        <v>144</v>
      </c>
      <c r="CX156" t="n">
        <v>53</v>
      </c>
      <c r="CY156" t="n">
        <v>52463</v>
      </c>
      <c r="CZ156" t="n">
        <v>99</v>
      </c>
      <c r="DA156" t="n">
        <v>0</v>
      </c>
      <c r="DB156" t="n">
        <v>0</v>
      </c>
      <c r="DC156" t="n">
        <v>52759</v>
      </c>
      <c r="DD156" t="n">
        <v>0</v>
      </c>
      <c r="DE156" t="n">
        <v>0</v>
      </c>
      <c r="DF156" t="n">
        <v>6522</v>
      </c>
      <c r="DG156" t="n">
        <v>59</v>
      </c>
      <c r="DH156" t="n">
        <v>0</v>
      </c>
      <c r="DI156" t="n">
        <v>0</v>
      </c>
      <c r="DJ156" t="n">
        <v>0</v>
      </c>
      <c r="DK156" t="n">
        <v>0</v>
      </c>
      <c r="DL156" t="n">
        <v>0</v>
      </c>
      <c r="DM156" t="n">
        <v>0</v>
      </c>
      <c r="DN156" t="n">
        <v>0</v>
      </c>
      <c r="DO156" t="n">
        <v>0</v>
      </c>
      <c r="DP156" t="n">
        <v>0</v>
      </c>
      <c r="DQ156" t="n">
        <v>0</v>
      </c>
      <c r="DR156" t="n">
        <v>0</v>
      </c>
      <c r="DS156" t="n">
        <v>6581</v>
      </c>
      <c r="DT156" t="n">
        <v>64824</v>
      </c>
      <c r="DU156" t="n">
        <v>1</v>
      </c>
      <c r="DV156" t="n">
        <v>0</v>
      </c>
      <c r="DW156" t="n">
        <v>0</v>
      </c>
      <c r="DX156" t="n">
        <v>0</v>
      </c>
      <c r="DY156" t="n">
        <v>0</v>
      </c>
      <c r="DZ156" t="n">
        <v>0</v>
      </c>
      <c r="EA156" t="n">
        <v>0</v>
      </c>
      <c r="EB156" t="n">
        <v>0</v>
      </c>
      <c r="EC156" t="n">
        <v>0</v>
      </c>
      <c r="ED156" t="n">
        <v>0</v>
      </c>
      <c r="EE156" t="n">
        <v>5520</v>
      </c>
      <c r="EF156" t="n">
        <v>0</v>
      </c>
      <c r="EG156" t="n">
        <v>0</v>
      </c>
      <c r="EH156" t="n">
        <v>2.5</v>
      </c>
      <c r="EI156" t="n">
        <v>5.5</v>
      </c>
      <c r="EJ156" t="n">
        <v>64.8</v>
      </c>
      <c r="EK156" t="n">
        <v>16.6</v>
      </c>
    </row>
    <row r="157">
      <c r="A157">
        <f>[1]ingredient!B156</f>
        <v/>
      </c>
      <c r="B157" t="inlineStr">
        <is>
          <t>https://www.naehrwertrechner.de/naehrwerte/J731000/Hefe/?menge=100</t>
        </is>
      </c>
      <c r="C157" s="7">
        <f>_xlfn.XLOOKUP(A157,[1]ingredient!$B$2:$B$521,[1]ingredient!$A$2:$A$521)</f>
        <v/>
      </c>
      <c r="D157" t="n">
        <v>83</v>
      </c>
      <c r="E157" t="n">
        <v>1</v>
      </c>
      <c r="F157" t="n">
        <v>17</v>
      </c>
      <c r="G157" t="n">
        <v>1</v>
      </c>
      <c r="H157" t="n">
        <v>7</v>
      </c>
      <c r="I157" t="n">
        <v>0.13</v>
      </c>
      <c r="J157" t="n">
        <v>0.12</v>
      </c>
      <c r="K157" t="n">
        <v>72</v>
      </c>
      <c r="L157" t="n">
        <v>0</v>
      </c>
      <c r="M157" t="n">
        <v>0</v>
      </c>
      <c r="N157" t="n">
        <v>0</v>
      </c>
      <c r="O157" t="n">
        <v>0</v>
      </c>
      <c r="P157" t="n">
        <v>1000</v>
      </c>
      <c r="Q157" t="n">
        <v>2000</v>
      </c>
      <c r="R157" t="n">
        <v>13000</v>
      </c>
      <c r="S157" t="n">
        <v>16067</v>
      </c>
      <c r="T157" t="n">
        <v>3500</v>
      </c>
      <c r="U157" t="n">
        <v>700</v>
      </c>
      <c r="V157" t="n">
        <v>60</v>
      </c>
      <c r="W157" t="n">
        <v>1200</v>
      </c>
      <c r="X157" t="n">
        <v>0</v>
      </c>
      <c r="Y157" t="n">
        <v>0</v>
      </c>
      <c r="Z157" t="n">
        <v>0</v>
      </c>
      <c r="AA157" t="n">
        <v>100</v>
      </c>
      <c r="AB157" t="n">
        <v>0</v>
      </c>
      <c r="AC157" t="n">
        <v>20</v>
      </c>
      <c r="AD157" t="n">
        <v>630</v>
      </c>
      <c r="AE157" t="n">
        <v>25</v>
      </c>
      <c r="AF157" t="n">
        <v>60</v>
      </c>
      <c r="AG157" t="n">
        <v>500</v>
      </c>
      <c r="AH157" t="n">
        <v>80</v>
      </c>
      <c r="AI157" t="n">
        <v>100</v>
      </c>
      <c r="AJ157" t="n">
        <v>5000</v>
      </c>
      <c r="AK157" t="n">
        <v>2600</v>
      </c>
      <c r="AL157" t="n">
        <v>1600</v>
      </c>
      <c r="AM157" t="n">
        <v>150</v>
      </c>
      <c r="AN157" t="n">
        <v>55</v>
      </c>
      <c r="AO157" t="n">
        <v>1</v>
      </c>
      <c r="AP157" t="n">
        <v>0</v>
      </c>
      <c r="AQ157" t="n">
        <v>0</v>
      </c>
      <c r="AR157" t="n">
        <v>0</v>
      </c>
      <c r="AS157" t="n">
        <v>0</v>
      </c>
      <c r="AT157" t="n">
        <v>55</v>
      </c>
      <c r="AU157" t="n">
        <v>55</v>
      </c>
      <c r="AV157" t="n">
        <v>0</v>
      </c>
      <c r="AW157" t="n">
        <v>110</v>
      </c>
      <c r="AX157" t="n">
        <v>22</v>
      </c>
      <c r="AY157" t="n">
        <v>0</v>
      </c>
      <c r="AZ157" t="n">
        <v>0</v>
      </c>
      <c r="BA157" t="n">
        <v>22</v>
      </c>
      <c r="BB157" t="n">
        <v>0</v>
      </c>
      <c r="BC157" t="n">
        <v>0</v>
      </c>
      <c r="BD157" t="n">
        <v>0</v>
      </c>
      <c r="BE157" t="n">
        <v>968</v>
      </c>
      <c r="BF157" t="n">
        <v>968</v>
      </c>
      <c r="BG157">
        <f>IF($F157=0,"0",MIN(
BH157/(30*$F157),
BI157/(61*$F157),
BJ157/(48*$F157),
(BK157+BL157)/(23*$F157),
(BM157+BN157)/(41*$F157),
BO157/(25*$F157),
BP157/(6.6*$F157),
BQ157/(40*$F157),
BS157/(16*$F157)
)*100)</f>
        <v/>
      </c>
      <c r="BH157" t="n">
        <v>835</v>
      </c>
      <c r="BI157" t="n">
        <v>1202</v>
      </c>
      <c r="BJ157" t="n">
        <v>1234</v>
      </c>
      <c r="BK157" t="n">
        <v>301</v>
      </c>
      <c r="BL157" t="n">
        <v>167</v>
      </c>
      <c r="BM157" t="n">
        <v>735</v>
      </c>
      <c r="BN157" t="n">
        <v>601</v>
      </c>
      <c r="BO157" t="n">
        <v>835</v>
      </c>
      <c r="BP157" t="n">
        <v>184</v>
      </c>
      <c r="BQ157" t="n">
        <v>969</v>
      </c>
      <c r="BR157" t="n">
        <v>802</v>
      </c>
      <c r="BS157" t="n">
        <v>434</v>
      </c>
      <c r="BT157" t="n">
        <v>8299</v>
      </c>
      <c r="BU157" t="n">
        <v>1069</v>
      </c>
      <c r="BV157" t="n">
        <v>1670</v>
      </c>
      <c r="BW157" t="n">
        <v>1804</v>
      </c>
      <c r="BX157" t="n">
        <v>768</v>
      </c>
      <c r="BY157" t="n">
        <v>685</v>
      </c>
      <c r="BZ157" t="n">
        <v>902</v>
      </c>
      <c r="CA157" t="n">
        <v>6898</v>
      </c>
      <c r="CB157" t="n">
        <v>680</v>
      </c>
      <c r="CC157" t="n">
        <v>283</v>
      </c>
      <c r="CD157" t="n">
        <v>3</v>
      </c>
      <c r="CE157" t="n">
        <v>600</v>
      </c>
      <c r="CF157" t="n">
        <v>200</v>
      </c>
      <c r="CG157" t="n">
        <v>0</v>
      </c>
      <c r="CH157" t="n">
        <v>0</v>
      </c>
      <c r="CI157" t="n">
        <v>0</v>
      </c>
      <c r="CJ157" t="n">
        <v>0</v>
      </c>
      <c r="CK157" t="n">
        <v>0</v>
      </c>
      <c r="CL157" t="n">
        <v>1</v>
      </c>
      <c r="CM157" t="n">
        <v>0</v>
      </c>
      <c r="CN157" t="n">
        <v>69</v>
      </c>
      <c r="CO157" t="n">
        <v>0</v>
      </c>
      <c r="CP157" t="n">
        <v>75</v>
      </c>
      <c r="CQ157" t="n">
        <v>7</v>
      </c>
      <c r="CR157" t="n">
        <v>8</v>
      </c>
      <c r="CS157" t="n">
        <v>2</v>
      </c>
      <c r="CT157" t="n">
        <v>162</v>
      </c>
      <c r="CU157" t="n">
        <v>0</v>
      </c>
      <c r="CV157" t="n">
        <v>0</v>
      </c>
      <c r="CW157" t="n">
        <v>1</v>
      </c>
      <c r="CX157" t="n">
        <v>0</v>
      </c>
      <c r="CY157" t="n">
        <v>379</v>
      </c>
      <c r="CZ157" t="n">
        <v>2</v>
      </c>
      <c r="DA157" t="n">
        <v>0</v>
      </c>
      <c r="DB157" t="n">
        <v>0</v>
      </c>
      <c r="DC157" t="n">
        <v>382</v>
      </c>
      <c r="DD157" t="n">
        <v>0</v>
      </c>
      <c r="DE157" t="n">
        <v>0</v>
      </c>
      <c r="DF157" t="n">
        <v>600</v>
      </c>
      <c r="DG157" t="n">
        <v>3</v>
      </c>
      <c r="DH157" t="n">
        <v>0</v>
      </c>
      <c r="DI157" t="n">
        <v>0</v>
      </c>
      <c r="DJ157" t="n">
        <v>0</v>
      </c>
      <c r="DK157" t="n">
        <v>0</v>
      </c>
      <c r="DL157" t="n">
        <v>0</v>
      </c>
      <c r="DM157" t="n">
        <v>0</v>
      </c>
      <c r="DN157" t="n">
        <v>0</v>
      </c>
      <c r="DO157" t="n">
        <v>0</v>
      </c>
      <c r="DP157" t="n">
        <v>0</v>
      </c>
      <c r="DQ157" t="n">
        <v>0</v>
      </c>
      <c r="DR157" t="n">
        <v>0</v>
      </c>
      <c r="DS157" t="n">
        <v>603</v>
      </c>
      <c r="DT157" t="n">
        <v>1147</v>
      </c>
      <c r="DU157" t="n">
        <v>53</v>
      </c>
      <c r="DV157" t="n">
        <v>0</v>
      </c>
      <c r="DW157" t="n">
        <v>0</v>
      </c>
      <c r="DX157" t="n">
        <v>0</v>
      </c>
      <c r="DY157" t="n">
        <v>2208</v>
      </c>
      <c r="DZ157" t="n">
        <v>2898</v>
      </c>
      <c r="EA157" t="n">
        <v>690</v>
      </c>
      <c r="EB157" t="n">
        <v>759</v>
      </c>
      <c r="EC157" t="n">
        <v>345</v>
      </c>
      <c r="ED157" t="n">
        <v>3450</v>
      </c>
      <c r="EE157" t="n">
        <v>3450</v>
      </c>
      <c r="EF157" t="n">
        <v>0</v>
      </c>
      <c r="EG157" t="n">
        <v>0</v>
      </c>
      <c r="EH157" t="n">
        <v>2.1</v>
      </c>
      <c r="EI157" t="n">
        <v>3.5</v>
      </c>
      <c r="EJ157" t="n">
        <v>1.2</v>
      </c>
      <c r="EK157" t="n">
        <v>17.4</v>
      </c>
    </row>
    <row r="158">
      <c r="A158">
        <f>[1]ingredient!B157</f>
        <v/>
      </c>
      <c r="B158" t="inlineStr">
        <is>
          <t>https://www.naehrwertrechner.de/naehrwerte/J736200/Hefe+Flocken/?menge=100</t>
        </is>
      </c>
      <c r="C158" s="7">
        <f>_xlfn.XLOOKUP(A158,[1]ingredient!$B$2:$B$521,[1]ingredient!$A$2:$A$521)</f>
        <v/>
      </c>
      <c r="D158" t="n">
        <v>361</v>
      </c>
      <c r="E158" t="n">
        <v>5</v>
      </c>
      <c r="F158" t="n">
        <v>43</v>
      </c>
      <c r="G158" t="n">
        <v>34</v>
      </c>
      <c r="H158" t="n">
        <v>6</v>
      </c>
      <c r="I158" t="n">
        <v>4</v>
      </c>
      <c r="J158" t="n">
        <v>0.41</v>
      </c>
      <c r="K158" t="n">
        <v>4</v>
      </c>
      <c r="L158" t="n">
        <v>2</v>
      </c>
      <c r="M158" t="n">
        <v>1</v>
      </c>
      <c r="N158" t="n">
        <v>0</v>
      </c>
      <c r="O158" t="n">
        <v>12</v>
      </c>
      <c r="P158" t="n">
        <v>7400</v>
      </c>
      <c r="Q158" t="n">
        <v>2600</v>
      </c>
      <c r="R158" t="n">
        <v>26000</v>
      </c>
      <c r="S158" t="n">
        <v>33950</v>
      </c>
      <c r="T158" t="n">
        <v>5000</v>
      </c>
      <c r="U158" t="n">
        <v>2500</v>
      </c>
      <c r="V158" t="n">
        <v>24</v>
      </c>
      <c r="W158" t="n">
        <v>80</v>
      </c>
      <c r="X158" t="n">
        <v>0</v>
      </c>
      <c r="Y158" t="n">
        <v>0</v>
      </c>
      <c r="Z158" t="n">
        <v>0</v>
      </c>
      <c r="AA158" t="n">
        <v>3600</v>
      </c>
      <c r="AB158" t="n">
        <v>0</v>
      </c>
      <c r="AC158" t="n">
        <v>90</v>
      </c>
      <c r="AD158" t="n">
        <v>1600</v>
      </c>
      <c r="AE158" t="n">
        <v>200</v>
      </c>
      <c r="AF158" t="n">
        <v>230</v>
      </c>
      <c r="AG158" t="n">
        <v>1500</v>
      </c>
      <c r="AH158" t="n">
        <v>320</v>
      </c>
      <c r="AI158" t="n">
        <v>320</v>
      </c>
      <c r="AJ158" t="n">
        <v>16000</v>
      </c>
      <c r="AK158" t="n">
        <v>7400</v>
      </c>
      <c r="AL158" t="n">
        <v>3200</v>
      </c>
      <c r="AM158" t="n">
        <v>1200</v>
      </c>
      <c r="AN158" t="n">
        <v>180</v>
      </c>
      <c r="AO158" t="n">
        <v>3</v>
      </c>
      <c r="AP158" t="n">
        <v>0</v>
      </c>
      <c r="AQ158" t="n">
        <v>0</v>
      </c>
      <c r="AR158" t="n">
        <v>0</v>
      </c>
      <c r="AS158" t="n">
        <v>0</v>
      </c>
      <c r="AT158" t="n">
        <v>1710</v>
      </c>
      <c r="AU158" t="n">
        <v>1710</v>
      </c>
      <c r="AV158" t="n">
        <v>0</v>
      </c>
      <c r="AW158" t="n">
        <v>3420</v>
      </c>
      <c r="AX158" t="n">
        <v>684</v>
      </c>
      <c r="AY158" t="n">
        <v>0</v>
      </c>
      <c r="AZ158" t="n">
        <v>0</v>
      </c>
      <c r="BA158" t="n">
        <v>684</v>
      </c>
      <c r="BB158" t="n">
        <v>0</v>
      </c>
      <c r="BC158" t="n">
        <v>0</v>
      </c>
      <c r="BD158" t="n">
        <v>0</v>
      </c>
      <c r="BE158" t="n">
        <v>30096</v>
      </c>
      <c r="BF158" t="n">
        <v>30096</v>
      </c>
      <c r="BG158">
        <f>IF($F158=0,"0",MIN(
BH158/(30*$F158),
BI158/(61*$F158),
BJ158/(48*$F158),
(BK158+BL158)/(23*$F158),
(BM158+BN158)/(41*$F158),
BO158/(25*$F158),
BP158/(6.6*$F158),
BQ158/(40*$F158),
BS158/(16*$F158)
)*100)</f>
        <v/>
      </c>
      <c r="BH158" t="n">
        <v>2170</v>
      </c>
      <c r="BI158" t="n">
        <v>3125</v>
      </c>
      <c r="BJ158" t="n">
        <v>3213</v>
      </c>
      <c r="BK158" t="n">
        <v>781</v>
      </c>
      <c r="BL158" t="n">
        <v>434</v>
      </c>
      <c r="BM158" t="n">
        <v>1910</v>
      </c>
      <c r="BN158" t="n">
        <v>1562</v>
      </c>
      <c r="BO158" t="n">
        <v>2170</v>
      </c>
      <c r="BP158" t="n">
        <v>477</v>
      </c>
      <c r="BQ158" t="n">
        <v>2517</v>
      </c>
      <c r="BR158" t="n">
        <v>2083</v>
      </c>
      <c r="BS158" t="n">
        <v>1128</v>
      </c>
      <c r="BT158" t="n">
        <v>21570</v>
      </c>
      <c r="BU158" t="n">
        <v>2778</v>
      </c>
      <c r="BV158" t="n">
        <v>4340</v>
      </c>
      <c r="BW158" t="n">
        <v>4687</v>
      </c>
      <c r="BX158" t="n">
        <v>1996</v>
      </c>
      <c r="BY158" t="n">
        <v>1779</v>
      </c>
      <c r="BZ158" t="n">
        <v>2344</v>
      </c>
      <c r="CA158" t="n">
        <v>17924</v>
      </c>
      <c r="CB158" t="n">
        <v>1794</v>
      </c>
      <c r="CC158" t="n">
        <v>748</v>
      </c>
      <c r="CD158" t="n">
        <v>15</v>
      </c>
      <c r="CE158" t="n">
        <v>2600</v>
      </c>
      <c r="CF158" t="n">
        <v>173.33</v>
      </c>
      <c r="CG158" t="n">
        <v>0</v>
      </c>
      <c r="CH158" t="n">
        <v>0</v>
      </c>
      <c r="CI158" t="n">
        <v>0</v>
      </c>
      <c r="CJ158" t="n">
        <v>0</v>
      </c>
      <c r="CK158" t="n">
        <v>0</v>
      </c>
      <c r="CL158" t="n">
        <v>5</v>
      </c>
      <c r="CM158" t="n">
        <v>0</v>
      </c>
      <c r="CN158" t="n">
        <v>298</v>
      </c>
      <c r="CO158" t="n">
        <v>0</v>
      </c>
      <c r="CP158" t="n">
        <v>323</v>
      </c>
      <c r="CQ158" t="n">
        <v>30</v>
      </c>
      <c r="CR158" t="n">
        <v>35</v>
      </c>
      <c r="CS158" t="n">
        <v>10</v>
      </c>
      <c r="CT158" t="n">
        <v>701</v>
      </c>
      <c r="CU158" t="n">
        <v>0</v>
      </c>
      <c r="CV158" t="n">
        <v>0</v>
      </c>
      <c r="CW158" t="n">
        <v>5</v>
      </c>
      <c r="CX158" t="n">
        <v>0</v>
      </c>
      <c r="CY158" t="n">
        <v>1640</v>
      </c>
      <c r="CZ158" t="n">
        <v>10</v>
      </c>
      <c r="DA158" t="n">
        <v>0</v>
      </c>
      <c r="DB158" t="n">
        <v>0</v>
      </c>
      <c r="DC158" t="n">
        <v>1655</v>
      </c>
      <c r="DD158" t="n">
        <v>0</v>
      </c>
      <c r="DE158" t="n">
        <v>0</v>
      </c>
      <c r="DF158" t="n">
        <v>2600</v>
      </c>
      <c r="DG158" t="n">
        <v>15</v>
      </c>
      <c r="DH158" t="n">
        <v>0</v>
      </c>
      <c r="DI158" t="n">
        <v>0</v>
      </c>
      <c r="DJ158" t="n">
        <v>0</v>
      </c>
      <c r="DK158" t="n">
        <v>0</v>
      </c>
      <c r="DL158" t="n">
        <v>0</v>
      </c>
      <c r="DM158" t="n">
        <v>0</v>
      </c>
      <c r="DN158" t="n">
        <v>0</v>
      </c>
      <c r="DO158" t="n">
        <v>0</v>
      </c>
      <c r="DP158" t="n">
        <v>0</v>
      </c>
      <c r="DQ158" t="n">
        <v>0</v>
      </c>
      <c r="DR158" t="n">
        <v>0</v>
      </c>
      <c r="DS158" t="n">
        <v>2615</v>
      </c>
      <c r="DT158" t="n">
        <v>4971</v>
      </c>
      <c r="DU158" t="n">
        <v>229</v>
      </c>
      <c r="DV158" t="n">
        <v>0</v>
      </c>
      <c r="DW158" t="n">
        <v>0</v>
      </c>
      <c r="DX158" t="n">
        <v>0</v>
      </c>
      <c r="DY158" t="n">
        <v>2048</v>
      </c>
      <c r="DZ158" t="n">
        <v>2688</v>
      </c>
      <c r="EA158" t="n">
        <v>640</v>
      </c>
      <c r="EB158" t="n">
        <v>704</v>
      </c>
      <c r="EC158" t="n">
        <v>320</v>
      </c>
      <c r="ED158" t="n">
        <v>3200</v>
      </c>
      <c r="EE158" t="n">
        <v>3200</v>
      </c>
      <c r="EF158" t="n">
        <v>0</v>
      </c>
      <c r="EG158" t="n">
        <v>0</v>
      </c>
      <c r="EH158" t="n">
        <v>6.4</v>
      </c>
      <c r="EI158" t="n">
        <v>3.2</v>
      </c>
      <c r="EJ158" t="n">
        <v>5.2</v>
      </c>
      <c r="EK158" t="n">
        <v>45.4</v>
      </c>
    </row>
    <row r="159">
      <c r="A159">
        <f>[1]ingredient!B158</f>
        <v/>
      </c>
      <c r="B159" t="inlineStr">
        <is>
          <t>https://www.naehrwertrechner.de/naehrwerte/F304000/Heidelbeere/?menge=100</t>
        </is>
      </c>
      <c r="C159" s="7">
        <f>_xlfn.XLOOKUP(A159,[1]ingredient!$B$2:$B$521,[1]ingredient!$A$2:$A$521)</f>
        <v/>
      </c>
      <c r="D159" t="n">
        <v>42</v>
      </c>
      <c r="E159" t="n">
        <v>1</v>
      </c>
      <c r="F159" t="n">
        <v>1</v>
      </c>
      <c r="G159" t="n">
        <v>7</v>
      </c>
      <c r="H159" t="n">
        <v>5</v>
      </c>
      <c r="I159" t="n">
        <v>7</v>
      </c>
      <c r="J159" t="n">
        <v>0.01</v>
      </c>
      <c r="K159" t="n">
        <v>85</v>
      </c>
      <c r="L159" t="n">
        <v>6</v>
      </c>
      <c r="M159" t="n">
        <v>3</v>
      </c>
      <c r="N159" t="n">
        <v>0</v>
      </c>
      <c r="O159" t="n">
        <v>34</v>
      </c>
      <c r="P159" t="n">
        <v>20</v>
      </c>
      <c r="Q159" t="n">
        <v>20</v>
      </c>
      <c r="R159" t="n">
        <v>400</v>
      </c>
      <c r="S159" t="n">
        <v>433</v>
      </c>
      <c r="T159" t="n">
        <v>160</v>
      </c>
      <c r="U159" t="n">
        <v>60</v>
      </c>
      <c r="V159" t="n">
        <v>1</v>
      </c>
      <c r="W159" t="n">
        <v>6</v>
      </c>
      <c r="X159" t="n">
        <v>0</v>
      </c>
      <c r="Y159" t="n">
        <v>30000</v>
      </c>
      <c r="Z159" t="n">
        <v>0</v>
      </c>
      <c r="AA159" t="n">
        <v>2069</v>
      </c>
      <c r="AB159" t="n">
        <v>10</v>
      </c>
      <c r="AC159" t="n">
        <v>1</v>
      </c>
      <c r="AD159" t="n">
        <v>73</v>
      </c>
      <c r="AE159" t="n">
        <v>13</v>
      </c>
      <c r="AF159" t="n">
        <v>2</v>
      </c>
      <c r="AG159" t="n">
        <v>13</v>
      </c>
      <c r="AH159" t="n">
        <v>13</v>
      </c>
      <c r="AI159" t="n">
        <v>5</v>
      </c>
      <c r="AJ159" t="n">
        <v>740</v>
      </c>
      <c r="AK159" t="n">
        <v>108</v>
      </c>
      <c r="AL159" t="n">
        <v>97</v>
      </c>
      <c r="AM159" t="n">
        <v>840</v>
      </c>
      <c r="AN159" t="n">
        <v>2</v>
      </c>
      <c r="AO159" t="n">
        <v>1</v>
      </c>
      <c r="AP159" t="n">
        <v>0</v>
      </c>
      <c r="AQ159" t="n">
        <v>7</v>
      </c>
      <c r="AR159" t="n">
        <v>7</v>
      </c>
      <c r="AS159" t="n">
        <v>14</v>
      </c>
      <c r="AT159" t="n">
        <v>2997</v>
      </c>
      <c r="AU159" t="n">
        <v>4070</v>
      </c>
      <c r="AV159" t="n">
        <v>0</v>
      </c>
      <c r="AW159" t="n">
        <v>7097</v>
      </c>
      <c r="AX159" t="n">
        <v>289</v>
      </c>
      <c r="AY159" t="n">
        <v>0</v>
      </c>
      <c r="AZ159" t="n">
        <v>0</v>
      </c>
      <c r="BA159" t="n">
        <v>289</v>
      </c>
      <c r="BB159" t="n">
        <v>0</v>
      </c>
      <c r="BC159" t="n">
        <v>0</v>
      </c>
      <c r="BD159" t="n">
        <v>0</v>
      </c>
      <c r="BE159" t="n">
        <v>0</v>
      </c>
      <c r="BF159" t="n">
        <v>0</v>
      </c>
      <c r="BG159">
        <f>IF($F159=0,"0",MIN(
BH159/(30*$F159),
BI159/(61*$F159),
BJ159/(48*$F159),
(BK159+BL159)/(23*$F159),
(BM159+BN159)/(41*$F159),
BO159/(25*$F159),
BP159/(6.6*$F159),
BQ159/(40*$F159),
BS159/(16*$F159)
)*100)</f>
        <v/>
      </c>
      <c r="BH159" t="n">
        <v>19</v>
      </c>
      <c r="BI159" t="n">
        <v>36</v>
      </c>
      <c r="BJ159" t="n">
        <v>11</v>
      </c>
      <c r="BK159" t="n">
        <v>10</v>
      </c>
      <c r="BL159" t="n">
        <v>6</v>
      </c>
      <c r="BM159" t="n">
        <v>22</v>
      </c>
      <c r="BN159" t="n">
        <v>7</v>
      </c>
      <c r="BO159" t="n">
        <v>16</v>
      </c>
      <c r="BP159" t="n">
        <v>2</v>
      </c>
      <c r="BQ159" t="n">
        <v>25</v>
      </c>
      <c r="BR159" t="n">
        <v>31</v>
      </c>
      <c r="BS159" t="n">
        <v>9</v>
      </c>
      <c r="BT159" t="n">
        <v>194</v>
      </c>
      <c r="BU159" t="n">
        <v>25</v>
      </c>
      <c r="BV159" t="n">
        <v>47</v>
      </c>
      <c r="BW159" t="n">
        <v>74</v>
      </c>
      <c r="BX159" t="n">
        <v>25</v>
      </c>
      <c r="BY159" t="n">
        <v>22</v>
      </c>
      <c r="BZ159" t="n">
        <v>18</v>
      </c>
      <c r="CA159" t="n">
        <v>211</v>
      </c>
      <c r="CB159" t="n">
        <v>20</v>
      </c>
      <c r="CC159" t="n">
        <v>8</v>
      </c>
      <c r="CD159" t="n">
        <v>154</v>
      </c>
      <c r="CE159" t="n">
        <v>216</v>
      </c>
      <c r="CF159" t="n">
        <v>1.4</v>
      </c>
      <c r="CG159" t="n">
        <v>0</v>
      </c>
      <c r="CH159" t="n">
        <v>0</v>
      </c>
      <c r="CI159" t="n">
        <v>0</v>
      </c>
      <c r="CJ159" t="n">
        <v>0</v>
      </c>
      <c r="CK159" t="n">
        <v>0</v>
      </c>
      <c r="CL159" t="n">
        <v>0</v>
      </c>
      <c r="CM159" t="n">
        <v>0</v>
      </c>
      <c r="CN159" t="n">
        <v>26</v>
      </c>
      <c r="CO159" t="n">
        <v>0</v>
      </c>
      <c r="CP159" t="n">
        <v>10</v>
      </c>
      <c r="CQ159" t="n">
        <v>0</v>
      </c>
      <c r="CR159" t="n">
        <v>0</v>
      </c>
      <c r="CS159" t="n">
        <v>0</v>
      </c>
      <c r="CT159" t="n">
        <v>36</v>
      </c>
      <c r="CU159" t="n">
        <v>0</v>
      </c>
      <c r="CV159" t="n">
        <v>0</v>
      </c>
      <c r="CW159" t="n">
        <v>2</v>
      </c>
      <c r="CX159" t="n">
        <v>0</v>
      </c>
      <c r="CY159" t="n">
        <v>72</v>
      </c>
      <c r="CZ159" t="n">
        <v>0</v>
      </c>
      <c r="DA159" t="n">
        <v>0</v>
      </c>
      <c r="DB159" t="n">
        <v>0</v>
      </c>
      <c r="DC159" t="n">
        <v>74</v>
      </c>
      <c r="DD159" t="n">
        <v>0</v>
      </c>
      <c r="DE159" t="n">
        <v>0</v>
      </c>
      <c r="DF159" t="n">
        <v>216</v>
      </c>
      <c r="DG159" t="n">
        <v>154</v>
      </c>
      <c r="DH159" t="n">
        <v>0</v>
      </c>
      <c r="DI159" t="n">
        <v>0</v>
      </c>
      <c r="DJ159" t="n">
        <v>0</v>
      </c>
      <c r="DK159" t="n">
        <v>0</v>
      </c>
      <c r="DL159" t="n">
        <v>0</v>
      </c>
      <c r="DM159" t="n">
        <v>0</v>
      </c>
      <c r="DN159" t="n">
        <v>0</v>
      </c>
      <c r="DO159" t="n">
        <v>0</v>
      </c>
      <c r="DP159" t="n">
        <v>0</v>
      </c>
      <c r="DQ159" t="n">
        <v>0</v>
      </c>
      <c r="DR159" t="n">
        <v>0</v>
      </c>
      <c r="DS159" t="n">
        <v>370</v>
      </c>
      <c r="DT159" t="n">
        <v>480</v>
      </c>
      <c r="DU159" t="n">
        <v>120</v>
      </c>
      <c r="DV159" t="n">
        <v>0</v>
      </c>
      <c r="DW159" t="n">
        <v>0</v>
      </c>
      <c r="DX159" t="n">
        <v>0</v>
      </c>
      <c r="DY159" t="n">
        <v>980</v>
      </c>
      <c r="DZ159" t="n">
        <v>490</v>
      </c>
      <c r="EA159" t="n">
        <v>490</v>
      </c>
      <c r="EB159" t="n">
        <v>980</v>
      </c>
      <c r="EC159" t="n">
        <v>1960</v>
      </c>
      <c r="ED159" t="n">
        <v>1401</v>
      </c>
      <c r="EE159" t="n">
        <v>3499</v>
      </c>
      <c r="EF159" t="n">
        <v>0</v>
      </c>
      <c r="EG159" t="n">
        <v>1</v>
      </c>
      <c r="EH159" t="n">
        <v>0.3</v>
      </c>
      <c r="EI159" t="n">
        <v>3.5</v>
      </c>
      <c r="EJ159" t="n">
        <v>0.6</v>
      </c>
      <c r="EK159" t="n">
        <v>0.5</v>
      </c>
    </row>
    <row r="160">
      <c r="A160">
        <f>[1]ingredient!B159</f>
        <v/>
      </c>
      <c r="B160" t="inlineStr">
        <is>
          <t>https://www.naehrwertrechner.de/naehrwerte/F304211/Heidelbeere+tiefgefroren/?menge=100</t>
        </is>
      </c>
      <c r="C160" s="7">
        <f>_xlfn.XLOOKUP(A160,[1]ingredient!$B$2:$B$521,[1]ingredient!$A$2:$A$521)</f>
        <v/>
      </c>
      <c r="D160" t="n">
        <v>44</v>
      </c>
      <c r="E160" t="n">
        <v>1</v>
      </c>
      <c r="F160" t="n">
        <v>1</v>
      </c>
      <c r="G160" t="n">
        <v>8</v>
      </c>
      <c r="H160" t="n">
        <v>5</v>
      </c>
      <c r="I160" t="n">
        <v>8</v>
      </c>
      <c r="J160" t="n">
        <v>0.01</v>
      </c>
      <c r="K160" t="n">
        <v>84</v>
      </c>
      <c r="L160" t="n">
        <v>6</v>
      </c>
      <c r="M160" t="n">
        <v>3</v>
      </c>
      <c r="N160" t="n">
        <v>0</v>
      </c>
      <c r="O160" t="n">
        <v>32</v>
      </c>
      <c r="P160" t="n">
        <v>19</v>
      </c>
      <c r="Q160" t="n">
        <v>19</v>
      </c>
      <c r="R160" t="n">
        <v>376</v>
      </c>
      <c r="S160" t="n">
        <v>409</v>
      </c>
      <c r="T160" t="n">
        <v>150</v>
      </c>
      <c r="U160" t="n">
        <v>56</v>
      </c>
      <c r="V160" t="n">
        <v>1</v>
      </c>
      <c r="W160" t="n">
        <v>6</v>
      </c>
      <c r="X160" t="n">
        <v>0</v>
      </c>
      <c r="Y160" t="n">
        <v>25063</v>
      </c>
      <c r="Z160" t="n">
        <v>0</v>
      </c>
      <c r="AA160" t="n">
        <v>1945</v>
      </c>
      <c r="AB160" t="n">
        <v>9</v>
      </c>
      <c r="AC160" t="n">
        <v>1</v>
      </c>
      <c r="AD160" t="n">
        <v>76</v>
      </c>
      <c r="AE160" t="n">
        <v>14</v>
      </c>
      <c r="AF160" t="n">
        <v>2</v>
      </c>
      <c r="AG160" t="n">
        <v>14</v>
      </c>
      <c r="AH160" t="n">
        <v>14</v>
      </c>
      <c r="AI160" t="n">
        <v>5</v>
      </c>
      <c r="AJ160" t="n">
        <v>773</v>
      </c>
      <c r="AK160" t="n">
        <v>113</v>
      </c>
      <c r="AL160" t="n">
        <v>101</v>
      </c>
      <c r="AM160" t="n">
        <v>877</v>
      </c>
      <c r="AN160" t="n">
        <v>2</v>
      </c>
      <c r="AO160" t="n">
        <v>1</v>
      </c>
      <c r="AP160" t="n">
        <v>0</v>
      </c>
      <c r="AQ160" t="n">
        <v>7</v>
      </c>
      <c r="AR160" t="n">
        <v>7</v>
      </c>
      <c r="AS160" t="n">
        <v>14</v>
      </c>
      <c r="AT160" t="n">
        <v>3130</v>
      </c>
      <c r="AU160" t="n">
        <v>4251</v>
      </c>
      <c r="AV160" t="n">
        <v>0</v>
      </c>
      <c r="AW160" t="n">
        <v>7412</v>
      </c>
      <c r="AX160" t="n">
        <v>302</v>
      </c>
      <c r="AY160" t="n">
        <v>0</v>
      </c>
      <c r="AZ160" t="n">
        <v>0</v>
      </c>
      <c r="BA160" t="n">
        <v>302</v>
      </c>
      <c r="BB160" t="n">
        <v>0</v>
      </c>
      <c r="BC160" t="n">
        <v>0</v>
      </c>
      <c r="BD160" t="n">
        <v>0</v>
      </c>
      <c r="BE160" t="n">
        <v>0</v>
      </c>
      <c r="BF160" t="n">
        <v>0</v>
      </c>
      <c r="BG160">
        <f>IF($F160=0,"0",MIN(
BH160/(30*$F160),
BI160/(61*$F160),
BJ160/(48*$F160),
(BK160+BL160)/(23*$F160),
(BM160+BN160)/(41*$F160),
BO160/(25*$F160),
BP160/(6.6*$F160),
BQ160/(40*$F160),
BS160/(16*$F160)
)*100)</f>
        <v/>
      </c>
      <c r="BH160" t="n">
        <v>20</v>
      </c>
      <c r="BI160" t="n">
        <v>38</v>
      </c>
      <c r="BJ160" t="n">
        <v>11</v>
      </c>
      <c r="BK160" t="n">
        <v>10</v>
      </c>
      <c r="BL160" t="n">
        <v>6</v>
      </c>
      <c r="BM160" t="n">
        <v>23</v>
      </c>
      <c r="BN160" t="n">
        <v>7</v>
      </c>
      <c r="BO160" t="n">
        <v>17</v>
      </c>
      <c r="BP160" t="n">
        <v>2</v>
      </c>
      <c r="BQ160" t="n">
        <v>26</v>
      </c>
      <c r="BR160" t="n">
        <v>32</v>
      </c>
      <c r="BS160" t="n">
        <v>9</v>
      </c>
      <c r="BT160" t="n">
        <v>201</v>
      </c>
      <c r="BU160" t="n">
        <v>26</v>
      </c>
      <c r="BV160" t="n">
        <v>49</v>
      </c>
      <c r="BW160" t="n">
        <v>79</v>
      </c>
      <c r="BX160" t="n">
        <v>26</v>
      </c>
      <c r="BY160" t="n">
        <v>23</v>
      </c>
      <c r="BZ160" t="n">
        <v>19</v>
      </c>
      <c r="CA160" t="n">
        <v>222</v>
      </c>
      <c r="CB160" t="n">
        <v>21</v>
      </c>
      <c r="CC160" t="n">
        <v>9</v>
      </c>
      <c r="CD160" t="n">
        <v>161</v>
      </c>
      <c r="CE160" t="n">
        <v>227</v>
      </c>
      <c r="CF160" t="n">
        <v>1.41</v>
      </c>
      <c r="CG160" t="n">
        <v>0</v>
      </c>
      <c r="CH160" t="n">
        <v>0</v>
      </c>
      <c r="CI160" t="n">
        <v>0</v>
      </c>
      <c r="CJ160" t="n">
        <v>0</v>
      </c>
      <c r="CK160" t="n">
        <v>0</v>
      </c>
      <c r="CL160" t="n">
        <v>0</v>
      </c>
      <c r="CM160" t="n">
        <v>0</v>
      </c>
      <c r="CN160" t="n">
        <v>27</v>
      </c>
      <c r="CO160" t="n">
        <v>0</v>
      </c>
      <c r="CP160" t="n">
        <v>10</v>
      </c>
      <c r="CQ160" t="n">
        <v>0</v>
      </c>
      <c r="CR160" t="n">
        <v>0</v>
      </c>
      <c r="CS160" t="n">
        <v>0</v>
      </c>
      <c r="CT160" t="n">
        <v>37</v>
      </c>
      <c r="CU160" t="n">
        <v>0</v>
      </c>
      <c r="CV160" t="n">
        <v>0</v>
      </c>
      <c r="CW160" t="n">
        <v>2</v>
      </c>
      <c r="CX160" t="n">
        <v>0</v>
      </c>
      <c r="CY160" t="n">
        <v>75</v>
      </c>
      <c r="CZ160" t="n">
        <v>0</v>
      </c>
      <c r="DA160" t="n">
        <v>0</v>
      </c>
      <c r="DB160" t="n">
        <v>0</v>
      </c>
      <c r="DC160" t="n">
        <v>77</v>
      </c>
      <c r="DD160" t="n">
        <v>0</v>
      </c>
      <c r="DE160" t="n">
        <v>0</v>
      </c>
      <c r="DF160" t="n">
        <v>227</v>
      </c>
      <c r="DG160" t="n">
        <v>161</v>
      </c>
      <c r="DH160" t="n">
        <v>0</v>
      </c>
      <c r="DI160" t="n">
        <v>0</v>
      </c>
      <c r="DJ160" t="n">
        <v>0</v>
      </c>
      <c r="DK160" t="n">
        <v>0</v>
      </c>
      <c r="DL160" t="n">
        <v>0</v>
      </c>
      <c r="DM160" t="n">
        <v>0</v>
      </c>
      <c r="DN160" t="n">
        <v>0</v>
      </c>
      <c r="DO160" t="n">
        <v>0</v>
      </c>
      <c r="DP160" t="n">
        <v>0</v>
      </c>
      <c r="DQ160" t="n">
        <v>0</v>
      </c>
      <c r="DR160" t="n">
        <v>0</v>
      </c>
      <c r="DS160" t="n">
        <v>388</v>
      </c>
      <c r="DT160" t="n">
        <v>502</v>
      </c>
      <c r="DU160" t="n">
        <v>125</v>
      </c>
      <c r="DV160" t="n">
        <v>0</v>
      </c>
      <c r="DW160" t="n">
        <v>0</v>
      </c>
      <c r="DX160" t="n">
        <v>0</v>
      </c>
      <c r="DY160" t="n">
        <v>1023</v>
      </c>
      <c r="DZ160" t="n">
        <v>512</v>
      </c>
      <c r="EA160" t="n">
        <v>512</v>
      </c>
      <c r="EB160" t="n">
        <v>1023</v>
      </c>
      <c r="EC160" t="n">
        <v>2047</v>
      </c>
      <c r="ED160" t="n">
        <v>1463</v>
      </c>
      <c r="EE160" t="n">
        <v>3654</v>
      </c>
      <c r="EF160" t="n">
        <v>0</v>
      </c>
      <c r="EG160" t="n">
        <v>1</v>
      </c>
      <c r="EH160" t="n">
        <v>0.3</v>
      </c>
      <c r="EI160" t="n">
        <v>3.7</v>
      </c>
      <c r="EJ160" t="n">
        <v>0.6</v>
      </c>
      <c r="EK160" t="n">
        <v>0.5</v>
      </c>
    </row>
    <row r="161">
      <c r="A161">
        <f>[1]ingredient!B160</f>
        <v/>
      </c>
      <c r="B161" t="inlineStr">
        <is>
          <t>https://www.naehrwertrechner.de/naehrwerte/F302000/Himbeere/?menge=100</t>
        </is>
      </c>
      <c r="C161" s="7">
        <f>_xlfn.XLOOKUP(A161,[1]ingredient!$B$2:$B$521,[1]ingredient!$A$2:$A$521)</f>
        <v/>
      </c>
      <c r="D161" t="n">
        <v>34</v>
      </c>
      <c r="E161" t="n">
        <v>0.3</v>
      </c>
      <c r="F161" t="n">
        <v>1</v>
      </c>
      <c r="G161" t="n">
        <v>5</v>
      </c>
      <c r="H161" t="n">
        <v>5</v>
      </c>
      <c r="I161" t="n">
        <v>5</v>
      </c>
      <c r="J161" t="n">
        <v>0.02</v>
      </c>
      <c r="K161" t="n">
        <v>86</v>
      </c>
      <c r="L161" t="n">
        <v>3</v>
      </c>
      <c r="M161" t="n">
        <v>1</v>
      </c>
      <c r="N161" t="n">
        <v>0</v>
      </c>
      <c r="O161" t="n">
        <v>16</v>
      </c>
      <c r="P161" t="n">
        <v>23</v>
      </c>
      <c r="Q161" t="n">
        <v>50</v>
      </c>
      <c r="R161" t="n">
        <v>300</v>
      </c>
      <c r="S161" t="n">
        <v>567</v>
      </c>
      <c r="T161" t="n">
        <v>300</v>
      </c>
      <c r="U161" t="n">
        <v>75</v>
      </c>
      <c r="V161" t="n">
        <v>2</v>
      </c>
      <c r="W161" t="n">
        <v>30</v>
      </c>
      <c r="X161" t="n">
        <v>0</v>
      </c>
      <c r="Y161" t="n">
        <v>25000</v>
      </c>
      <c r="Z161" t="n">
        <v>0</v>
      </c>
      <c r="AA161" t="n">
        <v>687</v>
      </c>
      <c r="AB161" t="n">
        <v>10</v>
      </c>
      <c r="AC161" t="n">
        <v>1</v>
      </c>
      <c r="AD161" t="n">
        <v>200</v>
      </c>
      <c r="AE161" t="n">
        <v>40</v>
      </c>
      <c r="AF161" t="n">
        <v>30</v>
      </c>
      <c r="AG161" t="n">
        <v>44</v>
      </c>
      <c r="AH161" t="n">
        <v>17</v>
      </c>
      <c r="AI161" t="n">
        <v>22</v>
      </c>
      <c r="AJ161" t="n">
        <v>1000</v>
      </c>
      <c r="AK161" t="n">
        <v>361</v>
      </c>
      <c r="AL161" t="n">
        <v>89</v>
      </c>
      <c r="AM161" t="n">
        <v>384</v>
      </c>
      <c r="AN161" t="n">
        <v>20</v>
      </c>
      <c r="AO161" t="n">
        <v>3</v>
      </c>
      <c r="AP161" t="n">
        <v>0</v>
      </c>
      <c r="AQ161" t="n">
        <v>9</v>
      </c>
      <c r="AR161" t="n">
        <v>3</v>
      </c>
      <c r="AS161" t="n">
        <v>12</v>
      </c>
      <c r="AT161" t="n">
        <v>1782</v>
      </c>
      <c r="AU161" t="n">
        <v>2049</v>
      </c>
      <c r="AV161" t="n">
        <v>0</v>
      </c>
      <c r="AW161" t="n">
        <v>3831</v>
      </c>
      <c r="AX161" t="n">
        <v>967</v>
      </c>
      <c r="AY161" t="n">
        <v>0</v>
      </c>
      <c r="AZ161" t="n">
        <v>0</v>
      </c>
      <c r="BA161" t="n">
        <v>967</v>
      </c>
      <c r="BB161" t="n">
        <v>0</v>
      </c>
      <c r="BC161" t="n">
        <v>0</v>
      </c>
      <c r="BD161" t="n">
        <v>0</v>
      </c>
      <c r="BE161" t="n">
        <v>0</v>
      </c>
      <c r="BF161" t="n">
        <v>0</v>
      </c>
      <c r="BG161">
        <f>IF($F161=0,"0",MIN(
BH161/(30*$F161),
BI161/(61*$F161),
BJ161/(48*$F161),
(BK161+BL161)/(23*$F161),
(BM161+BN161)/(41*$F161),
BO161/(25*$F161),
BP161/(6.6*$F161),
BQ161/(40*$F161),
BS161/(16*$F161)
)*100)</f>
        <v/>
      </c>
      <c r="BH161" t="n">
        <v>33</v>
      </c>
      <c r="BI161" t="n">
        <v>75</v>
      </c>
      <c r="BJ161" t="n">
        <v>42</v>
      </c>
      <c r="BK161" t="n">
        <v>25</v>
      </c>
      <c r="BL161" t="n">
        <v>16</v>
      </c>
      <c r="BM161" t="n">
        <v>49</v>
      </c>
      <c r="BN161" t="n">
        <v>33</v>
      </c>
      <c r="BO161" t="n">
        <v>49</v>
      </c>
      <c r="BP161" t="n">
        <v>16</v>
      </c>
      <c r="BQ161" t="n">
        <v>58</v>
      </c>
      <c r="BR161" t="n">
        <v>91</v>
      </c>
      <c r="BS161" t="n">
        <v>42</v>
      </c>
      <c r="BT161" t="n">
        <v>529</v>
      </c>
      <c r="BU161" t="n">
        <v>75</v>
      </c>
      <c r="BV161" t="n">
        <v>240</v>
      </c>
      <c r="BW161" t="n">
        <v>264</v>
      </c>
      <c r="BX161" t="n">
        <v>66</v>
      </c>
      <c r="BY161" t="n">
        <v>58</v>
      </c>
      <c r="BZ161" t="n">
        <v>66</v>
      </c>
      <c r="CA161" t="n">
        <v>769</v>
      </c>
      <c r="CB161" t="n">
        <v>18</v>
      </c>
      <c r="CC161" t="n">
        <v>8</v>
      </c>
      <c r="CD161" t="n">
        <v>66</v>
      </c>
      <c r="CE161" t="n">
        <v>131</v>
      </c>
      <c r="CF161" t="n">
        <v>1.98</v>
      </c>
      <c r="CG161" t="n">
        <v>0</v>
      </c>
      <c r="CH161" t="n">
        <v>0</v>
      </c>
      <c r="CI161" t="n">
        <v>0</v>
      </c>
      <c r="CJ161" t="n">
        <v>0</v>
      </c>
      <c r="CK161" t="n">
        <v>0</v>
      </c>
      <c r="CL161" t="n">
        <v>0</v>
      </c>
      <c r="CM161" t="n">
        <v>0</v>
      </c>
      <c r="CN161" t="n">
        <v>8</v>
      </c>
      <c r="CO161" t="n">
        <v>0</v>
      </c>
      <c r="CP161" t="n">
        <v>2</v>
      </c>
      <c r="CQ161" t="n">
        <v>0</v>
      </c>
      <c r="CR161" t="n">
        <v>0</v>
      </c>
      <c r="CS161" t="n">
        <v>0</v>
      </c>
      <c r="CT161" t="n">
        <v>10</v>
      </c>
      <c r="CU161" t="n">
        <v>0</v>
      </c>
      <c r="CV161" t="n">
        <v>0</v>
      </c>
      <c r="CW161" t="n">
        <v>0</v>
      </c>
      <c r="CX161" t="n">
        <v>0</v>
      </c>
      <c r="CY161" t="n">
        <v>30</v>
      </c>
      <c r="CZ161" t="n">
        <v>2</v>
      </c>
      <c r="DA161" t="n">
        <v>0</v>
      </c>
      <c r="DB161" t="n">
        <v>0</v>
      </c>
      <c r="DC161" t="n">
        <v>32</v>
      </c>
      <c r="DD161" t="n">
        <v>0</v>
      </c>
      <c r="DE161" t="n">
        <v>0</v>
      </c>
      <c r="DF161" t="n">
        <v>131</v>
      </c>
      <c r="DG161" t="n">
        <v>66</v>
      </c>
      <c r="DH161" t="n">
        <v>0</v>
      </c>
      <c r="DI161" t="n">
        <v>0</v>
      </c>
      <c r="DJ161" t="n">
        <v>0</v>
      </c>
      <c r="DK161" t="n">
        <v>0</v>
      </c>
      <c r="DL161" t="n">
        <v>0</v>
      </c>
      <c r="DM161" t="n">
        <v>0</v>
      </c>
      <c r="DN161" t="n">
        <v>0</v>
      </c>
      <c r="DO161" t="n">
        <v>0</v>
      </c>
      <c r="DP161" t="n">
        <v>0</v>
      </c>
      <c r="DQ161" t="n">
        <v>0</v>
      </c>
      <c r="DR161" t="n">
        <v>0</v>
      </c>
      <c r="DS161" t="n">
        <v>197</v>
      </c>
      <c r="DT161" t="n">
        <v>239</v>
      </c>
      <c r="DU161" t="n">
        <v>61</v>
      </c>
      <c r="DV161" t="n">
        <v>0</v>
      </c>
      <c r="DW161" t="n">
        <v>0</v>
      </c>
      <c r="DX161" t="n">
        <v>0</v>
      </c>
      <c r="DY161" t="n">
        <v>1311</v>
      </c>
      <c r="DZ161" t="n">
        <v>606</v>
      </c>
      <c r="EA161" t="n">
        <v>400</v>
      </c>
      <c r="EB161" t="n">
        <v>841</v>
      </c>
      <c r="EC161" t="n">
        <v>1542</v>
      </c>
      <c r="ED161" t="n">
        <v>980</v>
      </c>
      <c r="EE161" t="n">
        <v>3700</v>
      </c>
      <c r="EF161" t="n">
        <v>0</v>
      </c>
      <c r="EG161" t="n">
        <v>2</v>
      </c>
      <c r="EH161" t="n">
        <v>0.5</v>
      </c>
      <c r="EI161" t="n">
        <v>3.7</v>
      </c>
      <c r="EJ161" t="n">
        <v>0.3</v>
      </c>
      <c r="EK161" t="n">
        <v>1.4</v>
      </c>
    </row>
    <row r="162">
      <c r="A162">
        <f>[1]ingredient!B161</f>
        <v/>
      </c>
      <c r="B162" t="inlineStr">
        <is>
          <t>https://www.naehrwertrechner.de/naehrwerte/F302200/Himbeere+tiefgefroren/?menge=100</t>
        </is>
      </c>
      <c r="C162" s="7">
        <f>_xlfn.XLOOKUP(A162,[1]ingredient!$B$2:$B$521,[1]ingredient!$A$2:$A$521)</f>
        <v/>
      </c>
      <c r="D162" t="n">
        <v>36</v>
      </c>
      <c r="E162" t="n">
        <v>0.31</v>
      </c>
      <c r="F162" t="n">
        <v>1</v>
      </c>
      <c r="G162" t="n">
        <v>5</v>
      </c>
      <c r="H162" t="n">
        <v>5</v>
      </c>
      <c r="I162" t="n">
        <v>5</v>
      </c>
      <c r="J162" t="n">
        <v>0.02</v>
      </c>
      <c r="K162" t="n">
        <v>86</v>
      </c>
      <c r="L162" t="n">
        <v>3</v>
      </c>
      <c r="M162" t="n">
        <v>1</v>
      </c>
      <c r="N162" t="n">
        <v>0</v>
      </c>
      <c r="O162" t="n">
        <v>15</v>
      </c>
      <c r="P162" t="n">
        <v>22</v>
      </c>
      <c r="Q162" t="n">
        <v>47</v>
      </c>
      <c r="R162" t="n">
        <v>282</v>
      </c>
      <c r="S162" t="n">
        <v>565</v>
      </c>
      <c r="T162" t="n">
        <v>282</v>
      </c>
      <c r="U162" t="n">
        <v>71</v>
      </c>
      <c r="V162" t="n">
        <v>2</v>
      </c>
      <c r="W162" t="n">
        <v>28</v>
      </c>
      <c r="X162" t="n">
        <v>0</v>
      </c>
      <c r="Y162" t="n">
        <v>20902</v>
      </c>
      <c r="Z162" t="n">
        <v>0</v>
      </c>
      <c r="AA162" t="n">
        <v>646</v>
      </c>
      <c r="AB162" t="n">
        <v>9</v>
      </c>
      <c r="AC162" t="n">
        <v>1</v>
      </c>
      <c r="AD162" t="n">
        <v>209</v>
      </c>
      <c r="AE162" t="n">
        <v>42</v>
      </c>
      <c r="AF162" t="n">
        <v>31</v>
      </c>
      <c r="AG162" t="n">
        <v>46</v>
      </c>
      <c r="AH162" t="n">
        <v>18</v>
      </c>
      <c r="AI162" t="n">
        <v>23</v>
      </c>
      <c r="AJ162" t="n">
        <v>1045</v>
      </c>
      <c r="AK162" t="n">
        <v>377</v>
      </c>
      <c r="AL162" t="n">
        <v>93</v>
      </c>
      <c r="AM162" t="n">
        <v>401</v>
      </c>
      <c r="AN162" t="n">
        <v>21</v>
      </c>
      <c r="AO162" t="n">
        <v>3</v>
      </c>
      <c r="AP162" t="n">
        <v>0</v>
      </c>
      <c r="AQ162" t="n">
        <v>9</v>
      </c>
      <c r="AR162" t="n">
        <v>3</v>
      </c>
      <c r="AS162" t="n">
        <v>12</v>
      </c>
      <c r="AT162" t="n">
        <v>1862</v>
      </c>
      <c r="AU162" t="n">
        <v>2142</v>
      </c>
      <c r="AV162" t="n">
        <v>0</v>
      </c>
      <c r="AW162" t="n">
        <v>4004</v>
      </c>
      <c r="AX162" t="n">
        <v>1011</v>
      </c>
      <c r="AY162" t="n">
        <v>0</v>
      </c>
      <c r="AZ162" t="n">
        <v>0</v>
      </c>
      <c r="BA162" t="n">
        <v>1011</v>
      </c>
      <c r="BB162" t="n">
        <v>0</v>
      </c>
      <c r="BC162" t="n">
        <v>0</v>
      </c>
      <c r="BD162" t="n">
        <v>0</v>
      </c>
      <c r="BE162" t="n">
        <v>0</v>
      </c>
      <c r="BF162" t="n">
        <v>0</v>
      </c>
      <c r="BG162">
        <f>IF($F162=0,"0",MIN(
BH162/(30*$F162),
BI162/(61*$F162),
BJ162/(48*$F162),
(BK162+BL162)/(23*$F162),
(BM162+BN162)/(41*$F162),
BO162/(25*$F162),
BP162/(6.6*$F162),
BQ162/(40*$F162),
BS162/(16*$F162)
)*100)</f>
        <v/>
      </c>
      <c r="BH162" t="n">
        <v>34</v>
      </c>
      <c r="BI162" t="n">
        <v>78</v>
      </c>
      <c r="BJ162" t="n">
        <v>44</v>
      </c>
      <c r="BK162" t="n">
        <v>26</v>
      </c>
      <c r="BL162" t="n">
        <v>17</v>
      </c>
      <c r="BM162" t="n">
        <v>51</v>
      </c>
      <c r="BN162" t="n">
        <v>34</v>
      </c>
      <c r="BO162" t="n">
        <v>51</v>
      </c>
      <c r="BP162" t="n">
        <v>17</v>
      </c>
      <c r="BQ162" t="n">
        <v>61</v>
      </c>
      <c r="BR162" t="n">
        <v>95</v>
      </c>
      <c r="BS162" t="n">
        <v>44</v>
      </c>
      <c r="BT162" t="n">
        <v>552</v>
      </c>
      <c r="BU162" t="n">
        <v>78</v>
      </c>
      <c r="BV162" t="n">
        <v>252</v>
      </c>
      <c r="BW162" t="n">
        <v>277</v>
      </c>
      <c r="BX162" t="n">
        <v>69</v>
      </c>
      <c r="BY162" t="n">
        <v>61</v>
      </c>
      <c r="BZ162" t="n">
        <v>69</v>
      </c>
      <c r="CA162" t="n">
        <v>806</v>
      </c>
      <c r="CB162" t="n">
        <v>19</v>
      </c>
      <c r="CC162" t="n">
        <v>8</v>
      </c>
      <c r="CD162" t="n">
        <v>69</v>
      </c>
      <c r="CE162" t="n">
        <v>137</v>
      </c>
      <c r="CF162" t="n">
        <v>1.99</v>
      </c>
      <c r="CG162" t="n">
        <v>0</v>
      </c>
      <c r="CH162" t="n">
        <v>0</v>
      </c>
      <c r="CI162" t="n">
        <v>0</v>
      </c>
      <c r="CJ162" t="n">
        <v>0</v>
      </c>
      <c r="CK162" t="n">
        <v>0</v>
      </c>
      <c r="CL162" t="n">
        <v>0</v>
      </c>
      <c r="CM162" t="n">
        <v>0</v>
      </c>
      <c r="CN162" t="n">
        <v>9</v>
      </c>
      <c r="CO162" t="n">
        <v>0</v>
      </c>
      <c r="CP162" t="n">
        <v>2</v>
      </c>
      <c r="CQ162" t="n">
        <v>0</v>
      </c>
      <c r="CR162" t="n">
        <v>0</v>
      </c>
      <c r="CS162" t="n">
        <v>0</v>
      </c>
      <c r="CT162" t="n">
        <v>11</v>
      </c>
      <c r="CU162" t="n">
        <v>0</v>
      </c>
      <c r="CV162" t="n">
        <v>0</v>
      </c>
      <c r="CW162" t="n">
        <v>0</v>
      </c>
      <c r="CX162" t="n">
        <v>0</v>
      </c>
      <c r="CY162" t="n">
        <v>31</v>
      </c>
      <c r="CZ162" t="n">
        <v>2</v>
      </c>
      <c r="DA162" t="n">
        <v>0</v>
      </c>
      <c r="DB162" t="n">
        <v>0</v>
      </c>
      <c r="DC162" t="n">
        <v>33</v>
      </c>
      <c r="DD162" t="n">
        <v>0</v>
      </c>
      <c r="DE162" t="n">
        <v>0</v>
      </c>
      <c r="DF162" t="n">
        <v>137</v>
      </c>
      <c r="DG162" t="n">
        <v>69</v>
      </c>
      <c r="DH162" t="n">
        <v>0</v>
      </c>
      <c r="DI162" t="n">
        <v>0</v>
      </c>
      <c r="DJ162" t="n">
        <v>0</v>
      </c>
      <c r="DK162" t="n">
        <v>0</v>
      </c>
      <c r="DL162" t="n">
        <v>0</v>
      </c>
      <c r="DM162" t="n">
        <v>0</v>
      </c>
      <c r="DN162" t="n">
        <v>0</v>
      </c>
      <c r="DO162" t="n">
        <v>0</v>
      </c>
      <c r="DP162" t="n">
        <v>0</v>
      </c>
      <c r="DQ162" t="n">
        <v>0</v>
      </c>
      <c r="DR162" t="n">
        <v>0</v>
      </c>
      <c r="DS162" t="n">
        <v>206</v>
      </c>
      <c r="DT162" t="n">
        <v>250</v>
      </c>
      <c r="DU162" t="n">
        <v>64</v>
      </c>
      <c r="DV162" t="n">
        <v>0</v>
      </c>
      <c r="DW162" t="n">
        <v>0</v>
      </c>
      <c r="DX162" t="n">
        <v>0</v>
      </c>
      <c r="DY162" t="n">
        <v>1370</v>
      </c>
      <c r="DZ162" t="n">
        <v>633</v>
      </c>
      <c r="EA162" t="n">
        <v>418</v>
      </c>
      <c r="EB162" t="n">
        <v>879</v>
      </c>
      <c r="EC162" t="n">
        <v>1612</v>
      </c>
      <c r="ED162" t="n">
        <v>1024</v>
      </c>
      <c r="EE162" t="n">
        <v>3867</v>
      </c>
      <c r="EF162" t="n">
        <v>0</v>
      </c>
      <c r="EG162" t="n">
        <v>2</v>
      </c>
      <c r="EH162" t="n">
        <v>0.5</v>
      </c>
      <c r="EI162" t="n">
        <v>3.9</v>
      </c>
      <c r="EJ162" t="n">
        <v>0.3</v>
      </c>
      <c r="EK162" t="n">
        <v>1.4</v>
      </c>
    </row>
    <row r="163">
      <c r="A163">
        <f>[1]ingredient!B162</f>
        <v/>
      </c>
      <c r="B163" t="inlineStr">
        <is>
          <t>https://www.naehrwertrechner.de/naehrwerte/C331000/Hirse+ganzes+Korn+roh/?menge=100</t>
        </is>
      </c>
      <c r="C163" s="7">
        <f>_xlfn.XLOOKUP(A163,[1]ingredient!$B$2:$B$521,[1]ingredient!$A$2:$A$521)</f>
        <v/>
      </c>
      <c r="D163" t="n">
        <v>331</v>
      </c>
      <c r="E163" t="n">
        <v>4</v>
      </c>
      <c r="F163" t="n">
        <v>10</v>
      </c>
      <c r="G163" t="n">
        <v>64</v>
      </c>
      <c r="H163" t="n">
        <v>13</v>
      </c>
      <c r="I163" t="n">
        <v>1</v>
      </c>
      <c r="J163" t="n">
        <v>0.05</v>
      </c>
      <c r="K163" t="n">
        <v>7</v>
      </c>
      <c r="L163" t="n">
        <v>0</v>
      </c>
      <c r="M163" t="n">
        <v>0</v>
      </c>
      <c r="N163" t="n">
        <v>0</v>
      </c>
      <c r="O163" t="n">
        <v>0</v>
      </c>
      <c r="P163" t="n">
        <v>260</v>
      </c>
      <c r="Q163" t="n">
        <v>140</v>
      </c>
      <c r="R163" t="n">
        <v>1800</v>
      </c>
      <c r="S163" t="n">
        <v>4250</v>
      </c>
      <c r="T163" t="n">
        <v>1200</v>
      </c>
      <c r="U163" t="n">
        <v>750</v>
      </c>
      <c r="V163" t="n">
        <v>1</v>
      </c>
      <c r="W163" t="n">
        <v>32</v>
      </c>
      <c r="X163" t="n">
        <v>0</v>
      </c>
      <c r="Y163" t="n">
        <v>0</v>
      </c>
      <c r="Z163" t="n">
        <v>0</v>
      </c>
      <c r="AA163" t="n">
        <v>50</v>
      </c>
      <c r="AB163" t="n">
        <v>1</v>
      </c>
      <c r="AC163" t="n">
        <v>3</v>
      </c>
      <c r="AD163" t="n">
        <v>430</v>
      </c>
      <c r="AE163" t="n">
        <v>20</v>
      </c>
      <c r="AF163" t="n">
        <v>170</v>
      </c>
      <c r="AG163" t="n">
        <v>310</v>
      </c>
      <c r="AH163" t="n">
        <v>140</v>
      </c>
      <c r="AI163" t="n">
        <v>50</v>
      </c>
      <c r="AJ163" t="n">
        <v>9000</v>
      </c>
      <c r="AK163" t="n">
        <v>2240</v>
      </c>
      <c r="AL163" t="n">
        <v>490</v>
      </c>
      <c r="AM163" t="n">
        <v>710</v>
      </c>
      <c r="AN163" t="n">
        <v>40</v>
      </c>
      <c r="AO163" t="n">
        <v>5</v>
      </c>
      <c r="AP163" t="n">
        <v>0</v>
      </c>
      <c r="AQ163" t="n">
        <v>0</v>
      </c>
      <c r="AR163" t="n">
        <v>0</v>
      </c>
      <c r="AS163" t="n">
        <v>0</v>
      </c>
      <c r="AT163" t="n">
        <v>0</v>
      </c>
      <c r="AU163" t="n">
        <v>0</v>
      </c>
      <c r="AV163" t="n">
        <v>0</v>
      </c>
      <c r="AW163" t="n">
        <v>0</v>
      </c>
      <c r="AX163" t="n">
        <v>1280</v>
      </c>
      <c r="AY163" t="n">
        <v>0</v>
      </c>
      <c r="AZ163" t="n">
        <v>0</v>
      </c>
      <c r="BA163" t="n">
        <v>1280</v>
      </c>
      <c r="BB163" t="n">
        <v>640</v>
      </c>
      <c r="BC163" t="n">
        <v>330</v>
      </c>
      <c r="BD163" t="n">
        <v>0</v>
      </c>
      <c r="BE163" t="n">
        <v>62080</v>
      </c>
      <c r="BF163" t="n">
        <v>62080</v>
      </c>
      <c r="BG163">
        <f>IF($F163=0,"0",MIN(
BH163/(30*$F163),
BI163/(61*$F163),
BJ163/(48*$F163),
(BK163+BL163)/(23*$F163),
(BM163+BN163)/(41*$F163),
BO163/(25*$F163),
BP163/(6.6*$F163),
BQ163/(40*$F163),
BS163/(16*$F163)
)*100)</f>
        <v/>
      </c>
      <c r="BH163" t="n">
        <v>460</v>
      </c>
      <c r="BI163" t="n">
        <v>1146</v>
      </c>
      <c r="BJ163" t="n">
        <v>226</v>
      </c>
      <c r="BK163" t="n">
        <v>206</v>
      </c>
      <c r="BL163" t="n">
        <v>128</v>
      </c>
      <c r="BM163" t="n">
        <v>382</v>
      </c>
      <c r="BN163" t="n">
        <v>226</v>
      </c>
      <c r="BO163" t="n">
        <v>343</v>
      </c>
      <c r="BP163" t="n">
        <v>147</v>
      </c>
      <c r="BQ163" t="n">
        <v>509</v>
      </c>
      <c r="BR163" t="n">
        <v>304</v>
      </c>
      <c r="BS163" t="n">
        <v>166</v>
      </c>
      <c r="BT163" t="n">
        <v>4243</v>
      </c>
      <c r="BU163" t="n">
        <v>1116</v>
      </c>
      <c r="BV163" t="n">
        <v>529</v>
      </c>
      <c r="BW163" t="n">
        <v>1910</v>
      </c>
      <c r="BX163" t="n">
        <v>255</v>
      </c>
      <c r="BY163" t="n">
        <v>911</v>
      </c>
      <c r="BZ163" t="n">
        <v>637</v>
      </c>
      <c r="CA163" t="n">
        <v>5358</v>
      </c>
      <c r="CB163" t="n">
        <v>66</v>
      </c>
      <c r="CC163" t="n">
        <v>28</v>
      </c>
      <c r="CD163" t="n">
        <v>105</v>
      </c>
      <c r="CE163" t="n">
        <v>1434</v>
      </c>
      <c r="CF163" t="n">
        <v>13.66</v>
      </c>
      <c r="CG163" t="n">
        <v>0</v>
      </c>
      <c r="CH163" t="n">
        <v>0</v>
      </c>
      <c r="CI163" t="n">
        <v>0</v>
      </c>
      <c r="CJ163" t="n">
        <v>0</v>
      </c>
      <c r="CK163" t="n">
        <v>0</v>
      </c>
      <c r="CL163" t="n">
        <v>9</v>
      </c>
      <c r="CM163" t="n">
        <v>0</v>
      </c>
      <c r="CN163" t="n">
        <v>607</v>
      </c>
      <c r="CO163" t="n">
        <v>0</v>
      </c>
      <c r="CP163" t="n">
        <v>155</v>
      </c>
      <c r="CQ163" t="n">
        <v>31</v>
      </c>
      <c r="CR163" t="n">
        <v>0</v>
      </c>
      <c r="CS163" t="n">
        <v>0</v>
      </c>
      <c r="CT163" t="n">
        <v>802</v>
      </c>
      <c r="CU163" t="n">
        <v>0</v>
      </c>
      <c r="CV163" t="n">
        <v>0</v>
      </c>
      <c r="CW163" t="n">
        <v>15</v>
      </c>
      <c r="CX163" t="n">
        <v>0</v>
      </c>
      <c r="CY163" t="n">
        <v>740</v>
      </c>
      <c r="CZ163" t="n">
        <v>0</v>
      </c>
      <c r="DA163" t="n">
        <v>0</v>
      </c>
      <c r="DB163" t="n">
        <v>0</v>
      </c>
      <c r="DC163" t="n">
        <v>755</v>
      </c>
      <c r="DD163" t="n">
        <v>0</v>
      </c>
      <c r="DE163" t="n">
        <v>0</v>
      </c>
      <c r="DF163" t="n">
        <v>1434</v>
      </c>
      <c r="DG163" t="n">
        <v>105</v>
      </c>
      <c r="DH163" t="n">
        <v>0</v>
      </c>
      <c r="DI163" t="n">
        <v>0</v>
      </c>
      <c r="DJ163" t="n">
        <v>0</v>
      </c>
      <c r="DK163" t="n">
        <v>0</v>
      </c>
      <c r="DL163" t="n">
        <v>0</v>
      </c>
      <c r="DM163" t="n">
        <v>0</v>
      </c>
      <c r="DN163" t="n">
        <v>0</v>
      </c>
      <c r="DO163" t="n">
        <v>0</v>
      </c>
      <c r="DP163" t="n">
        <v>0</v>
      </c>
      <c r="DQ163" t="n">
        <v>0</v>
      </c>
      <c r="DR163" t="n">
        <v>0</v>
      </c>
      <c r="DS163" t="n">
        <v>1539</v>
      </c>
      <c r="DT163" t="n">
        <v>3096</v>
      </c>
      <c r="DU163" t="n">
        <v>504</v>
      </c>
      <c r="DV163" t="n">
        <v>0</v>
      </c>
      <c r="DW163" t="n">
        <v>0</v>
      </c>
      <c r="DX163" t="n">
        <v>0</v>
      </c>
      <c r="DY163" t="n">
        <v>1430</v>
      </c>
      <c r="DZ163" t="n">
        <v>6760</v>
      </c>
      <c r="EA163" t="n">
        <v>2080</v>
      </c>
      <c r="EB163" t="n">
        <v>1690</v>
      </c>
      <c r="EC163" t="n">
        <v>1040</v>
      </c>
      <c r="ED163" t="n">
        <v>4810</v>
      </c>
      <c r="EE163" t="n">
        <v>8190</v>
      </c>
      <c r="EF163" t="n">
        <v>0</v>
      </c>
      <c r="EG163" t="n">
        <v>0</v>
      </c>
      <c r="EH163" t="n">
        <v>2</v>
      </c>
      <c r="EI163" t="n">
        <v>8.199999999999999</v>
      </c>
      <c r="EJ163" t="n">
        <v>3.6</v>
      </c>
      <c r="EK163" t="n">
        <v>9.800000000000001</v>
      </c>
    </row>
    <row r="164">
      <c r="A164">
        <f>[1]ingredient!B163</f>
        <v/>
      </c>
      <c r="B164" t="inlineStr">
        <is>
          <t>https://www.naehrwertrechner.de/naehrwerte/F534000/Zuckermelone+-+Honigmelone/?menge=100</t>
        </is>
      </c>
      <c r="C164" s="7">
        <f>_xlfn.XLOOKUP(A164,[1]ingredient!$B$2:$B$521,[1]ingredient!$A$2:$A$521)</f>
        <v/>
      </c>
      <c r="D164" t="n">
        <v>55</v>
      </c>
      <c r="E164" t="n">
        <v>0.1</v>
      </c>
      <c r="F164" t="n">
        <v>1</v>
      </c>
      <c r="G164" t="n">
        <v>12</v>
      </c>
      <c r="H164" t="n">
        <v>1</v>
      </c>
      <c r="I164" t="n">
        <v>12</v>
      </c>
      <c r="J164" t="n">
        <v>0.06</v>
      </c>
      <c r="K164" t="n">
        <v>85</v>
      </c>
      <c r="L164" t="n">
        <v>779</v>
      </c>
      <c r="M164" t="n">
        <v>389</v>
      </c>
      <c r="N164" t="n">
        <v>0</v>
      </c>
      <c r="O164" t="n">
        <v>4672</v>
      </c>
      <c r="P164" t="n">
        <v>60</v>
      </c>
      <c r="Q164" t="n">
        <v>20</v>
      </c>
      <c r="R164" t="n">
        <v>600</v>
      </c>
      <c r="S164" t="n">
        <v>683</v>
      </c>
      <c r="T164" t="n">
        <v>170</v>
      </c>
      <c r="U164" t="n">
        <v>90</v>
      </c>
      <c r="V164" t="n">
        <v>4</v>
      </c>
      <c r="W164" t="n">
        <v>30</v>
      </c>
      <c r="X164" t="n">
        <v>0</v>
      </c>
      <c r="Y164" t="n">
        <v>32000</v>
      </c>
      <c r="Z164" t="n">
        <v>0</v>
      </c>
      <c r="AA164" t="n">
        <v>140</v>
      </c>
      <c r="AB164" t="n">
        <v>1</v>
      </c>
      <c r="AC164" t="n">
        <v>17</v>
      </c>
      <c r="AD164" t="n">
        <v>309</v>
      </c>
      <c r="AE164" t="n">
        <v>13</v>
      </c>
      <c r="AF164" t="n">
        <v>13</v>
      </c>
      <c r="AG164" t="n">
        <v>24</v>
      </c>
      <c r="AH164" t="n">
        <v>11</v>
      </c>
      <c r="AI164" t="n">
        <v>41</v>
      </c>
      <c r="AJ164" t="n">
        <v>200</v>
      </c>
      <c r="AK164" t="n">
        <v>190</v>
      </c>
      <c r="AL164" t="n">
        <v>46</v>
      </c>
      <c r="AM164" t="n">
        <v>43</v>
      </c>
      <c r="AN164" t="n">
        <v>9</v>
      </c>
      <c r="AO164" t="n">
        <v>2</v>
      </c>
      <c r="AP164" t="n">
        <v>0</v>
      </c>
      <c r="AQ164" t="n">
        <v>0</v>
      </c>
      <c r="AR164" t="n">
        <v>0</v>
      </c>
      <c r="AS164" t="n">
        <v>0</v>
      </c>
      <c r="AT164" t="n">
        <v>1600</v>
      </c>
      <c r="AU164" t="n">
        <v>1300</v>
      </c>
      <c r="AV164" t="n">
        <v>0</v>
      </c>
      <c r="AW164" t="n">
        <v>2900</v>
      </c>
      <c r="AX164" t="n">
        <v>9500</v>
      </c>
      <c r="AY164" t="n">
        <v>0</v>
      </c>
      <c r="AZ164" t="n">
        <v>0</v>
      </c>
      <c r="BA164" t="n">
        <v>9500</v>
      </c>
      <c r="BB164" t="n">
        <v>0</v>
      </c>
      <c r="BC164" t="n">
        <v>0</v>
      </c>
      <c r="BD164" t="n">
        <v>0</v>
      </c>
      <c r="BE164" t="n">
        <v>0</v>
      </c>
      <c r="BF164" t="n">
        <v>0</v>
      </c>
      <c r="BG164">
        <f>IF($F164=0,"0",MIN(
BH164/(30*$F164),
BI164/(61*$F164),
BJ164/(48*$F164),
(BK164+BL164)/(23*$F164),
(BM164+BN164)/(41*$F164),
BO164/(25*$F164),
BP164/(6.6*$F164),
BQ164/(40*$F164),
BS164/(16*$F164)
)*100)</f>
        <v/>
      </c>
      <c r="BH164" t="n">
        <v>40</v>
      </c>
      <c r="BI164" t="n">
        <v>68</v>
      </c>
      <c r="BJ164" t="n">
        <v>24</v>
      </c>
      <c r="BK164" t="n">
        <v>14</v>
      </c>
      <c r="BL164" t="n">
        <v>6</v>
      </c>
      <c r="BM164" t="n">
        <v>28</v>
      </c>
      <c r="BN164" t="n">
        <v>28</v>
      </c>
      <c r="BO164" t="n">
        <v>40</v>
      </c>
      <c r="BP164" t="n">
        <v>5</v>
      </c>
      <c r="BQ164" t="n">
        <v>48</v>
      </c>
      <c r="BR164" t="n">
        <v>48</v>
      </c>
      <c r="BS164" t="n">
        <v>20</v>
      </c>
      <c r="BT164" t="n">
        <v>369</v>
      </c>
      <c r="BU164" t="n">
        <v>62</v>
      </c>
      <c r="BV164" t="n">
        <v>123</v>
      </c>
      <c r="BW164" t="n">
        <v>136</v>
      </c>
      <c r="BX164" t="n">
        <v>48</v>
      </c>
      <c r="BY164" t="n">
        <v>48</v>
      </c>
      <c r="BZ164" t="n">
        <v>54</v>
      </c>
      <c r="CA164" t="n">
        <v>471</v>
      </c>
      <c r="CB164" t="n">
        <v>33</v>
      </c>
      <c r="CC164" t="n">
        <v>14</v>
      </c>
      <c r="CD164" t="n">
        <v>2</v>
      </c>
      <c r="CE164" t="n">
        <v>13</v>
      </c>
      <c r="CF164" t="n">
        <v>6.5</v>
      </c>
      <c r="CG164" t="n">
        <v>0</v>
      </c>
      <c r="CH164" t="n">
        <v>0</v>
      </c>
      <c r="CI164" t="n">
        <v>0</v>
      </c>
      <c r="CJ164" t="n">
        <v>0</v>
      </c>
      <c r="CK164" t="n">
        <v>0</v>
      </c>
      <c r="CL164" t="n">
        <v>0</v>
      </c>
      <c r="CM164" t="n">
        <v>0</v>
      </c>
      <c r="CN164" t="n">
        <v>22</v>
      </c>
      <c r="CO164" t="n">
        <v>0</v>
      </c>
      <c r="CP164" t="n">
        <v>4</v>
      </c>
      <c r="CQ164" t="n">
        <v>0</v>
      </c>
      <c r="CR164" t="n">
        <v>0</v>
      </c>
      <c r="CS164" t="n">
        <v>0</v>
      </c>
      <c r="CT164" t="n">
        <v>26</v>
      </c>
      <c r="CU164" t="n">
        <v>0</v>
      </c>
      <c r="CV164" t="n">
        <v>0</v>
      </c>
      <c r="CW164" t="n">
        <v>2</v>
      </c>
      <c r="CX164" t="n">
        <v>0</v>
      </c>
      <c r="CY164" t="n">
        <v>11</v>
      </c>
      <c r="CZ164" t="n">
        <v>0</v>
      </c>
      <c r="DA164" t="n">
        <v>0</v>
      </c>
      <c r="DB164" t="n">
        <v>0</v>
      </c>
      <c r="DC164" t="n">
        <v>13</v>
      </c>
      <c r="DD164" t="n">
        <v>0</v>
      </c>
      <c r="DE164" t="n">
        <v>0</v>
      </c>
      <c r="DF164" t="n">
        <v>13</v>
      </c>
      <c r="DG164" t="n">
        <v>2</v>
      </c>
      <c r="DH164" t="n">
        <v>0</v>
      </c>
      <c r="DI164" t="n">
        <v>0</v>
      </c>
      <c r="DJ164" t="n">
        <v>0</v>
      </c>
      <c r="DK164" t="n">
        <v>0</v>
      </c>
      <c r="DL164" t="n">
        <v>0</v>
      </c>
      <c r="DM164" t="n">
        <v>0</v>
      </c>
      <c r="DN164" t="n">
        <v>0</v>
      </c>
      <c r="DO164" t="n">
        <v>0</v>
      </c>
      <c r="DP164" t="n">
        <v>0</v>
      </c>
      <c r="DQ164" t="n">
        <v>0</v>
      </c>
      <c r="DR164" t="n">
        <v>0</v>
      </c>
      <c r="DS164" t="n">
        <v>15</v>
      </c>
      <c r="DT164" t="n">
        <v>54</v>
      </c>
      <c r="DU164" t="n">
        <v>20</v>
      </c>
      <c r="DV164" t="n">
        <v>0</v>
      </c>
      <c r="DW164" t="n">
        <v>0</v>
      </c>
      <c r="DX164" t="n">
        <v>0</v>
      </c>
      <c r="DY164" t="n">
        <v>161</v>
      </c>
      <c r="DZ164" t="n">
        <v>124</v>
      </c>
      <c r="EA164" t="n">
        <v>161</v>
      </c>
      <c r="EB164" t="n">
        <v>153</v>
      </c>
      <c r="EC164" t="n">
        <v>131</v>
      </c>
      <c r="ED164" t="n">
        <v>190</v>
      </c>
      <c r="EE164" t="n">
        <v>540</v>
      </c>
      <c r="EF164" t="n">
        <v>0</v>
      </c>
      <c r="EG164" t="n">
        <v>0.1</v>
      </c>
      <c r="EH164" t="n">
        <v>0.4</v>
      </c>
      <c r="EI164" t="n">
        <v>0.5</v>
      </c>
      <c r="EJ164" t="n">
        <v>0.1</v>
      </c>
      <c r="EK164" t="n">
        <v>0.9</v>
      </c>
    </row>
    <row r="165">
      <c r="A165">
        <f>[1]ingredient!B164</f>
        <v/>
      </c>
      <c r="B165" t="inlineStr">
        <is>
          <t>https://www.naehrwertrechner.de/naehrwerte/R211211/Ingwerknolle/?menge=100</t>
        </is>
      </c>
      <c r="C165" s="7">
        <f>_xlfn.XLOOKUP(A165,[1]ingredient!$B$2:$B$521,[1]ingredient!$A$2:$A$521)</f>
        <v/>
      </c>
      <c r="D165" t="n">
        <v>50</v>
      </c>
      <c r="E165" t="n">
        <v>1</v>
      </c>
      <c r="F165" t="n">
        <v>1</v>
      </c>
      <c r="G165" t="n">
        <v>9</v>
      </c>
      <c r="H165" t="n">
        <v>1</v>
      </c>
      <c r="I165" t="n">
        <v>9</v>
      </c>
      <c r="J165" t="n">
        <v>0.02</v>
      </c>
      <c r="K165" t="n">
        <v>86</v>
      </c>
      <c r="L165" t="n">
        <v>1</v>
      </c>
      <c r="M165" t="n">
        <v>1</v>
      </c>
      <c r="N165" t="n">
        <v>0</v>
      </c>
      <c r="O165" t="n">
        <v>6</v>
      </c>
      <c r="P165" t="n">
        <v>20</v>
      </c>
      <c r="Q165" t="n">
        <v>40</v>
      </c>
      <c r="R165" t="n">
        <v>700</v>
      </c>
      <c r="S165" t="n">
        <v>817</v>
      </c>
      <c r="T165" t="n">
        <v>203</v>
      </c>
      <c r="U165" t="n">
        <v>160</v>
      </c>
      <c r="V165" t="n">
        <v>0</v>
      </c>
      <c r="W165" t="n">
        <v>12</v>
      </c>
      <c r="X165" t="n">
        <v>0</v>
      </c>
      <c r="Y165" t="n">
        <v>5000</v>
      </c>
      <c r="Z165" t="n">
        <v>0</v>
      </c>
      <c r="AA165" t="n">
        <v>0</v>
      </c>
      <c r="AB165" t="n">
        <v>0</v>
      </c>
      <c r="AC165" t="n">
        <v>13</v>
      </c>
      <c r="AD165" t="n">
        <v>415</v>
      </c>
      <c r="AE165" t="n">
        <v>18</v>
      </c>
      <c r="AF165" t="n">
        <v>43</v>
      </c>
      <c r="AG165" t="n">
        <v>27</v>
      </c>
      <c r="AH165" t="n">
        <v>30</v>
      </c>
      <c r="AI165" t="n">
        <v>8</v>
      </c>
      <c r="AJ165" t="n">
        <v>500</v>
      </c>
      <c r="AK165" t="n">
        <v>1200</v>
      </c>
      <c r="AL165" t="n">
        <v>150</v>
      </c>
      <c r="AM165" t="n">
        <v>2000</v>
      </c>
      <c r="AN165" t="n">
        <v>80</v>
      </c>
      <c r="AO165" t="n">
        <v>5</v>
      </c>
      <c r="AP165" t="n">
        <v>0</v>
      </c>
      <c r="AQ165" t="n">
        <v>0</v>
      </c>
      <c r="AR165" t="n">
        <v>0</v>
      </c>
      <c r="AS165" t="n">
        <v>0</v>
      </c>
      <c r="AT165" t="n">
        <v>3600</v>
      </c>
      <c r="AU165" t="n">
        <v>3600</v>
      </c>
      <c r="AV165" t="n">
        <v>0</v>
      </c>
      <c r="AW165" t="n">
        <v>7200</v>
      </c>
      <c r="AX165" t="n">
        <v>1710</v>
      </c>
      <c r="AY165" t="n">
        <v>0</v>
      </c>
      <c r="AZ165" t="n">
        <v>0</v>
      </c>
      <c r="BA165" t="n">
        <v>1710</v>
      </c>
      <c r="BB165" t="n">
        <v>0</v>
      </c>
      <c r="BC165" t="n">
        <v>0</v>
      </c>
      <c r="BD165" t="n">
        <v>0</v>
      </c>
      <c r="BE165" t="n">
        <v>90</v>
      </c>
      <c r="BF165" t="n">
        <v>90</v>
      </c>
      <c r="BG165">
        <f>IF($F165=0,"0",MIN(
BH165/(30*$F165),
BI165/(61*$F165),
BJ165/(48*$F165),
(BK165+BL165)/(23*$F165),
(BM165+BN165)/(41*$F165),
BO165/(25*$F165),
BP165/(6.6*$F165),
BQ165/(40*$F165),
BS165/(16*$F165)
)*100)</f>
        <v/>
      </c>
      <c r="BH165" t="n">
        <v>35</v>
      </c>
      <c r="BI165" t="n">
        <v>50</v>
      </c>
      <c r="BJ165" t="n">
        <v>38</v>
      </c>
      <c r="BK165" t="n">
        <v>8</v>
      </c>
      <c r="BL165" t="n">
        <v>5</v>
      </c>
      <c r="BM165" t="n">
        <v>30</v>
      </c>
      <c r="BN165" t="n">
        <v>13</v>
      </c>
      <c r="BO165" t="n">
        <v>24</v>
      </c>
      <c r="BP165" t="n">
        <v>7</v>
      </c>
      <c r="BQ165" t="n">
        <v>49</v>
      </c>
      <c r="BR165" t="n">
        <v>29</v>
      </c>
      <c r="BS165" t="n">
        <v>20</v>
      </c>
      <c r="BT165" t="n">
        <v>308</v>
      </c>
      <c r="BU165" t="n">
        <v>20</v>
      </c>
      <c r="BV165" t="n">
        <v>143</v>
      </c>
      <c r="BW165" t="n">
        <v>112</v>
      </c>
      <c r="BX165" t="n">
        <v>29</v>
      </c>
      <c r="BY165" t="n">
        <v>28</v>
      </c>
      <c r="BZ165" t="n">
        <v>30</v>
      </c>
      <c r="CA165" t="n">
        <v>362</v>
      </c>
      <c r="CB165" t="n">
        <v>14</v>
      </c>
      <c r="CC165" t="n">
        <v>6</v>
      </c>
      <c r="CD165" t="n">
        <v>46</v>
      </c>
      <c r="CE165" t="n">
        <v>164</v>
      </c>
      <c r="CF165" t="n">
        <v>3.57</v>
      </c>
      <c r="CG165" t="n">
        <v>0</v>
      </c>
      <c r="CH165" t="n">
        <v>0</v>
      </c>
      <c r="CI165" t="n">
        <v>9</v>
      </c>
      <c r="CJ165" t="n">
        <v>19</v>
      </c>
      <c r="CK165" t="n">
        <v>51</v>
      </c>
      <c r="CL165" t="n">
        <v>25</v>
      </c>
      <c r="CM165" t="n">
        <v>0</v>
      </c>
      <c r="CN165" t="n">
        <v>164</v>
      </c>
      <c r="CO165" t="n">
        <v>0</v>
      </c>
      <c r="CP165" t="n">
        <v>22</v>
      </c>
      <c r="CQ165" t="n">
        <v>0</v>
      </c>
      <c r="CR165" t="n">
        <v>0</v>
      </c>
      <c r="CS165" t="n">
        <v>0</v>
      </c>
      <c r="CT165" t="n">
        <v>290</v>
      </c>
      <c r="CU165" t="n">
        <v>0</v>
      </c>
      <c r="CV165" t="n">
        <v>0</v>
      </c>
      <c r="CW165" t="n">
        <v>29</v>
      </c>
      <c r="CX165" t="n">
        <v>0</v>
      </c>
      <c r="CY165" t="n">
        <v>162</v>
      </c>
      <c r="CZ165" t="n">
        <v>9</v>
      </c>
      <c r="DA165" t="n">
        <v>0</v>
      </c>
      <c r="DB165" t="n">
        <v>0</v>
      </c>
      <c r="DC165" t="n">
        <v>200</v>
      </c>
      <c r="DD165" t="n">
        <v>0</v>
      </c>
      <c r="DE165" t="n">
        <v>0</v>
      </c>
      <c r="DF165" t="n">
        <v>164</v>
      </c>
      <c r="DG165" t="n">
        <v>46</v>
      </c>
      <c r="DH165" t="n">
        <v>0</v>
      </c>
      <c r="DI165" t="n">
        <v>0</v>
      </c>
      <c r="DJ165" t="n">
        <v>0</v>
      </c>
      <c r="DK165" t="n">
        <v>0</v>
      </c>
      <c r="DL165" t="n">
        <v>0</v>
      </c>
      <c r="DM165" t="n">
        <v>0</v>
      </c>
      <c r="DN165" t="n">
        <v>0</v>
      </c>
      <c r="DO165" t="n">
        <v>0</v>
      </c>
      <c r="DP165" t="n">
        <v>0</v>
      </c>
      <c r="DQ165" t="n">
        <v>0</v>
      </c>
      <c r="DR165" t="n">
        <v>0</v>
      </c>
      <c r="DS165" t="n">
        <v>210</v>
      </c>
      <c r="DT165" t="n">
        <v>672</v>
      </c>
      <c r="DU165" t="n">
        <v>300</v>
      </c>
      <c r="DV165" t="n">
        <v>0</v>
      </c>
      <c r="DW165" t="n">
        <v>0</v>
      </c>
      <c r="DX165" t="n">
        <v>28</v>
      </c>
      <c r="DY165" t="n">
        <v>165</v>
      </c>
      <c r="DZ165" t="n">
        <v>165</v>
      </c>
      <c r="EA165" t="n">
        <v>297</v>
      </c>
      <c r="EB165" t="n">
        <v>440</v>
      </c>
      <c r="EC165" t="n">
        <v>33</v>
      </c>
      <c r="ED165" t="n">
        <v>275</v>
      </c>
      <c r="EE165" t="n">
        <v>825</v>
      </c>
      <c r="EF165" t="n">
        <v>0</v>
      </c>
      <c r="EG165" t="n">
        <v>0.05</v>
      </c>
      <c r="EH165" t="n">
        <v>1.7</v>
      </c>
      <c r="EI165" t="n">
        <v>0.8</v>
      </c>
      <c r="EJ165" t="n">
        <v>1</v>
      </c>
      <c r="EK165" t="n">
        <v>0.7</v>
      </c>
    </row>
    <row r="166">
      <c r="A166">
        <f>[1]ingredient!B165</f>
        <v/>
      </c>
      <c r="B166" t="inlineStr">
        <is>
          <t>https://www.naehrwertrechner.de/naehrwerte/R211111/Ingwerpulver/?menge=100</t>
        </is>
      </c>
      <c r="C166" s="7">
        <f>_xlfn.XLOOKUP(A166,[1]ingredient!$B$2:$B$521,[1]ingredient!$A$2:$A$521)</f>
        <v/>
      </c>
      <c r="D166" t="n">
        <v>304</v>
      </c>
      <c r="E166" t="n">
        <v>3</v>
      </c>
      <c r="F166" t="n">
        <v>7</v>
      </c>
      <c r="G166" t="n">
        <v>60</v>
      </c>
      <c r="H166" t="n">
        <v>6</v>
      </c>
      <c r="I166" t="n">
        <v>59</v>
      </c>
      <c r="J166" t="n">
        <v>0.07000000000000001</v>
      </c>
      <c r="K166" t="n">
        <v>18</v>
      </c>
      <c r="L166" t="n">
        <v>37</v>
      </c>
      <c r="M166" t="n">
        <v>18</v>
      </c>
      <c r="N166" t="n">
        <v>0</v>
      </c>
      <c r="O166" t="n">
        <v>220</v>
      </c>
      <c r="P166" t="n">
        <v>50</v>
      </c>
      <c r="Q166" t="n">
        <v>190</v>
      </c>
      <c r="R166" t="n">
        <v>5100</v>
      </c>
      <c r="S166" t="n">
        <v>5833</v>
      </c>
      <c r="T166" t="n">
        <v>1270</v>
      </c>
      <c r="U166" t="n">
        <v>1010</v>
      </c>
      <c r="V166" t="n">
        <v>0</v>
      </c>
      <c r="W166" t="n">
        <v>0</v>
      </c>
      <c r="X166" t="n">
        <v>0</v>
      </c>
      <c r="Y166" t="n">
        <v>0</v>
      </c>
      <c r="Z166" t="n">
        <v>0</v>
      </c>
      <c r="AA166" t="n">
        <v>0</v>
      </c>
      <c r="AB166" t="n">
        <v>0</v>
      </c>
      <c r="AC166" t="n">
        <v>34</v>
      </c>
      <c r="AD166" t="n">
        <v>910</v>
      </c>
      <c r="AE166" t="n">
        <v>97</v>
      </c>
      <c r="AF166" t="n">
        <v>130</v>
      </c>
      <c r="AG166" t="n">
        <v>140</v>
      </c>
      <c r="AH166" t="n">
        <v>150</v>
      </c>
      <c r="AI166" t="n">
        <v>40</v>
      </c>
      <c r="AJ166" t="n">
        <v>11520</v>
      </c>
      <c r="AK166" t="n">
        <v>4720</v>
      </c>
      <c r="AL166" t="n">
        <v>450</v>
      </c>
      <c r="AM166" t="n">
        <v>10000</v>
      </c>
      <c r="AN166" t="n">
        <v>400</v>
      </c>
      <c r="AO166" t="n">
        <v>5</v>
      </c>
      <c r="AP166" t="n">
        <v>0</v>
      </c>
      <c r="AQ166" t="n">
        <v>0</v>
      </c>
      <c r="AR166" t="n">
        <v>0</v>
      </c>
      <c r="AS166" t="n">
        <v>0</v>
      </c>
      <c r="AT166" t="n">
        <v>24000</v>
      </c>
      <c r="AU166" t="n">
        <v>24000</v>
      </c>
      <c r="AV166" t="n">
        <v>0</v>
      </c>
      <c r="AW166" t="n">
        <v>48000</v>
      </c>
      <c r="AX166" t="n">
        <v>11400</v>
      </c>
      <c r="AY166" t="n">
        <v>0</v>
      </c>
      <c r="AZ166" t="n">
        <v>0</v>
      </c>
      <c r="BA166" t="n">
        <v>11400</v>
      </c>
      <c r="BB166" t="n">
        <v>0</v>
      </c>
      <c r="BC166" t="n">
        <v>0</v>
      </c>
      <c r="BD166" t="n">
        <v>0</v>
      </c>
      <c r="BE166" t="n">
        <v>600</v>
      </c>
      <c r="BF166" t="n">
        <v>600</v>
      </c>
      <c r="BG166">
        <f>IF($F166=0,"0",MIN(
BH166/(30*$F166),
BI166/(61*$F166),
BJ166/(48*$F166),
(BK166+BL166)/(23*$F166),
(BM166+BN166)/(41*$F166),
BO166/(25*$F166),
BP166/(6.6*$F166),
BQ166/(40*$F166),
BS166/(16*$F166)
)*100)</f>
        <v/>
      </c>
      <c r="BH166" t="n">
        <v>215</v>
      </c>
      <c r="BI166" t="n">
        <v>311</v>
      </c>
      <c r="BJ166" t="n">
        <v>237</v>
      </c>
      <c r="BK166" t="n">
        <v>52</v>
      </c>
      <c r="BL166" t="n">
        <v>30</v>
      </c>
      <c r="BM166" t="n">
        <v>185</v>
      </c>
      <c r="BN166" t="n">
        <v>81</v>
      </c>
      <c r="BO166" t="n">
        <v>148</v>
      </c>
      <c r="BP166" t="n">
        <v>44</v>
      </c>
      <c r="BQ166" t="n">
        <v>303</v>
      </c>
      <c r="BR166" t="n">
        <v>178</v>
      </c>
      <c r="BS166" t="n">
        <v>126</v>
      </c>
      <c r="BT166" t="n">
        <v>1910</v>
      </c>
      <c r="BU166" t="n">
        <v>126</v>
      </c>
      <c r="BV166" t="n">
        <v>880</v>
      </c>
      <c r="BW166" t="n">
        <v>688</v>
      </c>
      <c r="BX166" t="n">
        <v>178</v>
      </c>
      <c r="BY166" t="n">
        <v>170</v>
      </c>
      <c r="BZ166" t="n">
        <v>185</v>
      </c>
      <c r="CA166" t="n">
        <v>2227</v>
      </c>
      <c r="CB166" t="n">
        <v>101</v>
      </c>
      <c r="CC166" t="n">
        <v>42</v>
      </c>
      <c r="CD166" t="n">
        <v>152</v>
      </c>
      <c r="CE166" t="n">
        <v>541</v>
      </c>
      <c r="CF166" t="n">
        <v>3.56</v>
      </c>
      <c r="CG166" t="n">
        <v>0</v>
      </c>
      <c r="CH166" t="n">
        <v>0</v>
      </c>
      <c r="CI166" t="n">
        <v>30</v>
      </c>
      <c r="CJ166" t="n">
        <v>62</v>
      </c>
      <c r="CK166" t="n">
        <v>169</v>
      </c>
      <c r="CL166" t="n">
        <v>81</v>
      </c>
      <c r="CM166" t="n">
        <v>0</v>
      </c>
      <c r="CN166" t="n">
        <v>540</v>
      </c>
      <c r="CO166" t="n">
        <v>0</v>
      </c>
      <c r="CP166" t="n">
        <v>74</v>
      </c>
      <c r="CQ166" t="n">
        <v>0</v>
      </c>
      <c r="CR166" t="n">
        <v>0</v>
      </c>
      <c r="CS166" t="n">
        <v>0</v>
      </c>
      <c r="CT166" t="n">
        <v>956</v>
      </c>
      <c r="CU166" t="n">
        <v>0</v>
      </c>
      <c r="CV166" t="n">
        <v>0</v>
      </c>
      <c r="CW166" t="n">
        <v>95</v>
      </c>
      <c r="CX166" t="n">
        <v>0</v>
      </c>
      <c r="CY166" t="n">
        <v>536</v>
      </c>
      <c r="CZ166" t="n">
        <v>30</v>
      </c>
      <c r="DA166" t="n">
        <v>0</v>
      </c>
      <c r="DB166" t="n">
        <v>0</v>
      </c>
      <c r="DC166" t="n">
        <v>661</v>
      </c>
      <c r="DD166" t="n">
        <v>0</v>
      </c>
      <c r="DE166" t="n">
        <v>0</v>
      </c>
      <c r="DF166" t="n">
        <v>541</v>
      </c>
      <c r="DG166" t="n">
        <v>152</v>
      </c>
      <c r="DH166" t="n">
        <v>0</v>
      </c>
      <c r="DI166" t="n">
        <v>0</v>
      </c>
      <c r="DJ166" t="n">
        <v>0</v>
      </c>
      <c r="DK166" t="n">
        <v>0</v>
      </c>
      <c r="DL166" t="n">
        <v>0</v>
      </c>
      <c r="DM166" t="n">
        <v>0</v>
      </c>
      <c r="DN166" t="n">
        <v>0</v>
      </c>
      <c r="DO166" t="n">
        <v>0</v>
      </c>
      <c r="DP166" t="n">
        <v>0</v>
      </c>
      <c r="DQ166" t="n">
        <v>0</v>
      </c>
      <c r="DR166" t="n">
        <v>0</v>
      </c>
      <c r="DS166" t="n">
        <v>693</v>
      </c>
      <c r="DT166" t="n">
        <v>2218</v>
      </c>
      <c r="DU166" t="n">
        <v>990</v>
      </c>
      <c r="DV166" t="n">
        <v>0</v>
      </c>
      <c r="DW166" t="n">
        <v>0</v>
      </c>
      <c r="DX166" t="n">
        <v>92</v>
      </c>
      <c r="DY166" t="n">
        <v>887</v>
      </c>
      <c r="DZ166" t="n">
        <v>887</v>
      </c>
      <c r="EA166" t="n">
        <v>1596</v>
      </c>
      <c r="EB166" t="n">
        <v>2363</v>
      </c>
      <c r="EC166" t="n">
        <v>177</v>
      </c>
      <c r="ED166" t="n">
        <v>1478</v>
      </c>
      <c r="EE166" t="n">
        <v>4433</v>
      </c>
      <c r="EF166" t="n">
        <v>0</v>
      </c>
      <c r="EG166" t="n">
        <v>0.3</v>
      </c>
      <c r="EH166" t="n">
        <v>4.8</v>
      </c>
      <c r="EI166" t="n">
        <v>4.4</v>
      </c>
      <c r="EJ166" t="n">
        <v>3.3</v>
      </c>
      <c r="EK166" t="n">
        <v>4.5</v>
      </c>
    </row>
    <row r="167">
      <c r="A167">
        <f>[1]ingredient!B166</f>
        <v/>
      </c>
      <c r="B167" t="inlineStr">
        <is>
          <t>https://www.naehrwertrechner.de/naehrwerte/G088011/Kr%C3%A4utermischung/?menge=100</t>
        </is>
      </c>
      <c r="C167" s="7">
        <f>_xlfn.XLOOKUP(A167,[1]ingredient!$B$2:$B$521,[1]ingredient!$A$2:$A$521)</f>
        <v/>
      </c>
      <c r="D167" t="n">
        <v>45</v>
      </c>
      <c r="E167" t="n">
        <v>1</v>
      </c>
      <c r="F167" t="n">
        <v>4</v>
      </c>
      <c r="G167" t="n">
        <v>6</v>
      </c>
      <c r="H167" t="n">
        <v>5</v>
      </c>
      <c r="I167" t="n">
        <v>5</v>
      </c>
      <c r="J167" t="n">
        <v>0.12</v>
      </c>
      <c r="K167" t="n">
        <v>82</v>
      </c>
      <c r="L167" t="n">
        <v>656</v>
      </c>
      <c r="M167" t="n">
        <v>328</v>
      </c>
      <c r="N167" t="n">
        <v>0</v>
      </c>
      <c r="O167" t="n">
        <v>3938</v>
      </c>
      <c r="P167" t="n">
        <v>157</v>
      </c>
      <c r="Q167" t="n">
        <v>293</v>
      </c>
      <c r="R167" t="n">
        <v>1450</v>
      </c>
      <c r="S167" t="n">
        <v>2267</v>
      </c>
      <c r="T167" t="n">
        <v>260</v>
      </c>
      <c r="U167" t="n">
        <v>307</v>
      </c>
      <c r="V167" t="n">
        <v>1</v>
      </c>
      <c r="W167" t="n">
        <v>82</v>
      </c>
      <c r="X167" t="n">
        <v>0</v>
      </c>
      <c r="Y167" t="n">
        <v>94333</v>
      </c>
      <c r="Z167" t="n">
        <v>0</v>
      </c>
      <c r="AA167" t="n">
        <v>2334</v>
      </c>
      <c r="AB167" t="n">
        <v>553</v>
      </c>
      <c r="AC167" t="n">
        <v>21</v>
      </c>
      <c r="AD167" t="n">
        <v>694</v>
      </c>
      <c r="AE167" t="n">
        <v>201</v>
      </c>
      <c r="AF167" t="n">
        <v>38</v>
      </c>
      <c r="AG167" t="n">
        <v>96</v>
      </c>
      <c r="AH167" t="n">
        <v>107</v>
      </c>
      <c r="AI167" t="n">
        <v>101</v>
      </c>
      <c r="AJ167" t="n">
        <v>4300</v>
      </c>
      <c r="AK167" t="n">
        <v>1053</v>
      </c>
      <c r="AL167" t="n">
        <v>277</v>
      </c>
      <c r="AM167" t="n">
        <v>1900</v>
      </c>
      <c r="AN167" t="n">
        <v>77</v>
      </c>
      <c r="AO167" t="n">
        <v>8</v>
      </c>
      <c r="AP167" t="n">
        <v>0</v>
      </c>
      <c r="AQ167" t="n">
        <v>0</v>
      </c>
      <c r="AR167" t="n">
        <v>0</v>
      </c>
      <c r="AS167" t="n">
        <v>0</v>
      </c>
      <c r="AT167" t="n">
        <v>2264</v>
      </c>
      <c r="AU167" t="n">
        <v>1895</v>
      </c>
      <c r="AV167" t="n">
        <v>0</v>
      </c>
      <c r="AW167" t="n">
        <v>4159</v>
      </c>
      <c r="AX167" t="n">
        <v>608</v>
      </c>
      <c r="AY167" t="n">
        <v>0</v>
      </c>
      <c r="AZ167" t="n">
        <v>0</v>
      </c>
      <c r="BA167" t="n">
        <v>608</v>
      </c>
      <c r="BB167" t="n">
        <v>0</v>
      </c>
      <c r="BC167" t="n">
        <v>0</v>
      </c>
      <c r="BD167" t="n">
        <v>0</v>
      </c>
      <c r="BE167" t="n">
        <v>893</v>
      </c>
      <c r="BF167" t="n">
        <v>893</v>
      </c>
      <c r="BG167">
        <f>IF($F167=0,"0",MIN(
BH167/(30*$F167),
BI167/(61*$F167),
BJ167/(48*$F167),
(BK167+BL167)/(23*$F167),
(BM167+BN167)/(41*$F167),
BO167/(25*$F167),
BP167/(6.6*$F167),
BQ167/(40*$F167),
BS167/(16*$F167)
)*100)</f>
        <v/>
      </c>
      <c r="BH167" t="n">
        <v>167</v>
      </c>
      <c r="BI167" t="n">
        <v>243</v>
      </c>
      <c r="BJ167" t="n">
        <v>212</v>
      </c>
      <c r="BK167" t="n">
        <v>36</v>
      </c>
      <c r="BL167" t="n">
        <v>28</v>
      </c>
      <c r="BM167" t="n">
        <v>155</v>
      </c>
      <c r="BN167" t="n">
        <v>99</v>
      </c>
      <c r="BO167" t="n">
        <v>151</v>
      </c>
      <c r="BP167" t="n">
        <v>49</v>
      </c>
      <c r="BQ167" t="n">
        <v>201</v>
      </c>
      <c r="BR167" t="n">
        <v>194</v>
      </c>
      <c r="BS167" t="n">
        <v>71</v>
      </c>
      <c r="BT167" t="n">
        <v>1606</v>
      </c>
      <c r="BU167" t="n">
        <v>215</v>
      </c>
      <c r="BV167" t="n">
        <v>390</v>
      </c>
      <c r="BW167" t="n">
        <v>558</v>
      </c>
      <c r="BX167" t="n">
        <v>161</v>
      </c>
      <c r="BY167" t="n">
        <v>269</v>
      </c>
      <c r="BZ167" t="n">
        <v>153</v>
      </c>
      <c r="CA167" t="n">
        <v>1746</v>
      </c>
      <c r="CB167" t="n">
        <v>28</v>
      </c>
      <c r="CC167" t="n">
        <v>12</v>
      </c>
      <c r="CD167" t="n">
        <v>198</v>
      </c>
      <c r="CE167" t="n">
        <v>155</v>
      </c>
      <c r="CF167" t="n">
        <v>0.78</v>
      </c>
      <c r="CG167" t="n">
        <v>0</v>
      </c>
      <c r="CH167" t="n">
        <v>0</v>
      </c>
      <c r="CI167" t="n">
        <v>0</v>
      </c>
      <c r="CJ167" t="n">
        <v>0</v>
      </c>
      <c r="CK167" t="n">
        <v>0</v>
      </c>
      <c r="CL167" t="n">
        <v>2</v>
      </c>
      <c r="CM167" t="n">
        <v>0</v>
      </c>
      <c r="CN167" t="n">
        <v>83</v>
      </c>
      <c r="CO167" t="n">
        <v>0</v>
      </c>
      <c r="CP167" t="n">
        <v>10</v>
      </c>
      <c r="CQ167" t="n">
        <v>0</v>
      </c>
      <c r="CR167" t="n">
        <v>0</v>
      </c>
      <c r="CS167" t="n">
        <v>0</v>
      </c>
      <c r="CT167" t="n">
        <v>95</v>
      </c>
      <c r="CU167" t="n">
        <v>0</v>
      </c>
      <c r="CV167" t="n">
        <v>0</v>
      </c>
      <c r="CW167" t="n">
        <v>9</v>
      </c>
      <c r="CX167" t="n">
        <v>0</v>
      </c>
      <c r="CY167" t="n">
        <v>23</v>
      </c>
      <c r="CZ167" t="n">
        <v>0</v>
      </c>
      <c r="DA167" t="n">
        <v>0</v>
      </c>
      <c r="DB167" t="n">
        <v>0</v>
      </c>
      <c r="DC167" t="n">
        <v>32</v>
      </c>
      <c r="DD167" t="n">
        <v>0</v>
      </c>
      <c r="DE167" t="n">
        <v>0</v>
      </c>
      <c r="DF167" t="n">
        <v>155</v>
      </c>
      <c r="DG167" t="n">
        <v>198</v>
      </c>
      <c r="DH167" t="n">
        <v>0</v>
      </c>
      <c r="DI167" t="n">
        <v>0</v>
      </c>
      <c r="DJ167" t="n">
        <v>0</v>
      </c>
      <c r="DK167" t="n">
        <v>0</v>
      </c>
      <c r="DL167" t="n">
        <v>0</v>
      </c>
      <c r="DM167" t="n">
        <v>0</v>
      </c>
      <c r="DN167" t="n">
        <v>0</v>
      </c>
      <c r="DO167" t="n">
        <v>0</v>
      </c>
      <c r="DP167" t="n">
        <v>0</v>
      </c>
      <c r="DQ167" t="n">
        <v>0</v>
      </c>
      <c r="DR167" t="n">
        <v>0</v>
      </c>
      <c r="DS167" t="n">
        <v>353</v>
      </c>
      <c r="DT167" t="n">
        <v>480</v>
      </c>
      <c r="DU167" t="n">
        <v>120</v>
      </c>
      <c r="DV167" t="n">
        <v>0</v>
      </c>
      <c r="DW167" t="n">
        <v>0</v>
      </c>
      <c r="DX167" t="n">
        <v>0</v>
      </c>
      <c r="DY167" t="n">
        <v>848</v>
      </c>
      <c r="DZ167" t="n">
        <v>1037</v>
      </c>
      <c r="EA167" t="n">
        <v>1116</v>
      </c>
      <c r="EB167" t="n">
        <v>1871</v>
      </c>
      <c r="EC167" t="n">
        <v>311</v>
      </c>
      <c r="ED167" t="n">
        <v>1484</v>
      </c>
      <c r="EE167" t="n">
        <v>3699</v>
      </c>
      <c r="EF167" t="n">
        <v>0</v>
      </c>
      <c r="EG167" t="n">
        <v>0.29</v>
      </c>
      <c r="EH167" t="n">
        <v>2</v>
      </c>
      <c r="EI167" t="n">
        <v>3.7</v>
      </c>
      <c r="EJ167" t="n">
        <v>0.6</v>
      </c>
      <c r="EK167" t="n">
        <v>3.4</v>
      </c>
    </row>
    <row r="168">
      <c r="A168">
        <f>[1]ingredient!B167</f>
        <v/>
      </c>
      <c r="B168" t="inlineStr">
        <is>
          <t>https://www.naehrwertrechner.de/naehrwerte/G553111-1/Chilischote+gr%C3%BCn+frisch/?menge=100</t>
        </is>
      </c>
      <c r="C168" s="7">
        <f>_xlfn.XLOOKUP(A168,[1]ingredient!$B$2:$B$521,[1]ingredient!$A$2:$A$521)</f>
        <v/>
      </c>
      <c r="D168" t="n">
        <v>38</v>
      </c>
      <c r="E168" t="n">
        <v>0.2</v>
      </c>
      <c r="F168" t="n">
        <v>1</v>
      </c>
      <c r="G168" t="n">
        <v>7</v>
      </c>
      <c r="H168" t="n">
        <v>4</v>
      </c>
      <c r="I168" t="n">
        <v>7</v>
      </c>
      <c r="J168" t="n">
        <v>0.03</v>
      </c>
      <c r="K168" t="n">
        <v>87</v>
      </c>
      <c r="L168" t="n">
        <v>77</v>
      </c>
      <c r="M168" t="n">
        <v>39</v>
      </c>
      <c r="N168" t="n">
        <v>0</v>
      </c>
      <c r="O168" t="n">
        <v>462</v>
      </c>
      <c r="P168" t="n">
        <v>70</v>
      </c>
      <c r="Q168" t="n">
        <v>80</v>
      </c>
      <c r="R168" t="n">
        <v>1100</v>
      </c>
      <c r="S168" t="n">
        <v>1317</v>
      </c>
      <c r="T168" t="n">
        <v>60</v>
      </c>
      <c r="U168" t="n">
        <v>360</v>
      </c>
      <c r="V168" t="n">
        <v>3</v>
      </c>
      <c r="W168" t="n">
        <v>52</v>
      </c>
      <c r="X168" t="n">
        <v>0</v>
      </c>
      <c r="Y168" t="n">
        <v>235000</v>
      </c>
      <c r="Z168" t="n">
        <v>0</v>
      </c>
      <c r="AA168" t="n">
        <v>600</v>
      </c>
      <c r="AB168" t="n">
        <v>5</v>
      </c>
      <c r="AC168" t="n">
        <v>7</v>
      </c>
      <c r="AD168" t="n">
        <v>280</v>
      </c>
      <c r="AE168" t="n">
        <v>10</v>
      </c>
      <c r="AF168" t="n">
        <v>24</v>
      </c>
      <c r="AG168" t="n">
        <v>80</v>
      </c>
      <c r="AH168" t="n">
        <v>34</v>
      </c>
      <c r="AI168" t="n">
        <v>20</v>
      </c>
      <c r="AJ168" t="n">
        <v>700</v>
      </c>
      <c r="AK168" t="n">
        <v>150</v>
      </c>
      <c r="AL168" t="n">
        <v>140</v>
      </c>
      <c r="AM168" t="n">
        <v>240</v>
      </c>
      <c r="AN168" t="n">
        <v>20</v>
      </c>
      <c r="AO168" t="n">
        <v>2</v>
      </c>
      <c r="AP168" t="n">
        <v>0</v>
      </c>
      <c r="AQ168" t="n">
        <v>0</v>
      </c>
      <c r="AR168" t="n">
        <v>0</v>
      </c>
      <c r="AS168" t="n">
        <v>0</v>
      </c>
      <c r="AT168" t="n">
        <v>3650</v>
      </c>
      <c r="AU168" t="n">
        <v>2993</v>
      </c>
      <c r="AV168" t="n">
        <v>0</v>
      </c>
      <c r="AW168" t="n">
        <v>6643</v>
      </c>
      <c r="AX168" t="n">
        <v>292</v>
      </c>
      <c r="AY168" t="n">
        <v>0</v>
      </c>
      <c r="AZ168" t="n">
        <v>0</v>
      </c>
      <c r="BA168" t="n">
        <v>292</v>
      </c>
      <c r="BB168" t="n">
        <v>0</v>
      </c>
      <c r="BC168" t="n">
        <v>0</v>
      </c>
      <c r="BD168" t="n">
        <v>0</v>
      </c>
      <c r="BE168" t="n">
        <v>365</v>
      </c>
      <c r="BF168" t="n">
        <v>365</v>
      </c>
      <c r="BG168">
        <f>IF($F168=0,"0",MIN(
BH168/(30*$F168),
BI168/(61*$F168),
BJ168/(48*$F168),
(BK168+BL168)/(23*$F168),
(BM168+BN168)/(41*$F168),
BO168/(25*$F168),
BP168/(6.6*$F168),
BQ168/(40*$F168),
BS168/(16*$F168)
)*100)</f>
        <v/>
      </c>
      <c r="BH168" t="n">
        <v>43</v>
      </c>
      <c r="BI168" t="n">
        <v>60</v>
      </c>
      <c r="BJ168" t="n">
        <v>56</v>
      </c>
      <c r="BK168" t="n">
        <v>12</v>
      </c>
      <c r="BL168" t="n">
        <v>23</v>
      </c>
      <c r="BM168" t="n">
        <v>49</v>
      </c>
      <c r="BN168" t="n">
        <v>26</v>
      </c>
      <c r="BO168" t="n">
        <v>46</v>
      </c>
      <c r="BP168" t="n">
        <v>13</v>
      </c>
      <c r="BQ168" t="n">
        <v>47</v>
      </c>
      <c r="BR168" t="n">
        <v>49</v>
      </c>
      <c r="BS168" t="n">
        <v>20</v>
      </c>
      <c r="BT168" t="n">
        <v>444</v>
      </c>
      <c r="BU168" t="n">
        <v>52</v>
      </c>
      <c r="BV168" t="n">
        <v>185</v>
      </c>
      <c r="BW168" t="n">
        <v>177</v>
      </c>
      <c r="BX168" t="n">
        <v>47</v>
      </c>
      <c r="BY168" t="n">
        <v>52</v>
      </c>
      <c r="BZ168" t="n">
        <v>59</v>
      </c>
      <c r="CA168" t="n">
        <v>572</v>
      </c>
      <c r="CB168" t="n">
        <v>10</v>
      </c>
      <c r="CC168" t="n">
        <v>4</v>
      </c>
      <c r="CD168" t="n">
        <v>11</v>
      </c>
      <c r="CE168" t="n">
        <v>104</v>
      </c>
      <c r="CF168" t="n">
        <v>9.449999999999999</v>
      </c>
      <c r="CG168" t="n">
        <v>0</v>
      </c>
      <c r="CH168" t="n">
        <v>0</v>
      </c>
      <c r="CI168" t="n">
        <v>0</v>
      </c>
      <c r="CJ168" t="n">
        <v>0</v>
      </c>
      <c r="CK168" t="n">
        <v>0</v>
      </c>
      <c r="CL168" t="n">
        <v>1</v>
      </c>
      <c r="CM168" t="n">
        <v>0</v>
      </c>
      <c r="CN168" t="n">
        <v>24</v>
      </c>
      <c r="CO168" t="n">
        <v>0</v>
      </c>
      <c r="CP168" t="n">
        <v>8</v>
      </c>
      <c r="CQ168" t="n">
        <v>0</v>
      </c>
      <c r="CR168" t="n">
        <v>0</v>
      </c>
      <c r="CS168" t="n">
        <v>0</v>
      </c>
      <c r="CT168" t="n">
        <v>33</v>
      </c>
      <c r="CU168" t="n">
        <v>0</v>
      </c>
      <c r="CV168" t="n">
        <v>0</v>
      </c>
      <c r="CW168" t="n">
        <v>1</v>
      </c>
      <c r="CX168" t="n">
        <v>0</v>
      </c>
      <c r="CY168" t="n">
        <v>13</v>
      </c>
      <c r="CZ168" t="n">
        <v>0</v>
      </c>
      <c r="DA168" t="n">
        <v>0</v>
      </c>
      <c r="DB168" t="n">
        <v>0</v>
      </c>
      <c r="DC168" t="n">
        <v>14</v>
      </c>
      <c r="DD168" t="n">
        <v>0</v>
      </c>
      <c r="DE168" t="n">
        <v>0</v>
      </c>
      <c r="DF168" t="n">
        <v>104</v>
      </c>
      <c r="DG168" t="n">
        <v>11</v>
      </c>
      <c r="DH168" t="n">
        <v>0</v>
      </c>
      <c r="DI168" t="n">
        <v>0</v>
      </c>
      <c r="DJ168" t="n">
        <v>0</v>
      </c>
      <c r="DK168" t="n">
        <v>0</v>
      </c>
      <c r="DL168" t="n">
        <v>0</v>
      </c>
      <c r="DM168" t="n">
        <v>0</v>
      </c>
      <c r="DN168" t="n">
        <v>0</v>
      </c>
      <c r="DO168" t="n">
        <v>0</v>
      </c>
      <c r="DP168" t="n">
        <v>0</v>
      </c>
      <c r="DQ168" t="n">
        <v>0</v>
      </c>
      <c r="DR168" t="n">
        <v>0</v>
      </c>
      <c r="DS168" t="n">
        <v>115</v>
      </c>
      <c r="DT168" t="n">
        <v>162</v>
      </c>
      <c r="DU168" t="n">
        <v>40</v>
      </c>
      <c r="DV168" t="n">
        <v>0</v>
      </c>
      <c r="DW168" t="n">
        <v>0</v>
      </c>
      <c r="DX168" t="n">
        <v>0</v>
      </c>
      <c r="DY168" t="n">
        <v>251</v>
      </c>
      <c r="DZ168" t="n">
        <v>431</v>
      </c>
      <c r="EA168" t="n">
        <v>1257</v>
      </c>
      <c r="EB168" t="n">
        <v>1149</v>
      </c>
      <c r="EC168" t="n">
        <v>503</v>
      </c>
      <c r="ED168" t="n">
        <v>539</v>
      </c>
      <c r="EE168" t="n">
        <v>3052</v>
      </c>
      <c r="EF168" t="n">
        <v>0</v>
      </c>
      <c r="EG168" t="n">
        <v>0.3</v>
      </c>
      <c r="EH168" t="n">
        <v>0.6</v>
      </c>
      <c r="EI168" t="n">
        <v>3.1</v>
      </c>
      <c r="EJ168" t="n">
        <v>0.2</v>
      </c>
      <c r="EK168" t="n">
        <v>1</v>
      </c>
    </row>
    <row r="169">
      <c r="A169">
        <f>[1]ingredient!B168</f>
        <v/>
      </c>
      <c r="B169" t="inlineStr">
        <is>
          <t>https://www.naehrwertrechner.de/naehrwerte/F321111/Johannisbeere+rot+frisch/?menge=100</t>
        </is>
      </c>
      <c r="C169" s="7">
        <f>_xlfn.XLOOKUP(A169,[1]ingredient!$B$2:$B$521,[1]ingredient!$A$2:$A$521)</f>
        <v/>
      </c>
      <c r="D169" t="n">
        <v>43</v>
      </c>
      <c r="E169" t="n">
        <v>0.2</v>
      </c>
      <c r="F169" t="n">
        <v>1</v>
      </c>
      <c r="G169" t="n">
        <v>7</v>
      </c>
      <c r="H169" t="n">
        <v>7</v>
      </c>
      <c r="I169" t="n">
        <v>7</v>
      </c>
      <c r="J169" t="n">
        <v>0.02</v>
      </c>
      <c r="K169" t="n">
        <v>81</v>
      </c>
      <c r="L169" t="n">
        <v>7</v>
      </c>
      <c r="M169" t="n">
        <v>3</v>
      </c>
      <c r="N169" t="n">
        <v>0</v>
      </c>
      <c r="O169" t="n">
        <v>40</v>
      </c>
      <c r="P169" t="n">
        <v>40</v>
      </c>
      <c r="Q169" t="n">
        <v>30</v>
      </c>
      <c r="R169" t="n">
        <v>200</v>
      </c>
      <c r="S169" t="n">
        <v>383</v>
      </c>
      <c r="T169" t="n">
        <v>60</v>
      </c>
      <c r="U169" t="n">
        <v>45</v>
      </c>
      <c r="V169" t="n">
        <v>3</v>
      </c>
      <c r="W169" t="n">
        <v>6</v>
      </c>
      <c r="X169" t="n">
        <v>0</v>
      </c>
      <c r="Y169" t="n">
        <v>36000</v>
      </c>
      <c r="Z169" t="n">
        <v>0</v>
      </c>
      <c r="AA169" t="n">
        <v>714</v>
      </c>
      <c r="AB169" t="n">
        <v>10</v>
      </c>
      <c r="AC169" t="n">
        <v>2</v>
      </c>
      <c r="AD169" t="n">
        <v>240</v>
      </c>
      <c r="AE169" t="n">
        <v>30</v>
      </c>
      <c r="AF169" t="n">
        <v>13</v>
      </c>
      <c r="AG169" t="n">
        <v>30</v>
      </c>
      <c r="AH169" t="n">
        <v>29</v>
      </c>
      <c r="AI169" t="n">
        <v>14</v>
      </c>
      <c r="AJ169" t="n">
        <v>900</v>
      </c>
      <c r="AK169" t="n">
        <v>240</v>
      </c>
      <c r="AL169" t="n">
        <v>100</v>
      </c>
      <c r="AM169" t="n">
        <v>240</v>
      </c>
      <c r="AN169" t="n">
        <v>23</v>
      </c>
      <c r="AO169" t="n">
        <v>1</v>
      </c>
      <c r="AP169" t="n">
        <v>0</v>
      </c>
      <c r="AQ169" t="n">
        <v>0</v>
      </c>
      <c r="AR169" t="n">
        <v>0</v>
      </c>
      <c r="AS169" t="n">
        <v>0</v>
      </c>
      <c r="AT169" t="n">
        <v>3066</v>
      </c>
      <c r="AU169" t="n">
        <v>3803</v>
      </c>
      <c r="AV169" t="n">
        <v>0</v>
      </c>
      <c r="AW169" t="n">
        <v>6869</v>
      </c>
      <c r="AX169" t="n">
        <v>431</v>
      </c>
      <c r="AY169" t="n">
        <v>0</v>
      </c>
      <c r="AZ169" t="n">
        <v>0</v>
      </c>
      <c r="BA169" t="n">
        <v>431</v>
      </c>
      <c r="BB169" t="n">
        <v>0</v>
      </c>
      <c r="BC169" t="n">
        <v>0</v>
      </c>
      <c r="BD169" t="n">
        <v>0</v>
      </c>
      <c r="BE169" t="n">
        <v>0</v>
      </c>
      <c r="BF169" t="n">
        <v>0</v>
      </c>
      <c r="BG169">
        <f>IF($F169=0,"0",MIN(
BH169/(30*$F169),
BI169/(61*$F169),
BJ169/(48*$F169),
(BK169+BL169)/(23*$F169),
(BM169+BN169)/(41*$F169),
BO169/(25*$F169),
BP169/(6.6*$F169),
BQ169/(40*$F169),
BS169/(16*$F169)
)*100)</f>
        <v/>
      </c>
      <c r="BH169" t="n">
        <v>22</v>
      </c>
      <c r="BI169" t="n">
        <v>50</v>
      </c>
      <c r="BJ169" t="n">
        <v>28</v>
      </c>
      <c r="BK169" t="n">
        <v>17</v>
      </c>
      <c r="BL169" t="n">
        <v>11</v>
      </c>
      <c r="BM169" t="n">
        <v>33</v>
      </c>
      <c r="BN169" t="n">
        <v>22</v>
      </c>
      <c r="BO169" t="n">
        <v>33</v>
      </c>
      <c r="BP169" t="n">
        <v>11</v>
      </c>
      <c r="BQ169" t="n">
        <v>39</v>
      </c>
      <c r="BR169" t="n">
        <v>61</v>
      </c>
      <c r="BS169" t="n">
        <v>28</v>
      </c>
      <c r="BT169" t="n">
        <v>355</v>
      </c>
      <c r="BU169" t="n">
        <v>50</v>
      </c>
      <c r="BV169" t="n">
        <v>160</v>
      </c>
      <c r="BW169" t="n">
        <v>171</v>
      </c>
      <c r="BX169" t="n">
        <v>44</v>
      </c>
      <c r="BY169" t="n">
        <v>39</v>
      </c>
      <c r="BZ169" t="n">
        <v>44</v>
      </c>
      <c r="CA169" t="n">
        <v>508</v>
      </c>
      <c r="CB169" t="n">
        <v>15</v>
      </c>
      <c r="CC169" t="n">
        <v>6</v>
      </c>
      <c r="CD169" t="n">
        <v>38</v>
      </c>
      <c r="CE169" t="n">
        <v>62</v>
      </c>
      <c r="CF169" t="n">
        <v>1.63</v>
      </c>
      <c r="CG169" t="n">
        <v>0</v>
      </c>
      <c r="CH169" t="n">
        <v>0</v>
      </c>
      <c r="CI169" t="n">
        <v>0</v>
      </c>
      <c r="CJ169" t="n">
        <v>0</v>
      </c>
      <c r="CK169" t="n">
        <v>0</v>
      </c>
      <c r="CL169" t="n">
        <v>0</v>
      </c>
      <c r="CM169" t="n">
        <v>0</v>
      </c>
      <c r="CN169" t="n">
        <v>22</v>
      </c>
      <c r="CO169" t="n">
        <v>0</v>
      </c>
      <c r="CP169" t="n">
        <v>4</v>
      </c>
      <c r="CQ169" t="n">
        <v>0</v>
      </c>
      <c r="CR169" t="n">
        <v>0</v>
      </c>
      <c r="CS169" t="n">
        <v>0</v>
      </c>
      <c r="CT169" t="n">
        <v>26</v>
      </c>
      <c r="CU169" t="n">
        <v>0</v>
      </c>
      <c r="CV169" t="n">
        <v>0</v>
      </c>
      <c r="CW169" t="n">
        <v>2</v>
      </c>
      <c r="CX169" t="n">
        <v>0</v>
      </c>
      <c r="CY169" t="n">
        <v>32</v>
      </c>
      <c r="CZ169" t="n">
        <v>0</v>
      </c>
      <c r="DA169" t="n">
        <v>0</v>
      </c>
      <c r="DB169" t="n">
        <v>0</v>
      </c>
      <c r="DC169" t="n">
        <v>34</v>
      </c>
      <c r="DD169" t="n">
        <v>0</v>
      </c>
      <c r="DE169" t="n">
        <v>0</v>
      </c>
      <c r="DF169" t="n">
        <v>62</v>
      </c>
      <c r="DG169" t="n">
        <v>38</v>
      </c>
      <c r="DH169" t="n">
        <v>0</v>
      </c>
      <c r="DI169" t="n">
        <v>0</v>
      </c>
      <c r="DJ169" t="n">
        <v>0</v>
      </c>
      <c r="DK169" t="n">
        <v>0</v>
      </c>
      <c r="DL169" t="n">
        <v>0</v>
      </c>
      <c r="DM169" t="n">
        <v>0</v>
      </c>
      <c r="DN169" t="n">
        <v>0</v>
      </c>
      <c r="DO169" t="n">
        <v>0</v>
      </c>
      <c r="DP169" t="n">
        <v>0</v>
      </c>
      <c r="DQ169" t="n">
        <v>0</v>
      </c>
      <c r="DR169" t="n">
        <v>0</v>
      </c>
      <c r="DS169" t="n">
        <v>100</v>
      </c>
      <c r="DT169" t="n">
        <v>160</v>
      </c>
      <c r="DU169" t="n">
        <v>40</v>
      </c>
      <c r="DV169" t="n">
        <v>0</v>
      </c>
      <c r="DW169" t="n">
        <v>0</v>
      </c>
      <c r="DX169" t="n">
        <v>0</v>
      </c>
      <c r="DY169" t="n">
        <v>740</v>
      </c>
      <c r="DZ169" t="n">
        <v>1310</v>
      </c>
      <c r="EA169" t="n">
        <v>1969</v>
      </c>
      <c r="EB169" t="n">
        <v>1857</v>
      </c>
      <c r="EC169" t="n">
        <v>1524</v>
      </c>
      <c r="ED169" t="n">
        <v>1058</v>
      </c>
      <c r="EE169" t="n">
        <v>6342</v>
      </c>
      <c r="EF169" t="n">
        <v>0</v>
      </c>
      <c r="EG169" t="n">
        <v>2</v>
      </c>
      <c r="EH169" t="n">
        <v>0.6</v>
      </c>
      <c r="EI169" t="n">
        <v>6.3</v>
      </c>
      <c r="EJ169" t="n">
        <v>0.2</v>
      </c>
      <c r="EK169" t="n">
        <v>0.9</v>
      </c>
    </row>
    <row r="170">
      <c r="A170">
        <f>[1]ingredient!B169</f>
        <v/>
      </c>
      <c r="B170" t="inlineStr">
        <is>
          <t>https://www.naehrwertrechner.de/naehrwerte/F321211/Johannisbeere+rot+tiefgefroren/?menge=100</t>
        </is>
      </c>
      <c r="C170" s="7">
        <f>_xlfn.XLOOKUP(A170,[1]ingredient!$B$2:$B$521,[1]ingredient!$A$2:$A$521)</f>
        <v/>
      </c>
      <c r="D170" t="n">
        <v>45</v>
      </c>
      <c r="E170" t="n">
        <v>0.21</v>
      </c>
      <c r="F170" t="n">
        <v>1</v>
      </c>
      <c r="G170" t="n">
        <v>8</v>
      </c>
      <c r="H170" t="n">
        <v>8</v>
      </c>
      <c r="I170" t="n">
        <v>8</v>
      </c>
      <c r="J170" t="n">
        <v>0.02</v>
      </c>
      <c r="K170" t="n">
        <v>80</v>
      </c>
      <c r="L170" t="n">
        <v>7</v>
      </c>
      <c r="M170" t="n">
        <v>3</v>
      </c>
      <c r="N170" t="n">
        <v>0</v>
      </c>
      <c r="O170" t="n">
        <v>38</v>
      </c>
      <c r="P170" t="n">
        <v>38</v>
      </c>
      <c r="Q170" t="n">
        <v>28</v>
      </c>
      <c r="R170" t="n">
        <v>188</v>
      </c>
      <c r="S170" t="n">
        <v>371</v>
      </c>
      <c r="T170" t="n">
        <v>56</v>
      </c>
      <c r="U170" t="n">
        <v>42</v>
      </c>
      <c r="V170" t="n">
        <v>2</v>
      </c>
      <c r="W170" t="n">
        <v>6</v>
      </c>
      <c r="X170" t="n">
        <v>0</v>
      </c>
      <c r="Y170" t="n">
        <v>30016</v>
      </c>
      <c r="Z170" t="n">
        <v>0</v>
      </c>
      <c r="AA170" t="n">
        <v>670</v>
      </c>
      <c r="AB170" t="n">
        <v>9</v>
      </c>
      <c r="AC170" t="n">
        <v>2</v>
      </c>
      <c r="AD170" t="n">
        <v>250</v>
      </c>
      <c r="AE170" t="n">
        <v>31</v>
      </c>
      <c r="AF170" t="n">
        <v>14</v>
      </c>
      <c r="AG170" t="n">
        <v>31</v>
      </c>
      <c r="AH170" t="n">
        <v>30</v>
      </c>
      <c r="AI170" t="n">
        <v>15</v>
      </c>
      <c r="AJ170" t="n">
        <v>938</v>
      </c>
      <c r="AK170" t="n">
        <v>250</v>
      </c>
      <c r="AL170" t="n">
        <v>104</v>
      </c>
      <c r="AM170" t="n">
        <v>250</v>
      </c>
      <c r="AN170" t="n">
        <v>24</v>
      </c>
      <c r="AO170" t="n">
        <v>1</v>
      </c>
      <c r="AP170" t="n">
        <v>0</v>
      </c>
      <c r="AQ170" t="n">
        <v>0</v>
      </c>
      <c r="AR170" t="n">
        <v>0</v>
      </c>
      <c r="AS170" t="n">
        <v>0</v>
      </c>
      <c r="AT170" t="n">
        <v>3195</v>
      </c>
      <c r="AU170" t="n">
        <v>3964</v>
      </c>
      <c r="AV170" t="n">
        <v>0</v>
      </c>
      <c r="AW170" t="n">
        <v>7159</v>
      </c>
      <c r="AX170" t="n">
        <v>449</v>
      </c>
      <c r="AY170" t="n">
        <v>0</v>
      </c>
      <c r="AZ170" t="n">
        <v>0</v>
      </c>
      <c r="BA170" t="n">
        <v>449</v>
      </c>
      <c r="BB170" t="n">
        <v>0</v>
      </c>
      <c r="BC170" t="n">
        <v>0</v>
      </c>
      <c r="BD170" t="n">
        <v>0</v>
      </c>
      <c r="BE170" t="n">
        <v>0</v>
      </c>
      <c r="BF170" t="n">
        <v>0</v>
      </c>
      <c r="BG170">
        <f>IF($F170=0,"0",MIN(
BH170/(30*$F170),
BI170/(61*$F170),
BJ170/(48*$F170),
(BK170+BL170)/(23*$F170),
(BM170+BN170)/(41*$F170),
BO170/(25*$F170),
BP170/(6.6*$F170),
BQ170/(40*$F170),
BS170/(16*$F170)
)*100)</f>
        <v/>
      </c>
      <c r="BH170" t="n">
        <v>23</v>
      </c>
      <c r="BI170" t="n">
        <v>52</v>
      </c>
      <c r="BJ170" t="n">
        <v>29</v>
      </c>
      <c r="BK170" t="n">
        <v>18</v>
      </c>
      <c r="BL170" t="n">
        <v>11</v>
      </c>
      <c r="BM170" t="n">
        <v>34</v>
      </c>
      <c r="BN170" t="n">
        <v>23</v>
      </c>
      <c r="BO170" t="n">
        <v>34</v>
      </c>
      <c r="BP170" t="n">
        <v>11</v>
      </c>
      <c r="BQ170" t="n">
        <v>41</v>
      </c>
      <c r="BR170" t="n">
        <v>64</v>
      </c>
      <c r="BS170" t="n">
        <v>29</v>
      </c>
      <c r="BT170" t="n">
        <v>369</v>
      </c>
      <c r="BU170" t="n">
        <v>52</v>
      </c>
      <c r="BV170" t="n">
        <v>167</v>
      </c>
      <c r="BW170" t="n">
        <v>178</v>
      </c>
      <c r="BX170" t="n">
        <v>46</v>
      </c>
      <c r="BY170" t="n">
        <v>41</v>
      </c>
      <c r="BZ170" t="n">
        <v>46</v>
      </c>
      <c r="CA170" t="n">
        <v>530</v>
      </c>
      <c r="CB170" t="n">
        <v>16</v>
      </c>
      <c r="CC170" t="n">
        <v>7</v>
      </c>
      <c r="CD170" t="n">
        <v>40</v>
      </c>
      <c r="CE170" t="n">
        <v>64</v>
      </c>
      <c r="CF170" t="n">
        <v>1.6</v>
      </c>
      <c r="CG170" t="n">
        <v>0</v>
      </c>
      <c r="CH170" t="n">
        <v>0</v>
      </c>
      <c r="CI170" t="n">
        <v>0</v>
      </c>
      <c r="CJ170" t="n">
        <v>0</v>
      </c>
      <c r="CK170" t="n">
        <v>0</v>
      </c>
      <c r="CL170" t="n">
        <v>0</v>
      </c>
      <c r="CM170" t="n">
        <v>0</v>
      </c>
      <c r="CN170" t="n">
        <v>23</v>
      </c>
      <c r="CO170" t="n">
        <v>0</v>
      </c>
      <c r="CP170" t="n">
        <v>4</v>
      </c>
      <c r="CQ170" t="n">
        <v>0</v>
      </c>
      <c r="CR170" t="n">
        <v>0</v>
      </c>
      <c r="CS170" t="n">
        <v>0</v>
      </c>
      <c r="CT170" t="n">
        <v>27</v>
      </c>
      <c r="CU170" t="n">
        <v>0</v>
      </c>
      <c r="CV170" t="n">
        <v>0</v>
      </c>
      <c r="CW170" t="n">
        <v>2</v>
      </c>
      <c r="CX170" t="n">
        <v>0</v>
      </c>
      <c r="CY170" t="n">
        <v>33</v>
      </c>
      <c r="CZ170" t="n">
        <v>0</v>
      </c>
      <c r="DA170" t="n">
        <v>0</v>
      </c>
      <c r="DB170" t="n">
        <v>0</v>
      </c>
      <c r="DC170" t="n">
        <v>35</v>
      </c>
      <c r="DD170" t="n">
        <v>0</v>
      </c>
      <c r="DE170" t="n">
        <v>0</v>
      </c>
      <c r="DF170" t="n">
        <v>64</v>
      </c>
      <c r="DG170" t="n">
        <v>40</v>
      </c>
      <c r="DH170" t="n">
        <v>0</v>
      </c>
      <c r="DI170" t="n">
        <v>0</v>
      </c>
      <c r="DJ170" t="n">
        <v>0</v>
      </c>
      <c r="DK170" t="n">
        <v>0</v>
      </c>
      <c r="DL170" t="n">
        <v>0</v>
      </c>
      <c r="DM170" t="n">
        <v>0</v>
      </c>
      <c r="DN170" t="n">
        <v>0</v>
      </c>
      <c r="DO170" t="n">
        <v>0</v>
      </c>
      <c r="DP170" t="n">
        <v>0</v>
      </c>
      <c r="DQ170" t="n">
        <v>0</v>
      </c>
      <c r="DR170" t="n">
        <v>0</v>
      </c>
      <c r="DS170" t="n">
        <v>104</v>
      </c>
      <c r="DT170" t="n">
        <v>166</v>
      </c>
      <c r="DU170" t="n">
        <v>42</v>
      </c>
      <c r="DV170" t="n">
        <v>0</v>
      </c>
      <c r="DW170" t="n">
        <v>0</v>
      </c>
      <c r="DX170" t="n">
        <v>0</v>
      </c>
      <c r="DY170" t="n">
        <v>771</v>
      </c>
      <c r="DZ170" t="n">
        <v>1365</v>
      </c>
      <c r="EA170" t="n">
        <v>2053</v>
      </c>
      <c r="EB170" t="n">
        <v>1935</v>
      </c>
      <c r="EC170" t="n">
        <v>1588</v>
      </c>
      <c r="ED170" t="n">
        <v>1103</v>
      </c>
      <c r="EE170" t="n">
        <v>6610</v>
      </c>
      <c r="EF170" t="n">
        <v>0</v>
      </c>
      <c r="EG170" t="n">
        <v>2</v>
      </c>
      <c r="EH170" t="n">
        <v>0.6</v>
      </c>
      <c r="EI170" t="n">
        <v>6.6</v>
      </c>
      <c r="EJ170" t="n">
        <v>0.2</v>
      </c>
      <c r="EK170" t="n">
        <v>1</v>
      </c>
    </row>
    <row r="171">
      <c r="A171">
        <f>[1]ingredient!B170</f>
        <v/>
      </c>
      <c r="B171" t="inlineStr">
        <is>
          <t>https://www.naehrwertrechner.de/naehrwerte/F323111/Johannisbeere+schwarz+frisch/?menge=100</t>
        </is>
      </c>
      <c r="C171" s="7">
        <f>_xlfn.XLOOKUP(A171,[1]ingredient!$B$2:$B$521,[1]ingredient!$A$2:$A$521)</f>
        <v/>
      </c>
      <c r="D171" t="n">
        <v>57</v>
      </c>
      <c r="E171" t="n">
        <v>0.2</v>
      </c>
      <c r="F171" t="n">
        <v>1</v>
      </c>
      <c r="G171" t="n">
        <v>10</v>
      </c>
      <c r="H171" t="n">
        <v>7</v>
      </c>
      <c r="I171" t="n">
        <v>10</v>
      </c>
      <c r="J171" t="n">
        <v>0.02</v>
      </c>
      <c r="K171" t="n">
        <v>78</v>
      </c>
      <c r="L171" t="n">
        <v>23</v>
      </c>
      <c r="M171" t="n">
        <v>7</v>
      </c>
      <c r="N171" t="n">
        <v>0</v>
      </c>
      <c r="O171" t="n">
        <v>81</v>
      </c>
      <c r="P171" t="n">
        <v>50</v>
      </c>
      <c r="Q171" t="n">
        <v>45</v>
      </c>
      <c r="R171" t="n">
        <v>300</v>
      </c>
      <c r="S171" t="n">
        <v>517</v>
      </c>
      <c r="T171" t="n">
        <v>400</v>
      </c>
      <c r="U171" t="n">
        <v>80</v>
      </c>
      <c r="V171" t="n">
        <v>2</v>
      </c>
      <c r="W171" t="n">
        <v>8</v>
      </c>
      <c r="X171" t="n">
        <v>0</v>
      </c>
      <c r="Y171" t="n">
        <v>189000</v>
      </c>
      <c r="Z171" t="n">
        <v>0</v>
      </c>
      <c r="AA171" t="n">
        <v>1903</v>
      </c>
      <c r="AB171" t="n">
        <v>10</v>
      </c>
      <c r="AC171" t="n">
        <v>2</v>
      </c>
      <c r="AD171" t="n">
        <v>341</v>
      </c>
      <c r="AE171" t="n">
        <v>53</v>
      </c>
      <c r="AF171" t="n">
        <v>17</v>
      </c>
      <c r="AG171" t="n">
        <v>40</v>
      </c>
      <c r="AH171" t="n">
        <v>33</v>
      </c>
      <c r="AI171" t="n">
        <v>15</v>
      </c>
      <c r="AJ171" t="n">
        <v>1200</v>
      </c>
      <c r="AK171" t="n">
        <v>293</v>
      </c>
      <c r="AL171" t="n">
        <v>141</v>
      </c>
      <c r="AM171" t="n">
        <v>336</v>
      </c>
      <c r="AN171" t="n">
        <v>29</v>
      </c>
      <c r="AO171" t="n">
        <v>1</v>
      </c>
      <c r="AP171" t="n">
        <v>0</v>
      </c>
      <c r="AQ171" t="n">
        <v>0</v>
      </c>
      <c r="AR171" t="n">
        <v>0</v>
      </c>
      <c r="AS171" t="n">
        <v>0</v>
      </c>
      <c r="AT171" t="n">
        <v>3955</v>
      </c>
      <c r="AU171" t="n">
        <v>5181</v>
      </c>
      <c r="AV171" t="n">
        <v>0</v>
      </c>
      <c r="AW171" t="n">
        <v>9136</v>
      </c>
      <c r="AX171" t="n">
        <v>1164</v>
      </c>
      <c r="AY171" t="n">
        <v>0</v>
      </c>
      <c r="AZ171" t="n">
        <v>0</v>
      </c>
      <c r="BA171" t="n">
        <v>1164</v>
      </c>
      <c r="BB171" t="n">
        <v>0</v>
      </c>
      <c r="BC171" t="n">
        <v>0</v>
      </c>
      <c r="BD171" t="n">
        <v>0</v>
      </c>
      <c r="BE171" t="n">
        <v>0</v>
      </c>
      <c r="BF171" t="n">
        <v>0</v>
      </c>
      <c r="BG171">
        <f>IF($F171=0,"0",MIN(
BH171/(30*$F171),
BI171/(61*$F171),
BJ171/(48*$F171),
(BK171+BL171)/(23*$F171),
(BM171+BN171)/(41*$F171),
BO171/(25*$F171),
BP171/(6.6*$F171),
BQ171/(40*$F171),
BS171/(16*$F171)
)*100)</f>
        <v/>
      </c>
      <c r="BH171" t="n">
        <v>26</v>
      </c>
      <c r="BI171" t="n">
        <v>59</v>
      </c>
      <c r="BJ171" t="n">
        <v>33</v>
      </c>
      <c r="BK171" t="n">
        <v>20</v>
      </c>
      <c r="BL171" t="n">
        <v>13</v>
      </c>
      <c r="BM171" t="n">
        <v>39</v>
      </c>
      <c r="BN171" t="n">
        <v>26</v>
      </c>
      <c r="BO171" t="n">
        <v>39</v>
      </c>
      <c r="BP171" t="n">
        <v>13</v>
      </c>
      <c r="BQ171" t="n">
        <v>46</v>
      </c>
      <c r="BR171" t="n">
        <v>72</v>
      </c>
      <c r="BS171" t="n">
        <v>33</v>
      </c>
      <c r="BT171" t="n">
        <v>419</v>
      </c>
      <c r="BU171" t="n">
        <v>59</v>
      </c>
      <c r="BV171" t="n">
        <v>189</v>
      </c>
      <c r="BW171" t="n">
        <v>203</v>
      </c>
      <c r="BX171" t="n">
        <v>52</v>
      </c>
      <c r="BY171" t="n">
        <v>46</v>
      </c>
      <c r="BZ171" t="n">
        <v>52</v>
      </c>
      <c r="CA171" t="n">
        <v>601</v>
      </c>
      <c r="CB171" t="n">
        <v>15</v>
      </c>
      <c r="CC171" t="n">
        <v>6</v>
      </c>
      <c r="CD171" t="n">
        <v>38</v>
      </c>
      <c r="CE171" t="n">
        <v>62</v>
      </c>
      <c r="CF171" t="n">
        <v>1.63</v>
      </c>
      <c r="CG171" t="n">
        <v>0</v>
      </c>
      <c r="CH171" t="n">
        <v>0</v>
      </c>
      <c r="CI171" t="n">
        <v>0</v>
      </c>
      <c r="CJ171" t="n">
        <v>0</v>
      </c>
      <c r="CK171" t="n">
        <v>0</v>
      </c>
      <c r="CL171" t="n">
        <v>0</v>
      </c>
      <c r="CM171" t="n">
        <v>0</v>
      </c>
      <c r="CN171" t="n">
        <v>22</v>
      </c>
      <c r="CO171" t="n">
        <v>0</v>
      </c>
      <c r="CP171" t="n">
        <v>4</v>
      </c>
      <c r="CQ171" t="n">
        <v>0</v>
      </c>
      <c r="CR171" t="n">
        <v>0</v>
      </c>
      <c r="CS171" t="n">
        <v>0</v>
      </c>
      <c r="CT171" t="n">
        <v>26</v>
      </c>
      <c r="CU171" t="n">
        <v>0</v>
      </c>
      <c r="CV171" t="n">
        <v>0</v>
      </c>
      <c r="CW171" t="n">
        <v>2</v>
      </c>
      <c r="CX171" t="n">
        <v>0</v>
      </c>
      <c r="CY171" t="n">
        <v>32</v>
      </c>
      <c r="CZ171" t="n">
        <v>0</v>
      </c>
      <c r="DA171" t="n">
        <v>0</v>
      </c>
      <c r="DB171" t="n">
        <v>0</v>
      </c>
      <c r="DC171" t="n">
        <v>34</v>
      </c>
      <c r="DD171" t="n">
        <v>0</v>
      </c>
      <c r="DE171" t="n">
        <v>0</v>
      </c>
      <c r="DF171" t="n">
        <v>62</v>
      </c>
      <c r="DG171" t="n">
        <v>38</v>
      </c>
      <c r="DH171" t="n">
        <v>0</v>
      </c>
      <c r="DI171" t="n">
        <v>0</v>
      </c>
      <c r="DJ171" t="n">
        <v>0</v>
      </c>
      <c r="DK171" t="n">
        <v>0</v>
      </c>
      <c r="DL171" t="n">
        <v>0</v>
      </c>
      <c r="DM171" t="n">
        <v>0</v>
      </c>
      <c r="DN171" t="n">
        <v>0</v>
      </c>
      <c r="DO171" t="n">
        <v>0</v>
      </c>
      <c r="DP171" t="n">
        <v>0</v>
      </c>
      <c r="DQ171" t="n">
        <v>0</v>
      </c>
      <c r="DR171" t="n">
        <v>0</v>
      </c>
      <c r="DS171" t="n">
        <v>100</v>
      </c>
      <c r="DT171" t="n">
        <v>160</v>
      </c>
      <c r="DU171" t="n">
        <v>40</v>
      </c>
      <c r="DV171" t="n">
        <v>0</v>
      </c>
      <c r="DW171" t="n">
        <v>0</v>
      </c>
      <c r="DX171" t="n">
        <v>0</v>
      </c>
      <c r="DY171" t="n">
        <v>442</v>
      </c>
      <c r="DZ171" t="n">
        <v>1265</v>
      </c>
      <c r="EA171" t="n">
        <v>1693</v>
      </c>
      <c r="EB171" t="n">
        <v>1952</v>
      </c>
      <c r="EC171" t="n">
        <v>1448</v>
      </c>
      <c r="ED171" t="n">
        <v>381</v>
      </c>
      <c r="EE171" t="n">
        <v>6419</v>
      </c>
      <c r="EF171" t="n">
        <v>0</v>
      </c>
      <c r="EG171" t="n">
        <v>3</v>
      </c>
      <c r="EH171" t="n">
        <v>0.8</v>
      </c>
      <c r="EI171" t="n">
        <v>6.4</v>
      </c>
      <c r="EJ171" t="n">
        <v>0.2</v>
      </c>
      <c r="EK171" t="n">
        <v>1.1</v>
      </c>
    </row>
    <row r="172">
      <c r="A172">
        <f>[1]ingredient!B171</f>
        <v/>
      </c>
      <c r="B172" t="inlineStr">
        <is>
          <t>https://www.naehrwertrechner.de/naehrwerte/F323211/Johannisbeere+schwarz+tiefgefroren/?menge=100</t>
        </is>
      </c>
      <c r="C172" s="7">
        <f>_xlfn.XLOOKUP(A172,[1]ingredient!$B$2:$B$521,[1]ingredient!$A$2:$A$521)</f>
        <v/>
      </c>
      <c r="D172" t="n">
        <v>59</v>
      </c>
      <c r="E172" t="n">
        <v>0.21</v>
      </c>
      <c r="F172" t="n">
        <v>1</v>
      </c>
      <c r="G172" t="n">
        <v>11</v>
      </c>
      <c r="H172" t="n">
        <v>7</v>
      </c>
      <c r="I172" t="n">
        <v>11</v>
      </c>
      <c r="J172" t="n">
        <v>0.02</v>
      </c>
      <c r="K172" t="n">
        <v>77</v>
      </c>
      <c r="L172" t="n">
        <v>22</v>
      </c>
      <c r="M172" t="n">
        <v>6</v>
      </c>
      <c r="N172" t="n">
        <v>0</v>
      </c>
      <c r="O172" t="n">
        <v>76</v>
      </c>
      <c r="P172" t="n">
        <v>47</v>
      </c>
      <c r="Q172" t="n">
        <v>42</v>
      </c>
      <c r="R172" t="n">
        <v>281</v>
      </c>
      <c r="S172" t="n">
        <v>514</v>
      </c>
      <c r="T172" t="n">
        <v>375</v>
      </c>
      <c r="U172" t="n">
        <v>75</v>
      </c>
      <c r="V172" t="n">
        <v>2</v>
      </c>
      <c r="W172" t="n">
        <v>7</v>
      </c>
      <c r="X172" t="n">
        <v>0</v>
      </c>
      <c r="Y172" t="n">
        <v>157334</v>
      </c>
      <c r="Z172" t="n">
        <v>0</v>
      </c>
      <c r="AA172" t="n">
        <v>1782</v>
      </c>
      <c r="AB172" t="n">
        <v>9</v>
      </c>
      <c r="AC172" t="n">
        <v>2</v>
      </c>
      <c r="AD172" t="n">
        <v>355</v>
      </c>
      <c r="AE172" t="n">
        <v>55</v>
      </c>
      <c r="AF172" t="n">
        <v>18</v>
      </c>
      <c r="AG172" t="n">
        <v>42</v>
      </c>
      <c r="AH172" t="n">
        <v>34</v>
      </c>
      <c r="AI172" t="n">
        <v>16</v>
      </c>
      <c r="AJ172" t="n">
        <v>1249</v>
      </c>
      <c r="AK172" t="n">
        <v>305</v>
      </c>
      <c r="AL172" t="n">
        <v>147</v>
      </c>
      <c r="AM172" t="n">
        <v>350</v>
      </c>
      <c r="AN172" t="n">
        <v>30</v>
      </c>
      <c r="AO172" t="n">
        <v>1</v>
      </c>
      <c r="AP172" t="n">
        <v>0</v>
      </c>
      <c r="AQ172" t="n">
        <v>0</v>
      </c>
      <c r="AR172" t="n">
        <v>0</v>
      </c>
      <c r="AS172" t="n">
        <v>0</v>
      </c>
      <c r="AT172" t="n">
        <v>4115</v>
      </c>
      <c r="AU172" t="n">
        <v>5392</v>
      </c>
      <c r="AV172" t="n">
        <v>0</v>
      </c>
      <c r="AW172" t="n">
        <v>9507</v>
      </c>
      <c r="AX172" t="n">
        <v>1211</v>
      </c>
      <c r="AY172" t="n">
        <v>0</v>
      </c>
      <c r="AZ172" t="n">
        <v>0</v>
      </c>
      <c r="BA172" t="n">
        <v>1211</v>
      </c>
      <c r="BB172" t="n">
        <v>0</v>
      </c>
      <c r="BC172" t="n">
        <v>0</v>
      </c>
      <c r="BD172" t="n">
        <v>0</v>
      </c>
      <c r="BE172" t="n">
        <v>0</v>
      </c>
      <c r="BF172" t="n">
        <v>0</v>
      </c>
      <c r="BG172">
        <f>IF($F172=0,"0",MIN(
BH172/(30*$F172),
BI172/(61*$F172),
BJ172/(48*$F172),
(BK172+BL172)/(23*$F172),
(BM172+BN172)/(41*$F172),
BO172/(25*$F172),
BP172/(6.6*$F172),
BQ172/(40*$F172),
BS172/(16*$F172)
)*100)</f>
        <v/>
      </c>
      <c r="BH172" t="n">
        <v>27</v>
      </c>
      <c r="BI172" t="n">
        <v>61</v>
      </c>
      <c r="BJ172" t="n">
        <v>34</v>
      </c>
      <c r="BK172" t="n">
        <v>21</v>
      </c>
      <c r="BL172" t="n">
        <v>14</v>
      </c>
      <c r="BM172" t="n">
        <v>41</v>
      </c>
      <c r="BN172" t="n">
        <v>27</v>
      </c>
      <c r="BO172" t="n">
        <v>41</v>
      </c>
      <c r="BP172" t="n">
        <v>14</v>
      </c>
      <c r="BQ172" t="n">
        <v>48</v>
      </c>
      <c r="BR172" t="n">
        <v>75</v>
      </c>
      <c r="BS172" t="n">
        <v>34</v>
      </c>
      <c r="BT172" t="n">
        <v>437</v>
      </c>
      <c r="BU172" t="n">
        <v>61</v>
      </c>
      <c r="BV172" t="n">
        <v>197</v>
      </c>
      <c r="BW172" t="n">
        <v>211</v>
      </c>
      <c r="BX172" t="n">
        <v>54</v>
      </c>
      <c r="BY172" t="n">
        <v>48</v>
      </c>
      <c r="BZ172" t="n">
        <v>54</v>
      </c>
      <c r="CA172" t="n">
        <v>625</v>
      </c>
      <c r="CB172" t="n">
        <v>16</v>
      </c>
      <c r="CC172" t="n">
        <v>7</v>
      </c>
      <c r="CD172" t="n">
        <v>40</v>
      </c>
      <c r="CE172" t="n">
        <v>64</v>
      </c>
      <c r="CF172" t="n">
        <v>1.6</v>
      </c>
      <c r="CG172" t="n">
        <v>0</v>
      </c>
      <c r="CH172" t="n">
        <v>0</v>
      </c>
      <c r="CI172" t="n">
        <v>0</v>
      </c>
      <c r="CJ172" t="n">
        <v>0</v>
      </c>
      <c r="CK172" t="n">
        <v>0</v>
      </c>
      <c r="CL172" t="n">
        <v>0</v>
      </c>
      <c r="CM172" t="n">
        <v>0</v>
      </c>
      <c r="CN172" t="n">
        <v>23</v>
      </c>
      <c r="CO172" t="n">
        <v>0</v>
      </c>
      <c r="CP172" t="n">
        <v>4</v>
      </c>
      <c r="CQ172" t="n">
        <v>0</v>
      </c>
      <c r="CR172" t="n">
        <v>0</v>
      </c>
      <c r="CS172" t="n">
        <v>0</v>
      </c>
      <c r="CT172" t="n">
        <v>27</v>
      </c>
      <c r="CU172" t="n">
        <v>0</v>
      </c>
      <c r="CV172" t="n">
        <v>0</v>
      </c>
      <c r="CW172" t="n">
        <v>2</v>
      </c>
      <c r="CX172" t="n">
        <v>0</v>
      </c>
      <c r="CY172" t="n">
        <v>33</v>
      </c>
      <c r="CZ172" t="n">
        <v>0</v>
      </c>
      <c r="DA172" t="n">
        <v>0</v>
      </c>
      <c r="DB172" t="n">
        <v>0</v>
      </c>
      <c r="DC172" t="n">
        <v>35</v>
      </c>
      <c r="DD172" t="n">
        <v>0</v>
      </c>
      <c r="DE172" t="n">
        <v>0</v>
      </c>
      <c r="DF172" t="n">
        <v>64</v>
      </c>
      <c r="DG172" t="n">
        <v>40</v>
      </c>
      <c r="DH172" t="n">
        <v>0</v>
      </c>
      <c r="DI172" t="n">
        <v>0</v>
      </c>
      <c r="DJ172" t="n">
        <v>0</v>
      </c>
      <c r="DK172" t="n">
        <v>0</v>
      </c>
      <c r="DL172" t="n">
        <v>0</v>
      </c>
      <c r="DM172" t="n">
        <v>0</v>
      </c>
      <c r="DN172" t="n">
        <v>0</v>
      </c>
      <c r="DO172" t="n">
        <v>0</v>
      </c>
      <c r="DP172" t="n">
        <v>0</v>
      </c>
      <c r="DQ172" t="n">
        <v>0</v>
      </c>
      <c r="DR172" t="n">
        <v>0</v>
      </c>
      <c r="DS172" t="n">
        <v>104</v>
      </c>
      <c r="DT172" t="n">
        <v>166</v>
      </c>
      <c r="DU172" t="n">
        <v>42</v>
      </c>
      <c r="DV172" t="n">
        <v>0</v>
      </c>
      <c r="DW172" t="n">
        <v>0</v>
      </c>
      <c r="DX172" t="n">
        <v>0</v>
      </c>
      <c r="DY172" t="n">
        <v>460</v>
      </c>
      <c r="DZ172" t="n">
        <v>1316</v>
      </c>
      <c r="EA172" t="n">
        <v>1762</v>
      </c>
      <c r="EB172" t="n">
        <v>2031</v>
      </c>
      <c r="EC172" t="n">
        <v>1507</v>
      </c>
      <c r="ED172" t="n">
        <v>396</v>
      </c>
      <c r="EE172" t="n">
        <v>6679</v>
      </c>
      <c r="EF172" t="n">
        <v>0</v>
      </c>
      <c r="EG172" t="n">
        <v>3</v>
      </c>
      <c r="EH172" t="n">
        <v>0.8</v>
      </c>
      <c r="EI172" t="n">
        <v>6.7</v>
      </c>
      <c r="EJ172" t="n">
        <v>0.2</v>
      </c>
      <c r="EK172" t="n">
        <v>1.1</v>
      </c>
    </row>
    <row r="173">
      <c r="A173" s="12">
        <f>[1]ingredient!B172</f>
        <v/>
      </c>
      <c r="C173" s="7">
        <f>_xlfn.XLOOKUP(A173,[1]ingredient!$B$2:$B$521,[1]ingredient!$A$2:$A$521)</f>
        <v/>
      </c>
      <c r="D173">
        <f>AVERAGE(D171,D400)</f>
        <v/>
      </c>
      <c r="E173">
        <f>AVERAGE(E171,E400)</f>
        <v/>
      </c>
      <c r="F173">
        <f>AVERAGE(F171,F400)</f>
        <v/>
      </c>
      <c r="G173">
        <f>AVERAGE(G171,G400)</f>
        <v/>
      </c>
      <c r="H173">
        <f>AVERAGE(H171,H400)</f>
        <v/>
      </c>
      <c r="I173">
        <f>AVERAGE(I171,I400)</f>
        <v/>
      </c>
      <c r="J173">
        <f>AVERAGE(J171,J400)</f>
        <v/>
      </c>
      <c r="K173">
        <f>AVERAGE(K171,K400)</f>
        <v/>
      </c>
      <c r="L173">
        <f>AVERAGE(L171,L400)</f>
        <v/>
      </c>
      <c r="M173">
        <f>AVERAGE(M171,M400)</f>
        <v/>
      </c>
      <c r="N173">
        <f>AVERAGE(N171,N400)</f>
        <v/>
      </c>
      <c r="O173">
        <f>AVERAGE(O171,O400)</f>
        <v/>
      </c>
      <c r="P173">
        <f>AVERAGE(P171,P400)</f>
        <v/>
      </c>
      <c r="Q173">
        <f>AVERAGE(Q171,Q400)</f>
        <v/>
      </c>
      <c r="R173">
        <f>AVERAGE(R171,R400)</f>
        <v/>
      </c>
      <c r="S173">
        <f>AVERAGE(S171,S400)</f>
        <v/>
      </c>
      <c r="T173">
        <f>AVERAGE(T171,T400)</f>
        <v/>
      </c>
      <c r="U173">
        <f>AVERAGE(U171,U400)</f>
        <v/>
      </c>
      <c r="V173">
        <f>AVERAGE(V171,V400)</f>
        <v/>
      </c>
      <c r="W173">
        <f>AVERAGE(W171,W400)</f>
        <v/>
      </c>
      <c r="X173">
        <f>AVERAGE(X171,X400)</f>
        <v/>
      </c>
      <c r="Y173">
        <f>AVERAGE(Y171,Y400)</f>
        <v/>
      </c>
      <c r="Z173">
        <f>AVERAGE(Z171,Z400)</f>
        <v/>
      </c>
      <c r="AA173">
        <f>AVERAGE(AA171,AA400)</f>
        <v/>
      </c>
      <c r="AB173">
        <f>AVERAGE(AB171,AB400)</f>
        <v/>
      </c>
      <c r="AC173">
        <f>AVERAGE(AC171,AC400)</f>
        <v/>
      </c>
      <c r="AD173">
        <f>AVERAGE(AD171,AD400)</f>
        <v/>
      </c>
      <c r="AE173">
        <f>AVERAGE(AE171,AE400)</f>
        <v/>
      </c>
      <c r="AF173">
        <f>AVERAGE(AF171,AF400)</f>
        <v/>
      </c>
      <c r="AG173">
        <f>AVERAGE(AG171,AG400)</f>
        <v/>
      </c>
      <c r="AH173">
        <f>AVERAGE(AH171,AH400)</f>
        <v/>
      </c>
      <c r="AI173">
        <f>AVERAGE(AI171,AI400)</f>
        <v/>
      </c>
      <c r="AJ173">
        <f>AVERAGE(AJ171,AJ400)</f>
        <v/>
      </c>
      <c r="AK173">
        <f>AVERAGE(AK171,AK400)</f>
        <v/>
      </c>
      <c r="AL173">
        <f>AVERAGE(AL171,AL400)</f>
        <v/>
      </c>
      <c r="AM173">
        <f>AVERAGE(AM171,AM400)</f>
        <v/>
      </c>
      <c r="AN173">
        <f>AVERAGE(AN171,AN400)</f>
        <v/>
      </c>
      <c r="AO173">
        <f>AVERAGE(AO171,AO400)</f>
        <v/>
      </c>
      <c r="AP173">
        <f>AVERAGE(AP171,AP400)</f>
        <v/>
      </c>
      <c r="AQ173">
        <f>AVERAGE(AQ171,AQ400)</f>
        <v/>
      </c>
      <c r="AR173">
        <f>AVERAGE(AR171,AR400)</f>
        <v/>
      </c>
      <c r="AS173">
        <f>AVERAGE(AS171,AS400)</f>
        <v/>
      </c>
      <c r="AT173">
        <f>AVERAGE(AT171,AT400)</f>
        <v/>
      </c>
      <c r="AU173">
        <f>AVERAGE(AU171,AU400)</f>
        <v/>
      </c>
      <c r="AV173">
        <f>AVERAGE(AV171,AV400)</f>
        <v/>
      </c>
      <c r="AW173">
        <f>AVERAGE(AW171,AW400)</f>
        <v/>
      </c>
      <c r="AX173">
        <f>AVERAGE(AX171,AX400)</f>
        <v/>
      </c>
      <c r="AY173">
        <f>AVERAGE(AY171,AY400)</f>
        <v/>
      </c>
      <c r="AZ173">
        <f>AVERAGE(AZ171,AZ400)</f>
        <v/>
      </c>
      <c r="BA173">
        <f>AVERAGE(BA171,BA400)</f>
        <v/>
      </c>
      <c r="BB173">
        <f>AVERAGE(BB171,BB400)</f>
        <v/>
      </c>
      <c r="BC173">
        <f>AVERAGE(BC171,BC400)</f>
        <v/>
      </c>
      <c r="BD173">
        <f>AVERAGE(BD171,BD400)</f>
        <v/>
      </c>
      <c r="BE173">
        <f>AVERAGE(BE171,BE400)</f>
        <v/>
      </c>
      <c r="BF173">
        <f>AVERAGE(BF171,BF400)</f>
        <v/>
      </c>
      <c r="BG173">
        <f>IF($F173=0,"0",MIN(
BH173/(30*$F173),
BI173/(61*$F173),
BJ173/(48*$F173),
(BK173+BL173)/(23*$F173),
(BM173+BN173)/(41*$F173),
BO173/(25*$F173),
BP173/(6.6*$F173),
BQ173/(40*$F173),
BS173/(16*$F173)
)*100)</f>
        <v/>
      </c>
      <c r="BH173">
        <f>AVERAGE(BH171,BH400)</f>
        <v/>
      </c>
      <c r="BI173">
        <f>AVERAGE(BI171,BI400)</f>
        <v/>
      </c>
      <c r="BJ173">
        <f>AVERAGE(BJ171,BJ400)</f>
        <v/>
      </c>
      <c r="BK173">
        <f>AVERAGE(BK171,BK400)</f>
        <v/>
      </c>
      <c r="BL173">
        <f>AVERAGE(BL171,BL400)</f>
        <v/>
      </c>
      <c r="BM173">
        <f>AVERAGE(BM171,BM400)</f>
        <v/>
      </c>
      <c r="BN173">
        <f>AVERAGE(BN171,BN400)</f>
        <v/>
      </c>
      <c r="BO173">
        <f>AVERAGE(BO171,BO400)</f>
        <v/>
      </c>
      <c r="BP173">
        <f>AVERAGE(BP171,BP400)</f>
        <v/>
      </c>
      <c r="BQ173">
        <f>AVERAGE(BQ171,BQ400)</f>
        <v/>
      </c>
      <c r="BR173">
        <f>AVERAGE(BR171,BR400)</f>
        <v/>
      </c>
      <c r="BS173">
        <f>AVERAGE(BS171,BS400)</f>
        <v/>
      </c>
      <c r="BT173">
        <f>AVERAGE(BT171,BT400)</f>
        <v/>
      </c>
      <c r="BU173">
        <f>AVERAGE(BU171,BU400)</f>
        <v/>
      </c>
      <c r="BV173">
        <f>AVERAGE(BV171,BV400)</f>
        <v/>
      </c>
      <c r="BW173">
        <f>AVERAGE(BW171,BW400)</f>
        <v/>
      </c>
      <c r="BX173">
        <f>AVERAGE(BX171,BX400)</f>
        <v/>
      </c>
      <c r="BY173">
        <f>AVERAGE(BY171,BY400)</f>
        <v/>
      </c>
      <c r="BZ173">
        <f>AVERAGE(BZ171,BZ400)</f>
        <v/>
      </c>
      <c r="CA173">
        <f>AVERAGE(CA171,CA400)</f>
        <v/>
      </c>
      <c r="CB173">
        <f>AVERAGE(CB171,CB400)</f>
        <v/>
      </c>
      <c r="CC173">
        <f>AVERAGE(CC171,CC400)</f>
        <v/>
      </c>
      <c r="CD173">
        <f>AVERAGE(CD171,CD400)</f>
        <v/>
      </c>
      <c r="CE173">
        <f>AVERAGE(CE171,CE400)</f>
        <v/>
      </c>
      <c r="CF173">
        <f>AVERAGE(CF171,CF400)</f>
        <v/>
      </c>
      <c r="CG173">
        <f>AVERAGE(CG171,CG400)</f>
        <v/>
      </c>
      <c r="CH173">
        <f>AVERAGE(CH171,CH400)</f>
        <v/>
      </c>
      <c r="CI173">
        <f>AVERAGE(CI171,CI400)</f>
        <v/>
      </c>
      <c r="CJ173">
        <f>AVERAGE(CJ171,CJ400)</f>
        <v/>
      </c>
      <c r="CK173">
        <f>AVERAGE(CK171,CK400)</f>
        <v/>
      </c>
      <c r="CL173">
        <f>AVERAGE(CL171,CL400)</f>
        <v/>
      </c>
      <c r="CM173">
        <f>AVERAGE(CM171,CM400)</f>
        <v/>
      </c>
      <c r="CN173">
        <f>AVERAGE(CN171,CN400)</f>
        <v/>
      </c>
      <c r="CO173">
        <f>AVERAGE(CO171,CO400)</f>
        <v/>
      </c>
      <c r="CP173">
        <f>AVERAGE(CP171,CP400)</f>
        <v/>
      </c>
      <c r="CQ173">
        <f>AVERAGE(CQ171,CQ400)</f>
        <v/>
      </c>
      <c r="CR173">
        <f>AVERAGE(CR171,CR400)</f>
        <v/>
      </c>
      <c r="CS173">
        <f>AVERAGE(CS171,CS400)</f>
        <v/>
      </c>
      <c r="CT173">
        <f>AVERAGE(CT171,CT400)</f>
        <v/>
      </c>
      <c r="CU173">
        <f>AVERAGE(CU171,CU400)</f>
        <v/>
      </c>
      <c r="CV173">
        <f>AVERAGE(CV171,CV400)</f>
        <v/>
      </c>
      <c r="CW173">
        <f>AVERAGE(CW171,CW400)</f>
        <v/>
      </c>
      <c r="CX173">
        <f>AVERAGE(CX171,CX400)</f>
        <v/>
      </c>
      <c r="CY173">
        <f>AVERAGE(CY171,CY400)</f>
        <v/>
      </c>
      <c r="CZ173">
        <f>AVERAGE(CZ171,CZ400)</f>
        <v/>
      </c>
      <c r="DA173">
        <f>AVERAGE(DA171,DA400)</f>
        <v/>
      </c>
      <c r="DB173">
        <f>AVERAGE(DB171,DB400)</f>
        <v/>
      </c>
      <c r="DC173">
        <f>AVERAGE(DC171,DC400)</f>
        <v/>
      </c>
      <c r="DD173">
        <f>AVERAGE(DD171,DD400)</f>
        <v/>
      </c>
      <c r="DE173">
        <f>AVERAGE(DE171,DE400)</f>
        <v/>
      </c>
      <c r="DF173">
        <f>AVERAGE(DF171,DF400)</f>
        <v/>
      </c>
      <c r="DG173">
        <f>AVERAGE(DG171,DG400)</f>
        <v/>
      </c>
      <c r="DH173">
        <f>AVERAGE(DH171,DH400)</f>
        <v/>
      </c>
      <c r="DI173">
        <f>AVERAGE(DI171,DI400)</f>
        <v/>
      </c>
      <c r="DJ173">
        <f>AVERAGE(DJ171,DJ400)</f>
        <v/>
      </c>
      <c r="DK173">
        <f>AVERAGE(DK171,DK400)</f>
        <v/>
      </c>
      <c r="DL173">
        <f>AVERAGE(DL171,DL400)</f>
        <v/>
      </c>
      <c r="DM173">
        <f>AVERAGE(DM171,DM400)</f>
        <v/>
      </c>
      <c r="DN173">
        <f>AVERAGE(DN171,DN400)</f>
        <v/>
      </c>
      <c r="DO173">
        <f>AVERAGE(DO171,DO400)</f>
        <v/>
      </c>
      <c r="DP173">
        <f>AVERAGE(DP171,DP400)</f>
        <v/>
      </c>
      <c r="DQ173">
        <f>AVERAGE(DQ171,DQ400)</f>
        <v/>
      </c>
      <c r="DR173">
        <f>AVERAGE(DR171,DR400)</f>
        <v/>
      </c>
      <c r="DS173">
        <f>AVERAGE(DS171,DS400)</f>
        <v/>
      </c>
      <c r="DT173">
        <f>AVERAGE(DT171,DT400)</f>
        <v/>
      </c>
      <c r="DU173">
        <f>AVERAGE(DU171,DU400)</f>
        <v/>
      </c>
      <c r="DV173">
        <f>AVERAGE(DV171,DV400)</f>
        <v/>
      </c>
      <c r="DW173">
        <f>AVERAGE(DW171,DW400)</f>
        <v/>
      </c>
      <c r="DX173">
        <f>AVERAGE(DX171,DX400)</f>
        <v/>
      </c>
      <c r="DY173">
        <f>AVERAGE(DY171,DY400)</f>
        <v/>
      </c>
      <c r="DZ173">
        <f>AVERAGE(DZ171,DZ400)</f>
        <v/>
      </c>
      <c r="EA173">
        <f>AVERAGE(EA171,EA400)</f>
        <v/>
      </c>
      <c r="EB173">
        <f>AVERAGE(EB171,EB400)</f>
        <v/>
      </c>
      <c r="EC173">
        <f>AVERAGE(EC171,EC400)</f>
        <v/>
      </c>
      <c r="ED173">
        <f>AVERAGE(ED171,ED400)</f>
        <v/>
      </c>
      <c r="EE173">
        <f>AVERAGE(EE171,EE400)</f>
        <v/>
      </c>
      <c r="EF173">
        <f>AVERAGE(EF171,EF400)</f>
        <v/>
      </c>
      <c r="EG173">
        <f>AVERAGE(EG171,EG400)</f>
        <v/>
      </c>
      <c r="EH173">
        <f>AVERAGE(EH171,EH400)</f>
        <v/>
      </c>
      <c r="EI173">
        <f>AVERAGE(EI171,EI400)</f>
        <v/>
      </c>
      <c r="EJ173">
        <f>AVERAGE(EJ171,EJ400)</f>
        <v/>
      </c>
      <c r="EK173">
        <f>AVERAGE(EK171,EK400)</f>
        <v/>
      </c>
    </row>
    <row r="174">
      <c r="A174">
        <f>[1]ingredient!B173</f>
        <v/>
      </c>
      <c r="B174" t="inlineStr">
        <is>
          <t>https://www.naehrwertrechner.de/naehrwerte/S713000/Kakaopulver+stark+ent%C3%B6lt/?menge=100</t>
        </is>
      </c>
      <c r="C174" s="7">
        <f>_xlfn.XLOOKUP(A174,[1]ingredient!$B$2:$B$521,[1]ingredient!$A$2:$A$521)</f>
        <v/>
      </c>
      <c r="D174" t="n">
        <v>286</v>
      </c>
      <c r="E174" t="n">
        <v>12</v>
      </c>
      <c r="F174" t="n">
        <v>25</v>
      </c>
      <c r="G174" t="n">
        <v>20</v>
      </c>
      <c r="H174" t="n">
        <v>29</v>
      </c>
      <c r="I174" t="n">
        <v>0</v>
      </c>
      <c r="J174" t="n">
        <v>0.34</v>
      </c>
      <c r="K174" t="n">
        <v>5</v>
      </c>
      <c r="L174" t="n">
        <v>0</v>
      </c>
      <c r="M174" t="n">
        <v>0</v>
      </c>
      <c r="N174" t="n">
        <v>0</v>
      </c>
      <c r="O174" t="n">
        <v>0</v>
      </c>
      <c r="P174" t="n">
        <v>131</v>
      </c>
      <c r="Q174" t="n">
        <v>198</v>
      </c>
      <c r="R174" t="n">
        <v>2206</v>
      </c>
      <c r="S174" t="n">
        <v>9273</v>
      </c>
      <c r="T174" t="n">
        <v>0</v>
      </c>
      <c r="U174" t="n">
        <v>373</v>
      </c>
      <c r="V174" t="n">
        <v>0</v>
      </c>
      <c r="W174" t="n">
        <v>48</v>
      </c>
      <c r="X174" t="n">
        <v>1</v>
      </c>
      <c r="Y174" t="n">
        <v>0</v>
      </c>
      <c r="Z174" t="n">
        <v>0</v>
      </c>
      <c r="AA174" t="n">
        <v>2621</v>
      </c>
      <c r="AB174" t="n">
        <v>2</v>
      </c>
      <c r="AC174" t="n">
        <v>320</v>
      </c>
      <c r="AD174" t="n">
        <v>4016</v>
      </c>
      <c r="AE174" t="n">
        <v>169</v>
      </c>
      <c r="AF174" t="n">
        <v>598</v>
      </c>
      <c r="AG174" t="n">
        <v>800</v>
      </c>
      <c r="AH174" t="n">
        <v>288</v>
      </c>
      <c r="AI174" t="n">
        <v>20</v>
      </c>
      <c r="AJ174" t="n">
        <v>51351</v>
      </c>
      <c r="AK174" t="n">
        <v>7517</v>
      </c>
      <c r="AL174" t="n">
        <v>4554</v>
      </c>
      <c r="AM174" t="n">
        <v>5399</v>
      </c>
      <c r="AN174" t="n">
        <v>66</v>
      </c>
      <c r="AO174" t="n">
        <v>4</v>
      </c>
      <c r="AP174" t="n">
        <v>0</v>
      </c>
      <c r="AQ174" t="n">
        <v>0</v>
      </c>
      <c r="AR174" t="n">
        <v>0</v>
      </c>
      <c r="AS174" t="n">
        <v>0</v>
      </c>
      <c r="AT174" t="n">
        <v>0</v>
      </c>
      <c r="AU174" t="n">
        <v>0</v>
      </c>
      <c r="AV174" t="n">
        <v>0</v>
      </c>
      <c r="AW174" t="n">
        <v>0</v>
      </c>
      <c r="AX174" t="n">
        <v>0</v>
      </c>
      <c r="AY174" t="n">
        <v>0</v>
      </c>
      <c r="AZ174" t="n">
        <v>0</v>
      </c>
      <c r="BA174" t="n">
        <v>0</v>
      </c>
      <c r="BB174" t="n">
        <v>0</v>
      </c>
      <c r="BC174" t="n">
        <v>0</v>
      </c>
      <c r="BD174" t="n">
        <v>0</v>
      </c>
      <c r="BE174" t="n">
        <v>19564</v>
      </c>
      <c r="BF174" t="n">
        <v>19564</v>
      </c>
      <c r="BG174">
        <f>IF($F174=0,"0",MIN(
BH174/(30*$F174),
BI174/(61*$F174),
BJ174/(48*$F174),
(BK174+BL174)/(23*$F174),
(BM174+BN174)/(41*$F174),
BO174/(25*$F174),
BP174/(6.6*$F174),
BQ174/(40*$F174),
BS174/(16*$F174)
)*100)</f>
        <v/>
      </c>
      <c r="BH174" t="n">
        <v>990</v>
      </c>
      <c r="BI174" t="n">
        <v>1625</v>
      </c>
      <c r="BJ174" t="n">
        <v>1060</v>
      </c>
      <c r="BK174" t="n">
        <v>424</v>
      </c>
      <c r="BL174" t="n">
        <v>565</v>
      </c>
      <c r="BM174" t="n">
        <v>1166</v>
      </c>
      <c r="BN174" t="n">
        <v>778</v>
      </c>
      <c r="BO174" t="n">
        <v>1060</v>
      </c>
      <c r="BP174" t="n">
        <v>424</v>
      </c>
      <c r="BQ174" t="n">
        <v>1555</v>
      </c>
      <c r="BR174" t="n">
        <v>1909</v>
      </c>
      <c r="BS174" t="n">
        <v>424</v>
      </c>
      <c r="BT174" t="n">
        <v>11980</v>
      </c>
      <c r="BU174" t="n">
        <v>1236</v>
      </c>
      <c r="BV174" t="n">
        <v>2685</v>
      </c>
      <c r="BW174" t="n">
        <v>4629</v>
      </c>
      <c r="BX174" t="n">
        <v>1167</v>
      </c>
      <c r="BY174" t="n">
        <v>1555</v>
      </c>
      <c r="BZ174" t="n">
        <v>1555</v>
      </c>
      <c r="CA174" t="n">
        <v>12827</v>
      </c>
      <c r="CB174" t="n">
        <v>0</v>
      </c>
      <c r="CC174" t="n">
        <v>0</v>
      </c>
      <c r="CD174" t="n">
        <v>0</v>
      </c>
      <c r="CE174" t="n">
        <v>379</v>
      </c>
      <c r="CG174" t="n">
        <v>0</v>
      </c>
      <c r="CH174" t="n">
        <v>0</v>
      </c>
      <c r="CI174" t="n">
        <v>0</v>
      </c>
      <c r="CJ174" t="n">
        <v>0</v>
      </c>
      <c r="CK174" t="n">
        <v>23</v>
      </c>
      <c r="CL174" t="n">
        <v>57</v>
      </c>
      <c r="CM174" t="n">
        <v>0</v>
      </c>
      <c r="CN174" t="n">
        <v>3052</v>
      </c>
      <c r="CO174" t="n">
        <v>0</v>
      </c>
      <c r="CP174" t="n">
        <v>3842</v>
      </c>
      <c r="CQ174" t="n">
        <v>92</v>
      </c>
      <c r="CR174" t="n">
        <v>0</v>
      </c>
      <c r="CS174" t="n">
        <v>0</v>
      </c>
      <c r="CT174" t="n">
        <v>7066</v>
      </c>
      <c r="CU174" t="n">
        <v>0</v>
      </c>
      <c r="CV174" t="n">
        <v>0</v>
      </c>
      <c r="CW174" t="n">
        <v>23</v>
      </c>
      <c r="CX174" t="n">
        <v>0</v>
      </c>
      <c r="CY174" t="n">
        <v>4004</v>
      </c>
      <c r="CZ174" t="n">
        <v>0</v>
      </c>
      <c r="DA174" t="n">
        <v>0</v>
      </c>
      <c r="DB174" t="n">
        <v>0</v>
      </c>
      <c r="DC174" t="n">
        <v>4027</v>
      </c>
      <c r="DD174" t="n">
        <v>0</v>
      </c>
      <c r="DE174" t="n">
        <v>0</v>
      </c>
      <c r="DF174" t="n">
        <v>379</v>
      </c>
      <c r="DG174" t="n">
        <v>0</v>
      </c>
      <c r="DH174" t="n">
        <v>0</v>
      </c>
      <c r="DI174" t="n">
        <v>0</v>
      </c>
      <c r="DJ174" t="n">
        <v>0</v>
      </c>
      <c r="DK174" t="n">
        <v>0</v>
      </c>
      <c r="DL174" t="n">
        <v>0</v>
      </c>
      <c r="DM174" t="n">
        <v>0</v>
      </c>
      <c r="DN174" t="n">
        <v>0</v>
      </c>
      <c r="DO174" t="n">
        <v>0</v>
      </c>
      <c r="DP174" t="n">
        <v>0</v>
      </c>
      <c r="DQ174" t="n">
        <v>0</v>
      </c>
      <c r="DR174" t="n">
        <v>0</v>
      </c>
      <c r="DS174" t="n">
        <v>379</v>
      </c>
      <c r="DT174" t="n">
        <v>11472</v>
      </c>
      <c r="DU174" t="n">
        <v>528</v>
      </c>
      <c r="DV174" t="n">
        <v>0</v>
      </c>
      <c r="DW174" t="n">
        <v>0</v>
      </c>
      <c r="DX174" t="n">
        <v>0</v>
      </c>
      <c r="DY174" t="n">
        <v>2888</v>
      </c>
      <c r="DZ174" t="n">
        <v>2888</v>
      </c>
      <c r="EA174" t="n">
        <v>1444</v>
      </c>
      <c r="EB174" t="n">
        <v>2888</v>
      </c>
      <c r="EC174" t="n">
        <v>18772</v>
      </c>
      <c r="ED174" t="n">
        <v>1444</v>
      </c>
      <c r="EE174" t="n">
        <v>27436</v>
      </c>
      <c r="EF174" t="n">
        <v>0</v>
      </c>
      <c r="EG174" t="n">
        <v>0</v>
      </c>
      <c r="EH174" t="n">
        <v>9.699999999999999</v>
      </c>
      <c r="EI174" t="n">
        <v>27.4</v>
      </c>
      <c r="EJ174" t="n">
        <v>12</v>
      </c>
      <c r="EK174" t="n">
        <v>24.8</v>
      </c>
    </row>
    <row r="175">
      <c r="A175">
        <f>[1]ingredient!B174</f>
        <v/>
      </c>
      <c r="B175" t="inlineStr">
        <is>
          <t>https://www.naehrwertrechner.de/naehrwerte/F507111/Kaki+frisch/?menge=100</t>
        </is>
      </c>
      <c r="C175" s="7">
        <f>_xlfn.XLOOKUP(A175,[1]ingredient!$B$2:$B$521,[1]ingredient!$A$2:$A$521)</f>
        <v/>
      </c>
      <c r="D175" t="n">
        <v>71</v>
      </c>
      <c r="E175" t="n">
        <v>0.3</v>
      </c>
      <c r="F175" t="n">
        <v>1</v>
      </c>
      <c r="G175" t="n">
        <v>16</v>
      </c>
      <c r="H175" t="n">
        <v>3</v>
      </c>
      <c r="I175" t="n">
        <v>16</v>
      </c>
      <c r="J175" t="n">
        <v>0.02</v>
      </c>
      <c r="K175" t="n">
        <v>79</v>
      </c>
      <c r="L175" t="n">
        <v>267</v>
      </c>
      <c r="M175" t="n">
        <v>133</v>
      </c>
      <c r="N175" t="n">
        <v>0</v>
      </c>
      <c r="O175" t="n">
        <v>1600</v>
      </c>
      <c r="P175" t="n">
        <v>24</v>
      </c>
      <c r="Q175" t="n">
        <v>30</v>
      </c>
      <c r="R175" t="n">
        <v>230</v>
      </c>
      <c r="S175" t="n">
        <v>413</v>
      </c>
      <c r="T175" t="n">
        <v>200</v>
      </c>
      <c r="U175" t="n">
        <v>50</v>
      </c>
      <c r="V175" t="n">
        <v>0.3</v>
      </c>
      <c r="W175" t="n">
        <v>8</v>
      </c>
      <c r="X175" t="n">
        <v>0</v>
      </c>
      <c r="Y175" t="n">
        <v>16000</v>
      </c>
      <c r="Z175" t="n">
        <v>0</v>
      </c>
      <c r="AA175" t="n">
        <v>800</v>
      </c>
      <c r="AB175" t="n">
        <v>10</v>
      </c>
      <c r="AC175" t="n">
        <v>4</v>
      </c>
      <c r="AD175" t="n">
        <v>170</v>
      </c>
      <c r="AE175" t="n">
        <v>8</v>
      </c>
      <c r="AF175" t="n">
        <v>8</v>
      </c>
      <c r="AG175" t="n">
        <v>25</v>
      </c>
      <c r="AH175" t="n">
        <v>17</v>
      </c>
      <c r="AI175" t="n">
        <v>18</v>
      </c>
      <c r="AJ175" t="n">
        <v>370</v>
      </c>
      <c r="AK175" t="n">
        <v>110</v>
      </c>
      <c r="AL175" t="n">
        <v>113</v>
      </c>
      <c r="AM175" t="n">
        <v>355</v>
      </c>
      <c r="AN175" t="n">
        <v>15</v>
      </c>
      <c r="AO175" t="n">
        <v>2</v>
      </c>
      <c r="AP175" t="n">
        <v>0</v>
      </c>
      <c r="AQ175" t="n">
        <v>0</v>
      </c>
      <c r="AR175" t="n">
        <v>0</v>
      </c>
      <c r="AS175" t="n">
        <v>0</v>
      </c>
      <c r="AT175" t="n">
        <v>7040</v>
      </c>
      <c r="AU175" t="n">
        <v>8000</v>
      </c>
      <c r="AV175" t="n">
        <v>0</v>
      </c>
      <c r="AW175" t="n">
        <v>15040</v>
      </c>
      <c r="AX175" t="n">
        <v>960</v>
      </c>
      <c r="AY175" t="n">
        <v>0</v>
      </c>
      <c r="AZ175" t="n">
        <v>0</v>
      </c>
      <c r="BA175" t="n">
        <v>960</v>
      </c>
      <c r="BB175" t="n">
        <v>0</v>
      </c>
      <c r="BC175" t="n">
        <v>0</v>
      </c>
      <c r="BD175" t="n">
        <v>0</v>
      </c>
      <c r="BE175" t="n">
        <v>0</v>
      </c>
      <c r="BF175" t="n">
        <v>0</v>
      </c>
      <c r="BG175">
        <f>IF($F175=0,"0",MIN(
BH175/(30*$F175),
BI175/(61*$F175),
BJ175/(48*$F175),
(BK175+BL175)/(23*$F175),
(BM175+BN175)/(41*$F175),
BO175/(25*$F175),
BP175/(6.6*$F175),
BQ175/(40*$F175),
BS175/(16*$F175)
)*100)</f>
        <v/>
      </c>
      <c r="BH175" t="n">
        <v>28</v>
      </c>
      <c r="BI175" t="n">
        <v>46</v>
      </c>
      <c r="BJ175" t="n">
        <v>36</v>
      </c>
      <c r="BK175" t="n">
        <v>6</v>
      </c>
      <c r="BL175" t="n">
        <v>14</v>
      </c>
      <c r="BM175" t="n">
        <v>29</v>
      </c>
      <c r="BN175" t="n">
        <v>18</v>
      </c>
      <c r="BO175" t="n">
        <v>33</v>
      </c>
      <c r="BP175" t="n">
        <v>11</v>
      </c>
      <c r="BQ175" t="n">
        <v>33</v>
      </c>
      <c r="BR175" t="n">
        <v>28</v>
      </c>
      <c r="BS175" t="n">
        <v>13</v>
      </c>
      <c r="BT175" t="n">
        <v>295</v>
      </c>
      <c r="BU175" t="n">
        <v>32</v>
      </c>
      <c r="BV175" t="n">
        <v>63</v>
      </c>
      <c r="BW175" t="n">
        <v>84</v>
      </c>
      <c r="BX175" t="n">
        <v>28</v>
      </c>
      <c r="BY175" t="n">
        <v>24</v>
      </c>
      <c r="BZ175" t="n">
        <v>24</v>
      </c>
      <c r="CA175" t="n">
        <v>255</v>
      </c>
      <c r="CB175" t="n">
        <v>15</v>
      </c>
      <c r="CC175" t="n">
        <v>6</v>
      </c>
      <c r="CD175" t="n">
        <v>23</v>
      </c>
      <c r="CE175" t="n">
        <v>96</v>
      </c>
      <c r="CF175" t="n">
        <v>4.17</v>
      </c>
      <c r="CG175" t="n">
        <v>0</v>
      </c>
      <c r="CH175" t="n">
        <v>0</v>
      </c>
      <c r="CI175" t="n">
        <v>0</v>
      </c>
      <c r="CJ175" t="n">
        <v>0</v>
      </c>
      <c r="CK175" t="n">
        <v>1</v>
      </c>
      <c r="CL175" t="n">
        <v>2</v>
      </c>
      <c r="CM175" t="n">
        <v>0</v>
      </c>
      <c r="CN175" t="n">
        <v>58</v>
      </c>
      <c r="CO175" t="n">
        <v>0</v>
      </c>
      <c r="CP175" t="n">
        <v>10</v>
      </c>
      <c r="CQ175" t="n">
        <v>0</v>
      </c>
      <c r="CR175" t="n">
        <v>0</v>
      </c>
      <c r="CS175" t="n">
        <v>0</v>
      </c>
      <c r="CT175" t="n">
        <v>71</v>
      </c>
      <c r="CU175" t="n">
        <v>0</v>
      </c>
      <c r="CV175" t="n">
        <v>0</v>
      </c>
      <c r="CW175" t="n">
        <v>2</v>
      </c>
      <c r="CX175" t="n">
        <v>0</v>
      </c>
      <c r="CY175" t="n">
        <v>48</v>
      </c>
      <c r="CZ175" t="n">
        <v>0</v>
      </c>
      <c r="DA175" t="n">
        <v>0</v>
      </c>
      <c r="DB175" t="n">
        <v>0</v>
      </c>
      <c r="DC175" t="n">
        <v>50</v>
      </c>
      <c r="DD175" t="n">
        <v>0</v>
      </c>
      <c r="DE175" t="n">
        <v>0</v>
      </c>
      <c r="DF175" t="n">
        <v>96</v>
      </c>
      <c r="DG175" t="n">
        <v>23</v>
      </c>
      <c r="DH175" t="n">
        <v>0</v>
      </c>
      <c r="DI175" t="n">
        <v>0</v>
      </c>
      <c r="DJ175" t="n">
        <v>0</v>
      </c>
      <c r="DK175" t="n">
        <v>0</v>
      </c>
      <c r="DL175" t="n">
        <v>0</v>
      </c>
      <c r="DM175" t="n">
        <v>0</v>
      </c>
      <c r="DN175" t="n">
        <v>0</v>
      </c>
      <c r="DO175" t="n">
        <v>0</v>
      </c>
      <c r="DP175" t="n">
        <v>0</v>
      </c>
      <c r="DQ175" t="n">
        <v>0</v>
      </c>
      <c r="DR175" t="n">
        <v>0</v>
      </c>
      <c r="DS175" t="n">
        <v>119</v>
      </c>
      <c r="DT175" t="n">
        <v>240</v>
      </c>
      <c r="DU175" t="n">
        <v>60</v>
      </c>
      <c r="DV175" t="n">
        <v>0</v>
      </c>
      <c r="DW175" t="n">
        <v>0</v>
      </c>
      <c r="DX175" t="n">
        <v>0</v>
      </c>
      <c r="DY175" t="n">
        <v>450</v>
      </c>
      <c r="DZ175" t="n">
        <v>600</v>
      </c>
      <c r="EA175" t="n">
        <v>600</v>
      </c>
      <c r="EB175" t="n">
        <v>600</v>
      </c>
      <c r="EC175" t="n">
        <v>750</v>
      </c>
      <c r="ED175" t="n">
        <v>750</v>
      </c>
      <c r="EE175" t="n">
        <v>2250</v>
      </c>
      <c r="EF175" t="n">
        <v>0</v>
      </c>
      <c r="EG175" t="n">
        <v>0.27</v>
      </c>
      <c r="EH175" t="n">
        <v>0.7</v>
      </c>
      <c r="EI175" t="n">
        <v>2.3</v>
      </c>
      <c r="EJ175" t="n">
        <v>0.3</v>
      </c>
      <c r="EK175" t="n">
        <v>0.6</v>
      </c>
    </row>
    <row r="176">
      <c r="A176">
        <f>[1]ingredient!B175</f>
        <v/>
      </c>
      <c r="B176" t="inlineStr">
        <is>
          <t>https://www.naehrwertrechner.de/naehrwerte/C111001/Weizen+Vollkorn/?menge=100</t>
        </is>
      </c>
      <c r="C176" s="7">
        <f>_xlfn.XLOOKUP(A176,[1]ingredient!$B$2:$B$521,[1]ingredient!$A$2:$A$521)</f>
        <v/>
      </c>
      <c r="D176" t="n">
        <v>305</v>
      </c>
      <c r="E176" t="n">
        <v>2</v>
      </c>
      <c r="F176" t="n">
        <v>11</v>
      </c>
      <c r="G176" t="n">
        <v>60</v>
      </c>
      <c r="H176" t="n">
        <v>13</v>
      </c>
      <c r="I176" t="n">
        <v>1</v>
      </c>
      <c r="J176" t="n">
        <v>0.06</v>
      </c>
      <c r="K176" t="n">
        <v>12</v>
      </c>
      <c r="L176" t="n">
        <v>3</v>
      </c>
      <c r="M176" t="n">
        <v>2</v>
      </c>
      <c r="N176" t="n">
        <v>0</v>
      </c>
      <c r="O176" t="n">
        <v>20</v>
      </c>
      <c r="P176" t="n">
        <v>455</v>
      </c>
      <c r="Q176" t="n">
        <v>93</v>
      </c>
      <c r="R176" t="n">
        <v>5100</v>
      </c>
      <c r="S176" t="n">
        <v>7600</v>
      </c>
      <c r="T176" t="n">
        <v>1180</v>
      </c>
      <c r="U176" t="n">
        <v>269</v>
      </c>
      <c r="V176" t="n">
        <v>6</v>
      </c>
      <c r="W176" t="n">
        <v>87</v>
      </c>
      <c r="X176" t="n">
        <v>0</v>
      </c>
      <c r="Y176" t="n">
        <v>0</v>
      </c>
      <c r="Z176" t="n">
        <v>0</v>
      </c>
      <c r="AA176" t="n">
        <v>1000</v>
      </c>
      <c r="AB176" t="n">
        <v>0</v>
      </c>
      <c r="AC176" t="n">
        <v>8</v>
      </c>
      <c r="AD176" t="n">
        <v>380</v>
      </c>
      <c r="AE176" t="n">
        <v>33</v>
      </c>
      <c r="AF176" t="n">
        <v>97</v>
      </c>
      <c r="AG176" t="n">
        <v>342</v>
      </c>
      <c r="AH176" t="n">
        <v>140</v>
      </c>
      <c r="AI176" t="n">
        <v>55</v>
      </c>
      <c r="AJ176" t="n">
        <v>3176</v>
      </c>
      <c r="AK176" t="n">
        <v>2560</v>
      </c>
      <c r="AL176" t="n">
        <v>370</v>
      </c>
      <c r="AM176" t="n">
        <v>3095</v>
      </c>
      <c r="AN176" t="n">
        <v>90</v>
      </c>
      <c r="AO176" t="n">
        <v>7</v>
      </c>
      <c r="AP176" t="n">
        <v>0</v>
      </c>
      <c r="AQ176" t="n">
        <v>0</v>
      </c>
      <c r="AR176" t="n">
        <v>0</v>
      </c>
      <c r="AS176" t="n">
        <v>0</v>
      </c>
      <c r="AT176" t="n">
        <v>60</v>
      </c>
      <c r="AU176" t="n">
        <v>42</v>
      </c>
      <c r="AV176" t="n">
        <v>0</v>
      </c>
      <c r="AW176" t="n">
        <v>102</v>
      </c>
      <c r="AX176" t="n">
        <v>600</v>
      </c>
      <c r="AY176" t="n">
        <v>0</v>
      </c>
      <c r="AZ176" t="n">
        <v>0</v>
      </c>
      <c r="BA176" t="n">
        <v>600</v>
      </c>
      <c r="BB176" t="n">
        <v>357</v>
      </c>
      <c r="BC176" t="n">
        <v>170</v>
      </c>
      <c r="BD176" t="n">
        <v>0</v>
      </c>
      <c r="BE176" t="n">
        <v>58160</v>
      </c>
      <c r="BF176" t="n">
        <v>58160</v>
      </c>
      <c r="BG176">
        <f>IF($F176=0,"0",MIN(
BH176/(30*$F176),
BI176/(61*$F176),
BJ176/(48*$F176),
(BK176+BL176)/(23*$F176),
(BM176+BN176)/(41*$F176),
BO176/(25*$F176),
BP176/(6.6*$F176),
BQ176/(40*$F176),
BS176/(16*$F176)
)*100)</f>
        <v/>
      </c>
      <c r="BH176" t="n">
        <v>540</v>
      </c>
      <c r="BI176" t="n">
        <v>920</v>
      </c>
      <c r="BJ176" t="n">
        <v>380</v>
      </c>
      <c r="BK176" t="n">
        <v>220</v>
      </c>
      <c r="BL176" t="n">
        <v>290</v>
      </c>
      <c r="BM176" t="n">
        <v>640</v>
      </c>
      <c r="BN176" t="n">
        <v>410</v>
      </c>
      <c r="BO176" t="n">
        <v>430</v>
      </c>
      <c r="BP176" t="n">
        <v>150</v>
      </c>
      <c r="BQ176" t="n">
        <v>620</v>
      </c>
      <c r="BR176" t="n">
        <v>620</v>
      </c>
      <c r="BS176" t="n">
        <v>280</v>
      </c>
      <c r="BT176" t="n">
        <v>5500</v>
      </c>
      <c r="BU176" t="n">
        <v>510</v>
      </c>
      <c r="BV176" t="n">
        <v>700</v>
      </c>
      <c r="BW176" t="n">
        <v>4080</v>
      </c>
      <c r="BX176" t="n">
        <v>720</v>
      </c>
      <c r="BY176" t="n">
        <v>1560</v>
      </c>
      <c r="BZ176" t="n">
        <v>710</v>
      </c>
      <c r="CA176" t="n">
        <v>8280</v>
      </c>
      <c r="CB176" t="n">
        <v>51</v>
      </c>
      <c r="CC176" t="n">
        <v>17</v>
      </c>
      <c r="CD176" t="n">
        <v>51</v>
      </c>
      <c r="CE176" t="n">
        <v>765</v>
      </c>
      <c r="CF176" t="n">
        <v>15</v>
      </c>
      <c r="CG176" t="n">
        <v>0</v>
      </c>
      <c r="CH176" t="n">
        <v>0</v>
      </c>
      <c r="CI176" t="n">
        <v>0</v>
      </c>
      <c r="CJ176" t="n">
        <v>0</v>
      </c>
      <c r="CK176" t="n">
        <v>1</v>
      </c>
      <c r="CL176" t="n">
        <v>1</v>
      </c>
      <c r="CM176" t="n">
        <v>1</v>
      </c>
      <c r="CN176" t="n">
        <v>283</v>
      </c>
      <c r="CO176" t="n">
        <v>0</v>
      </c>
      <c r="CP176" t="n">
        <v>13</v>
      </c>
      <c r="CQ176" t="n">
        <v>11</v>
      </c>
      <c r="CR176" t="n">
        <v>0</v>
      </c>
      <c r="CS176" t="n">
        <v>0</v>
      </c>
      <c r="CT176" t="n">
        <v>310</v>
      </c>
      <c r="CU176" t="n">
        <v>0</v>
      </c>
      <c r="CV176" t="n">
        <v>0</v>
      </c>
      <c r="CW176" t="n">
        <v>8</v>
      </c>
      <c r="CX176" t="n">
        <v>0</v>
      </c>
      <c r="CY176" t="n">
        <v>176</v>
      </c>
      <c r="CZ176" t="n">
        <v>6</v>
      </c>
      <c r="DA176" t="n">
        <v>0</v>
      </c>
      <c r="DB176" t="n">
        <v>0</v>
      </c>
      <c r="DC176" t="n">
        <v>191</v>
      </c>
      <c r="DD176" t="n">
        <v>0</v>
      </c>
      <c r="DE176" t="n">
        <v>0</v>
      </c>
      <c r="DF176" t="n">
        <v>762</v>
      </c>
      <c r="DG176" t="n">
        <v>51</v>
      </c>
      <c r="DH176" t="n">
        <v>0</v>
      </c>
      <c r="DI176" t="n">
        <v>0</v>
      </c>
      <c r="DJ176" t="n">
        <v>0</v>
      </c>
      <c r="DK176" t="n">
        <v>0</v>
      </c>
      <c r="DL176" t="n">
        <v>3</v>
      </c>
      <c r="DM176" t="n">
        <v>0</v>
      </c>
      <c r="DN176" t="n">
        <v>0</v>
      </c>
      <c r="DO176" t="n">
        <v>0</v>
      </c>
      <c r="DP176" t="n">
        <v>0</v>
      </c>
      <c r="DQ176" t="n">
        <v>0</v>
      </c>
      <c r="DR176" t="n">
        <v>0</v>
      </c>
      <c r="DS176" t="n">
        <v>816</v>
      </c>
      <c r="DT176" t="n">
        <v>1317</v>
      </c>
      <c r="DU176" t="n">
        <v>513</v>
      </c>
      <c r="DV176" t="n">
        <v>0</v>
      </c>
      <c r="DW176" t="n">
        <v>0</v>
      </c>
      <c r="DX176" t="n">
        <v>0</v>
      </c>
      <c r="DY176" t="n">
        <v>5304</v>
      </c>
      <c r="DZ176" t="n">
        <v>3978</v>
      </c>
      <c r="EA176" t="n">
        <v>928</v>
      </c>
      <c r="EB176" t="n">
        <v>2800</v>
      </c>
      <c r="EC176" t="n">
        <v>663</v>
      </c>
      <c r="ED176" t="n">
        <v>2890</v>
      </c>
      <c r="EE176" t="n">
        <v>10370</v>
      </c>
      <c r="EF176" t="n">
        <v>0</v>
      </c>
      <c r="EG176" t="n">
        <v>0</v>
      </c>
      <c r="EH176" t="n">
        <v>1.6</v>
      </c>
      <c r="EI176" t="n">
        <v>10.4</v>
      </c>
      <c r="EJ176" t="n">
        <v>1.8</v>
      </c>
      <c r="EK176" t="n">
        <v>13.9</v>
      </c>
    </row>
    <row r="177">
      <c r="A177">
        <f>[1]ingredient!B176</f>
        <v/>
      </c>
      <c r="B177" t="inlineStr">
        <is>
          <t>https://www.naehrwertrechner.de/naehrwerte/R254011/Kardamom+Gew%C3%BCrz/?menge=100</t>
        </is>
      </c>
      <c r="C177" s="7">
        <f>_xlfn.XLOOKUP(A177,[1]ingredient!$B$2:$B$521,[1]ingredient!$A$2:$A$521)</f>
        <v/>
      </c>
      <c r="D177" t="n">
        <v>336</v>
      </c>
      <c r="E177" t="n">
        <v>7</v>
      </c>
      <c r="F177" t="n">
        <v>11</v>
      </c>
      <c r="G177" t="n">
        <v>57</v>
      </c>
      <c r="H177" t="n">
        <v>11</v>
      </c>
      <c r="I177" t="n">
        <v>54</v>
      </c>
      <c r="J177" t="n">
        <v>0.08</v>
      </c>
      <c r="K177" t="n">
        <v>8</v>
      </c>
      <c r="L177" t="n">
        <v>0</v>
      </c>
      <c r="M177" t="n">
        <v>0.08</v>
      </c>
      <c r="N177" t="n">
        <v>0</v>
      </c>
      <c r="O177" t="n">
        <v>1</v>
      </c>
      <c r="P177" t="n">
        <v>200</v>
      </c>
      <c r="Q177" t="n">
        <v>180</v>
      </c>
      <c r="R177" t="n">
        <v>1100</v>
      </c>
      <c r="S177" t="n">
        <v>2900</v>
      </c>
      <c r="T177" t="n">
        <v>500</v>
      </c>
      <c r="U177" t="n">
        <v>200</v>
      </c>
      <c r="V177" t="n">
        <v>10</v>
      </c>
      <c r="W177" t="n">
        <v>0</v>
      </c>
      <c r="X177" t="n">
        <v>0</v>
      </c>
      <c r="Y177" t="n">
        <v>0</v>
      </c>
      <c r="Z177" t="n">
        <v>0</v>
      </c>
      <c r="AA177" t="n">
        <v>0</v>
      </c>
      <c r="AB177" t="n">
        <v>0</v>
      </c>
      <c r="AC177" t="n">
        <v>18</v>
      </c>
      <c r="AD177" t="n">
        <v>1120</v>
      </c>
      <c r="AE177" t="n">
        <v>130</v>
      </c>
      <c r="AF177" t="n">
        <v>230</v>
      </c>
      <c r="AG177" t="n">
        <v>170</v>
      </c>
      <c r="AH177" t="n">
        <v>100</v>
      </c>
      <c r="AI177" t="n">
        <v>60</v>
      </c>
      <c r="AJ177" t="n">
        <v>100000</v>
      </c>
      <c r="AK177" t="n">
        <v>2600</v>
      </c>
      <c r="AL177" t="n">
        <v>1300</v>
      </c>
      <c r="AM177" t="n">
        <v>8900</v>
      </c>
      <c r="AN177" t="n">
        <v>50</v>
      </c>
      <c r="AO177" t="n">
        <v>5</v>
      </c>
      <c r="AP177" t="n">
        <v>0</v>
      </c>
      <c r="AQ177" t="n">
        <v>0</v>
      </c>
      <c r="AR177" t="n">
        <v>0</v>
      </c>
      <c r="AS177" t="n">
        <v>0</v>
      </c>
      <c r="AT177" t="n">
        <v>28600</v>
      </c>
      <c r="AU177" t="n">
        <v>23452</v>
      </c>
      <c r="AV177" t="n">
        <v>0</v>
      </c>
      <c r="AW177" t="n">
        <v>52052</v>
      </c>
      <c r="AX177" t="n">
        <v>2288</v>
      </c>
      <c r="AY177" t="n">
        <v>0</v>
      </c>
      <c r="AZ177" t="n">
        <v>0</v>
      </c>
      <c r="BA177" t="n">
        <v>2288</v>
      </c>
      <c r="BB177" t="n">
        <v>0</v>
      </c>
      <c r="BC177" t="n">
        <v>0</v>
      </c>
      <c r="BD177" t="n">
        <v>0</v>
      </c>
      <c r="BE177" t="n">
        <v>2860</v>
      </c>
      <c r="BF177" t="n">
        <v>2860</v>
      </c>
      <c r="BG177">
        <f>IF($F177=0,"0",MIN(
BH177/(30*$F177),
BI177/(61*$F177),
BJ177/(48*$F177),
(BK177+BL177)/(23*$F177),
(BM177+BN177)/(41*$F177),
BO177/(25*$F177),
BP177/(6.6*$F177),
BQ177/(40*$F177),
BS177/(16*$F177)
)*100)</f>
        <v/>
      </c>
      <c r="BH177" t="n">
        <v>324</v>
      </c>
      <c r="BI177" t="n">
        <v>540</v>
      </c>
      <c r="BJ177" t="n">
        <v>540</v>
      </c>
      <c r="BK177" t="n">
        <v>162</v>
      </c>
      <c r="BL177" t="n">
        <v>108</v>
      </c>
      <c r="BM177" t="n">
        <v>378</v>
      </c>
      <c r="BN177" t="n">
        <v>216</v>
      </c>
      <c r="BO177" t="n">
        <v>270</v>
      </c>
      <c r="BP177" t="n">
        <v>108</v>
      </c>
      <c r="BQ177" t="n">
        <v>432</v>
      </c>
      <c r="BR177" t="n">
        <v>486</v>
      </c>
      <c r="BS177" t="n">
        <v>162</v>
      </c>
      <c r="BT177" t="n">
        <v>3726</v>
      </c>
      <c r="BU177" t="n">
        <v>648</v>
      </c>
      <c r="BV177" t="n">
        <v>1620</v>
      </c>
      <c r="BW177" t="n">
        <v>1512</v>
      </c>
      <c r="BX177" t="n">
        <v>432</v>
      </c>
      <c r="BY177" t="n">
        <v>378</v>
      </c>
      <c r="BZ177" t="n">
        <v>432</v>
      </c>
      <c r="CA177" t="n">
        <v>5022</v>
      </c>
      <c r="CB177" t="n">
        <v>50</v>
      </c>
      <c r="CC177" t="n">
        <v>21</v>
      </c>
      <c r="CD177" t="n">
        <v>0</v>
      </c>
      <c r="CE177" t="n">
        <v>658</v>
      </c>
      <c r="CG177" t="n">
        <v>0</v>
      </c>
      <c r="CH177" t="n">
        <v>0</v>
      </c>
      <c r="CI177" t="n">
        <v>0</v>
      </c>
      <c r="CJ177" t="n">
        <v>0</v>
      </c>
      <c r="CK177" t="n">
        <v>0</v>
      </c>
      <c r="CL177" t="n">
        <v>6</v>
      </c>
      <c r="CM177" t="n">
        <v>0</v>
      </c>
      <c r="CN177" t="n">
        <v>320</v>
      </c>
      <c r="CO177" t="n">
        <v>0</v>
      </c>
      <c r="CP177" t="n">
        <v>43</v>
      </c>
      <c r="CQ177" t="n">
        <v>0</v>
      </c>
      <c r="CR177" t="n">
        <v>0</v>
      </c>
      <c r="CS177" t="n">
        <v>0</v>
      </c>
      <c r="CT177" t="n">
        <v>369</v>
      </c>
      <c r="CU177" t="n">
        <v>0</v>
      </c>
      <c r="CV177" t="n">
        <v>0</v>
      </c>
      <c r="CW177" t="n">
        <v>37</v>
      </c>
      <c r="CX177" t="n">
        <v>0</v>
      </c>
      <c r="CY177" t="n">
        <v>5087</v>
      </c>
      <c r="CZ177" t="n">
        <v>0</v>
      </c>
      <c r="DA177" t="n">
        <v>0</v>
      </c>
      <c r="DB177" t="n">
        <v>0</v>
      </c>
      <c r="DC177" t="n">
        <v>5124</v>
      </c>
      <c r="DD177" t="n">
        <v>0</v>
      </c>
      <c r="DE177" t="n">
        <v>0</v>
      </c>
      <c r="DF177" t="n">
        <v>658</v>
      </c>
      <c r="DG177" t="n">
        <v>0</v>
      </c>
      <c r="DH177" t="n">
        <v>0</v>
      </c>
      <c r="DI177" t="n">
        <v>0</v>
      </c>
      <c r="DJ177" t="n">
        <v>0</v>
      </c>
      <c r="DK177" t="n">
        <v>0</v>
      </c>
      <c r="DL177" t="n">
        <v>0</v>
      </c>
      <c r="DM177" t="n">
        <v>0</v>
      </c>
      <c r="DN177" t="n">
        <v>0</v>
      </c>
      <c r="DO177" t="n">
        <v>0</v>
      </c>
      <c r="DP177" t="n">
        <v>0</v>
      </c>
      <c r="DQ177" t="n">
        <v>0</v>
      </c>
      <c r="DR177" t="n">
        <v>0</v>
      </c>
      <c r="DS177" t="n">
        <v>658</v>
      </c>
      <c r="DT177" t="n">
        <v>6151</v>
      </c>
      <c r="DU177" t="n">
        <v>549</v>
      </c>
      <c r="DV177" t="n">
        <v>0</v>
      </c>
      <c r="DW177" t="n">
        <v>0</v>
      </c>
      <c r="DX177" t="n">
        <v>0</v>
      </c>
      <c r="DY177" t="n">
        <v>2484</v>
      </c>
      <c r="DZ177" t="n">
        <v>2032</v>
      </c>
      <c r="EA177" t="n">
        <v>2258</v>
      </c>
      <c r="EB177" t="n">
        <v>2258</v>
      </c>
      <c r="EC177" t="n">
        <v>2258</v>
      </c>
      <c r="ED177" t="n">
        <v>3387</v>
      </c>
      <c r="EE177" t="n">
        <v>7903</v>
      </c>
      <c r="EF177" t="n">
        <v>0</v>
      </c>
      <c r="EG177" t="n">
        <v>0.07000000000000001</v>
      </c>
      <c r="EH177" t="n">
        <v>5.8</v>
      </c>
      <c r="EI177" t="n">
        <v>7.9</v>
      </c>
      <c r="EJ177" t="n">
        <v>6.7</v>
      </c>
      <c r="EK177" t="n">
        <v>8.9</v>
      </c>
    </row>
    <row r="178">
      <c r="A178">
        <f>[1]ingredient!B177</f>
        <v/>
      </c>
      <c r="B178" t="inlineStr">
        <is>
          <t>https://www.naehrwertrechner.de/naehrwerte/K120100/Kartoffeln+ungesch%C3%A4lt+roh/?menge=100</t>
        </is>
      </c>
      <c r="C178" s="7">
        <f>_xlfn.XLOOKUP(A178,[1]ingredient!$B$2:$B$521,[1]ingredient!$A$2:$A$521)</f>
        <v/>
      </c>
      <c r="D178" t="n">
        <v>73</v>
      </c>
      <c r="E178" t="n">
        <v>0.01</v>
      </c>
      <c r="F178" t="n">
        <v>2</v>
      </c>
      <c r="G178" t="n">
        <v>16</v>
      </c>
      <c r="H178" t="n">
        <v>1</v>
      </c>
      <c r="I178" t="n">
        <v>1</v>
      </c>
      <c r="J178" t="n">
        <v>0.05</v>
      </c>
      <c r="K178" t="n">
        <v>80</v>
      </c>
      <c r="L178" t="n">
        <v>1</v>
      </c>
      <c r="M178" t="n">
        <v>0.42</v>
      </c>
      <c r="N178" t="n">
        <v>0</v>
      </c>
      <c r="O178" t="n">
        <v>5</v>
      </c>
      <c r="P178" t="n">
        <v>78</v>
      </c>
      <c r="Q178" t="n">
        <v>7</v>
      </c>
      <c r="R178" t="n">
        <v>1220</v>
      </c>
      <c r="S178" t="n">
        <v>1720</v>
      </c>
      <c r="T178" t="n">
        <v>400</v>
      </c>
      <c r="U178" t="n">
        <v>164</v>
      </c>
      <c r="V178" t="n">
        <v>0.4</v>
      </c>
      <c r="W178" t="n">
        <v>15</v>
      </c>
      <c r="X178" t="n">
        <v>0</v>
      </c>
      <c r="Y178" t="n">
        <v>18760</v>
      </c>
      <c r="Z178" t="n">
        <v>0</v>
      </c>
      <c r="AA178" t="n">
        <v>53</v>
      </c>
      <c r="AB178" t="n">
        <v>2</v>
      </c>
      <c r="AC178" t="n">
        <v>3</v>
      </c>
      <c r="AD178" t="n">
        <v>381</v>
      </c>
      <c r="AE178" t="n">
        <v>9</v>
      </c>
      <c r="AF178" t="n">
        <v>22</v>
      </c>
      <c r="AG178" t="n">
        <v>31</v>
      </c>
      <c r="AH178" t="n">
        <v>35</v>
      </c>
      <c r="AI178" t="n">
        <v>45</v>
      </c>
      <c r="AJ178" t="n">
        <v>890</v>
      </c>
      <c r="AK178" t="n">
        <v>423</v>
      </c>
      <c r="AL178" t="n">
        <v>99</v>
      </c>
      <c r="AM178" t="n">
        <v>106</v>
      </c>
      <c r="AN178" t="n">
        <v>10</v>
      </c>
      <c r="AO178" t="n">
        <v>3</v>
      </c>
      <c r="AP178" t="n">
        <v>0</v>
      </c>
      <c r="AQ178" t="n">
        <v>0</v>
      </c>
      <c r="AR178" t="n">
        <v>0</v>
      </c>
      <c r="AS178" t="n">
        <v>0</v>
      </c>
      <c r="AT178" t="n">
        <v>234</v>
      </c>
      <c r="AU178" t="n">
        <v>156</v>
      </c>
      <c r="AV178" t="n">
        <v>0</v>
      </c>
      <c r="AW178" t="n">
        <v>390</v>
      </c>
      <c r="AX178" t="n">
        <v>312</v>
      </c>
      <c r="AY178" t="n">
        <v>0</v>
      </c>
      <c r="AZ178" t="n">
        <v>0</v>
      </c>
      <c r="BA178" t="n">
        <v>312</v>
      </c>
      <c r="BB178" t="n">
        <v>0</v>
      </c>
      <c r="BC178" t="n">
        <v>0</v>
      </c>
      <c r="BD178" t="n">
        <v>0</v>
      </c>
      <c r="BE178" t="n">
        <v>14914</v>
      </c>
      <c r="BF178" t="n">
        <v>14914</v>
      </c>
      <c r="BG178">
        <f>IF($F178=0,"0",MIN(
BH178/(30*$F178),
BI178/(61*$F178),
BJ178/(48*$F178),
(BK178+BL178)/(23*$F178),
(BM178+BN178)/(41*$F178),
BO178/(25*$F178),
BP178/(6.6*$F178),
BQ178/(40*$F178),
BS178/(16*$F178)
)*100)</f>
        <v/>
      </c>
      <c r="BH178" t="n">
        <v>90</v>
      </c>
      <c r="BI178" t="n">
        <v>127</v>
      </c>
      <c r="BJ178" t="n">
        <v>127</v>
      </c>
      <c r="BK178" t="n">
        <v>33</v>
      </c>
      <c r="BL178" t="n">
        <v>21</v>
      </c>
      <c r="BM178" t="n">
        <v>93</v>
      </c>
      <c r="BN178" t="n">
        <v>65</v>
      </c>
      <c r="BO178" t="n">
        <v>76</v>
      </c>
      <c r="BP178" t="n">
        <v>30</v>
      </c>
      <c r="BQ178" t="n">
        <v>116</v>
      </c>
      <c r="BR178" t="n">
        <v>116</v>
      </c>
      <c r="BS178" t="n">
        <v>33</v>
      </c>
      <c r="BT178" t="n">
        <v>927</v>
      </c>
      <c r="BU178" t="n">
        <v>83</v>
      </c>
      <c r="BV178" t="n">
        <v>336</v>
      </c>
      <c r="BW178" t="n">
        <v>359</v>
      </c>
      <c r="BX178" t="n">
        <v>74</v>
      </c>
      <c r="BY178" t="n">
        <v>79</v>
      </c>
      <c r="BZ178" t="n">
        <v>83</v>
      </c>
      <c r="CA178" t="n">
        <v>1014</v>
      </c>
      <c r="CB178" t="n">
        <v>16</v>
      </c>
      <c r="CC178" t="n">
        <v>7</v>
      </c>
      <c r="CD178" t="n">
        <v>2</v>
      </c>
      <c r="CE178" t="n">
        <v>6</v>
      </c>
      <c r="CF178" t="n">
        <v>3</v>
      </c>
      <c r="CG178" t="n">
        <v>0</v>
      </c>
      <c r="CH178" t="n">
        <v>0</v>
      </c>
      <c r="CI178" t="n">
        <v>0</v>
      </c>
      <c r="CJ178" t="n">
        <v>0</v>
      </c>
      <c r="CK178" t="n">
        <v>0</v>
      </c>
      <c r="CL178" t="n">
        <v>0</v>
      </c>
      <c r="CM178" t="n">
        <v>0</v>
      </c>
      <c r="CN178" t="n">
        <v>2</v>
      </c>
      <c r="CO178" t="n">
        <v>0</v>
      </c>
      <c r="CP178" t="n">
        <v>1</v>
      </c>
      <c r="CQ178" t="n">
        <v>0</v>
      </c>
      <c r="CR178" t="n">
        <v>0</v>
      </c>
      <c r="CS178" t="n">
        <v>0</v>
      </c>
      <c r="CT178" t="n">
        <v>3</v>
      </c>
      <c r="CU178" t="n">
        <v>0</v>
      </c>
      <c r="CV178" t="n">
        <v>0</v>
      </c>
      <c r="CW178" t="n">
        <v>0</v>
      </c>
      <c r="CX178" t="n">
        <v>0</v>
      </c>
      <c r="CY178" t="n">
        <v>0</v>
      </c>
      <c r="CZ178" t="n">
        <v>0</v>
      </c>
      <c r="DA178" t="n">
        <v>0</v>
      </c>
      <c r="DB178" t="n">
        <v>0</v>
      </c>
      <c r="DC178" t="n">
        <v>0</v>
      </c>
      <c r="DD178" t="n">
        <v>0</v>
      </c>
      <c r="DE178" t="n">
        <v>0</v>
      </c>
      <c r="DF178" t="n">
        <v>6</v>
      </c>
      <c r="DG178" t="n">
        <v>2</v>
      </c>
      <c r="DH178" t="n">
        <v>0</v>
      </c>
      <c r="DI178" t="n">
        <v>0</v>
      </c>
      <c r="DJ178" t="n">
        <v>0</v>
      </c>
      <c r="DK178" t="n">
        <v>0</v>
      </c>
      <c r="DL178" t="n">
        <v>0</v>
      </c>
      <c r="DM178" t="n">
        <v>0</v>
      </c>
      <c r="DN178" t="n">
        <v>0</v>
      </c>
      <c r="DO178" t="n">
        <v>0</v>
      </c>
      <c r="DP178" t="n">
        <v>0</v>
      </c>
      <c r="DQ178" t="n">
        <v>0</v>
      </c>
      <c r="DR178" t="n">
        <v>0</v>
      </c>
      <c r="DS178" t="n">
        <v>8</v>
      </c>
      <c r="DT178" t="n">
        <v>11</v>
      </c>
      <c r="DU178" t="n">
        <v>3</v>
      </c>
      <c r="DV178" t="n">
        <v>0</v>
      </c>
      <c r="DW178" t="n">
        <v>0</v>
      </c>
      <c r="DX178" t="n">
        <v>0</v>
      </c>
      <c r="DY178" t="n">
        <v>123</v>
      </c>
      <c r="DZ178" t="n">
        <v>455</v>
      </c>
      <c r="EA178" t="n">
        <v>221</v>
      </c>
      <c r="EB178" t="n">
        <v>431</v>
      </c>
      <c r="EC178" t="n">
        <v>0</v>
      </c>
      <c r="ED178" t="n">
        <v>369</v>
      </c>
      <c r="EE178" t="n">
        <v>861</v>
      </c>
      <c r="EF178" t="n">
        <v>0</v>
      </c>
      <c r="EG178" t="n">
        <v>1</v>
      </c>
      <c r="EH178" t="n">
        <v>1</v>
      </c>
      <c r="EI178" t="n">
        <v>0.9</v>
      </c>
      <c r="EJ178" t="n">
        <v>0</v>
      </c>
      <c r="EK178" t="n">
        <v>2</v>
      </c>
    </row>
    <row r="179">
      <c r="A179">
        <f>[1]ingredient!B178</f>
        <v/>
      </c>
      <c r="B179" t="inlineStr">
        <is>
          <t>https://www.naehrwertrechner.de/naehrwerte/K120100/Kartoffeln+ungesch%C3%A4lt+roh/?menge=100</t>
        </is>
      </c>
      <c r="C179" s="7">
        <f>_xlfn.XLOOKUP(A179,[1]ingredient!$B$2:$B$521,[1]ingredient!$A$2:$A$521)</f>
        <v/>
      </c>
      <c r="D179" t="n">
        <v>73</v>
      </c>
      <c r="E179" t="n">
        <v>0.01</v>
      </c>
      <c r="F179" t="n">
        <v>2</v>
      </c>
      <c r="G179" t="n">
        <v>16</v>
      </c>
      <c r="H179" t="n">
        <v>1</v>
      </c>
      <c r="I179" t="n">
        <v>1</v>
      </c>
      <c r="J179" t="n">
        <v>0.05</v>
      </c>
      <c r="K179" t="n">
        <v>80</v>
      </c>
      <c r="L179" t="n">
        <v>1</v>
      </c>
      <c r="M179" t="n">
        <v>0.42</v>
      </c>
      <c r="N179" t="n">
        <v>0</v>
      </c>
      <c r="O179" t="n">
        <v>5</v>
      </c>
      <c r="P179" t="n">
        <v>78</v>
      </c>
      <c r="Q179" t="n">
        <v>7</v>
      </c>
      <c r="R179" t="n">
        <v>1220</v>
      </c>
      <c r="S179" t="n">
        <v>1720</v>
      </c>
      <c r="T179" t="n">
        <v>400</v>
      </c>
      <c r="U179" t="n">
        <v>164</v>
      </c>
      <c r="V179" t="n">
        <v>0.4</v>
      </c>
      <c r="W179" t="n">
        <v>15</v>
      </c>
      <c r="X179" t="n">
        <v>0</v>
      </c>
      <c r="Y179" t="n">
        <v>18760</v>
      </c>
      <c r="Z179" t="n">
        <v>0</v>
      </c>
      <c r="AA179" t="n">
        <v>53</v>
      </c>
      <c r="AB179" t="n">
        <v>2</v>
      </c>
      <c r="AC179" t="n">
        <v>3</v>
      </c>
      <c r="AD179" t="n">
        <v>381</v>
      </c>
      <c r="AE179" t="n">
        <v>9</v>
      </c>
      <c r="AF179" t="n">
        <v>22</v>
      </c>
      <c r="AG179" t="n">
        <v>31</v>
      </c>
      <c r="AH179" t="n">
        <v>35</v>
      </c>
      <c r="AI179" t="n">
        <v>45</v>
      </c>
      <c r="AJ179" t="n">
        <v>890</v>
      </c>
      <c r="AK179" t="n">
        <v>423</v>
      </c>
      <c r="AL179" t="n">
        <v>99</v>
      </c>
      <c r="AM179" t="n">
        <v>106</v>
      </c>
      <c r="AN179" t="n">
        <v>10</v>
      </c>
      <c r="AO179" t="n">
        <v>3</v>
      </c>
      <c r="AP179" t="n">
        <v>0</v>
      </c>
      <c r="AQ179" t="n">
        <v>0</v>
      </c>
      <c r="AR179" t="n">
        <v>0</v>
      </c>
      <c r="AS179" t="n">
        <v>0</v>
      </c>
      <c r="AT179" t="n">
        <v>234</v>
      </c>
      <c r="AU179" t="n">
        <v>156</v>
      </c>
      <c r="AV179" t="n">
        <v>0</v>
      </c>
      <c r="AW179" t="n">
        <v>390</v>
      </c>
      <c r="AX179" t="n">
        <v>312</v>
      </c>
      <c r="AY179" t="n">
        <v>0</v>
      </c>
      <c r="AZ179" t="n">
        <v>0</v>
      </c>
      <c r="BA179" t="n">
        <v>312</v>
      </c>
      <c r="BB179" t="n">
        <v>0</v>
      </c>
      <c r="BC179" t="n">
        <v>0</v>
      </c>
      <c r="BD179" t="n">
        <v>0</v>
      </c>
      <c r="BE179" t="n">
        <v>14914</v>
      </c>
      <c r="BF179" t="n">
        <v>14914</v>
      </c>
      <c r="BG179">
        <f>IF($F179=0,"0",MIN(
BH179/(30*$F179),
BI179/(61*$F179),
BJ179/(48*$F179),
(BK179+BL179)/(23*$F179),
(BM179+BN179)/(41*$F179),
BO179/(25*$F179),
BP179/(6.6*$F179),
BQ179/(40*$F179),
BS179/(16*$F179)
)*100)</f>
        <v/>
      </c>
      <c r="BH179" t="n">
        <v>90</v>
      </c>
      <c r="BI179" t="n">
        <v>127</v>
      </c>
      <c r="BJ179" t="n">
        <v>127</v>
      </c>
      <c r="BK179" t="n">
        <v>33</v>
      </c>
      <c r="BL179" t="n">
        <v>21</v>
      </c>
      <c r="BM179" t="n">
        <v>93</v>
      </c>
      <c r="BN179" t="n">
        <v>65</v>
      </c>
      <c r="BO179" t="n">
        <v>76</v>
      </c>
      <c r="BP179" t="n">
        <v>30</v>
      </c>
      <c r="BQ179" t="n">
        <v>116</v>
      </c>
      <c r="BR179" t="n">
        <v>116</v>
      </c>
      <c r="BS179" t="n">
        <v>33</v>
      </c>
      <c r="BT179" t="n">
        <v>927</v>
      </c>
      <c r="BU179" t="n">
        <v>83</v>
      </c>
      <c r="BV179" t="n">
        <v>336</v>
      </c>
      <c r="BW179" t="n">
        <v>359</v>
      </c>
      <c r="BX179" t="n">
        <v>74</v>
      </c>
      <c r="BY179" t="n">
        <v>79</v>
      </c>
      <c r="BZ179" t="n">
        <v>83</v>
      </c>
      <c r="CA179" t="n">
        <v>1014</v>
      </c>
      <c r="CB179" t="n">
        <v>16</v>
      </c>
      <c r="CC179" t="n">
        <v>7</v>
      </c>
      <c r="CD179" t="n">
        <v>2</v>
      </c>
      <c r="CE179" t="n">
        <v>6</v>
      </c>
      <c r="CF179" t="n">
        <v>3</v>
      </c>
      <c r="CG179" t="n">
        <v>0</v>
      </c>
      <c r="CH179" t="n">
        <v>0</v>
      </c>
      <c r="CI179" t="n">
        <v>0</v>
      </c>
      <c r="CJ179" t="n">
        <v>0</v>
      </c>
      <c r="CK179" t="n">
        <v>0</v>
      </c>
      <c r="CL179" t="n">
        <v>0</v>
      </c>
      <c r="CM179" t="n">
        <v>0</v>
      </c>
      <c r="CN179" t="n">
        <v>2</v>
      </c>
      <c r="CO179" t="n">
        <v>0</v>
      </c>
      <c r="CP179" t="n">
        <v>1</v>
      </c>
      <c r="CQ179" t="n">
        <v>0</v>
      </c>
      <c r="CR179" t="n">
        <v>0</v>
      </c>
      <c r="CS179" t="n">
        <v>0</v>
      </c>
      <c r="CT179" t="n">
        <v>3</v>
      </c>
      <c r="CU179" t="n">
        <v>0</v>
      </c>
      <c r="CV179" t="n">
        <v>0</v>
      </c>
      <c r="CW179" t="n">
        <v>0</v>
      </c>
      <c r="CX179" t="n">
        <v>0</v>
      </c>
      <c r="CY179" t="n">
        <v>0</v>
      </c>
      <c r="CZ179" t="n">
        <v>0</v>
      </c>
      <c r="DA179" t="n">
        <v>0</v>
      </c>
      <c r="DB179" t="n">
        <v>0</v>
      </c>
      <c r="DC179" t="n">
        <v>0</v>
      </c>
      <c r="DD179" t="n">
        <v>0</v>
      </c>
      <c r="DE179" t="n">
        <v>0</v>
      </c>
      <c r="DF179" t="n">
        <v>6</v>
      </c>
      <c r="DG179" t="n">
        <v>2</v>
      </c>
      <c r="DH179" t="n">
        <v>0</v>
      </c>
      <c r="DI179" t="n">
        <v>0</v>
      </c>
      <c r="DJ179" t="n">
        <v>0</v>
      </c>
      <c r="DK179" t="n">
        <v>0</v>
      </c>
      <c r="DL179" t="n">
        <v>0</v>
      </c>
      <c r="DM179" t="n">
        <v>0</v>
      </c>
      <c r="DN179" t="n">
        <v>0</v>
      </c>
      <c r="DO179" t="n">
        <v>0</v>
      </c>
      <c r="DP179" t="n">
        <v>0</v>
      </c>
      <c r="DQ179" t="n">
        <v>0</v>
      </c>
      <c r="DR179" t="n">
        <v>0</v>
      </c>
      <c r="DS179" t="n">
        <v>8</v>
      </c>
      <c r="DT179" t="n">
        <v>11</v>
      </c>
      <c r="DU179" t="n">
        <v>3</v>
      </c>
      <c r="DV179" t="n">
        <v>0</v>
      </c>
      <c r="DW179" t="n">
        <v>0</v>
      </c>
      <c r="DX179" t="n">
        <v>0</v>
      </c>
      <c r="DY179" t="n">
        <v>123</v>
      </c>
      <c r="DZ179" t="n">
        <v>455</v>
      </c>
      <c r="EA179" t="n">
        <v>221</v>
      </c>
      <c r="EB179" t="n">
        <v>431</v>
      </c>
      <c r="EC179" t="n">
        <v>0</v>
      </c>
      <c r="ED179" t="n">
        <v>369</v>
      </c>
      <c r="EE179" t="n">
        <v>861</v>
      </c>
      <c r="EF179" t="n">
        <v>0</v>
      </c>
      <c r="EG179" t="n">
        <v>1</v>
      </c>
      <c r="EH179" t="n">
        <v>1</v>
      </c>
      <c r="EI179" t="n">
        <v>0.9</v>
      </c>
      <c r="EJ179" t="n">
        <v>0</v>
      </c>
      <c r="EK179" t="n">
        <v>2</v>
      </c>
    </row>
    <row r="180">
      <c r="A180">
        <f>[1]ingredient!B179</f>
        <v/>
      </c>
      <c r="B180" t="inlineStr">
        <is>
          <t>https://www.naehrwertrechner.de/naehrwerte/K120100/Kartoffeln+ungesch%C3%A4lt+roh/?menge=100</t>
        </is>
      </c>
      <c r="C180" s="7">
        <f>_xlfn.XLOOKUP(A180,[1]ingredient!$B$2:$B$521,[1]ingredient!$A$2:$A$521)</f>
        <v/>
      </c>
      <c r="D180" t="n">
        <v>73</v>
      </c>
      <c r="E180" t="n">
        <v>0.01</v>
      </c>
      <c r="F180" t="n">
        <v>2</v>
      </c>
      <c r="G180" t="n">
        <v>16</v>
      </c>
      <c r="H180" t="n">
        <v>1</v>
      </c>
      <c r="I180" t="n">
        <v>1</v>
      </c>
      <c r="J180" t="n">
        <v>0.05</v>
      </c>
      <c r="K180" t="n">
        <v>80</v>
      </c>
      <c r="L180" t="n">
        <v>1</v>
      </c>
      <c r="M180" t="n">
        <v>0.42</v>
      </c>
      <c r="N180" t="n">
        <v>0</v>
      </c>
      <c r="O180" t="n">
        <v>5</v>
      </c>
      <c r="P180" t="n">
        <v>78</v>
      </c>
      <c r="Q180" t="n">
        <v>7</v>
      </c>
      <c r="R180" t="n">
        <v>1220</v>
      </c>
      <c r="S180" t="n">
        <v>1720</v>
      </c>
      <c r="T180" t="n">
        <v>400</v>
      </c>
      <c r="U180" t="n">
        <v>164</v>
      </c>
      <c r="V180" t="n">
        <v>0.4</v>
      </c>
      <c r="W180" t="n">
        <v>15</v>
      </c>
      <c r="X180" t="n">
        <v>0</v>
      </c>
      <c r="Y180" t="n">
        <v>18760</v>
      </c>
      <c r="Z180" t="n">
        <v>0</v>
      </c>
      <c r="AA180" t="n">
        <v>53</v>
      </c>
      <c r="AB180" t="n">
        <v>2</v>
      </c>
      <c r="AC180" t="n">
        <v>3</v>
      </c>
      <c r="AD180" t="n">
        <v>381</v>
      </c>
      <c r="AE180" t="n">
        <v>9</v>
      </c>
      <c r="AF180" t="n">
        <v>22</v>
      </c>
      <c r="AG180" t="n">
        <v>31</v>
      </c>
      <c r="AH180" t="n">
        <v>35</v>
      </c>
      <c r="AI180" t="n">
        <v>45</v>
      </c>
      <c r="AJ180" t="n">
        <v>890</v>
      </c>
      <c r="AK180" t="n">
        <v>423</v>
      </c>
      <c r="AL180" t="n">
        <v>99</v>
      </c>
      <c r="AM180" t="n">
        <v>106</v>
      </c>
      <c r="AN180" t="n">
        <v>10</v>
      </c>
      <c r="AO180" t="n">
        <v>3</v>
      </c>
      <c r="AP180" t="n">
        <v>0</v>
      </c>
      <c r="AQ180" t="n">
        <v>0</v>
      </c>
      <c r="AR180" t="n">
        <v>0</v>
      </c>
      <c r="AS180" t="n">
        <v>0</v>
      </c>
      <c r="AT180" t="n">
        <v>234</v>
      </c>
      <c r="AU180" t="n">
        <v>156</v>
      </c>
      <c r="AV180" t="n">
        <v>0</v>
      </c>
      <c r="AW180" t="n">
        <v>390</v>
      </c>
      <c r="AX180" t="n">
        <v>312</v>
      </c>
      <c r="AY180" t="n">
        <v>0</v>
      </c>
      <c r="AZ180" t="n">
        <v>0</v>
      </c>
      <c r="BA180" t="n">
        <v>312</v>
      </c>
      <c r="BB180" t="n">
        <v>0</v>
      </c>
      <c r="BC180" t="n">
        <v>0</v>
      </c>
      <c r="BD180" t="n">
        <v>0</v>
      </c>
      <c r="BE180" t="n">
        <v>14914</v>
      </c>
      <c r="BF180" t="n">
        <v>14914</v>
      </c>
      <c r="BG180">
        <f>IF($F180=0,"0",MIN(
BH180/(30*$F180),
BI180/(61*$F180),
BJ180/(48*$F180),
(BK180+BL180)/(23*$F180),
(BM180+BN180)/(41*$F180),
BO180/(25*$F180),
BP180/(6.6*$F180),
BQ180/(40*$F180),
BS180/(16*$F180)
)*100)</f>
        <v/>
      </c>
      <c r="BH180" t="n">
        <v>90</v>
      </c>
      <c r="BI180" t="n">
        <v>127</v>
      </c>
      <c r="BJ180" t="n">
        <v>127</v>
      </c>
      <c r="BK180" t="n">
        <v>33</v>
      </c>
      <c r="BL180" t="n">
        <v>21</v>
      </c>
      <c r="BM180" t="n">
        <v>93</v>
      </c>
      <c r="BN180" t="n">
        <v>65</v>
      </c>
      <c r="BO180" t="n">
        <v>76</v>
      </c>
      <c r="BP180" t="n">
        <v>30</v>
      </c>
      <c r="BQ180" t="n">
        <v>116</v>
      </c>
      <c r="BR180" t="n">
        <v>116</v>
      </c>
      <c r="BS180" t="n">
        <v>33</v>
      </c>
      <c r="BT180" t="n">
        <v>927</v>
      </c>
      <c r="BU180" t="n">
        <v>83</v>
      </c>
      <c r="BV180" t="n">
        <v>336</v>
      </c>
      <c r="BW180" t="n">
        <v>359</v>
      </c>
      <c r="BX180" t="n">
        <v>74</v>
      </c>
      <c r="BY180" t="n">
        <v>79</v>
      </c>
      <c r="BZ180" t="n">
        <v>83</v>
      </c>
      <c r="CA180" t="n">
        <v>1014</v>
      </c>
      <c r="CB180" t="n">
        <v>16</v>
      </c>
      <c r="CC180" t="n">
        <v>7</v>
      </c>
      <c r="CD180" t="n">
        <v>2</v>
      </c>
      <c r="CE180" t="n">
        <v>6</v>
      </c>
      <c r="CF180" t="n">
        <v>3</v>
      </c>
      <c r="CG180" t="n">
        <v>0</v>
      </c>
      <c r="CH180" t="n">
        <v>0</v>
      </c>
      <c r="CI180" t="n">
        <v>0</v>
      </c>
      <c r="CJ180" t="n">
        <v>0</v>
      </c>
      <c r="CK180" t="n">
        <v>0</v>
      </c>
      <c r="CL180" t="n">
        <v>0</v>
      </c>
      <c r="CM180" t="n">
        <v>0</v>
      </c>
      <c r="CN180" t="n">
        <v>2</v>
      </c>
      <c r="CO180" t="n">
        <v>0</v>
      </c>
      <c r="CP180" t="n">
        <v>1</v>
      </c>
      <c r="CQ180" t="n">
        <v>0</v>
      </c>
      <c r="CR180" t="n">
        <v>0</v>
      </c>
      <c r="CS180" t="n">
        <v>0</v>
      </c>
      <c r="CT180" t="n">
        <v>3</v>
      </c>
      <c r="CU180" t="n">
        <v>0</v>
      </c>
      <c r="CV180" t="n">
        <v>0</v>
      </c>
      <c r="CW180" t="n">
        <v>0</v>
      </c>
      <c r="CX180" t="n">
        <v>0</v>
      </c>
      <c r="CY180" t="n">
        <v>0</v>
      </c>
      <c r="CZ180" t="n">
        <v>0</v>
      </c>
      <c r="DA180" t="n">
        <v>0</v>
      </c>
      <c r="DB180" t="n">
        <v>0</v>
      </c>
      <c r="DC180" t="n">
        <v>0</v>
      </c>
      <c r="DD180" t="n">
        <v>0</v>
      </c>
      <c r="DE180" t="n">
        <v>0</v>
      </c>
      <c r="DF180" t="n">
        <v>6</v>
      </c>
      <c r="DG180" t="n">
        <v>2</v>
      </c>
      <c r="DH180" t="n">
        <v>0</v>
      </c>
      <c r="DI180" t="n">
        <v>0</v>
      </c>
      <c r="DJ180" t="n">
        <v>0</v>
      </c>
      <c r="DK180" t="n">
        <v>0</v>
      </c>
      <c r="DL180" t="n">
        <v>0</v>
      </c>
      <c r="DM180" t="n">
        <v>0</v>
      </c>
      <c r="DN180" t="n">
        <v>0</v>
      </c>
      <c r="DO180" t="n">
        <v>0</v>
      </c>
      <c r="DP180" t="n">
        <v>0</v>
      </c>
      <c r="DQ180" t="n">
        <v>0</v>
      </c>
      <c r="DR180" t="n">
        <v>0</v>
      </c>
      <c r="DS180" t="n">
        <v>8</v>
      </c>
      <c r="DT180" t="n">
        <v>11</v>
      </c>
      <c r="DU180" t="n">
        <v>3</v>
      </c>
      <c r="DV180" t="n">
        <v>0</v>
      </c>
      <c r="DW180" t="n">
        <v>0</v>
      </c>
      <c r="DX180" t="n">
        <v>0</v>
      </c>
      <c r="DY180" t="n">
        <v>123</v>
      </c>
      <c r="DZ180" t="n">
        <v>455</v>
      </c>
      <c r="EA180" t="n">
        <v>221</v>
      </c>
      <c r="EB180" t="n">
        <v>431</v>
      </c>
      <c r="EC180" t="n">
        <v>0</v>
      </c>
      <c r="ED180" t="n">
        <v>369</v>
      </c>
      <c r="EE180" t="n">
        <v>861</v>
      </c>
      <c r="EF180" t="n">
        <v>0</v>
      </c>
      <c r="EG180" t="n">
        <v>1</v>
      </c>
      <c r="EH180" t="n">
        <v>1</v>
      </c>
      <c r="EI180" t="n">
        <v>0.9</v>
      </c>
      <c r="EJ180" t="n">
        <v>0</v>
      </c>
      <c r="EK180" t="n">
        <v>2</v>
      </c>
    </row>
    <row r="181">
      <c r="A181">
        <f>[1]ingredient!B180</f>
        <v/>
      </c>
      <c r="B181" t="inlineStr">
        <is>
          <t>https://www.naehrwertrechner.de/naehrwerte/G069111/Kerbel+frisch/?menge=100</t>
        </is>
      </c>
      <c r="C181" s="7">
        <f>_xlfn.XLOOKUP(A181,[1]ingredient!$B$2:$B$521,[1]ingredient!$A$2:$A$521)</f>
        <v/>
      </c>
      <c r="D181" t="n">
        <v>48</v>
      </c>
      <c r="E181" t="n">
        <v>1</v>
      </c>
      <c r="F181" t="n">
        <v>4</v>
      </c>
      <c r="G181" t="n">
        <v>6</v>
      </c>
      <c r="H181" t="n">
        <v>5</v>
      </c>
      <c r="I181" t="n">
        <v>6</v>
      </c>
      <c r="J181" t="n">
        <v>0.08</v>
      </c>
      <c r="K181" t="n">
        <v>80</v>
      </c>
      <c r="L181" t="n">
        <v>917</v>
      </c>
      <c r="M181" t="n">
        <v>458</v>
      </c>
      <c r="N181" t="n">
        <v>0</v>
      </c>
      <c r="O181" t="n">
        <v>5500</v>
      </c>
      <c r="P181" t="n">
        <v>125</v>
      </c>
      <c r="Q181" t="n">
        <v>640</v>
      </c>
      <c r="R181" t="n">
        <v>1500</v>
      </c>
      <c r="S181" t="n">
        <v>2317</v>
      </c>
      <c r="T181" t="n">
        <v>150</v>
      </c>
      <c r="U181" t="n">
        <v>26</v>
      </c>
      <c r="V181" t="n">
        <v>2</v>
      </c>
      <c r="W181" t="n">
        <v>10</v>
      </c>
      <c r="X181" t="n">
        <v>0</v>
      </c>
      <c r="Y181" t="n">
        <v>35000</v>
      </c>
      <c r="Z181" t="n">
        <v>0</v>
      </c>
      <c r="AA181" t="n">
        <v>2900</v>
      </c>
      <c r="AB181" t="n">
        <v>300</v>
      </c>
      <c r="AC181" t="n">
        <v>10</v>
      </c>
      <c r="AD181" t="n">
        <v>597</v>
      </c>
      <c r="AE181" t="n">
        <v>400</v>
      </c>
      <c r="AF181" t="n">
        <v>34</v>
      </c>
      <c r="AG181" t="n">
        <v>30</v>
      </c>
      <c r="AH181" t="n">
        <v>50</v>
      </c>
      <c r="AI181" t="n">
        <v>70</v>
      </c>
      <c r="AJ181" t="n">
        <v>1600</v>
      </c>
      <c r="AK181" t="n">
        <v>1100</v>
      </c>
      <c r="AL181" t="n">
        <v>73</v>
      </c>
      <c r="AM181" t="n">
        <v>1700</v>
      </c>
      <c r="AN181" t="n">
        <v>70</v>
      </c>
      <c r="AO181" t="n">
        <v>3</v>
      </c>
      <c r="AP181" t="n">
        <v>0</v>
      </c>
      <c r="AQ181" t="n">
        <v>0</v>
      </c>
      <c r="AR181" t="n">
        <v>0</v>
      </c>
      <c r="AS181" t="n">
        <v>0</v>
      </c>
      <c r="AT181" t="n">
        <v>1480</v>
      </c>
      <c r="AU181" t="n">
        <v>1480</v>
      </c>
      <c r="AV181" t="n">
        <v>0</v>
      </c>
      <c r="AW181" t="n">
        <v>4960</v>
      </c>
      <c r="AX181" t="n">
        <v>1178</v>
      </c>
      <c r="AY181" t="n">
        <v>0</v>
      </c>
      <c r="AZ181" t="n">
        <v>0</v>
      </c>
      <c r="BA181" t="n">
        <v>1178</v>
      </c>
      <c r="BB181" t="n">
        <v>0</v>
      </c>
      <c r="BC181" t="n">
        <v>0</v>
      </c>
      <c r="BD181" t="n">
        <v>0</v>
      </c>
      <c r="BE181" t="n">
        <v>62</v>
      </c>
      <c r="BF181" t="n">
        <v>62</v>
      </c>
      <c r="BG181">
        <f>IF($F181=0,"0",MIN(
BH181/(30*$F181),
BI181/(61*$F181),
BJ181/(48*$F181),
(BK181+BL181)/(23*$F181),
(BM181+BN181)/(41*$F181),
BO181/(25*$F181),
BP181/(6.6*$F181),
BQ181/(40*$F181),
BS181/(16*$F181)
)*100)</f>
        <v/>
      </c>
      <c r="BH181" t="n">
        <v>176</v>
      </c>
      <c r="BI181" t="n">
        <v>303</v>
      </c>
      <c r="BJ181" t="n">
        <v>238</v>
      </c>
      <c r="BK181" t="n">
        <v>66</v>
      </c>
      <c r="BL181" t="n">
        <v>33</v>
      </c>
      <c r="BM181" t="n">
        <v>193</v>
      </c>
      <c r="BN181" t="n">
        <v>123</v>
      </c>
      <c r="BO181" t="n">
        <v>148</v>
      </c>
      <c r="BP181" t="n">
        <v>49</v>
      </c>
      <c r="BQ181" t="n">
        <v>234</v>
      </c>
      <c r="BR181" t="n">
        <v>176</v>
      </c>
      <c r="BS181" t="n">
        <v>78</v>
      </c>
      <c r="BT181" t="n">
        <v>1817</v>
      </c>
      <c r="BU181" t="n">
        <v>246</v>
      </c>
      <c r="BV181" t="n">
        <v>381</v>
      </c>
      <c r="BW181" t="n">
        <v>447</v>
      </c>
      <c r="BX181" t="n">
        <v>180</v>
      </c>
      <c r="BY181" t="n">
        <v>156</v>
      </c>
      <c r="BZ181" t="n">
        <v>176</v>
      </c>
      <c r="CA181" t="n">
        <v>1586</v>
      </c>
      <c r="CB181" t="n">
        <v>15</v>
      </c>
      <c r="CC181" t="n">
        <v>6</v>
      </c>
      <c r="CD181" t="n">
        <v>271</v>
      </c>
      <c r="CE181" t="n">
        <v>127</v>
      </c>
      <c r="CF181" t="n">
        <v>0.47</v>
      </c>
      <c r="CG181" t="n">
        <v>0</v>
      </c>
      <c r="CH181" t="n">
        <v>0</v>
      </c>
      <c r="CI181" t="n">
        <v>0</v>
      </c>
      <c r="CJ181" t="n">
        <v>0</v>
      </c>
      <c r="CK181" t="n">
        <v>0</v>
      </c>
      <c r="CL181" t="n">
        <v>0</v>
      </c>
      <c r="CM181" t="n">
        <v>0</v>
      </c>
      <c r="CN181" t="n">
        <v>67</v>
      </c>
      <c r="CO181" t="n">
        <v>0</v>
      </c>
      <c r="CP181" t="n">
        <v>3</v>
      </c>
      <c r="CQ181" t="n">
        <v>0</v>
      </c>
      <c r="CR181" t="n">
        <v>0</v>
      </c>
      <c r="CS181" t="n">
        <v>0</v>
      </c>
      <c r="CT181" t="n">
        <v>70</v>
      </c>
      <c r="CU181" t="n">
        <v>0</v>
      </c>
      <c r="CV181" t="n">
        <v>0</v>
      </c>
      <c r="CW181" t="n">
        <v>12</v>
      </c>
      <c r="CX181" t="n">
        <v>0</v>
      </c>
      <c r="CY181" t="n">
        <v>0</v>
      </c>
      <c r="CZ181" t="n">
        <v>0</v>
      </c>
      <c r="DA181" t="n">
        <v>0</v>
      </c>
      <c r="DB181" t="n">
        <v>0</v>
      </c>
      <c r="DC181" t="n">
        <v>12</v>
      </c>
      <c r="DD181" t="n">
        <v>0</v>
      </c>
      <c r="DE181" t="n">
        <v>0</v>
      </c>
      <c r="DF181" t="n">
        <v>127</v>
      </c>
      <c r="DG181" t="n">
        <v>271</v>
      </c>
      <c r="DH181" t="n">
        <v>0</v>
      </c>
      <c r="DI181" t="n">
        <v>0</v>
      </c>
      <c r="DJ181" t="n">
        <v>0</v>
      </c>
      <c r="DK181" t="n">
        <v>0</v>
      </c>
      <c r="DL181" t="n">
        <v>0</v>
      </c>
      <c r="DM181" t="n">
        <v>0</v>
      </c>
      <c r="DN181" t="n">
        <v>0</v>
      </c>
      <c r="DO181" t="n">
        <v>0</v>
      </c>
      <c r="DP181" t="n">
        <v>0</v>
      </c>
      <c r="DQ181" t="n">
        <v>0</v>
      </c>
      <c r="DR181" t="n">
        <v>0</v>
      </c>
      <c r="DS181" t="n">
        <v>398</v>
      </c>
      <c r="DT181" t="n">
        <v>480</v>
      </c>
      <c r="DU181" t="n">
        <v>120</v>
      </c>
      <c r="DV181" t="n">
        <v>0</v>
      </c>
      <c r="DW181" t="n">
        <v>0</v>
      </c>
      <c r="DX181" t="n">
        <v>0</v>
      </c>
      <c r="DY181" t="n">
        <v>795</v>
      </c>
      <c r="DZ181" t="n">
        <v>1060</v>
      </c>
      <c r="EA181" t="n">
        <v>1431</v>
      </c>
      <c r="EB181" t="n">
        <v>1855</v>
      </c>
      <c r="EC181" t="n">
        <v>159</v>
      </c>
      <c r="ED181" t="n">
        <v>159</v>
      </c>
      <c r="EE181" t="n">
        <v>3710</v>
      </c>
      <c r="EF181" t="n">
        <v>0</v>
      </c>
      <c r="EG181" t="n">
        <v>0.25</v>
      </c>
      <c r="EH181" t="n">
        <v>3.5</v>
      </c>
      <c r="EI181" t="n">
        <v>3.7</v>
      </c>
      <c r="EJ181" t="n">
        <v>0.6</v>
      </c>
      <c r="EK181" t="n">
        <v>3.5</v>
      </c>
    </row>
    <row r="182">
      <c r="A182">
        <f>[1]ingredient!B181</f>
        <v/>
      </c>
      <c r="B182" t="inlineStr">
        <is>
          <t>https://www.naehrwertrechner.de/naehrwerte/G069411/Kerbel+getrocknet/?menge=100</t>
        </is>
      </c>
      <c r="C182" s="7">
        <f>_xlfn.XLOOKUP(A182,[1]ingredient!$B$2:$B$521,[1]ingredient!$A$2:$A$521)</f>
        <v/>
      </c>
      <c r="D182" t="n">
        <v>227</v>
      </c>
      <c r="E182" t="n">
        <v>3</v>
      </c>
      <c r="F182" t="n">
        <v>20</v>
      </c>
      <c r="G182" t="n">
        <v>29</v>
      </c>
      <c r="H182" t="n">
        <v>26</v>
      </c>
      <c r="I182" t="n">
        <v>28</v>
      </c>
      <c r="J182" t="n">
        <v>0.35</v>
      </c>
      <c r="K182" t="n">
        <v>6</v>
      </c>
      <c r="L182" t="n">
        <v>4024</v>
      </c>
      <c r="M182" t="n">
        <v>2011</v>
      </c>
      <c r="N182" t="n">
        <v>0</v>
      </c>
      <c r="O182" t="n">
        <v>24127</v>
      </c>
      <c r="P182" t="n">
        <v>518</v>
      </c>
      <c r="Q182" t="n">
        <v>1574</v>
      </c>
      <c r="R182" t="n">
        <v>6943</v>
      </c>
      <c r="S182" t="n">
        <v>10893</v>
      </c>
      <c r="T182" t="n">
        <v>658</v>
      </c>
      <c r="U182" t="n">
        <v>121</v>
      </c>
      <c r="V182" t="n">
        <v>10</v>
      </c>
      <c r="W182" t="n">
        <v>48</v>
      </c>
      <c r="X182" t="n">
        <v>0</v>
      </c>
      <c r="Y182" t="n">
        <v>93826</v>
      </c>
      <c r="Z182" t="n">
        <v>0</v>
      </c>
      <c r="AA182" t="n">
        <v>12720</v>
      </c>
      <c r="AB182" t="n">
        <v>1462</v>
      </c>
      <c r="AC182" t="n">
        <v>44</v>
      </c>
      <c r="AD182" t="n">
        <v>2469</v>
      </c>
      <c r="AE182" t="n">
        <v>1753</v>
      </c>
      <c r="AF182" t="n">
        <v>150</v>
      </c>
      <c r="AG182" t="n">
        <v>131</v>
      </c>
      <c r="AH182" t="n">
        <v>218</v>
      </c>
      <c r="AI182" t="n">
        <v>305</v>
      </c>
      <c r="AJ182" t="n">
        <v>6629</v>
      </c>
      <c r="AK182" t="n">
        <v>4827</v>
      </c>
      <c r="AL182" t="n">
        <v>320</v>
      </c>
      <c r="AM182" t="n">
        <v>7456</v>
      </c>
      <c r="AN182" t="n">
        <v>305</v>
      </c>
      <c r="AO182" t="n">
        <v>15</v>
      </c>
      <c r="AP182" t="n">
        <v>0</v>
      </c>
      <c r="AQ182" t="n">
        <v>0</v>
      </c>
      <c r="AR182" t="n">
        <v>0</v>
      </c>
      <c r="AS182" t="n">
        <v>0</v>
      </c>
      <c r="AT182" t="n">
        <v>11480</v>
      </c>
      <c r="AU182" t="n">
        <v>11484</v>
      </c>
      <c r="AV182" t="n">
        <v>0</v>
      </c>
      <c r="AW182" t="n">
        <v>22964</v>
      </c>
      <c r="AX182" t="n">
        <v>5457</v>
      </c>
      <c r="AY182" t="n">
        <v>0</v>
      </c>
      <c r="AZ182" t="n">
        <v>0</v>
      </c>
      <c r="BA182" t="n">
        <v>5457</v>
      </c>
      <c r="BB182" t="n">
        <v>0</v>
      </c>
      <c r="BC182" t="n">
        <v>0</v>
      </c>
      <c r="BD182" t="n">
        <v>0</v>
      </c>
      <c r="BE182" t="n">
        <v>286</v>
      </c>
      <c r="BF182" t="n">
        <v>286</v>
      </c>
      <c r="BG182">
        <f>IF($F182=0,"0",MIN(
BH182/(30*$F182),
BI182/(61*$F182),
BJ182/(48*$F182),
(BK182+BL182)/(23*$F182),
(BM182+BN182)/(41*$F182),
BO182/(25*$F182),
BP182/(6.6*$F182),
BQ182/(40*$F182),
BS182/(16*$F182)
)*100)</f>
        <v/>
      </c>
      <c r="BH182" t="n">
        <v>857</v>
      </c>
      <c r="BI182" t="n">
        <v>1472</v>
      </c>
      <c r="BJ182" t="n">
        <v>1162</v>
      </c>
      <c r="BK182" t="n">
        <v>320</v>
      </c>
      <c r="BL182" t="n">
        <v>160</v>
      </c>
      <c r="BM182" t="n">
        <v>939</v>
      </c>
      <c r="BN182" t="n">
        <v>600</v>
      </c>
      <c r="BO182" t="n">
        <v>721</v>
      </c>
      <c r="BP182" t="n">
        <v>237</v>
      </c>
      <c r="BQ182" t="n">
        <v>1143</v>
      </c>
      <c r="BR182" t="n">
        <v>857</v>
      </c>
      <c r="BS182" t="n">
        <v>383</v>
      </c>
      <c r="BT182" t="n">
        <v>8851</v>
      </c>
      <c r="BU182" t="n">
        <v>1201</v>
      </c>
      <c r="BV182" t="n">
        <v>1859</v>
      </c>
      <c r="BW182" t="n">
        <v>2179</v>
      </c>
      <c r="BX182" t="n">
        <v>876</v>
      </c>
      <c r="BY182" t="n">
        <v>760</v>
      </c>
      <c r="BZ182" t="n">
        <v>857</v>
      </c>
      <c r="CA182" t="n">
        <v>7732</v>
      </c>
      <c r="CB182" t="n">
        <v>73</v>
      </c>
      <c r="CC182" t="n">
        <v>30</v>
      </c>
      <c r="CD182" t="n">
        <v>1321</v>
      </c>
      <c r="CE182" t="n">
        <v>620</v>
      </c>
      <c r="CF182" t="n">
        <v>0.47</v>
      </c>
      <c r="CG182" t="n">
        <v>0</v>
      </c>
      <c r="CH182" t="n">
        <v>0</v>
      </c>
      <c r="CI182" t="n">
        <v>0</v>
      </c>
      <c r="CJ182" t="n">
        <v>0</v>
      </c>
      <c r="CK182" t="n">
        <v>0</v>
      </c>
      <c r="CL182" t="n">
        <v>0</v>
      </c>
      <c r="CM182" t="n">
        <v>0</v>
      </c>
      <c r="CN182" t="n">
        <v>324</v>
      </c>
      <c r="CO182" t="n">
        <v>0</v>
      </c>
      <c r="CP182" t="n">
        <v>15</v>
      </c>
      <c r="CQ182" t="n">
        <v>0</v>
      </c>
      <c r="CR182" t="n">
        <v>0</v>
      </c>
      <c r="CS182" t="n">
        <v>0</v>
      </c>
      <c r="CT182" t="n">
        <v>339</v>
      </c>
      <c r="CU182" t="n">
        <v>0</v>
      </c>
      <c r="CV182" t="n">
        <v>0</v>
      </c>
      <c r="CW182" t="n">
        <v>58</v>
      </c>
      <c r="CX182" t="n">
        <v>0</v>
      </c>
      <c r="CY182" t="n">
        <v>0</v>
      </c>
      <c r="CZ182" t="n">
        <v>0</v>
      </c>
      <c r="DA182" t="n">
        <v>0</v>
      </c>
      <c r="DB182" t="n">
        <v>0</v>
      </c>
      <c r="DC182" t="n">
        <v>58</v>
      </c>
      <c r="DD182" t="n">
        <v>0</v>
      </c>
      <c r="DE182" t="n">
        <v>0</v>
      </c>
      <c r="DF182" t="n">
        <v>620</v>
      </c>
      <c r="DG182" t="n">
        <v>1321</v>
      </c>
      <c r="DH182" t="n">
        <v>0</v>
      </c>
      <c r="DI182" t="n">
        <v>0</v>
      </c>
      <c r="DJ182" t="n">
        <v>0</v>
      </c>
      <c r="DK182" t="n">
        <v>0</v>
      </c>
      <c r="DL182" t="n">
        <v>0</v>
      </c>
      <c r="DM182" t="n">
        <v>0</v>
      </c>
      <c r="DN182" t="n">
        <v>0</v>
      </c>
      <c r="DO182" t="n">
        <v>0</v>
      </c>
      <c r="DP182" t="n">
        <v>0</v>
      </c>
      <c r="DQ182" t="n">
        <v>0</v>
      </c>
      <c r="DR182" t="n">
        <v>0</v>
      </c>
      <c r="DS182" t="n">
        <v>1941</v>
      </c>
      <c r="DT182" t="n">
        <v>2338</v>
      </c>
      <c r="DU182" t="n">
        <v>586</v>
      </c>
      <c r="DV182" t="n">
        <v>0</v>
      </c>
      <c r="DW182" t="n">
        <v>0</v>
      </c>
      <c r="DX182" t="n">
        <v>0</v>
      </c>
      <c r="DY182" t="n">
        <v>3873</v>
      </c>
      <c r="DZ182" t="n">
        <v>5166</v>
      </c>
      <c r="EA182" t="n">
        <v>6977</v>
      </c>
      <c r="EB182" t="n">
        <v>9040</v>
      </c>
      <c r="EC182" t="n">
        <v>775</v>
      </c>
      <c r="ED182" t="n">
        <v>7752</v>
      </c>
      <c r="EE182" t="n">
        <v>18084</v>
      </c>
      <c r="EF182" t="n">
        <v>0</v>
      </c>
      <c r="EG182" t="n">
        <v>1</v>
      </c>
      <c r="EH182" t="n">
        <v>15.3</v>
      </c>
      <c r="EI182" t="n">
        <v>18.1</v>
      </c>
      <c r="EJ182" t="n">
        <v>2.9</v>
      </c>
      <c r="EK182" t="n">
        <v>16.8</v>
      </c>
    </row>
    <row r="183">
      <c r="A183">
        <f>[1]ingredient!B182</f>
        <v/>
      </c>
      <c r="B183" t="inlineStr">
        <is>
          <t>https://www.naehrwertrechner.de/naehrwerte/G770400/Kichererbsen+getrocknet/?menge=100</t>
        </is>
      </c>
      <c r="C183" s="7">
        <f>_xlfn.XLOOKUP(A183,[1]ingredient!$B$2:$B$521,[1]ingredient!$A$2:$A$521)</f>
        <v/>
      </c>
      <c r="D183" t="n">
        <v>310</v>
      </c>
      <c r="E183" t="n">
        <v>6</v>
      </c>
      <c r="F183" t="n">
        <v>19</v>
      </c>
      <c r="G183" t="n">
        <v>44</v>
      </c>
      <c r="H183" t="n">
        <v>16</v>
      </c>
      <c r="I183" t="n">
        <v>2</v>
      </c>
      <c r="J183" t="n">
        <v>0.1</v>
      </c>
      <c r="K183" t="n">
        <v>9</v>
      </c>
      <c r="L183" t="n">
        <v>30</v>
      </c>
      <c r="M183" t="n">
        <v>15</v>
      </c>
      <c r="N183" t="n">
        <v>0</v>
      </c>
      <c r="O183" t="n">
        <v>180</v>
      </c>
      <c r="P183" t="n">
        <v>517</v>
      </c>
      <c r="Q183" t="n">
        <v>134</v>
      </c>
      <c r="R183" t="n">
        <v>1720</v>
      </c>
      <c r="S183" t="n">
        <v>4387</v>
      </c>
      <c r="T183" t="n">
        <v>1320</v>
      </c>
      <c r="U183" t="n">
        <v>560</v>
      </c>
      <c r="V183" t="n">
        <v>6</v>
      </c>
      <c r="W183" t="n">
        <v>340</v>
      </c>
      <c r="X183" t="n">
        <v>0</v>
      </c>
      <c r="Y183" t="n">
        <v>5080</v>
      </c>
      <c r="Z183" t="n">
        <v>0</v>
      </c>
      <c r="AA183" t="n">
        <v>5850</v>
      </c>
      <c r="AB183" t="n">
        <v>264</v>
      </c>
      <c r="AC183" t="n">
        <v>23</v>
      </c>
      <c r="AD183" t="n">
        <v>800</v>
      </c>
      <c r="AE183" t="n">
        <v>124</v>
      </c>
      <c r="AF183" t="n">
        <v>126</v>
      </c>
      <c r="AG183" t="n">
        <v>332</v>
      </c>
      <c r="AH183" t="n">
        <v>114</v>
      </c>
      <c r="AI183" t="n">
        <v>80</v>
      </c>
      <c r="AJ183" t="n">
        <v>6089</v>
      </c>
      <c r="AK183" t="n">
        <v>2373</v>
      </c>
      <c r="AL183" t="n">
        <v>448</v>
      </c>
      <c r="AM183" t="n">
        <v>2713</v>
      </c>
      <c r="AN183" t="n">
        <v>62</v>
      </c>
      <c r="AO183" t="n">
        <v>9</v>
      </c>
      <c r="AP183" t="n">
        <v>0</v>
      </c>
      <c r="AQ183" t="n">
        <v>0</v>
      </c>
      <c r="AR183" t="n">
        <v>0</v>
      </c>
      <c r="AS183" t="n">
        <v>0</v>
      </c>
      <c r="AT183" t="n">
        <v>89</v>
      </c>
      <c r="AU183" t="n">
        <v>89</v>
      </c>
      <c r="AV183" t="n">
        <v>0</v>
      </c>
      <c r="AW183" t="n">
        <v>178</v>
      </c>
      <c r="AX183" t="n">
        <v>2233</v>
      </c>
      <c r="AY183" t="n">
        <v>0</v>
      </c>
      <c r="AZ183" t="n">
        <v>0</v>
      </c>
      <c r="BA183" t="n">
        <v>2233</v>
      </c>
      <c r="BB183" t="n">
        <v>1627</v>
      </c>
      <c r="BC183" t="n">
        <v>2722</v>
      </c>
      <c r="BD183" t="n">
        <v>0</v>
      </c>
      <c r="BE183" t="n">
        <v>39799</v>
      </c>
      <c r="BF183" t="n">
        <v>39799</v>
      </c>
      <c r="BG183">
        <f>IF($F183=0,"0",MIN(
BH183/(30*$F183),
BI183/(61*$F183),
BJ183/(48*$F183),
(BK183+BL183)/(23*$F183),
(BM183+BN183)/(41*$F183),
BO183/(25*$F183),
BP183/(6.6*$F183),
BQ183/(40*$F183),
BS183/(16*$F183)
)*100)</f>
        <v/>
      </c>
      <c r="BH183" t="n">
        <v>1140</v>
      </c>
      <c r="BI183" t="n">
        <v>1460</v>
      </c>
      <c r="BJ183" t="n">
        <v>1370</v>
      </c>
      <c r="BK183" t="n">
        <v>260</v>
      </c>
      <c r="BL183" t="n">
        <v>280</v>
      </c>
      <c r="BM183" t="n">
        <v>960</v>
      </c>
      <c r="BN183" t="n">
        <v>660</v>
      </c>
      <c r="BO183" t="n">
        <v>700</v>
      </c>
      <c r="BP183" t="n">
        <v>160</v>
      </c>
      <c r="BQ183" t="n">
        <v>980</v>
      </c>
      <c r="BR183" t="n">
        <v>1480</v>
      </c>
      <c r="BS183" t="n">
        <v>530</v>
      </c>
      <c r="BT183" t="n">
        <v>9980</v>
      </c>
      <c r="BU183" t="n">
        <v>832</v>
      </c>
      <c r="BV183" t="n">
        <v>2265</v>
      </c>
      <c r="BW183" t="n">
        <v>3094</v>
      </c>
      <c r="BX183" t="n">
        <v>774</v>
      </c>
      <c r="BY183" t="n">
        <v>813</v>
      </c>
      <c r="BZ183" t="n">
        <v>989</v>
      </c>
      <c r="CA183" t="n">
        <v>8767</v>
      </c>
      <c r="CB183" t="n">
        <v>109</v>
      </c>
      <c r="CC183" t="n">
        <v>45</v>
      </c>
      <c r="CD183" t="n">
        <v>1420</v>
      </c>
      <c r="CE183" t="n">
        <v>1890</v>
      </c>
      <c r="CF183" t="n">
        <v>1.33</v>
      </c>
      <c r="CG183" t="n">
        <v>0</v>
      </c>
      <c r="CH183" t="n">
        <v>0</v>
      </c>
      <c r="CI183" t="n">
        <v>0</v>
      </c>
      <c r="CJ183" t="n">
        <v>0</v>
      </c>
      <c r="CK183" t="n">
        <v>0</v>
      </c>
      <c r="CL183" t="n">
        <v>24</v>
      </c>
      <c r="CM183" t="n">
        <v>0</v>
      </c>
      <c r="CN183" t="n">
        <v>923</v>
      </c>
      <c r="CO183" t="n">
        <v>0</v>
      </c>
      <c r="CP183" t="n">
        <v>143</v>
      </c>
      <c r="CQ183" t="n">
        <v>0</v>
      </c>
      <c r="CR183" t="n">
        <v>0</v>
      </c>
      <c r="CS183" t="n">
        <v>0</v>
      </c>
      <c r="CT183" t="n">
        <v>1090</v>
      </c>
      <c r="CU183" t="n">
        <v>0</v>
      </c>
      <c r="CV183" t="n">
        <v>0</v>
      </c>
      <c r="CW183" t="n">
        <v>47</v>
      </c>
      <c r="CX183" t="n">
        <v>0</v>
      </c>
      <c r="CY183" t="n">
        <v>286</v>
      </c>
      <c r="CZ183" t="n">
        <v>0</v>
      </c>
      <c r="DA183" t="n">
        <v>0</v>
      </c>
      <c r="DB183" t="n">
        <v>0</v>
      </c>
      <c r="DC183" t="n">
        <v>333</v>
      </c>
      <c r="DD183" t="n">
        <v>0</v>
      </c>
      <c r="DE183" t="n">
        <v>0</v>
      </c>
      <c r="DF183" t="n">
        <v>1890</v>
      </c>
      <c r="DG183" t="n">
        <v>1420</v>
      </c>
      <c r="DH183" t="n">
        <v>0</v>
      </c>
      <c r="DI183" t="n">
        <v>0</v>
      </c>
      <c r="DJ183" t="n">
        <v>0</v>
      </c>
      <c r="DK183" t="n">
        <v>0</v>
      </c>
      <c r="DL183" t="n">
        <v>0</v>
      </c>
      <c r="DM183" t="n">
        <v>0</v>
      </c>
      <c r="DN183" t="n">
        <v>0</v>
      </c>
      <c r="DO183" t="n">
        <v>0</v>
      </c>
      <c r="DP183" t="n">
        <v>0</v>
      </c>
      <c r="DQ183" t="n">
        <v>0</v>
      </c>
      <c r="DR183" t="n">
        <v>0</v>
      </c>
      <c r="DS183" t="n">
        <v>3310</v>
      </c>
      <c r="DT183" t="n">
        <v>4733</v>
      </c>
      <c r="DU183" t="n">
        <v>1184</v>
      </c>
      <c r="DV183" t="n">
        <v>0</v>
      </c>
      <c r="DW183" t="n">
        <v>0</v>
      </c>
      <c r="DX183" t="n">
        <v>0</v>
      </c>
      <c r="DY183" t="n">
        <v>2328</v>
      </c>
      <c r="DZ183" t="n">
        <v>5121</v>
      </c>
      <c r="EA183" t="n">
        <v>778</v>
      </c>
      <c r="EB183" t="n">
        <v>6983</v>
      </c>
      <c r="EC183" t="n">
        <v>311</v>
      </c>
      <c r="ED183" t="n">
        <v>4410</v>
      </c>
      <c r="EE183" t="n">
        <v>11100</v>
      </c>
      <c r="EF183" t="n">
        <v>0</v>
      </c>
      <c r="EG183" t="n">
        <v>1</v>
      </c>
      <c r="EH183" t="n">
        <v>2.9</v>
      </c>
      <c r="EI183" t="n">
        <v>11.1</v>
      </c>
      <c r="EJ183" t="n">
        <v>5.9</v>
      </c>
      <c r="EK183" t="n">
        <v>19.1</v>
      </c>
    </row>
    <row r="184">
      <c r="A184">
        <f>[1]ingredient!B183</f>
        <v/>
      </c>
      <c r="B184" t="inlineStr">
        <is>
          <t>https://www.naehrwertrechner.de/naehrwerte/G770902/Kichererbsen+Konserve+abgetropft/?menge=100</t>
        </is>
      </c>
      <c r="C184" s="7">
        <f>_xlfn.XLOOKUP(A184,[1]ingredient!$B$2:$B$521,[1]ingredient!$A$2:$A$521)</f>
        <v/>
      </c>
      <c r="D184" t="n">
        <v>125</v>
      </c>
      <c r="E184" t="n">
        <v>3</v>
      </c>
      <c r="F184" t="n">
        <v>7</v>
      </c>
      <c r="G184" t="n">
        <v>17</v>
      </c>
      <c r="H184" t="n">
        <v>4</v>
      </c>
      <c r="I184" t="n">
        <v>1</v>
      </c>
      <c r="J184" t="n">
        <v>1</v>
      </c>
      <c r="K184" t="n">
        <v>65</v>
      </c>
      <c r="L184" t="n">
        <v>98</v>
      </c>
      <c r="M184" t="n">
        <v>49</v>
      </c>
      <c r="N184" t="n">
        <v>0</v>
      </c>
      <c r="O184" t="n">
        <v>586</v>
      </c>
      <c r="P184" t="n">
        <v>126</v>
      </c>
      <c r="Q184" t="n">
        <v>73</v>
      </c>
      <c r="R184" t="n">
        <v>1264</v>
      </c>
      <c r="S184" t="n">
        <v>2414</v>
      </c>
      <c r="T184" t="n">
        <v>370</v>
      </c>
      <c r="U184" t="n">
        <v>56</v>
      </c>
      <c r="V184" t="n">
        <v>2</v>
      </c>
      <c r="W184" t="n">
        <v>7</v>
      </c>
      <c r="X184" t="n">
        <v>0</v>
      </c>
      <c r="Y184" t="n">
        <v>6751</v>
      </c>
      <c r="Z184" t="n">
        <v>0</v>
      </c>
      <c r="AA184" t="n">
        <v>2916</v>
      </c>
      <c r="AB184" t="n">
        <v>0</v>
      </c>
      <c r="AC184" t="n">
        <v>240</v>
      </c>
      <c r="AD184" t="n">
        <v>32</v>
      </c>
      <c r="AE184" t="n">
        <v>59</v>
      </c>
      <c r="AF184" t="n">
        <v>44</v>
      </c>
      <c r="AG184" t="n">
        <v>79</v>
      </c>
      <c r="AH184" t="n">
        <v>44</v>
      </c>
      <c r="AI184" t="n">
        <v>513</v>
      </c>
      <c r="AJ184" t="n">
        <v>2168</v>
      </c>
      <c r="AK184" t="n">
        <v>1175</v>
      </c>
      <c r="AL184" t="n">
        <v>315</v>
      </c>
      <c r="AM184" t="n">
        <v>1061</v>
      </c>
      <c r="AN184" t="n">
        <v>31</v>
      </c>
      <c r="AO184" t="n">
        <v>4</v>
      </c>
      <c r="AP184" t="n">
        <v>0</v>
      </c>
      <c r="AQ184" t="n">
        <v>0</v>
      </c>
      <c r="AR184" t="n">
        <v>0</v>
      </c>
      <c r="AS184" t="n">
        <v>0</v>
      </c>
      <c r="AT184" t="n">
        <v>479</v>
      </c>
      <c r="AU184" t="n">
        <v>320</v>
      </c>
      <c r="AV184" t="n">
        <v>0</v>
      </c>
      <c r="AW184" t="n">
        <v>799</v>
      </c>
      <c r="AX184" t="n">
        <v>332</v>
      </c>
      <c r="AY184" t="n">
        <v>0</v>
      </c>
      <c r="AZ184" t="n">
        <v>0</v>
      </c>
      <c r="BA184" t="n">
        <v>332</v>
      </c>
      <c r="BB184" t="n">
        <v>641</v>
      </c>
      <c r="BC184" t="n">
        <v>1220</v>
      </c>
      <c r="BD184" t="n">
        <v>0</v>
      </c>
      <c r="BE184" t="n">
        <v>15665</v>
      </c>
      <c r="BF184" t="n">
        <v>15665</v>
      </c>
      <c r="BG184">
        <f>IF($F184=0,"0",MIN(
BH184/(30*$F184),
BI184/(61*$F184),
BJ184/(48*$F184),
(BK184+BL184)/(23*$F184),
(BM184+BN184)/(41*$F184),
BO184/(25*$F184),
BP184/(6.6*$F184),
BQ184/(40*$F184),
BS184/(16*$F184)
)*100)</f>
        <v/>
      </c>
      <c r="BH184" t="n">
        <v>425</v>
      </c>
      <c r="BI184" t="n">
        <v>569</v>
      </c>
      <c r="BJ184" t="n">
        <v>516</v>
      </c>
      <c r="BK184" t="n">
        <v>82</v>
      </c>
      <c r="BL184" t="n">
        <v>93</v>
      </c>
      <c r="BM184" t="n">
        <v>364</v>
      </c>
      <c r="BN184" t="n">
        <v>267</v>
      </c>
      <c r="BO184" t="n">
        <v>297</v>
      </c>
      <c r="BP184" t="n">
        <v>69</v>
      </c>
      <c r="BQ184" t="n">
        <v>357</v>
      </c>
      <c r="BR184" t="n">
        <v>607</v>
      </c>
      <c r="BS184" t="n">
        <v>204</v>
      </c>
      <c r="BT184" t="n">
        <v>3850</v>
      </c>
      <c r="BU184" t="n">
        <v>326</v>
      </c>
      <c r="BV184" t="n">
        <v>889</v>
      </c>
      <c r="BW184" t="n">
        <v>1214</v>
      </c>
      <c r="BX184" t="n">
        <v>304</v>
      </c>
      <c r="BY184" t="n">
        <v>319</v>
      </c>
      <c r="BZ184" t="n">
        <v>388</v>
      </c>
      <c r="CA184" t="n">
        <v>3440</v>
      </c>
      <c r="CB184" t="n">
        <v>162</v>
      </c>
      <c r="CC184" t="n">
        <v>68</v>
      </c>
      <c r="CD184" t="n">
        <v>630</v>
      </c>
      <c r="CE184" t="n">
        <v>841</v>
      </c>
      <c r="CF184" t="n">
        <v>1.33</v>
      </c>
      <c r="CG184" t="n">
        <v>0</v>
      </c>
      <c r="CH184" t="n">
        <v>0</v>
      </c>
      <c r="CI184" t="n">
        <v>0</v>
      </c>
      <c r="CJ184" t="n">
        <v>0</v>
      </c>
      <c r="CK184" t="n">
        <v>0</v>
      </c>
      <c r="CL184" t="n">
        <v>10</v>
      </c>
      <c r="CM184" t="n">
        <v>0</v>
      </c>
      <c r="CN184" t="n">
        <v>408</v>
      </c>
      <c r="CO184" t="n">
        <v>0</v>
      </c>
      <c r="CP184" t="n">
        <v>63</v>
      </c>
      <c r="CQ184" t="n">
        <v>0</v>
      </c>
      <c r="CR184" t="n">
        <v>0</v>
      </c>
      <c r="CS184" t="n">
        <v>0</v>
      </c>
      <c r="CT184" t="n">
        <v>481</v>
      </c>
      <c r="CU184" t="n">
        <v>0</v>
      </c>
      <c r="CV184" t="n">
        <v>0</v>
      </c>
      <c r="CW184" t="n">
        <v>21</v>
      </c>
      <c r="CX184" t="n">
        <v>0</v>
      </c>
      <c r="CY184" t="n">
        <v>126</v>
      </c>
      <c r="CZ184" t="n">
        <v>0</v>
      </c>
      <c r="DA184" t="n">
        <v>0</v>
      </c>
      <c r="DB184" t="n">
        <v>0</v>
      </c>
      <c r="DC184" t="n">
        <v>147</v>
      </c>
      <c r="DD184" t="n">
        <v>0</v>
      </c>
      <c r="DE184" t="n">
        <v>0</v>
      </c>
      <c r="DF184" t="n">
        <v>841</v>
      </c>
      <c r="DG184" t="n">
        <v>630</v>
      </c>
      <c r="DH184" t="n">
        <v>0</v>
      </c>
      <c r="DI184" t="n">
        <v>0</v>
      </c>
      <c r="DJ184" t="n">
        <v>0</v>
      </c>
      <c r="DK184" t="n">
        <v>0</v>
      </c>
      <c r="DL184" t="n">
        <v>0</v>
      </c>
      <c r="DM184" t="n">
        <v>0</v>
      </c>
      <c r="DN184" t="n">
        <v>0</v>
      </c>
      <c r="DO184" t="n">
        <v>0</v>
      </c>
      <c r="DP184" t="n">
        <v>0</v>
      </c>
      <c r="DQ184" t="n">
        <v>0</v>
      </c>
      <c r="DR184" t="n">
        <v>0</v>
      </c>
      <c r="DS184" t="n">
        <v>1471</v>
      </c>
      <c r="DT184" t="n">
        <v>2099</v>
      </c>
      <c r="DU184" t="n">
        <v>525</v>
      </c>
      <c r="DV184" t="n">
        <v>0</v>
      </c>
      <c r="DW184" t="n">
        <v>0</v>
      </c>
      <c r="DX184" t="n">
        <v>0</v>
      </c>
      <c r="DY184" t="n">
        <v>663</v>
      </c>
      <c r="DZ184" t="n">
        <v>1460</v>
      </c>
      <c r="EA184" t="n">
        <v>220</v>
      </c>
      <c r="EB184" t="n">
        <v>1990</v>
      </c>
      <c r="EC184" t="n">
        <v>88</v>
      </c>
      <c r="ED184" t="n">
        <v>264</v>
      </c>
      <c r="EE184" t="n">
        <v>4154</v>
      </c>
      <c r="EF184" t="n">
        <v>0</v>
      </c>
      <c r="EG184" t="n">
        <v>0.33</v>
      </c>
      <c r="EH184" t="n">
        <v>1.8</v>
      </c>
      <c r="EI184" t="n">
        <v>4.2</v>
      </c>
      <c r="EJ184" t="n">
        <v>2.6</v>
      </c>
      <c r="EK184" t="n">
        <v>7.8</v>
      </c>
    </row>
    <row r="185">
      <c r="A185">
        <f>[1]ingredient!B184</f>
        <v/>
      </c>
      <c r="B185" t="inlineStr">
        <is>
          <t>https://www.naehrwertrechner.de/naehrwerte/G770933/Kichererbsenmehl/?menge=100</t>
        </is>
      </c>
      <c r="C185" s="7">
        <f>_xlfn.XLOOKUP(A185,[1]ingredient!$B$2:$B$521,[1]ingredient!$A$2:$A$521)</f>
        <v/>
      </c>
      <c r="D185" t="n">
        <v>350</v>
      </c>
      <c r="E185" t="n">
        <v>6</v>
      </c>
      <c r="F185" t="n">
        <v>19</v>
      </c>
      <c r="G185" t="n">
        <v>44</v>
      </c>
      <c r="H185" t="n">
        <v>20</v>
      </c>
      <c r="I185" t="n">
        <v>2</v>
      </c>
      <c r="J185" t="n">
        <v>0.09</v>
      </c>
      <c r="K185" t="n">
        <v>7</v>
      </c>
      <c r="L185" t="n">
        <v>0</v>
      </c>
      <c r="M185" t="n">
        <v>200</v>
      </c>
      <c r="N185" t="n">
        <v>200</v>
      </c>
      <c r="O185" t="n">
        <v>0</v>
      </c>
      <c r="P185" t="n">
        <v>500</v>
      </c>
      <c r="Q185" t="n">
        <v>200</v>
      </c>
      <c r="R185" t="n">
        <v>1600</v>
      </c>
      <c r="S185" t="n">
        <v>4500</v>
      </c>
      <c r="T185" t="n">
        <v>1300</v>
      </c>
      <c r="U185" t="n">
        <v>600</v>
      </c>
      <c r="V185" t="n">
        <v>8</v>
      </c>
      <c r="W185" t="n">
        <v>275</v>
      </c>
      <c r="X185" t="n">
        <v>0</v>
      </c>
      <c r="Y185" t="n">
        <v>4000</v>
      </c>
      <c r="Z185" t="n">
        <v>0</v>
      </c>
      <c r="AA185" t="n">
        <v>0</v>
      </c>
      <c r="AB185" t="n">
        <v>0</v>
      </c>
      <c r="AC185" t="n">
        <v>20</v>
      </c>
      <c r="AD185" t="n">
        <v>810</v>
      </c>
      <c r="AE185" t="n">
        <v>124</v>
      </c>
      <c r="AF185" t="n">
        <v>155</v>
      </c>
      <c r="AG185" t="n">
        <v>407</v>
      </c>
      <c r="AH185" t="n">
        <v>180</v>
      </c>
      <c r="AI185" t="n">
        <v>70</v>
      </c>
      <c r="AJ185" t="n">
        <v>7000</v>
      </c>
      <c r="AK185" t="n">
        <v>3400</v>
      </c>
      <c r="AL185" t="n">
        <v>800</v>
      </c>
      <c r="AM185" t="n">
        <v>2100</v>
      </c>
      <c r="AN185" t="n">
        <v>0</v>
      </c>
      <c r="AO185" t="n">
        <v>20</v>
      </c>
      <c r="AP185" t="n">
        <v>0</v>
      </c>
      <c r="AQ185" t="n">
        <v>0</v>
      </c>
      <c r="AR185" t="n">
        <v>0</v>
      </c>
      <c r="AS185" t="n">
        <v>0</v>
      </c>
      <c r="AT185" t="n">
        <v>343</v>
      </c>
      <c r="AU185" t="n">
        <v>343</v>
      </c>
      <c r="AV185" t="n">
        <v>0</v>
      </c>
      <c r="AW185" t="n">
        <v>685</v>
      </c>
      <c r="AX185" t="n">
        <v>1700</v>
      </c>
      <c r="AY185" t="n">
        <v>0</v>
      </c>
      <c r="AZ185" t="n">
        <v>0</v>
      </c>
      <c r="BA185" t="n">
        <v>1715</v>
      </c>
      <c r="BB185" t="n">
        <v>1900</v>
      </c>
      <c r="BC185" t="n">
        <v>2740</v>
      </c>
      <c r="BD185" t="n">
        <v>0</v>
      </c>
      <c r="BE185" t="n">
        <v>40000</v>
      </c>
      <c r="BF185" t="n">
        <v>0</v>
      </c>
      <c r="BG185">
        <f>IF($F185=0,"0",MIN(
BH185/(30*$F185),
BI185/(61*$F185),
BJ185/(48*$F185),
(BK185+BL185)/(23*$F185),
(BM185+BN185)/(41*$F185),
BO185/(25*$F185),
BP185/(6.6*$F185),
BQ185/(40*$F185),
BS185/(16*$F185)
)*100)</f>
        <v/>
      </c>
      <c r="BH185" t="n">
        <v>1085</v>
      </c>
      <c r="BI185" t="n">
        <v>1453</v>
      </c>
      <c r="BJ185" t="n">
        <v>1317</v>
      </c>
      <c r="BK185" t="n">
        <v>213</v>
      </c>
      <c r="BL185" t="n">
        <v>233</v>
      </c>
      <c r="BM185" t="n">
        <v>930</v>
      </c>
      <c r="BN185" t="n">
        <v>678</v>
      </c>
      <c r="BO185" t="n">
        <v>755</v>
      </c>
      <c r="BP185" t="n">
        <v>174</v>
      </c>
      <c r="BQ185" t="n">
        <v>911</v>
      </c>
      <c r="BR185" t="n">
        <v>1550</v>
      </c>
      <c r="BS185" t="n">
        <v>523</v>
      </c>
      <c r="BT185" t="n">
        <v>9823</v>
      </c>
      <c r="BU185" t="n">
        <v>832</v>
      </c>
      <c r="BV185" t="n">
        <v>2267</v>
      </c>
      <c r="BW185" t="n">
        <v>3100</v>
      </c>
      <c r="BX185" t="n">
        <v>775</v>
      </c>
      <c r="BY185" t="n">
        <v>815</v>
      </c>
      <c r="BZ185" t="n">
        <v>988</v>
      </c>
      <c r="CA185" t="n">
        <v>8777</v>
      </c>
      <c r="CB185" t="n">
        <v>130</v>
      </c>
      <c r="CC185" t="n">
        <v>54</v>
      </c>
      <c r="CD185" t="n">
        <v>100</v>
      </c>
      <c r="CE185" t="n">
        <v>1900</v>
      </c>
      <c r="CF185" t="n">
        <v>19</v>
      </c>
      <c r="CG185" t="n">
        <v>0</v>
      </c>
      <c r="CH185" t="n">
        <v>0</v>
      </c>
      <c r="CI185" t="n">
        <v>0</v>
      </c>
      <c r="CJ185" t="n">
        <v>0</v>
      </c>
      <c r="CK185" t="n">
        <v>0</v>
      </c>
      <c r="CL185" t="n">
        <v>0</v>
      </c>
      <c r="CM185" t="n">
        <v>0</v>
      </c>
      <c r="CN185" t="n">
        <v>1685</v>
      </c>
      <c r="CO185" t="n">
        <v>0</v>
      </c>
      <c r="CP185" t="n">
        <v>215</v>
      </c>
      <c r="CQ185" t="n">
        <v>0</v>
      </c>
      <c r="CR185" t="n">
        <v>0</v>
      </c>
      <c r="CS185" t="n">
        <v>0</v>
      </c>
      <c r="CT185" t="n">
        <v>1900</v>
      </c>
      <c r="CU185" t="n">
        <v>0</v>
      </c>
      <c r="CV185" t="n">
        <v>0</v>
      </c>
      <c r="CW185" t="n">
        <v>0</v>
      </c>
      <c r="CX185" t="n">
        <v>0</v>
      </c>
      <c r="CY185" t="n">
        <v>976</v>
      </c>
      <c r="CZ185" t="n">
        <v>0</v>
      </c>
      <c r="DA185" t="n">
        <v>0</v>
      </c>
      <c r="DB185" t="n">
        <v>0</v>
      </c>
      <c r="DC185" t="n">
        <v>1000</v>
      </c>
      <c r="DD185" t="n">
        <v>0</v>
      </c>
      <c r="DE185" t="n">
        <v>0</v>
      </c>
      <c r="DF185" t="n">
        <v>1900</v>
      </c>
      <c r="DG185" t="n">
        <v>100</v>
      </c>
      <c r="DH185" t="n">
        <v>0</v>
      </c>
      <c r="DI185" t="n">
        <v>0</v>
      </c>
      <c r="DJ185" t="n">
        <v>0</v>
      </c>
      <c r="DK185" t="n">
        <v>0</v>
      </c>
      <c r="DL185" t="n">
        <v>0</v>
      </c>
      <c r="DM185" t="n">
        <v>0</v>
      </c>
      <c r="DN185" t="n">
        <v>0</v>
      </c>
      <c r="DO185" t="n">
        <v>0</v>
      </c>
      <c r="DP185" t="n">
        <v>0</v>
      </c>
      <c r="DQ185" t="n">
        <v>0</v>
      </c>
      <c r="DR185" t="n">
        <v>0</v>
      </c>
      <c r="DS185" t="n">
        <v>2000</v>
      </c>
      <c r="DT185" t="n">
        <v>4895</v>
      </c>
      <c r="DU185" t="n">
        <v>1005</v>
      </c>
      <c r="DV185" t="n">
        <v>0</v>
      </c>
      <c r="DW185" t="n">
        <v>0</v>
      </c>
      <c r="DX185" t="n">
        <v>0</v>
      </c>
      <c r="DY185" t="n">
        <v>3000</v>
      </c>
      <c r="DZ185" t="n">
        <v>13200</v>
      </c>
      <c r="EA185" t="n">
        <v>400</v>
      </c>
      <c r="EB185" t="n">
        <v>3000</v>
      </c>
      <c r="EC185" t="n">
        <v>400</v>
      </c>
      <c r="ED185" t="n">
        <v>12000</v>
      </c>
      <c r="EE185" t="n">
        <v>8000</v>
      </c>
      <c r="EF185" t="n">
        <v>0</v>
      </c>
      <c r="EG185" t="n">
        <v>0</v>
      </c>
      <c r="EH185" t="n">
        <v>1.8</v>
      </c>
      <c r="EI185" t="n">
        <v>8</v>
      </c>
      <c r="EJ185" t="n">
        <v>5.9</v>
      </c>
      <c r="EK185" t="n">
        <v>19</v>
      </c>
    </row>
    <row r="186">
      <c r="A186">
        <f>[1]ingredient!B185</f>
        <v/>
      </c>
      <c r="B186" t="inlineStr">
        <is>
          <t>https://www.naehrwertrechner.de/naehrwerte/G770943/Kichererbsennudeln/?menge=100</t>
        </is>
      </c>
      <c r="C186" s="7">
        <f>_xlfn.XLOOKUP(A186,[1]ingredient!$B$2:$B$521,[1]ingredient!$A$2:$A$521)</f>
        <v/>
      </c>
      <c r="D186" t="n">
        <v>350</v>
      </c>
      <c r="E186" t="n">
        <v>6</v>
      </c>
      <c r="F186" t="n">
        <v>19</v>
      </c>
      <c r="G186" t="n">
        <v>44</v>
      </c>
      <c r="H186" t="n">
        <v>20</v>
      </c>
      <c r="I186" t="n">
        <v>2</v>
      </c>
      <c r="J186" t="n">
        <v>0.09</v>
      </c>
      <c r="K186" t="n">
        <v>7</v>
      </c>
      <c r="L186" t="n">
        <v>0</v>
      </c>
      <c r="M186" t="n">
        <v>200</v>
      </c>
      <c r="N186" t="n">
        <v>200</v>
      </c>
      <c r="O186" t="n">
        <v>0</v>
      </c>
      <c r="P186" t="n">
        <v>500</v>
      </c>
      <c r="Q186" t="n">
        <v>200</v>
      </c>
      <c r="R186" t="n">
        <v>1600</v>
      </c>
      <c r="S186" t="n">
        <v>4500</v>
      </c>
      <c r="T186" t="n">
        <v>1300</v>
      </c>
      <c r="U186" t="n">
        <v>600</v>
      </c>
      <c r="V186" t="n">
        <v>8</v>
      </c>
      <c r="W186" t="n">
        <v>275</v>
      </c>
      <c r="X186" t="n">
        <v>0</v>
      </c>
      <c r="Y186" t="n">
        <v>4000</v>
      </c>
      <c r="Z186" t="n">
        <v>0</v>
      </c>
      <c r="AA186" t="n">
        <v>0</v>
      </c>
      <c r="AB186" t="n">
        <v>0</v>
      </c>
      <c r="AC186" t="n">
        <v>20</v>
      </c>
      <c r="AD186" t="n">
        <v>810</v>
      </c>
      <c r="AE186" t="n">
        <v>124</v>
      </c>
      <c r="AF186" t="n">
        <v>155</v>
      </c>
      <c r="AG186" t="n">
        <v>407</v>
      </c>
      <c r="AH186" t="n">
        <v>180</v>
      </c>
      <c r="AI186" t="n">
        <v>70</v>
      </c>
      <c r="AJ186" t="n">
        <v>7000</v>
      </c>
      <c r="AK186" t="n">
        <v>3400</v>
      </c>
      <c r="AL186" t="n">
        <v>800</v>
      </c>
      <c r="AM186" t="n">
        <v>2100</v>
      </c>
      <c r="AN186" t="n">
        <v>0</v>
      </c>
      <c r="AO186" t="n">
        <v>20</v>
      </c>
      <c r="AP186" t="n">
        <v>0</v>
      </c>
      <c r="AQ186" t="n">
        <v>0</v>
      </c>
      <c r="AR186" t="n">
        <v>0</v>
      </c>
      <c r="AS186" t="n">
        <v>0</v>
      </c>
      <c r="AT186" t="n">
        <v>343</v>
      </c>
      <c r="AU186" t="n">
        <v>343</v>
      </c>
      <c r="AV186" t="n">
        <v>0</v>
      </c>
      <c r="AW186" t="n">
        <v>685</v>
      </c>
      <c r="AX186" t="n">
        <v>1700</v>
      </c>
      <c r="AY186" t="n">
        <v>0</v>
      </c>
      <c r="AZ186" t="n">
        <v>0</v>
      </c>
      <c r="BA186" t="n">
        <v>1715</v>
      </c>
      <c r="BB186" t="n">
        <v>1900</v>
      </c>
      <c r="BC186" t="n">
        <v>2740</v>
      </c>
      <c r="BD186" t="n">
        <v>0</v>
      </c>
      <c r="BE186" t="n">
        <v>40000</v>
      </c>
      <c r="BF186" t="n">
        <v>0</v>
      </c>
      <c r="BG186">
        <f>IF($F186=0,"0",MIN(
BH186/(30*$F186),
BI186/(61*$F186),
BJ186/(48*$F186),
(BK186+BL186)/(23*$F186),
(BM186+BN186)/(41*$F186),
BO186/(25*$F186),
BP186/(6.6*$F186),
BQ186/(40*$F186),
BS186/(16*$F186)
)*100)</f>
        <v/>
      </c>
      <c r="BH186" t="n">
        <v>1085</v>
      </c>
      <c r="BI186" t="n">
        <v>1453</v>
      </c>
      <c r="BJ186" t="n">
        <v>1317</v>
      </c>
      <c r="BK186" t="n">
        <v>213</v>
      </c>
      <c r="BL186" t="n">
        <v>233</v>
      </c>
      <c r="BM186" t="n">
        <v>930</v>
      </c>
      <c r="BN186" t="n">
        <v>678</v>
      </c>
      <c r="BO186" t="n">
        <v>755</v>
      </c>
      <c r="BP186" t="n">
        <v>174</v>
      </c>
      <c r="BQ186" t="n">
        <v>911</v>
      </c>
      <c r="BR186" t="n">
        <v>1550</v>
      </c>
      <c r="BS186" t="n">
        <v>523</v>
      </c>
      <c r="BT186" t="n">
        <v>9823</v>
      </c>
      <c r="BU186" t="n">
        <v>832</v>
      </c>
      <c r="BV186" t="n">
        <v>2267</v>
      </c>
      <c r="BW186" t="n">
        <v>3100</v>
      </c>
      <c r="BX186" t="n">
        <v>775</v>
      </c>
      <c r="BY186" t="n">
        <v>815</v>
      </c>
      <c r="BZ186" t="n">
        <v>988</v>
      </c>
      <c r="CA186" t="n">
        <v>8777</v>
      </c>
      <c r="CB186" t="n">
        <v>130</v>
      </c>
      <c r="CC186" t="n">
        <v>54</v>
      </c>
      <c r="CD186" t="n">
        <v>100</v>
      </c>
      <c r="CE186" t="n">
        <v>1900</v>
      </c>
      <c r="CF186" t="n">
        <v>19</v>
      </c>
      <c r="CG186" t="n">
        <v>0</v>
      </c>
      <c r="CH186" t="n">
        <v>0</v>
      </c>
      <c r="CI186" t="n">
        <v>0</v>
      </c>
      <c r="CJ186" t="n">
        <v>0</v>
      </c>
      <c r="CK186" t="n">
        <v>0</v>
      </c>
      <c r="CL186" t="n">
        <v>0</v>
      </c>
      <c r="CM186" t="n">
        <v>0</v>
      </c>
      <c r="CN186" t="n">
        <v>1685</v>
      </c>
      <c r="CO186" t="n">
        <v>0</v>
      </c>
      <c r="CP186" t="n">
        <v>215</v>
      </c>
      <c r="CQ186" t="n">
        <v>0</v>
      </c>
      <c r="CR186" t="n">
        <v>0</v>
      </c>
      <c r="CS186" t="n">
        <v>0</v>
      </c>
      <c r="CT186" t="n">
        <v>1900</v>
      </c>
      <c r="CU186" t="n">
        <v>0</v>
      </c>
      <c r="CV186" t="n">
        <v>0</v>
      </c>
      <c r="CW186" t="n">
        <v>0</v>
      </c>
      <c r="CX186" t="n">
        <v>0</v>
      </c>
      <c r="CY186" t="n">
        <v>976</v>
      </c>
      <c r="CZ186" t="n">
        <v>0</v>
      </c>
      <c r="DA186" t="n">
        <v>0</v>
      </c>
      <c r="DB186" t="n">
        <v>0</v>
      </c>
      <c r="DC186" t="n">
        <v>1000</v>
      </c>
      <c r="DD186" t="n">
        <v>0</v>
      </c>
      <c r="DE186" t="n">
        <v>0</v>
      </c>
      <c r="DF186" t="n">
        <v>1900</v>
      </c>
      <c r="DG186" t="n">
        <v>100</v>
      </c>
      <c r="DH186" t="n">
        <v>0</v>
      </c>
      <c r="DI186" t="n">
        <v>0</v>
      </c>
      <c r="DJ186" t="n">
        <v>0</v>
      </c>
      <c r="DK186" t="n">
        <v>0</v>
      </c>
      <c r="DL186" t="n">
        <v>0</v>
      </c>
      <c r="DM186" t="n">
        <v>0</v>
      </c>
      <c r="DN186" t="n">
        <v>0</v>
      </c>
      <c r="DO186" t="n">
        <v>0</v>
      </c>
      <c r="DP186" t="n">
        <v>0</v>
      </c>
      <c r="DQ186" t="n">
        <v>0</v>
      </c>
      <c r="DR186" t="n">
        <v>0</v>
      </c>
      <c r="DS186" t="n">
        <v>2000</v>
      </c>
      <c r="DT186" t="n">
        <v>4895</v>
      </c>
      <c r="DU186" t="n">
        <v>1005</v>
      </c>
      <c r="DV186" t="n">
        <v>0</v>
      </c>
      <c r="DW186" t="n">
        <v>0</v>
      </c>
      <c r="DX186" t="n">
        <v>0</v>
      </c>
      <c r="DY186" t="n">
        <v>3000</v>
      </c>
      <c r="DZ186" t="n">
        <v>13200</v>
      </c>
      <c r="EA186" t="n">
        <v>400</v>
      </c>
      <c r="EB186" t="n">
        <v>3000</v>
      </c>
      <c r="EC186" t="n">
        <v>400</v>
      </c>
      <c r="ED186" t="n">
        <v>12000</v>
      </c>
      <c r="EE186" t="n">
        <v>8000</v>
      </c>
      <c r="EF186" t="n">
        <v>0</v>
      </c>
      <c r="EG186" t="n">
        <v>0</v>
      </c>
      <c r="EH186" t="n">
        <v>1.8</v>
      </c>
      <c r="EI186" t="n">
        <v>8</v>
      </c>
      <c r="EJ186" t="n">
        <v>5.9</v>
      </c>
      <c r="EK186" t="n">
        <v>19</v>
      </c>
    </row>
    <row r="187">
      <c r="A187">
        <f>[1]ingredient!B186</f>
        <v/>
      </c>
      <c r="B187" t="inlineStr">
        <is>
          <t>https://www.naehrwertrechner.de/naehrwerte/H661100/Kichererbsen+gekeimt+roh/?menge=100</t>
        </is>
      </c>
      <c r="C187" s="7">
        <f>_xlfn.XLOOKUP(A187,[1]ingredient!$B$2:$B$521,[1]ingredient!$A$2:$A$521)</f>
        <v/>
      </c>
      <c r="D187" t="n">
        <v>32</v>
      </c>
      <c r="E187" t="n">
        <v>0.34</v>
      </c>
      <c r="F187" t="n">
        <v>5</v>
      </c>
      <c r="G187" t="n">
        <v>2</v>
      </c>
      <c r="H187" t="n">
        <v>2</v>
      </c>
      <c r="I187" t="n">
        <v>1</v>
      </c>
      <c r="J187" t="n">
        <v>0.04</v>
      </c>
      <c r="K187" t="n">
        <v>90</v>
      </c>
      <c r="L187" t="n">
        <v>17</v>
      </c>
      <c r="M187" t="n">
        <v>9</v>
      </c>
      <c r="N187" t="n">
        <v>0</v>
      </c>
      <c r="O187" t="n">
        <v>102</v>
      </c>
      <c r="P187" t="n">
        <v>170</v>
      </c>
      <c r="Q187" t="n">
        <v>150</v>
      </c>
      <c r="R187" t="n">
        <v>940</v>
      </c>
      <c r="S187" t="n">
        <v>1740</v>
      </c>
      <c r="T187" t="n">
        <v>1140</v>
      </c>
      <c r="U187" t="n">
        <v>220</v>
      </c>
      <c r="V187" t="n">
        <v>6</v>
      </c>
      <c r="W187" t="n">
        <v>92</v>
      </c>
      <c r="X187" t="n">
        <v>0</v>
      </c>
      <c r="Y187" t="n">
        <v>22000</v>
      </c>
      <c r="Z187" t="n">
        <v>0</v>
      </c>
      <c r="AA187" t="n">
        <v>90</v>
      </c>
      <c r="AB187" t="n">
        <v>7</v>
      </c>
      <c r="AC187" t="n">
        <v>20</v>
      </c>
      <c r="AD187" t="n">
        <v>173</v>
      </c>
      <c r="AE187" t="n">
        <v>56</v>
      </c>
      <c r="AF187" t="n">
        <v>18</v>
      </c>
      <c r="AG187" t="n">
        <v>94</v>
      </c>
      <c r="AH187" t="n">
        <v>50</v>
      </c>
      <c r="AI187" t="n">
        <v>20</v>
      </c>
      <c r="AJ187" t="n">
        <v>980</v>
      </c>
      <c r="AK187" t="n">
        <v>630</v>
      </c>
      <c r="AL187" t="n">
        <v>190</v>
      </c>
      <c r="AM187" t="n">
        <v>110</v>
      </c>
      <c r="AN187" t="n">
        <v>10</v>
      </c>
      <c r="AO187" t="n">
        <v>5</v>
      </c>
      <c r="AP187" t="n">
        <v>0</v>
      </c>
      <c r="AQ187" t="n">
        <v>0</v>
      </c>
      <c r="AR187" t="n">
        <v>0</v>
      </c>
      <c r="AS187" t="n">
        <v>0</v>
      </c>
      <c r="AT187" t="n">
        <v>370</v>
      </c>
      <c r="AU187" t="n">
        <v>37</v>
      </c>
      <c r="AV187" t="n">
        <v>0</v>
      </c>
      <c r="AW187" t="n">
        <v>407</v>
      </c>
      <c r="AX187" t="n">
        <v>241</v>
      </c>
      <c r="AY187" t="n">
        <v>0</v>
      </c>
      <c r="AZ187" t="n">
        <v>0</v>
      </c>
      <c r="BA187" t="n">
        <v>241</v>
      </c>
      <c r="BB187" t="n">
        <v>74</v>
      </c>
      <c r="BC187" t="n">
        <v>0</v>
      </c>
      <c r="BD187" t="n">
        <v>0</v>
      </c>
      <c r="BE187" t="n">
        <v>1128</v>
      </c>
      <c r="BF187" t="n">
        <v>1128</v>
      </c>
      <c r="BG187">
        <f>IF($F187=0,"0",MIN(
BH187/(30*$F187),
BI187/(61*$F187),
BJ187/(48*$F187),
(BK187+BL187)/(23*$F187),
(BM187+BN187)/(41*$F187),
BO187/(25*$F187),
BP187/(6.6*$F187),
BQ187/(40*$F187),
BS187/(16*$F187)
)*100)</f>
        <v/>
      </c>
      <c r="BH187" t="n">
        <v>300</v>
      </c>
      <c r="BI187" t="n">
        <v>402</v>
      </c>
      <c r="BJ187" t="n">
        <v>364</v>
      </c>
      <c r="BK187" t="n">
        <v>59</v>
      </c>
      <c r="BL187" t="n">
        <v>65</v>
      </c>
      <c r="BM187" t="n">
        <v>257</v>
      </c>
      <c r="BN187" t="n">
        <v>187</v>
      </c>
      <c r="BO187" t="n">
        <v>208</v>
      </c>
      <c r="BP187" t="n">
        <v>48</v>
      </c>
      <c r="BQ187" t="n">
        <v>252</v>
      </c>
      <c r="BR187" t="n">
        <v>428</v>
      </c>
      <c r="BS187" t="n">
        <v>145</v>
      </c>
      <c r="BT187" t="n">
        <v>2715</v>
      </c>
      <c r="BU187" t="n">
        <v>230</v>
      </c>
      <c r="BV187" t="n">
        <v>626</v>
      </c>
      <c r="BW187" t="n">
        <v>856</v>
      </c>
      <c r="BX187" t="n">
        <v>214</v>
      </c>
      <c r="BY187" t="n">
        <v>225</v>
      </c>
      <c r="BZ187" t="n">
        <v>273</v>
      </c>
      <c r="CA187" t="n">
        <v>2424</v>
      </c>
      <c r="CB187" t="n">
        <v>12</v>
      </c>
      <c r="CC187" t="n">
        <v>5</v>
      </c>
      <c r="CD187" t="n">
        <v>7</v>
      </c>
      <c r="CE187" t="n">
        <v>147</v>
      </c>
      <c r="CF187" t="n">
        <v>21</v>
      </c>
      <c r="CG187" t="n">
        <v>0</v>
      </c>
      <c r="CH187" t="n">
        <v>0</v>
      </c>
      <c r="CI187" t="n">
        <v>0</v>
      </c>
      <c r="CJ187" t="n">
        <v>0</v>
      </c>
      <c r="CK187" t="n">
        <v>0</v>
      </c>
      <c r="CL187" t="n">
        <v>0</v>
      </c>
      <c r="CM187" t="n">
        <v>0</v>
      </c>
      <c r="CN187" t="n">
        <v>31</v>
      </c>
      <c r="CO187" t="n">
        <v>0</v>
      </c>
      <c r="CP187" t="n">
        <v>4</v>
      </c>
      <c r="CQ187" t="n">
        <v>0</v>
      </c>
      <c r="CR187" t="n">
        <v>0</v>
      </c>
      <c r="CS187" t="n">
        <v>0</v>
      </c>
      <c r="CT187" t="n">
        <v>35</v>
      </c>
      <c r="CU187" t="n">
        <v>0</v>
      </c>
      <c r="CV187" t="n">
        <v>0</v>
      </c>
      <c r="CW187" t="n">
        <v>0</v>
      </c>
      <c r="CX187" t="n">
        <v>0</v>
      </c>
      <c r="CY187" t="n">
        <v>74</v>
      </c>
      <c r="CZ187" t="n">
        <v>0</v>
      </c>
      <c r="DA187" t="n">
        <v>0</v>
      </c>
      <c r="DB187" t="n">
        <v>0</v>
      </c>
      <c r="DC187" t="n">
        <v>74</v>
      </c>
      <c r="DD187" t="n">
        <v>0</v>
      </c>
      <c r="DE187" t="n">
        <v>0</v>
      </c>
      <c r="DF187" t="n">
        <v>147</v>
      </c>
      <c r="DG187" t="n">
        <v>7</v>
      </c>
      <c r="DH187" t="n">
        <v>0</v>
      </c>
      <c r="DI187" t="n">
        <v>0</v>
      </c>
      <c r="DJ187" t="n">
        <v>0</v>
      </c>
      <c r="DK187" t="n">
        <v>0</v>
      </c>
      <c r="DL187" t="n">
        <v>0</v>
      </c>
      <c r="DM187" t="n">
        <v>0</v>
      </c>
      <c r="DN187" t="n">
        <v>0</v>
      </c>
      <c r="DO187" t="n">
        <v>0</v>
      </c>
      <c r="DP187" t="n">
        <v>0</v>
      </c>
      <c r="DQ187" t="n">
        <v>0</v>
      </c>
      <c r="DR187" t="n">
        <v>0</v>
      </c>
      <c r="DS187" t="n">
        <v>154</v>
      </c>
      <c r="DT187" t="n">
        <v>263</v>
      </c>
      <c r="DU187" t="n">
        <v>77</v>
      </c>
      <c r="DV187" t="n">
        <v>0</v>
      </c>
      <c r="DW187" t="n">
        <v>0</v>
      </c>
      <c r="DX187" t="n">
        <v>0</v>
      </c>
      <c r="DY187" t="n">
        <v>278</v>
      </c>
      <c r="DZ187" t="n">
        <v>749</v>
      </c>
      <c r="EA187" t="n">
        <v>278</v>
      </c>
      <c r="EB187" t="n">
        <v>792</v>
      </c>
      <c r="EC187" t="n">
        <v>43</v>
      </c>
      <c r="ED187" t="n">
        <v>1070</v>
      </c>
      <c r="EE187" t="n">
        <v>1070</v>
      </c>
      <c r="EF187" t="n">
        <v>0</v>
      </c>
      <c r="EG187" t="n">
        <v>0.3</v>
      </c>
      <c r="EH187" t="n">
        <v>0.5</v>
      </c>
      <c r="EI187" t="n">
        <v>1.1</v>
      </c>
      <c r="EJ187" t="n">
        <v>0.3</v>
      </c>
      <c r="EK187" t="n">
        <v>5.2</v>
      </c>
    </row>
    <row r="188">
      <c r="A188">
        <f>[1]ingredient!B187</f>
        <v/>
      </c>
      <c r="B188" t="inlineStr">
        <is>
          <t>https://www.naehrwertrechner.de/naehrwerte/G770963/Kichererbsenwaffel/?menge=100</t>
        </is>
      </c>
      <c r="C188" s="7">
        <f>_xlfn.XLOOKUP(A188,[1]ingredient!$B$2:$B$521,[1]ingredient!$A$2:$A$521)</f>
        <v/>
      </c>
      <c r="D188" t="n">
        <v>357</v>
      </c>
      <c r="E188" t="n">
        <v>5</v>
      </c>
      <c r="F188" t="n">
        <v>19</v>
      </c>
      <c r="G188" t="n">
        <v>61</v>
      </c>
      <c r="H188" t="n">
        <v>9</v>
      </c>
      <c r="I188" t="n">
        <v>2</v>
      </c>
      <c r="J188" t="n">
        <v>0.48</v>
      </c>
      <c r="K188" t="n">
        <v>2</v>
      </c>
      <c r="L188" t="n">
        <v>0</v>
      </c>
      <c r="M188" t="n">
        <v>8</v>
      </c>
      <c r="N188" t="n">
        <v>0</v>
      </c>
      <c r="O188" t="n">
        <v>100</v>
      </c>
      <c r="P188" t="n">
        <v>400</v>
      </c>
      <c r="Q188" t="n">
        <v>100</v>
      </c>
      <c r="R188" t="n">
        <v>1600</v>
      </c>
      <c r="S188" t="n">
        <v>4700</v>
      </c>
      <c r="T188" t="n">
        <v>1100</v>
      </c>
      <c r="U188" t="n">
        <v>400</v>
      </c>
      <c r="V188" t="n">
        <v>6</v>
      </c>
      <c r="W188" t="n">
        <v>195</v>
      </c>
      <c r="X188" t="n">
        <v>0</v>
      </c>
      <c r="Y188" t="n">
        <v>2800</v>
      </c>
      <c r="Z188" t="n">
        <v>0</v>
      </c>
      <c r="AA188" t="n">
        <v>0</v>
      </c>
      <c r="AB188" t="n">
        <v>0</v>
      </c>
      <c r="AC188" t="n">
        <v>196</v>
      </c>
      <c r="AD188" t="n">
        <v>596</v>
      </c>
      <c r="AE188" t="n">
        <v>89</v>
      </c>
      <c r="AF188" t="n">
        <v>115</v>
      </c>
      <c r="AG188" t="n">
        <v>311</v>
      </c>
      <c r="AH188" t="n">
        <v>141</v>
      </c>
      <c r="AI188" t="n">
        <v>289</v>
      </c>
      <c r="AJ188" t="n">
        <v>5000</v>
      </c>
      <c r="AK188" t="n">
        <v>2500</v>
      </c>
      <c r="AL188" t="n">
        <v>600</v>
      </c>
      <c r="AM188" t="n">
        <v>1700</v>
      </c>
      <c r="AN188" t="n">
        <v>0</v>
      </c>
      <c r="AO188" t="n">
        <v>22</v>
      </c>
      <c r="AP188" t="n">
        <v>0</v>
      </c>
      <c r="AQ188" t="n">
        <v>0</v>
      </c>
      <c r="AR188" t="n">
        <v>0</v>
      </c>
      <c r="AS188" t="n">
        <v>0</v>
      </c>
      <c r="AT188" t="n">
        <v>316</v>
      </c>
      <c r="AU188" t="n">
        <v>316</v>
      </c>
      <c r="AV188" t="n">
        <v>0</v>
      </c>
      <c r="AW188" t="n">
        <v>633</v>
      </c>
      <c r="AX188" t="n">
        <v>1500</v>
      </c>
      <c r="AY188" t="n">
        <v>0</v>
      </c>
      <c r="AZ188" t="n">
        <v>0</v>
      </c>
      <c r="BA188" t="n">
        <v>1468</v>
      </c>
      <c r="BB188" t="n">
        <v>900</v>
      </c>
      <c r="BC188" t="n">
        <v>1910</v>
      </c>
      <c r="BD188" t="n">
        <v>0</v>
      </c>
      <c r="BE188" t="n">
        <v>58000</v>
      </c>
      <c r="BF188" t="n">
        <v>0</v>
      </c>
      <c r="BG188">
        <f>IF($F188=0,"0",MIN(
BH188/(30*$F188),
BI188/(61*$F188),
BJ188/(48*$F188),
(BK188+BL188)/(23*$F188),
(BM188+BN188)/(41*$F188),
BO188/(25*$F188),
BP188/(6.6*$F188),
BQ188/(40*$F188),
BS188/(16*$F188)
)*100)</f>
        <v/>
      </c>
      <c r="BH188" t="n">
        <v>1077</v>
      </c>
      <c r="BI188" t="n">
        <v>1508</v>
      </c>
      <c r="BJ188" t="n">
        <v>1263</v>
      </c>
      <c r="BK188" t="n">
        <v>258</v>
      </c>
      <c r="BL188" t="n">
        <v>238</v>
      </c>
      <c r="BM188" t="n">
        <v>963</v>
      </c>
      <c r="BN188" t="n">
        <v>700</v>
      </c>
      <c r="BO188" t="n">
        <v>753</v>
      </c>
      <c r="BP188" t="n">
        <v>190</v>
      </c>
      <c r="BQ188" t="n">
        <v>987</v>
      </c>
      <c r="BR188" t="n">
        <v>1578</v>
      </c>
      <c r="BS188" t="n">
        <v>527</v>
      </c>
      <c r="BT188" t="n">
        <v>10042</v>
      </c>
      <c r="BU188" t="n">
        <v>895</v>
      </c>
      <c r="BV188" t="n">
        <v>2242</v>
      </c>
      <c r="BW188" t="n">
        <v>3153</v>
      </c>
      <c r="BX188" t="n">
        <v>808</v>
      </c>
      <c r="BY188" t="n">
        <v>839</v>
      </c>
      <c r="BZ188" t="n">
        <v>1021</v>
      </c>
      <c r="CA188" t="n">
        <v>8958</v>
      </c>
      <c r="CB188" t="n">
        <v>116</v>
      </c>
      <c r="CC188" t="n">
        <v>39</v>
      </c>
      <c r="CD188" t="n">
        <v>100</v>
      </c>
      <c r="CE188" t="n">
        <v>2100</v>
      </c>
      <c r="CF188" t="n">
        <v>21</v>
      </c>
      <c r="CG188" t="n">
        <v>0</v>
      </c>
      <c r="CH188" t="n">
        <v>0</v>
      </c>
      <c r="CI188" t="n">
        <v>0</v>
      </c>
      <c r="CJ188" t="n">
        <v>0</v>
      </c>
      <c r="CK188" t="n">
        <v>0</v>
      </c>
      <c r="CL188" t="n">
        <v>1</v>
      </c>
      <c r="CM188" t="n">
        <v>0</v>
      </c>
      <c r="CN188" t="n">
        <v>620</v>
      </c>
      <c r="CO188" t="n">
        <v>0</v>
      </c>
      <c r="CP188" t="n">
        <v>79</v>
      </c>
      <c r="CQ188" t="n">
        <v>0.3</v>
      </c>
      <c r="CR188" t="n">
        <v>0</v>
      </c>
      <c r="CS188" t="n">
        <v>0</v>
      </c>
      <c r="CT188" t="n">
        <v>700</v>
      </c>
      <c r="CU188" t="n">
        <v>0</v>
      </c>
      <c r="CV188" t="n">
        <v>0</v>
      </c>
      <c r="CW188" t="n">
        <v>0.4</v>
      </c>
      <c r="CX188" t="n">
        <v>0</v>
      </c>
      <c r="CY188" t="n">
        <v>1068</v>
      </c>
      <c r="CZ188" t="n">
        <v>0</v>
      </c>
      <c r="DA188" t="n">
        <v>0</v>
      </c>
      <c r="DB188" t="n">
        <v>0</v>
      </c>
      <c r="DC188" t="n">
        <v>1100</v>
      </c>
      <c r="DD188" t="n">
        <v>0</v>
      </c>
      <c r="DE188" t="n">
        <v>0</v>
      </c>
      <c r="DF188" t="n">
        <v>2100</v>
      </c>
      <c r="DG188" t="n">
        <v>100</v>
      </c>
      <c r="DH188" t="n">
        <v>0</v>
      </c>
      <c r="DI188" t="n">
        <v>0</v>
      </c>
      <c r="DJ188" t="n">
        <v>0</v>
      </c>
      <c r="DK188" t="n">
        <v>0</v>
      </c>
      <c r="DL188" t="n">
        <v>0</v>
      </c>
      <c r="DM188" t="n">
        <v>0</v>
      </c>
      <c r="DN188" t="n">
        <v>0</v>
      </c>
      <c r="DO188" t="n">
        <v>0</v>
      </c>
      <c r="DP188" t="n">
        <v>0</v>
      </c>
      <c r="DQ188" t="n">
        <v>0</v>
      </c>
      <c r="DR188" t="n">
        <v>0</v>
      </c>
      <c r="DS188" t="n">
        <v>2200</v>
      </c>
      <c r="DT188" t="n">
        <v>3932</v>
      </c>
      <c r="DU188" t="n">
        <v>1068</v>
      </c>
      <c r="DV188" t="n">
        <v>0</v>
      </c>
      <c r="DW188" t="n">
        <v>0</v>
      </c>
      <c r="DX188" t="n">
        <v>0</v>
      </c>
      <c r="DY188" t="n">
        <v>1330</v>
      </c>
      <c r="DZ188" t="n">
        <v>6098</v>
      </c>
      <c r="EA188" t="n">
        <v>248</v>
      </c>
      <c r="EB188" t="n">
        <v>1395</v>
      </c>
      <c r="EC188" t="n">
        <v>229</v>
      </c>
      <c r="ED188" t="n">
        <v>5594</v>
      </c>
      <c r="EE188" t="n">
        <v>3706</v>
      </c>
      <c r="EF188" t="n">
        <v>0</v>
      </c>
      <c r="EG188" t="n">
        <v>0</v>
      </c>
      <c r="EH188" t="n">
        <v>1.7</v>
      </c>
      <c r="EI188" t="n">
        <v>3.7</v>
      </c>
      <c r="EJ188" t="n">
        <v>5</v>
      </c>
      <c r="EK188" t="n">
        <v>19.4</v>
      </c>
    </row>
    <row r="189">
      <c r="A189">
        <f>[1]ingredient!B188</f>
        <v/>
      </c>
      <c r="B189" t="inlineStr">
        <is>
          <t>https://www.naehrwertrechner.de/naehrwerte/H735400/Kidney-Bohnen+getrocknet/?menge=100</t>
        </is>
      </c>
      <c r="C189" s="7">
        <f>_xlfn.XLOOKUP(A189,[1]ingredient!$B$2:$B$521,[1]ingredient!$A$2:$A$521)</f>
        <v/>
      </c>
      <c r="D189" t="n">
        <v>325</v>
      </c>
      <c r="E189" t="n">
        <v>2</v>
      </c>
      <c r="F189" t="n">
        <v>24</v>
      </c>
      <c r="G189" t="n">
        <v>40</v>
      </c>
      <c r="H189" t="n">
        <v>23</v>
      </c>
      <c r="I189" t="n">
        <v>1</v>
      </c>
      <c r="J189" t="n">
        <v>0.02</v>
      </c>
      <c r="K189" t="n">
        <v>2</v>
      </c>
      <c r="L189" t="n">
        <v>2</v>
      </c>
      <c r="M189" t="n">
        <v>1</v>
      </c>
      <c r="N189" t="n">
        <v>0</v>
      </c>
      <c r="O189" t="n">
        <v>12</v>
      </c>
      <c r="P189" t="n">
        <v>642</v>
      </c>
      <c r="Q189" t="n">
        <v>188</v>
      </c>
      <c r="R189" t="n">
        <v>2188</v>
      </c>
      <c r="S189" t="n">
        <v>6221</v>
      </c>
      <c r="T189" t="n">
        <v>770</v>
      </c>
      <c r="U189" t="n">
        <v>395</v>
      </c>
      <c r="V189" t="n">
        <v>11</v>
      </c>
      <c r="W189" t="n">
        <v>160</v>
      </c>
      <c r="X189" t="n">
        <v>0</v>
      </c>
      <c r="Y189" t="n">
        <v>3948</v>
      </c>
      <c r="Z189" t="n">
        <v>0</v>
      </c>
      <c r="AA189" t="n">
        <v>570</v>
      </c>
      <c r="AB189" t="n">
        <v>0</v>
      </c>
      <c r="AC189" t="n">
        <v>20</v>
      </c>
      <c r="AD189" t="n">
        <v>1502</v>
      </c>
      <c r="AE189" t="n">
        <v>110</v>
      </c>
      <c r="AF189" t="n">
        <v>165</v>
      </c>
      <c r="AG189" t="n">
        <v>450</v>
      </c>
      <c r="AH189" t="n">
        <v>186</v>
      </c>
      <c r="AI189" t="n">
        <v>2</v>
      </c>
      <c r="AJ189" t="n">
        <v>7019</v>
      </c>
      <c r="AK189" t="n">
        <v>3290</v>
      </c>
      <c r="AL189" t="n">
        <v>746</v>
      </c>
      <c r="AM189" t="n">
        <v>1316</v>
      </c>
      <c r="AN189" t="n">
        <v>13</v>
      </c>
      <c r="AO189" t="n">
        <v>1</v>
      </c>
      <c r="AP189" t="n">
        <v>0</v>
      </c>
      <c r="AQ189" t="n">
        <v>0</v>
      </c>
      <c r="AR189" t="n">
        <v>0</v>
      </c>
      <c r="AS189" t="n">
        <v>0</v>
      </c>
      <c r="AT189" t="n">
        <v>0</v>
      </c>
      <c r="AU189" t="n">
        <v>0</v>
      </c>
      <c r="AV189" t="n">
        <v>0</v>
      </c>
      <c r="AW189" t="n">
        <v>0</v>
      </c>
      <c r="AX189" t="n">
        <v>1201</v>
      </c>
      <c r="AY189" t="n">
        <v>0</v>
      </c>
      <c r="AZ189" t="n">
        <v>0</v>
      </c>
      <c r="BA189" t="n">
        <v>1201</v>
      </c>
      <c r="BB189" t="n">
        <v>3202</v>
      </c>
      <c r="BC189" t="n">
        <v>3948</v>
      </c>
      <c r="BD189" t="n">
        <v>0</v>
      </c>
      <c r="BE189" t="n">
        <v>35626</v>
      </c>
      <c r="BF189" t="n">
        <v>35626</v>
      </c>
      <c r="BG189">
        <f>IF($F189=0,"0",MIN(
BH189/(30*$F189),
BI189/(61*$F189),
BJ189/(48*$F189),
(BK189+BL189)/(23*$F189),
(BM189+BN189)/(41*$F189),
BO189/(25*$F189),
BP189/(6.6*$F189),
BQ189/(40*$F189),
BS189/(16*$F189)
)*100)</f>
        <v/>
      </c>
      <c r="BH189" t="n">
        <v>1104</v>
      </c>
      <c r="BI189" t="n">
        <v>2020</v>
      </c>
      <c r="BJ189" t="n">
        <v>1939</v>
      </c>
      <c r="BK189" t="n">
        <v>296</v>
      </c>
      <c r="BL189" t="n">
        <v>216</v>
      </c>
      <c r="BM189" t="n">
        <v>1399</v>
      </c>
      <c r="BN189" t="n">
        <v>673</v>
      </c>
      <c r="BO189" t="n">
        <v>1077</v>
      </c>
      <c r="BP189" t="n">
        <v>242</v>
      </c>
      <c r="BQ189" t="n">
        <v>1239</v>
      </c>
      <c r="BR189" t="n">
        <v>1535</v>
      </c>
      <c r="BS189" t="n">
        <v>755</v>
      </c>
      <c r="BT189" t="n">
        <v>12495</v>
      </c>
      <c r="BU189" t="n">
        <v>1103</v>
      </c>
      <c r="BV189" t="n">
        <v>3231</v>
      </c>
      <c r="BW189" t="n">
        <v>3932</v>
      </c>
      <c r="BX189" t="n">
        <v>1023</v>
      </c>
      <c r="BY189" t="n">
        <v>943</v>
      </c>
      <c r="BZ189" t="n">
        <v>1508</v>
      </c>
      <c r="CA189" t="n">
        <v>11740</v>
      </c>
      <c r="CB189" t="n">
        <v>161</v>
      </c>
      <c r="CC189" t="n">
        <v>67</v>
      </c>
      <c r="CD189" t="n">
        <v>570</v>
      </c>
      <c r="CE189" t="n">
        <v>321</v>
      </c>
      <c r="CF189" t="n">
        <v>0.5600000000000001</v>
      </c>
      <c r="CG189" t="n">
        <v>0</v>
      </c>
      <c r="CH189" t="n">
        <v>0</v>
      </c>
      <c r="CI189" t="n">
        <v>0</v>
      </c>
      <c r="CJ189" t="n">
        <v>0</v>
      </c>
      <c r="CK189" t="n">
        <v>0</v>
      </c>
      <c r="CL189" t="n">
        <v>0</v>
      </c>
      <c r="CM189" t="n">
        <v>0</v>
      </c>
      <c r="CN189" t="n">
        <v>166</v>
      </c>
      <c r="CO189" t="n">
        <v>0</v>
      </c>
      <c r="CP189" t="n">
        <v>20</v>
      </c>
      <c r="CQ189" t="n">
        <v>0</v>
      </c>
      <c r="CR189" t="n">
        <v>0</v>
      </c>
      <c r="CS189" t="n">
        <v>0</v>
      </c>
      <c r="CT189" t="n">
        <v>186</v>
      </c>
      <c r="CU189" t="n">
        <v>0</v>
      </c>
      <c r="CV189" t="n">
        <v>0</v>
      </c>
      <c r="CW189" t="n">
        <v>0</v>
      </c>
      <c r="CX189" t="n">
        <v>0</v>
      </c>
      <c r="CY189" t="n">
        <v>113</v>
      </c>
      <c r="CZ189" t="n">
        <v>0</v>
      </c>
      <c r="DA189" t="n">
        <v>0</v>
      </c>
      <c r="DB189" t="n">
        <v>0</v>
      </c>
      <c r="DC189" t="n">
        <v>113</v>
      </c>
      <c r="DD189" t="n">
        <v>0</v>
      </c>
      <c r="DE189" t="n">
        <v>0</v>
      </c>
      <c r="DF189" t="n">
        <v>321</v>
      </c>
      <c r="DG189" t="n">
        <v>570</v>
      </c>
      <c r="DH189" t="n">
        <v>0</v>
      </c>
      <c r="DI189" t="n">
        <v>0</v>
      </c>
      <c r="DJ189" t="n">
        <v>0</v>
      </c>
      <c r="DK189" t="n">
        <v>0</v>
      </c>
      <c r="DL189" t="n">
        <v>0</v>
      </c>
      <c r="DM189" t="n">
        <v>0</v>
      </c>
      <c r="DN189" t="n">
        <v>0</v>
      </c>
      <c r="DO189" t="n">
        <v>0</v>
      </c>
      <c r="DP189" t="n">
        <v>0</v>
      </c>
      <c r="DQ189" t="n">
        <v>0</v>
      </c>
      <c r="DR189" t="n">
        <v>0</v>
      </c>
      <c r="DS189" t="n">
        <v>891</v>
      </c>
      <c r="DT189" t="n">
        <v>1190</v>
      </c>
      <c r="DU189" t="n">
        <v>345</v>
      </c>
      <c r="DV189" t="n">
        <v>0</v>
      </c>
      <c r="DW189" t="n">
        <v>0</v>
      </c>
      <c r="DX189" t="n">
        <v>0</v>
      </c>
      <c r="DY189" t="n">
        <v>3037</v>
      </c>
      <c r="DZ189" t="n">
        <v>8176</v>
      </c>
      <c r="EA189" t="n">
        <v>3037</v>
      </c>
      <c r="EB189" t="n">
        <v>8643</v>
      </c>
      <c r="EC189" t="n">
        <v>467</v>
      </c>
      <c r="ED189" t="n">
        <v>11680</v>
      </c>
      <c r="EE189" t="n">
        <v>11680</v>
      </c>
      <c r="EF189" t="n">
        <v>0</v>
      </c>
      <c r="EG189" t="n">
        <v>0.27</v>
      </c>
      <c r="EH189" t="n">
        <v>4.2</v>
      </c>
      <c r="EI189" t="n">
        <v>11.7</v>
      </c>
      <c r="EJ189" t="n">
        <v>1.5</v>
      </c>
      <c r="EK189" t="n">
        <v>24.8</v>
      </c>
    </row>
    <row r="190">
      <c r="A190">
        <f>[1]ingredient!B189</f>
        <v/>
      </c>
      <c r="B190" t="inlineStr">
        <is>
          <t>https://www.naehrwertrechner.de/naehrwerte/H742902/Kidney-Bohnen+Konserve+abgetropft/?menge=100</t>
        </is>
      </c>
      <c r="C190" s="7">
        <f>_xlfn.XLOOKUP(A190,[1]ingredient!$B$2:$B$521,[1]ingredient!$A$2:$A$521)</f>
        <v/>
      </c>
      <c r="D190" t="n">
        <v>126</v>
      </c>
      <c r="E190" t="n">
        <v>1</v>
      </c>
      <c r="F190" t="n">
        <v>9</v>
      </c>
      <c r="G190" t="n">
        <v>15</v>
      </c>
      <c r="H190" t="n">
        <v>9</v>
      </c>
      <c r="I190" t="n">
        <v>0.46</v>
      </c>
      <c r="J190" t="n">
        <v>1</v>
      </c>
      <c r="K190" t="n">
        <v>61</v>
      </c>
      <c r="L190" t="n">
        <v>2</v>
      </c>
      <c r="M190" t="n">
        <v>0.42</v>
      </c>
      <c r="N190" t="n">
        <v>0</v>
      </c>
      <c r="O190" t="n">
        <v>5</v>
      </c>
      <c r="P190" t="n">
        <v>90</v>
      </c>
      <c r="Q190" t="n">
        <v>53</v>
      </c>
      <c r="R190" t="n">
        <v>484</v>
      </c>
      <c r="S190" t="n">
        <v>2051</v>
      </c>
      <c r="T190" t="n">
        <v>115</v>
      </c>
      <c r="U190" t="n">
        <v>66</v>
      </c>
      <c r="V190" t="n">
        <v>2</v>
      </c>
      <c r="W190" t="n">
        <v>36</v>
      </c>
      <c r="X190" t="n">
        <v>0</v>
      </c>
      <c r="Y190" t="n">
        <v>377</v>
      </c>
      <c r="Z190" t="n">
        <v>0</v>
      </c>
      <c r="AA190" t="n">
        <v>244</v>
      </c>
      <c r="AB190" t="n">
        <v>0</v>
      </c>
      <c r="AC190" t="n">
        <v>264</v>
      </c>
      <c r="AD190" t="n">
        <v>484</v>
      </c>
      <c r="AE190" t="n">
        <v>53</v>
      </c>
      <c r="AF190" t="n">
        <v>63</v>
      </c>
      <c r="AG190" t="n">
        <v>175</v>
      </c>
      <c r="AH190" t="n">
        <v>73</v>
      </c>
      <c r="AI190" t="n">
        <v>399</v>
      </c>
      <c r="AJ190" t="n">
        <v>2565</v>
      </c>
      <c r="AK190" t="n">
        <v>1274</v>
      </c>
      <c r="AL190" t="n">
        <v>225</v>
      </c>
      <c r="AM190" t="n">
        <v>511</v>
      </c>
      <c r="AN190" t="n">
        <v>26</v>
      </c>
      <c r="AO190" t="n">
        <v>1</v>
      </c>
      <c r="AP190" t="n">
        <v>0</v>
      </c>
      <c r="AQ190" t="n">
        <v>0</v>
      </c>
      <c r="AR190" t="n">
        <v>0</v>
      </c>
      <c r="AS190" t="n">
        <v>0</v>
      </c>
      <c r="AT190" t="n">
        <v>0</v>
      </c>
      <c r="AU190" t="n">
        <v>0</v>
      </c>
      <c r="AV190" t="n">
        <v>0</v>
      </c>
      <c r="AW190" t="n">
        <v>0</v>
      </c>
      <c r="AX190" t="n">
        <v>463</v>
      </c>
      <c r="AY190" t="n">
        <v>0</v>
      </c>
      <c r="AZ190" t="n">
        <v>0</v>
      </c>
      <c r="BA190" t="n">
        <v>463</v>
      </c>
      <c r="BB190" t="n">
        <v>1237</v>
      </c>
      <c r="BC190" t="n">
        <v>1696</v>
      </c>
      <c r="BD190" t="n">
        <v>0</v>
      </c>
      <c r="BE190" t="n">
        <v>13769</v>
      </c>
      <c r="BF190" t="n">
        <v>13769</v>
      </c>
      <c r="BG190">
        <f>IF($F190=0,"0",MIN(
BH190/(30*$F190),
BI190/(61*$F190),
BJ190/(48*$F190),
(BK190+BL190)/(23*$F190),
(BM190+BN190)/(41*$F190),
BO190/(25*$F190),
BP190/(6.6*$F190),
BQ190/(40*$F190),
BS190/(16*$F190)
)*100)</f>
        <v/>
      </c>
      <c r="BH190" t="n">
        <v>426</v>
      </c>
      <c r="BI190" t="n">
        <v>780</v>
      </c>
      <c r="BJ190" t="n">
        <v>750</v>
      </c>
      <c r="BK190" t="n">
        <v>114</v>
      </c>
      <c r="BL190" t="n">
        <v>83</v>
      </c>
      <c r="BM190" t="n">
        <v>540</v>
      </c>
      <c r="BN190" t="n">
        <v>261</v>
      </c>
      <c r="BO190" t="n">
        <v>416</v>
      </c>
      <c r="BP190" t="n">
        <v>94</v>
      </c>
      <c r="BQ190" t="n">
        <v>479</v>
      </c>
      <c r="BR190" t="n">
        <v>593</v>
      </c>
      <c r="BS190" t="n">
        <v>291</v>
      </c>
      <c r="BT190" t="n">
        <v>4827</v>
      </c>
      <c r="BU190" t="n">
        <v>426</v>
      </c>
      <c r="BV190" t="n">
        <v>1249</v>
      </c>
      <c r="BW190" t="n">
        <v>1520</v>
      </c>
      <c r="BX190" t="n">
        <v>395</v>
      </c>
      <c r="BY190" t="n">
        <v>365</v>
      </c>
      <c r="BZ190" t="n">
        <v>583</v>
      </c>
      <c r="CA190" t="n">
        <v>4538</v>
      </c>
      <c r="CB190" t="n">
        <v>63</v>
      </c>
      <c r="CC190" t="n">
        <v>26</v>
      </c>
      <c r="CD190" t="n">
        <v>220</v>
      </c>
      <c r="CE190" t="n">
        <v>124</v>
      </c>
      <c r="CF190" t="n">
        <v>0.5600000000000001</v>
      </c>
      <c r="CG190" t="n">
        <v>0</v>
      </c>
      <c r="CH190" t="n">
        <v>0</v>
      </c>
      <c r="CI190" t="n">
        <v>0</v>
      </c>
      <c r="CJ190" t="n">
        <v>0</v>
      </c>
      <c r="CK190" t="n">
        <v>0</v>
      </c>
      <c r="CL190" t="n">
        <v>0</v>
      </c>
      <c r="CM190" t="n">
        <v>0</v>
      </c>
      <c r="CN190" t="n">
        <v>65</v>
      </c>
      <c r="CO190" t="n">
        <v>0</v>
      </c>
      <c r="CP190" t="n">
        <v>7</v>
      </c>
      <c r="CQ190" t="n">
        <v>0</v>
      </c>
      <c r="CR190" t="n">
        <v>0</v>
      </c>
      <c r="CS190" t="n">
        <v>0</v>
      </c>
      <c r="CT190" t="n">
        <v>72</v>
      </c>
      <c r="CU190" t="n">
        <v>0</v>
      </c>
      <c r="CV190" t="n">
        <v>0</v>
      </c>
      <c r="CW190" t="n">
        <v>0</v>
      </c>
      <c r="CX190" t="n">
        <v>0</v>
      </c>
      <c r="CY190" t="n">
        <v>44</v>
      </c>
      <c r="CZ190" t="n">
        <v>0</v>
      </c>
      <c r="DA190" t="n">
        <v>0</v>
      </c>
      <c r="DB190" t="n">
        <v>0</v>
      </c>
      <c r="DC190" t="n">
        <v>44</v>
      </c>
      <c r="DD190" t="n">
        <v>0</v>
      </c>
      <c r="DE190" t="n">
        <v>0</v>
      </c>
      <c r="DF190" t="n">
        <v>124</v>
      </c>
      <c r="DG190" t="n">
        <v>220</v>
      </c>
      <c r="DH190" t="n">
        <v>0</v>
      </c>
      <c r="DI190" t="n">
        <v>0</v>
      </c>
      <c r="DJ190" t="n">
        <v>0</v>
      </c>
      <c r="DK190" t="n">
        <v>0</v>
      </c>
      <c r="DL190" t="n">
        <v>0</v>
      </c>
      <c r="DM190" t="n">
        <v>0</v>
      </c>
      <c r="DN190" t="n">
        <v>0</v>
      </c>
      <c r="DO190" t="n">
        <v>0</v>
      </c>
      <c r="DP190" t="n">
        <v>0</v>
      </c>
      <c r="DQ190" t="n">
        <v>0</v>
      </c>
      <c r="DR190" t="n">
        <v>0</v>
      </c>
      <c r="DS190" t="n">
        <v>344</v>
      </c>
      <c r="DT190" t="n">
        <v>460</v>
      </c>
      <c r="DU190" t="n">
        <v>133</v>
      </c>
      <c r="DV190" t="n">
        <v>0</v>
      </c>
      <c r="DW190" t="n">
        <v>0</v>
      </c>
      <c r="DX190" t="n">
        <v>0</v>
      </c>
      <c r="DY190" t="n">
        <v>1213</v>
      </c>
      <c r="DZ190" t="n">
        <v>3264</v>
      </c>
      <c r="EA190" t="n">
        <v>1213</v>
      </c>
      <c r="EB190" t="n">
        <v>3451</v>
      </c>
      <c r="EC190" t="n">
        <v>187</v>
      </c>
      <c r="ED190" t="n">
        <v>4664</v>
      </c>
      <c r="EE190" t="n">
        <v>4664</v>
      </c>
      <c r="EF190" t="n">
        <v>0</v>
      </c>
      <c r="EG190" t="n">
        <v>0.06</v>
      </c>
      <c r="EH190" t="n">
        <v>2.2</v>
      </c>
      <c r="EI190" t="n">
        <v>4.7</v>
      </c>
      <c r="EJ190" t="n">
        <v>0.6</v>
      </c>
      <c r="EK190" t="n">
        <v>9.6</v>
      </c>
    </row>
    <row r="191">
      <c r="A191">
        <f>[1]ingredient!B190</f>
        <v/>
      </c>
      <c r="B191" t="inlineStr">
        <is>
          <t>https://www.naehrwertrechner.de/naehrwerte/X473443/Kimchi/?menge=100</t>
        </is>
      </c>
      <c r="C191" s="7">
        <f>_xlfn.XLOOKUP(A191,[1]ingredient!$B$2:$B$521,[1]ingredient!$A$2:$A$521)</f>
        <v/>
      </c>
      <c r="D191" t="n">
        <v>49</v>
      </c>
      <c r="E191" t="n">
        <v>0.2</v>
      </c>
      <c r="F191" t="n">
        <v>1</v>
      </c>
      <c r="G191" t="n">
        <v>9</v>
      </c>
      <c r="H191" t="n">
        <v>3</v>
      </c>
      <c r="I191" t="n">
        <v>1</v>
      </c>
      <c r="J191" t="n">
        <v>2</v>
      </c>
      <c r="K191" t="n">
        <v>84</v>
      </c>
      <c r="L191" t="n">
        <v>200</v>
      </c>
      <c r="M191" t="n">
        <v>1100</v>
      </c>
      <c r="N191" t="n">
        <v>1100</v>
      </c>
      <c r="O191" t="n">
        <v>0</v>
      </c>
      <c r="P191" t="n">
        <v>0</v>
      </c>
      <c r="Q191" t="n">
        <v>0</v>
      </c>
      <c r="R191" t="n">
        <v>400</v>
      </c>
      <c r="S191" t="n">
        <v>700</v>
      </c>
      <c r="T191" t="n">
        <v>200</v>
      </c>
      <c r="U191" t="n">
        <v>100</v>
      </c>
      <c r="V191" t="n">
        <v>1</v>
      </c>
      <c r="W191" t="n">
        <v>22</v>
      </c>
      <c r="X191" t="n">
        <v>0</v>
      </c>
      <c r="Y191" t="n">
        <v>18100</v>
      </c>
      <c r="Z191" t="n">
        <v>0</v>
      </c>
      <c r="AA191" t="n">
        <v>0</v>
      </c>
      <c r="AB191" t="n">
        <v>0</v>
      </c>
      <c r="AC191" t="n">
        <v>800</v>
      </c>
      <c r="AD191" t="n">
        <v>138</v>
      </c>
      <c r="AE191" t="n">
        <v>40</v>
      </c>
      <c r="AF191" t="n">
        <v>14</v>
      </c>
      <c r="AG191" t="n">
        <v>31</v>
      </c>
      <c r="AH191" t="n">
        <v>46</v>
      </c>
      <c r="AI191" t="n">
        <v>1611</v>
      </c>
      <c r="AJ191" t="n">
        <v>600</v>
      </c>
      <c r="AK191" t="n">
        <v>300</v>
      </c>
      <c r="AL191" t="n">
        <v>100</v>
      </c>
      <c r="AM191" t="n">
        <v>200</v>
      </c>
      <c r="AN191" t="n">
        <v>0</v>
      </c>
      <c r="AO191" t="n">
        <v>41</v>
      </c>
      <c r="AP191" t="n">
        <v>50</v>
      </c>
      <c r="AQ191" t="n">
        <v>0</v>
      </c>
      <c r="AR191" t="n">
        <v>0</v>
      </c>
      <c r="AS191" t="n">
        <v>50</v>
      </c>
      <c r="AT191" t="n">
        <v>619</v>
      </c>
      <c r="AU191" t="n">
        <v>511</v>
      </c>
      <c r="AV191" t="n">
        <v>0</v>
      </c>
      <c r="AW191" t="n">
        <v>1130</v>
      </c>
      <c r="AX191" t="n">
        <v>300</v>
      </c>
      <c r="AY191" t="n">
        <v>0</v>
      </c>
      <c r="AZ191" t="n">
        <v>0</v>
      </c>
      <c r="BA191" t="n">
        <v>270</v>
      </c>
      <c r="BB191" t="n">
        <v>5700</v>
      </c>
      <c r="BC191" t="n">
        <v>0</v>
      </c>
      <c r="BD191" t="n">
        <v>0</v>
      </c>
      <c r="BE191" t="n">
        <v>1550</v>
      </c>
      <c r="BF191" t="n">
        <v>0</v>
      </c>
      <c r="BG191">
        <f>IF($F191=0,"0",MIN(
BH191/(30*$F191),
BI191/(61*$F191),
BJ191/(48*$F191),
(BK191+BL191)/(23*$F191),
(BM191+BN191)/(41*$F191),
BO191/(25*$F191),
BP191/(6.6*$F191),
BQ191/(40*$F191),
BS191/(16*$F191)
)*100)</f>
        <v/>
      </c>
      <c r="BH191" t="n">
        <v>77</v>
      </c>
      <c r="BI191" t="n">
        <v>84</v>
      </c>
      <c r="BJ191" t="n">
        <v>75</v>
      </c>
      <c r="BK191" t="n">
        <v>33</v>
      </c>
      <c r="BL191" t="n">
        <v>16</v>
      </c>
      <c r="BM191" t="n">
        <v>59</v>
      </c>
      <c r="BN191" t="n">
        <v>43</v>
      </c>
      <c r="BO191" t="n">
        <v>66</v>
      </c>
      <c r="BP191" t="n">
        <v>24</v>
      </c>
      <c r="BQ191" t="n">
        <v>80</v>
      </c>
      <c r="BR191" t="n">
        <v>98</v>
      </c>
      <c r="BS191" t="n">
        <v>30</v>
      </c>
      <c r="BT191" t="n">
        <v>683</v>
      </c>
      <c r="BU191" t="n">
        <v>83</v>
      </c>
      <c r="BV191" t="n">
        <v>146</v>
      </c>
      <c r="BW191" t="n">
        <v>339</v>
      </c>
      <c r="BX191" t="n">
        <v>49</v>
      </c>
      <c r="BY191" t="n">
        <v>43</v>
      </c>
      <c r="BZ191" t="n">
        <v>57</v>
      </c>
      <c r="CA191" t="n">
        <v>717</v>
      </c>
      <c r="CB191" t="n">
        <v>20</v>
      </c>
      <c r="CC191" t="n">
        <v>8</v>
      </c>
      <c r="CD191" t="n">
        <v>0</v>
      </c>
      <c r="CE191" t="n">
        <v>100</v>
      </c>
      <c r="CG191" t="n">
        <v>0</v>
      </c>
      <c r="CH191" t="n">
        <v>0</v>
      </c>
      <c r="CI191" t="n">
        <v>0.1</v>
      </c>
      <c r="CJ191" t="n">
        <v>0.2</v>
      </c>
      <c r="CK191" t="n">
        <v>1</v>
      </c>
      <c r="CL191" t="n">
        <v>2</v>
      </c>
      <c r="CM191" t="n">
        <v>0</v>
      </c>
      <c r="CN191" t="n">
        <v>35</v>
      </c>
      <c r="CO191" t="n">
        <v>0</v>
      </c>
      <c r="CP191" t="n">
        <v>6</v>
      </c>
      <c r="CQ191" t="n">
        <v>0</v>
      </c>
      <c r="CR191" t="n">
        <v>0</v>
      </c>
      <c r="CS191" t="n">
        <v>0</v>
      </c>
      <c r="CT191" t="n">
        <v>0</v>
      </c>
      <c r="CU191" t="n">
        <v>0</v>
      </c>
      <c r="CV191" t="n">
        <v>0</v>
      </c>
      <c r="CW191" t="n">
        <v>2</v>
      </c>
      <c r="CX191" t="n">
        <v>0</v>
      </c>
      <c r="CY191" t="n">
        <v>21</v>
      </c>
      <c r="CZ191" t="n">
        <v>0.1</v>
      </c>
      <c r="DA191" t="n">
        <v>0</v>
      </c>
      <c r="DB191" t="n">
        <v>0</v>
      </c>
      <c r="DC191" t="n">
        <v>0</v>
      </c>
      <c r="DD191" t="n">
        <v>0</v>
      </c>
      <c r="DE191" t="n">
        <v>0</v>
      </c>
      <c r="DF191" t="n">
        <v>100</v>
      </c>
      <c r="DG191" t="n">
        <v>0</v>
      </c>
      <c r="DH191" t="n">
        <v>0</v>
      </c>
      <c r="DI191" t="n">
        <v>0</v>
      </c>
      <c r="DJ191" t="n">
        <v>0</v>
      </c>
      <c r="DK191" t="n">
        <v>0</v>
      </c>
      <c r="DL191" t="n">
        <v>0</v>
      </c>
      <c r="DM191" t="n">
        <v>0</v>
      </c>
      <c r="DN191" t="n">
        <v>0</v>
      </c>
      <c r="DO191" t="n">
        <v>0</v>
      </c>
      <c r="DP191" t="n">
        <v>0</v>
      </c>
      <c r="DQ191" t="n">
        <v>0</v>
      </c>
      <c r="DR191" t="n">
        <v>0</v>
      </c>
      <c r="DS191" t="n">
        <v>100</v>
      </c>
      <c r="DT191" t="n">
        <v>162</v>
      </c>
      <c r="DU191" t="n">
        <v>37</v>
      </c>
      <c r="DV191" t="n">
        <v>0</v>
      </c>
      <c r="DW191" t="n">
        <v>0</v>
      </c>
      <c r="DX191" t="n">
        <v>0.2</v>
      </c>
      <c r="DY191" t="n">
        <v>513</v>
      </c>
      <c r="DZ191" t="n">
        <v>494</v>
      </c>
      <c r="EA191" t="n">
        <v>784</v>
      </c>
      <c r="EB191" t="n">
        <v>945</v>
      </c>
      <c r="EC191" t="n">
        <v>185</v>
      </c>
      <c r="ED191" t="n">
        <v>1378</v>
      </c>
      <c r="EE191" t="n">
        <v>1822</v>
      </c>
      <c r="EF191" t="n">
        <v>0</v>
      </c>
      <c r="EG191" t="n">
        <v>0</v>
      </c>
      <c r="EH191" t="n">
        <v>2.7</v>
      </c>
      <c r="EI191" t="n">
        <v>1.8</v>
      </c>
      <c r="EJ191" t="n">
        <v>0.2</v>
      </c>
      <c r="EK191" t="n">
        <v>1.5</v>
      </c>
    </row>
    <row r="192">
      <c r="A192">
        <f>[1]ingredient!B191</f>
        <v/>
      </c>
      <c r="B192" t="inlineStr">
        <is>
          <t>https://www.naehrwertrechner.de/naehrwerte/F212100/Sauerkirsche+roh/?menge=100</t>
        </is>
      </c>
      <c r="C192" s="7">
        <f>_xlfn.XLOOKUP(A192,[1]ingredient!$B$2:$B$521,[1]ingredient!$A$2:$A$521)</f>
        <v/>
      </c>
      <c r="D192" t="n">
        <v>52</v>
      </c>
      <c r="E192" t="n">
        <v>1</v>
      </c>
      <c r="F192" t="n">
        <v>1</v>
      </c>
      <c r="G192" t="n">
        <v>10</v>
      </c>
      <c r="H192" t="n">
        <v>1</v>
      </c>
      <c r="I192" t="n">
        <v>10</v>
      </c>
      <c r="J192" t="n">
        <v>0.02</v>
      </c>
      <c r="K192" t="n">
        <v>85</v>
      </c>
      <c r="L192" t="n">
        <v>40</v>
      </c>
      <c r="M192" t="n">
        <v>20</v>
      </c>
      <c r="N192" t="n">
        <v>0</v>
      </c>
      <c r="O192" t="n">
        <v>240</v>
      </c>
      <c r="P192" t="n">
        <v>50</v>
      </c>
      <c r="Q192" t="n">
        <v>60</v>
      </c>
      <c r="R192" t="n">
        <v>400</v>
      </c>
      <c r="S192" t="n">
        <v>550</v>
      </c>
      <c r="T192" t="n">
        <v>230</v>
      </c>
      <c r="U192" t="n">
        <v>50</v>
      </c>
      <c r="V192" t="n">
        <v>0.4</v>
      </c>
      <c r="W192" t="n">
        <v>75</v>
      </c>
      <c r="X192" t="n">
        <v>0</v>
      </c>
      <c r="Y192" t="n">
        <v>12000</v>
      </c>
      <c r="Z192" t="n">
        <v>0</v>
      </c>
      <c r="AA192" t="n">
        <v>130</v>
      </c>
      <c r="AB192" t="n">
        <v>0</v>
      </c>
      <c r="AC192" t="n">
        <v>2</v>
      </c>
      <c r="AD192" t="n">
        <v>114</v>
      </c>
      <c r="AE192" t="n">
        <v>8</v>
      </c>
      <c r="AF192" t="n">
        <v>8</v>
      </c>
      <c r="AG192" t="n">
        <v>19</v>
      </c>
      <c r="AH192" t="n">
        <v>8</v>
      </c>
      <c r="AI192" t="n">
        <v>21</v>
      </c>
      <c r="AJ192" t="n">
        <v>600</v>
      </c>
      <c r="AK192" t="n">
        <v>100</v>
      </c>
      <c r="AL192" t="n">
        <v>100</v>
      </c>
      <c r="AM192" t="n">
        <v>80</v>
      </c>
      <c r="AN192" t="n">
        <v>18</v>
      </c>
      <c r="AO192" t="n">
        <v>0.2</v>
      </c>
      <c r="AP192" t="n">
        <v>0</v>
      </c>
      <c r="AQ192" t="n">
        <v>1020</v>
      </c>
      <c r="AR192" t="n">
        <v>0</v>
      </c>
      <c r="AS192" t="n">
        <v>1020</v>
      </c>
      <c r="AT192" t="n">
        <v>5180</v>
      </c>
      <c r="AU192" t="n">
        <v>4283</v>
      </c>
      <c r="AV192" t="n">
        <v>0</v>
      </c>
      <c r="AW192" t="n">
        <v>9463</v>
      </c>
      <c r="AX192" t="n">
        <v>417</v>
      </c>
      <c r="AY192" t="n">
        <v>0</v>
      </c>
      <c r="AZ192" t="n">
        <v>0</v>
      </c>
      <c r="BA192" t="n">
        <v>417</v>
      </c>
      <c r="BB192" t="n">
        <v>0</v>
      </c>
      <c r="BC192" t="n">
        <v>0</v>
      </c>
      <c r="BD192" t="n">
        <v>0</v>
      </c>
      <c r="BE192" t="n">
        <v>0</v>
      </c>
      <c r="BF192" t="n">
        <v>0</v>
      </c>
      <c r="BG192">
        <f>IF($F192=0,"0",MIN(
BH192/(30*$F192),
BI192/(61*$F192),
BJ192/(48*$F192),
(BK192+BL192)/(23*$F192),
(BM192+BN192)/(41*$F192),
BO192/(25*$F192),
BP192/(6.6*$F192),
BQ192/(40*$F192),
BS192/(16*$F192)
)*100)</f>
        <v/>
      </c>
      <c r="BH192" t="n">
        <v>18</v>
      </c>
      <c r="BI192" t="n">
        <v>26</v>
      </c>
      <c r="BJ192" t="n">
        <v>36</v>
      </c>
      <c r="BK192" t="n">
        <v>5</v>
      </c>
      <c r="BL192" t="n">
        <v>3</v>
      </c>
      <c r="BM192" t="n">
        <v>18</v>
      </c>
      <c r="BN192" t="n">
        <v>11</v>
      </c>
      <c r="BO192" t="n">
        <v>21</v>
      </c>
      <c r="BP192" t="n">
        <v>9</v>
      </c>
      <c r="BQ192" t="n">
        <v>25</v>
      </c>
      <c r="BR192" t="n">
        <v>16</v>
      </c>
      <c r="BS192" t="n">
        <v>13</v>
      </c>
      <c r="BT192" t="n">
        <v>201</v>
      </c>
      <c r="BU192" t="n">
        <v>28</v>
      </c>
      <c r="BV192" t="n">
        <v>553</v>
      </c>
      <c r="BW192" t="n">
        <v>36</v>
      </c>
      <c r="BX192" t="n">
        <v>22</v>
      </c>
      <c r="BY192" t="n">
        <v>30</v>
      </c>
      <c r="BZ192" t="n">
        <v>30</v>
      </c>
      <c r="CA192" t="n">
        <v>699</v>
      </c>
      <c r="CB192" t="n">
        <v>17</v>
      </c>
      <c r="CC192" t="n">
        <v>7</v>
      </c>
      <c r="CD192" t="n">
        <v>73</v>
      </c>
      <c r="CE192" t="n">
        <v>77</v>
      </c>
      <c r="CF192" t="n">
        <v>1.05</v>
      </c>
      <c r="CG192" t="n">
        <v>0</v>
      </c>
      <c r="CH192" t="n">
        <v>0</v>
      </c>
      <c r="CI192" t="n">
        <v>0</v>
      </c>
      <c r="CJ192" t="n">
        <v>0</v>
      </c>
      <c r="CK192" t="n">
        <v>0</v>
      </c>
      <c r="CL192" t="n">
        <v>3</v>
      </c>
      <c r="CM192" t="n">
        <v>0</v>
      </c>
      <c r="CN192" t="n">
        <v>80</v>
      </c>
      <c r="CO192" t="n">
        <v>0</v>
      </c>
      <c r="CP192" t="n">
        <v>27</v>
      </c>
      <c r="CQ192" t="n">
        <v>0</v>
      </c>
      <c r="CR192" t="n">
        <v>0</v>
      </c>
      <c r="CS192" t="n">
        <v>0</v>
      </c>
      <c r="CT192" t="n">
        <v>110</v>
      </c>
      <c r="CU192" t="n">
        <v>0</v>
      </c>
      <c r="CV192" t="n">
        <v>0</v>
      </c>
      <c r="CW192" t="n">
        <v>2</v>
      </c>
      <c r="CX192" t="n">
        <v>0</v>
      </c>
      <c r="CY192" t="n">
        <v>135</v>
      </c>
      <c r="CZ192" t="n">
        <v>0</v>
      </c>
      <c r="DA192" t="n">
        <v>0</v>
      </c>
      <c r="DB192" t="n">
        <v>0</v>
      </c>
      <c r="DC192" t="n">
        <v>137</v>
      </c>
      <c r="DD192" t="n">
        <v>0</v>
      </c>
      <c r="DE192" t="n">
        <v>0</v>
      </c>
      <c r="DF192" t="n">
        <v>77</v>
      </c>
      <c r="DG192" t="n">
        <v>73</v>
      </c>
      <c r="DH192" t="n">
        <v>0</v>
      </c>
      <c r="DI192" t="n">
        <v>0</v>
      </c>
      <c r="DJ192" t="n">
        <v>0</v>
      </c>
      <c r="DK192" t="n">
        <v>0</v>
      </c>
      <c r="DL192" t="n">
        <v>0</v>
      </c>
      <c r="DM192" t="n">
        <v>0</v>
      </c>
      <c r="DN192" t="n">
        <v>0</v>
      </c>
      <c r="DO192" t="n">
        <v>0</v>
      </c>
      <c r="DP192" t="n">
        <v>0</v>
      </c>
      <c r="DQ192" t="n">
        <v>0</v>
      </c>
      <c r="DR192" t="n">
        <v>0</v>
      </c>
      <c r="DS192" t="n">
        <v>150</v>
      </c>
      <c r="DT192" t="n">
        <v>397</v>
      </c>
      <c r="DU192" t="n">
        <v>100</v>
      </c>
      <c r="DV192" t="n">
        <v>0</v>
      </c>
      <c r="DW192" t="n">
        <v>0</v>
      </c>
      <c r="DX192" t="n">
        <v>0</v>
      </c>
      <c r="DY192" t="n">
        <v>363</v>
      </c>
      <c r="DZ192" t="n">
        <v>287</v>
      </c>
      <c r="EA192" t="n">
        <v>303</v>
      </c>
      <c r="EB192" t="n">
        <v>146</v>
      </c>
      <c r="EC192" t="n">
        <v>1</v>
      </c>
      <c r="ED192" t="n">
        <v>570</v>
      </c>
      <c r="EE192" t="n">
        <v>470</v>
      </c>
      <c r="EF192" t="n">
        <v>0</v>
      </c>
      <c r="EG192" t="n">
        <v>2</v>
      </c>
      <c r="EH192" t="n">
        <v>0.5</v>
      </c>
      <c r="EI192" t="n">
        <v>0.5</v>
      </c>
      <c r="EJ192" t="n">
        <v>0.5</v>
      </c>
      <c r="EK192" t="n">
        <v>1</v>
      </c>
    </row>
    <row r="193">
      <c r="A193">
        <f>[1]ingredient!B192</f>
        <v/>
      </c>
      <c r="B193" t="inlineStr">
        <is>
          <t>https://www.naehrwertrechner.de/naehrwerte/F212200/Sauerkirsche+tiefgefroren/?menge=100</t>
        </is>
      </c>
      <c r="C193" s="7">
        <f>_xlfn.XLOOKUP(A193,[1]ingredient!$B$2:$B$521,[1]ingredient!$A$2:$A$521)</f>
        <v/>
      </c>
      <c r="D193" t="n">
        <v>54</v>
      </c>
      <c r="E193" t="n">
        <v>1</v>
      </c>
      <c r="F193" t="n">
        <v>1</v>
      </c>
      <c r="G193" t="n">
        <v>10</v>
      </c>
      <c r="H193" t="n">
        <v>1</v>
      </c>
      <c r="I193" t="n">
        <v>9</v>
      </c>
      <c r="J193" t="n">
        <v>0.02</v>
      </c>
      <c r="K193" t="n">
        <v>85</v>
      </c>
      <c r="L193" t="n">
        <v>38</v>
      </c>
      <c r="M193" t="n">
        <v>19</v>
      </c>
      <c r="N193" t="n">
        <v>0</v>
      </c>
      <c r="O193" t="n">
        <v>226</v>
      </c>
      <c r="P193" t="n">
        <v>47</v>
      </c>
      <c r="Q193" t="n">
        <v>56</v>
      </c>
      <c r="R193" t="n">
        <v>376</v>
      </c>
      <c r="S193" t="n">
        <v>526</v>
      </c>
      <c r="T193" t="n">
        <v>216</v>
      </c>
      <c r="U193" t="n">
        <v>47</v>
      </c>
      <c r="V193" t="n">
        <v>0.4</v>
      </c>
      <c r="W193" t="n">
        <v>71</v>
      </c>
      <c r="X193" t="n">
        <v>0</v>
      </c>
      <c r="Y193" t="n">
        <v>10028</v>
      </c>
      <c r="Z193" t="n">
        <v>0</v>
      </c>
      <c r="AA193" t="n">
        <v>122</v>
      </c>
      <c r="AB193" t="n">
        <v>0</v>
      </c>
      <c r="AC193" t="n">
        <v>2</v>
      </c>
      <c r="AD193" t="n">
        <v>119</v>
      </c>
      <c r="AE193" t="n">
        <v>8</v>
      </c>
      <c r="AF193" t="n">
        <v>8</v>
      </c>
      <c r="AG193" t="n">
        <v>20</v>
      </c>
      <c r="AH193" t="n">
        <v>8</v>
      </c>
      <c r="AI193" t="n">
        <v>22</v>
      </c>
      <c r="AJ193" t="n">
        <v>627</v>
      </c>
      <c r="AK193" t="n">
        <v>104</v>
      </c>
      <c r="AL193" t="n">
        <v>104</v>
      </c>
      <c r="AM193" t="n">
        <v>84</v>
      </c>
      <c r="AN193" t="n">
        <v>19</v>
      </c>
      <c r="AO193" t="n">
        <v>0.2</v>
      </c>
      <c r="AP193" t="n">
        <v>0</v>
      </c>
      <c r="AQ193" t="n">
        <v>965</v>
      </c>
      <c r="AR193" t="n">
        <v>0</v>
      </c>
      <c r="AS193" t="n">
        <v>965</v>
      </c>
      <c r="AT193" t="n">
        <v>4905</v>
      </c>
      <c r="AU193" t="n">
        <v>4055</v>
      </c>
      <c r="AV193" t="n">
        <v>0</v>
      </c>
      <c r="AW193" t="n">
        <v>8960</v>
      </c>
      <c r="AX193" t="n">
        <v>395</v>
      </c>
      <c r="AY193" t="n">
        <v>0</v>
      </c>
      <c r="AZ193" t="n">
        <v>0</v>
      </c>
      <c r="BA193" t="n">
        <v>395</v>
      </c>
      <c r="BB193" t="n">
        <v>0</v>
      </c>
      <c r="BC193" t="n">
        <v>0</v>
      </c>
      <c r="BD193" t="n">
        <v>0</v>
      </c>
      <c r="BE193" t="n">
        <v>0</v>
      </c>
      <c r="BF193" t="n">
        <v>0</v>
      </c>
      <c r="BG193">
        <f>IF($F193=0,"0",MIN(
BH193/(30*$F193),
BI193/(61*$F193),
BJ193/(48*$F193),
(BK193+BL193)/(23*$F193),
(BM193+BN193)/(41*$F193),
BO193/(25*$F193),
BP193/(6.6*$F193),
BQ193/(40*$F193),
BS193/(16*$F193)
)*100)</f>
        <v/>
      </c>
      <c r="BH193" t="n">
        <v>19</v>
      </c>
      <c r="BI193" t="n">
        <v>27</v>
      </c>
      <c r="BJ193" t="n">
        <v>38</v>
      </c>
      <c r="BK193" t="n">
        <v>5</v>
      </c>
      <c r="BL193" t="n">
        <v>3</v>
      </c>
      <c r="BM193" t="n">
        <v>19</v>
      </c>
      <c r="BN193" t="n">
        <v>11</v>
      </c>
      <c r="BO193" t="n">
        <v>22</v>
      </c>
      <c r="BP193" t="n">
        <v>9</v>
      </c>
      <c r="BQ193" t="n">
        <v>26</v>
      </c>
      <c r="BR193" t="n">
        <v>17</v>
      </c>
      <c r="BS193" t="n">
        <v>14</v>
      </c>
      <c r="BT193" t="n">
        <v>210</v>
      </c>
      <c r="BU193" t="n">
        <v>29</v>
      </c>
      <c r="BV193" t="n">
        <v>578</v>
      </c>
      <c r="BW193" t="n">
        <v>38</v>
      </c>
      <c r="BX193" t="n">
        <v>23</v>
      </c>
      <c r="BY193" t="n">
        <v>31</v>
      </c>
      <c r="BZ193" t="n">
        <v>31</v>
      </c>
      <c r="CA193" t="n">
        <v>730</v>
      </c>
      <c r="CB193" t="n">
        <v>18</v>
      </c>
      <c r="CC193" t="n">
        <v>8</v>
      </c>
      <c r="CD193" t="n">
        <v>76</v>
      </c>
      <c r="CE193" t="n">
        <v>81</v>
      </c>
      <c r="CF193" t="n">
        <v>1.07</v>
      </c>
      <c r="CG193" t="n">
        <v>0</v>
      </c>
      <c r="CH193" t="n">
        <v>0</v>
      </c>
      <c r="CI193" t="n">
        <v>0</v>
      </c>
      <c r="CJ193" t="n">
        <v>0</v>
      </c>
      <c r="CK193" t="n">
        <v>0</v>
      </c>
      <c r="CL193" t="n">
        <v>3</v>
      </c>
      <c r="CM193" t="n">
        <v>0</v>
      </c>
      <c r="CN193" t="n">
        <v>85</v>
      </c>
      <c r="CO193" t="n">
        <v>0</v>
      </c>
      <c r="CP193" t="n">
        <v>28</v>
      </c>
      <c r="CQ193" t="n">
        <v>0</v>
      </c>
      <c r="CR193" t="n">
        <v>0</v>
      </c>
      <c r="CS193" t="n">
        <v>0</v>
      </c>
      <c r="CT193" t="n">
        <v>116</v>
      </c>
      <c r="CU193" t="n">
        <v>0</v>
      </c>
      <c r="CV193" t="n">
        <v>0</v>
      </c>
      <c r="CW193" t="n">
        <v>2</v>
      </c>
      <c r="CX193" t="n">
        <v>0</v>
      </c>
      <c r="CY193" t="n">
        <v>142</v>
      </c>
      <c r="CZ193" t="n">
        <v>0</v>
      </c>
      <c r="DA193" t="n">
        <v>0</v>
      </c>
      <c r="DB193" t="n">
        <v>0</v>
      </c>
      <c r="DC193" t="n">
        <v>144</v>
      </c>
      <c r="DD193" t="n">
        <v>0</v>
      </c>
      <c r="DE193" t="n">
        <v>0</v>
      </c>
      <c r="DF193" t="n">
        <v>81</v>
      </c>
      <c r="DG193" t="n">
        <v>76</v>
      </c>
      <c r="DH193" t="n">
        <v>0</v>
      </c>
      <c r="DI193" t="n">
        <v>0</v>
      </c>
      <c r="DJ193" t="n">
        <v>0</v>
      </c>
      <c r="DK193" t="n">
        <v>0</v>
      </c>
      <c r="DL193" t="n">
        <v>0</v>
      </c>
      <c r="DM193" t="n">
        <v>0</v>
      </c>
      <c r="DN193" t="n">
        <v>0</v>
      </c>
      <c r="DO193" t="n">
        <v>0</v>
      </c>
      <c r="DP193" t="n">
        <v>0</v>
      </c>
      <c r="DQ193" t="n">
        <v>0</v>
      </c>
      <c r="DR193" t="n">
        <v>0</v>
      </c>
      <c r="DS193" t="n">
        <v>157</v>
      </c>
      <c r="DT193" t="n">
        <v>417</v>
      </c>
      <c r="DU193" t="n">
        <v>105</v>
      </c>
      <c r="DV193" t="n">
        <v>0</v>
      </c>
      <c r="DW193" t="n">
        <v>0</v>
      </c>
      <c r="DX193" t="n">
        <v>0</v>
      </c>
      <c r="DY193" t="n">
        <v>379</v>
      </c>
      <c r="DZ193" t="n">
        <v>300</v>
      </c>
      <c r="EA193" t="n">
        <v>317</v>
      </c>
      <c r="EB193" t="n">
        <v>153</v>
      </c>
      <c r="EC193" t="n">
        <v>1</v>
      </c>
      <c r="ED193" t="n">
        <v>595</v>
      </c>
      <c r="EE193" t="n">
        <v>491</v>
      </c>
      <c r="EF193" t="n">
        <v>0</v>
      </c>
      <c r="EG193" t="n">
        <v>2</v>
      </c>
      <c r="EH193" t="n">
        <v>0.5</v>
      </c>
      <c r="EI193" t="n">
        <v>0.5</v>
      </c>
      <c r="EJ193" t="n">
        <v>0.5</v>
      </c>
      <c r="EK193" t="n">
        <v>1</v>
      </c>
    </row>
    <row r="194">
      <c r="A194">
        <f>[1]ingredient!B193</f>
        <v/>
      </c>
      <c r="B194" t="inlineStr">
        <is>
          <t>https://www.naehrwertrechner.de/naehrwerte/F224000/Mirabelle/?menge=100</t>
        </is>
      </c>
      <c r="C194" s="7">
        <f>_xlfn.XLOOKUP(A194,[1]ingredient!$B$2:$B$521,[1]ingredient!$A$2:$A$521)</f>
        <v/>
      </c>
      <c r="D194" t="n">
        <v>64</v>
      </c>
      <c r="E194" t="n">
        <v>0.2</v>
      </c>
      <c r="F194" t="n">
        <v>1</v>
      </c>
      <c r="G194" t="n">
        <v>14</v>
      </c>
      <c r="H194" t="n">
        <v>1</v>
      </c>
      <c r="I194" t="n">
        <v>14</v>
      </c>
      <c r="J194" t="n">
        <v>0</v>
      </c>
      <c r="K194" t="n">
        <v>82</v>
      </c>
      <c r="L194" t="n">
        <v>35</v>
      </c>
      <c r="M194" t="n">
        <v>18</v>
      </c>
      <c r="N194" t="n">
        <v>0</v>
      </c>
      <c r="O194" t="n">
        <v>210</v>
      </c>
      <c r="P194" t="n">
        <v>60</v>
      </c>
      <c r="Q194" t="n">
        <v>40</v>
      </c>
      <c r="R194" t="n">
        <v>600</v>
      </c>
      <c r="S194" t="n">
        <v>600</v>
      </c>
      <c r="T194" t="n">
        <v>200</v>
      </c>
      <c r="U194" t="n">
        <v>50</v>
      </c>
      <c r="V194" t="n">
        <v>1</v>
      </c>
      <c r="W194" t="n">
        <v>3</v>
      </c>
      <c r="X194" t="n">
        <v>0</v>
      </c>
      <c r="Y194" t="n">
        <v>7000</v>
      </c>
      <c r="Z194" t="n">
        <v>0</v>
      </c>
      <c r="AA194" t="n">
        <v>500</v>
      </c>
      <c r="AB194" t="n">
        <v>10</v>
      </c>
      <c r="AC194" t="n">
        <v>0</v>
      </c>
      <c r="AD194" t="n">
        <v>230</v>
      </c>
      <c r="AE194" t="n">
        <v>12</v>
      </c>
      <c r="AF194" t="n">
        <v>15</v>
      </c>
      <c r="AG194" t="n">
        <v>33</v>
      </c>
      <c r="AH194" t="n">
        <v>10</v>
      </c>
      <c r="AI194" t="n">
        <v>3</v>
      </c>
      <c r="AJ194" t="n">
        <v>500</v>
      </c>
      <c r="AK194" t="n">
        <v>100</v>
      </c>
      <c r="AL194" t="n">
        <v>90</v>
      </c>
      <c r="AM194" t="n">
        <v>90</v>
      </c>
      <c r="AN194" t="n">
        <v>2</v>
      </c>
      <c r="AO194" t="n">
        <v>1</v>
      </c>
      <c r="AP194" t="n">
        <v>0</v>
      </c>
      <c r="AQ194" t="n">
        <v>0</v>
      </c>
      <c r="AR194" t="n">
        <v>0</v>
      </c>
      <c r="AS194" t="n">
        <v>0</v>
      </c>
      <c r="AT194" t="n">
        <v>5096</v>
      </c>
      <c r="AU194" t="n">
        <v>4298</v>
      </c>
      <c r="AV194" t="n">
        <v>0</v>
      </c>
      <c r="AW194" t="n">
        <v>9394</v>
      </c>
      <c r="AX194" t="n">
        <v>4606</v>
      </c>
      <c r="AY194" t="n">
        <v>0</v>
      </c>
      <c r="AZ194" t="n">
        <v>0</v>
      </c>
      <c r="BA194" t="n">
        <v>4606</v>
      </c>
      <c r="BB194" t="n">
        <v>0</v>
      </c>
      <c r="BC194" t="n">
        <v>0</v>
      </c>
      <c r="BD194" t="n">
        <v>0</v>
      </c>
      <c r="BE194" t="n">
        <v>0</v>
      </c>
      <c r="BF194" t="n">
        <v>0</v>
      </c>
      <c r="BG194">
        <f>IF($F194=0,"0",MIN(
BH194/(30*$F194),
BI194/(61*$F194),
BJ194/(48*$F194),
(BK194+BL194)/(23*$F194),
(BM194+BN194)/(41*$F194),
BO194/(25*$F194),
BP194/(6.6*$F194),
BQ194/(40*$F194),
BS194/(16*$F194)
)*100)</f>
        <v/>
      </c>
      <c r="BH194" t="n">
        <v>14</v>
      </c>
      <c r="BI194" t="n">
        <v>19</v>
      </c>
      <c r="BJ194" t="n">
        <v>15</v>
      </c>
      <c r="BK194" t="n">
        <v>6</v>
      </c>
      <c r="BL194" t="n">
        <v>4</v>
      </c>
      <c r="BM194" t="n">
        <v>15</v>
      </c>
      <c r="BN194" t="n">
        <v>6</v>
      </c>
      <c r="BO194" t="n">
        <v>14</v>
      </c>
      <c r="BP194" t="n">
        <v>0</v>
      </c>
      <c r="BQ194" t="n">
        <v>17</v>
      </c>
      <c r="BR194" t="n">
        <v>11</v>
      </c>
      <c r="BS194" t="n">
        <v>11</v>
      </c>
      <c r="BT194" t="n">
        <v>132</v>
      </c>
      <c r="BU194" t="n">
        <v>26</v>
      </c>
      <c r="BV194" t="n">
        <v>219</v>
      </c>
      <c r="BW194" t="n">
        <v>33</v>
      </c>
      <c r="BX194" t="n">
        <v>11</v>
      </c>
      <c r="BY194" t="n">
        <v>30</v>
      </c>
      <c r="BZ194" t="n">
        <v>18</v>
      </c>
      <c r="CA194" t="n">
        <v>337</v>
      </c>
      <c r="CB194" t="n">
        <v>20</v>
      </c>
      <c r="CC194" t="n">
        <v>8</v>
      </c>
      <c r="CD194" t="n">
        <v>35</v>
      </c>
      <c r="CE194" t="n">
        <v>64</v>
      </c>
      <c r="CF194" t="n">
        <v>1.83</v>
      </c>
      <c r="CG194" t="n">
        <v>0</v>
      </c>
      <c r="CH194" t="n">
        <v>0</v>
      </c>
      <c r="CI194" t="n">
        <v>0</v>
      </c>
      <c r="CJ194" t="n">
        <v>0</v>
      </c>
      <c r="CK194" t="n">
        <v>0</v>
      </c>
      <c r="CL194" t="n">
        <v>0</v>
      </c>
      <c r="CM194" t="n">
        <v>0</v>
      </c>
      <c r="CN194" t="n">
        <v>29</v>
      </c>
      <c r="CO194" t="n">
        <v>0</v>
      </c>
      <c r="CP194" t="n">
        <v>6</v>
      </c>
      <c r="CQ194" t="n">
        <v>0</v>
      </c>
      <c r="CR194" t="n">
        <v>0</v>
      </c>
      <c r="CS194" t="n">
        <v>0</v>
      </c>
      <c r="CT194" t="n">
        <v>35</v>
      </c>
      <c r="CU194" t="n">
        <v>0</v>
      </c>
      <c r="CV194" t="n">
        <v>0</v>
      </c>
      <c r="CW194" t="n">
        <v>2</v>
      </c>
      <c r="CX194" t="n">
        <v>0</v>
      </c>
      <c r="CY194" t="n">
        <v>24</v>
      </c>
      <c r="CZ194" t="n">
        <v>0</v>
      </c>
      <c r="DA194" t="n">
        <v>0</v>
      </c>
      <c r="DB194" t="n">
        <v>0</v>
      </c>
      <c r="DC194" t="n">
        <v>26</v>
      </c>
      <c r="DD194" t="n">
        <v>0</v>
      </c>
      <c r="DE194" t="n">
        <v>0</v>
      </c>
      <c r="DF194" t="n">
        <v>64</v>
      </c>
      <c r="DG194" t="n">
        <v>35</v>
      </c>
      <c r="DH194" t="n">
        <v>0</v>
      </c>
      <c r="DI194" t="n">
        <v>0</v>
      </c>
      <c r="DJ194" t="n">
        <v>0</v>
      </c>
      <c r="DK194" t="n">
        <v>0</v>
      </c>
      <c r="DL194" t="n">
        <v>0</v>
      </c>
      <c r="DM194" t="n">
        <v>0</v>
      </c>
      <c r="DN194" t="n">
        <v>0</v>
      </c>
      <c r="DO194" t="n">
        <v>0</v>
      </c>
      <c r="DP194" t="n">
        <v>0</v>
      </c>
      <c r="DQ194" t="n">
        <v>0</v>
      </c>
      <c r="DR194" t="n">
        <v>0</v>
      </c>
      <c r="DS194" t="n">
        <v>99</v>
      </c>
      <c r="DT194" t="n">
        <v>160</v>
      </c>
      <c r="DU194" t="n">
        <v>40</v>
      </c>
      <c r="DV194" t="n">
        <v>0</v>
      </c>
      <c r="DW194" t="n">
        <v>0</v>
      </c>
      <c r="DX194" t="n">
        <v>0</v>
      </c>
      <c r="DY194" t="n">
        <v>130</v>
      </c>
      <c r="DZ194" t="n">
        <v>108</v>
      </c>
      <c r="EA194" t="n">
        <v>625</v>
      </c>
      <c r="EB194" t="n">
        <v>190</v>
      </c>
      <c r="EC194" t="n">
        <v>247</v>
      </c>
      <c r="ED194" t="n">
        <v>551</v>
      </c>
      <c r="EE194" t="n">
        <v>749</v>
      </c>
      <c r="EF194" t="n">
        <v>0</v>
      </c>
      <c r="EG194" t="n">
        <v>1</v>
      </c>
      <c r="EH194" t="n">
        <v>0.5</v>
      </c>
      <c r="EI194" t="n">
        <v>0.7</v>
      </c>
      <c r="EJ194" t="n">
        <v>0.2</v>
      </c>
      <c r="EK194" t="n">
        <v>0.5</v>
      </c>
    </row>
    <row r="195">
      <c r="A195">
        <f>[1]ingredient!B194</f>
        <v/>
      </c>
      <c r="B195" t="inlineStr">
        <is>
          <t>https://www.naehrwertrechner.de/naehrwerte/F514111/Kiwi+frisch/?menge=100</t>
        </is>
      </c>
      <c r="C195" s="7">
        <f>_xlfn.XLOOKUP(A195,[1]ingredient!$B$2:$B$521,[1]ingredient!$A$2:$A$521)</f>
        <v/>
      </c>
      <c r="D195" t="n">
        <v>61</v>
      </c>
      <c r="E195" t="n">
        <v>1</v>
      </c>
      <c r="F195" t="n">
        <v>1</v>
      </c>
      <c r="G195" t="n">
        <v>11</v>
      </c>
      <c r="H195" t="n">
        <v>4</v>
      </c>
      <c r="I195" t="n">
        <v>10</v>
      </c>
      <c r="J195" t="n">
        <v>0.07000000000000001</v>
      </c>
      <c r="K195" t="n">
        <v>81</v>
      </c>
      <c r="L195" t="n">
        <v>62</v>
      </c>
      <c r="M195" t="n">
        <v>31</v>
      </c>
      <c r="N195" t="n">
        <v>0</v>
      </c>
      <c r="O195" t="n">
        <v>370</v>
      </c>
      <c r="P195" t="n">
        <v>17</v>
      </c>
      <c r="Q195" t="n">
        <v>50</v>
      </c>
      <c r="R195" t="n">
        <v>410</v>
      </c>
      <c r="S195" t="n">
        <v>577</v>
      </c>
      <c r="T195" t="n">
        <v>200</v>
      </c>
      <c r="U195" t="n">
        <v>18</v>
      </c>
      <c r="V195" t="n">
        <v>1</v>
      </c>
      <c r="W195" t="n">
        <v>20</v>
      </c>
      <c r="X195" t="n">
        <v>0</v>
      </c>
      <c r="Y195" t="n">
        <v>71000</v>
      </c>
      <c r="Z195" t="n">
        <v>0</v>
      </c>
      <c r="AA195" t="n">
        <v>500</v>
      </c>
      <c r="AB195" t="n">
        <v>10</v>
      </c>
      <c r="AC195" t="n">
        <v>4</v>
      </c>
      <c r="AD195" t="n">
        <v>295</v>
      </c>
      <c r="AE195" t="n">
        <v>38</v>
      </c>
      <c r="AF195" t="n">
        <v>24</v>
      </c>
      <c r="AG195" t="n">
        <v>31</v>
      </c>
      <c r="AH195" t="n">
        <v>15</v>
      </c>
      <c r="AI195" t="n">
        <v>66</v>
      </c>
      <c r="AJ195" t="n">
        <v>800</v>
      </c>
      <c r="AK195" t="n">
        <v>450</v>
      </c>
      <c r="AL195" t="n">
        <v>120</v>
      </c>
      <c r="AM195" t="n">
        <v>50</v>
      </c>
      <c r="AN195" t="n">
        <v>10</v>
      </c>
      <c r="AO195" t="n">
        <v>2</v>
      </c>
      <c r="AP195" t="n">
        <v>0</v>
      </c>
      <c r="AQ195" t="n">
        <v>0</v>
      </c>
      <c r="AR195" t="n">
        <v>0</v>
      </c>
      <c r="AS195" t="n">
        <v>0</v>
      </c>
      <c r="AT195" t="n">
        <v>4707</v>
      </c>
      <c r="AU195" t="n">
        <v>4405</v>
      </c>
      <c r="AV195" t="n">
        <v>0</v>
      </c>
      <c r="AW195" t="n">
        <v>9112</v>
      </c>
      <c r="AX195" t="n">
        <v>1346</v>
      </c>
      <c r="AY195" t="n">
        <v>0</v>
      </c>
      <c r="AZ195" t="n">
        <v>0</v>
      </c>
      <c r="BA195" t="n">
        <v>1346</v>
      </c>
      <c r="BB195" t="n">
        <v>0</v>
      </c>
      <c r="BC195" t="n">
        <v>0</v>
      </c>
      <c r="BD195" t="n">
        <v>0</v>
      </c>
      <c r="BE195" t="n">
        <v>312</v>
      </c>
      <c r="BF195" t="n">
        <v>312</v>
      </c>
      <c r="BG195">
        <f>IF($F195=0,"0",MIN(
BH195/(30*$F195),
BI195/(61*$F195),
BJ195/(48*$F195),
(BK195+BL195)/(23*$F195),
(BM195+BN195)/(41*$F195),
BO195/(25*$F195),
BP195/(6.6*$F195),
BQ195/(40*$F195),
BS195/(16*$F195)
)*100)</f>
        <v/>
      </c>
      <c r="BH195" t="n">
        <v>30</v>
      </c>
      <c r="BI195" t="n">
        <v>50</v>
      </c>
      <c r="BJ195" t="n">
        <v>50</v>
      </c>
      <c r="BK195" t="n">
        <v>10</v>
      </c>
      <c r="BL195" t="n">
        <v>5</v>
      </c>
      <c r="BM195" t="n">
        <v>25</v>
      </c>
      <c r="BN195" t="n">
        <v>20</v>
      </c>
      <c r="BO195" t="n">
        <v>30</v>
      </c>
      <c r="BP195" t="n">
        <v>10</v>
      </c>
      <c r="BQ195" t="n">
        <v>35</v>
      </c>
      <c r="BR195" t="n">
        <v>35</v>
      </c>
      <c r="BS195" t="n">
        <v>15</v>
      </c>
      <c r="BT195" t="n">
        <v>315</v>
      </c>
      <c r="BU195" t="n">
        <v>45</v>
      </c>
      <c r="BV195" t="n">
        <v>90</v>
      </c>
      <c r="BW195" t="n">
        <v>100</v>
      </c>
      <c r="BX195" t="n">
        <v>35</v>
      </c>
      <c r="BY195" t="n">
        <v>35</v>
      </c>
      <c r="BZ195" t="n">
        <v>40</v>
      </c>
      <c r="CA195" t="n">
        <v>345</v>
      </c>
      <c r="CB195" t="n">
        <v>19</v>
      </c>
      <c r="CC195" t="n">
        <v>8</v>
      </c>
      <c r="CD195" t="n">
        <v>48</v>
      </c>
      <c r="CE195" t="n">
        <v>201</v>
      </c>
      <c r="CF195" t="n">
        <v>4.19</v>
      </c>
      <c r="CG195" t="n">
        <v>0</v>
      </c>
      <c r="CH195" t="n">
        <v>0</v>
      </c>
      <c r="CI195" t="n">
        <v>0</v>
      </c>
      <c r="CJ195" t="n">
        <v>0</v>
      </c>
      <c r="CK195" t="n">
        <v>3</v>
      </c>
      <c r="CL195" t="n">
        <v>5</v>
      </c>
      <c r="CM195" t="n">
        <v>0</v>
      </c>
      <c r="CN195" t="n">
        <v>121</v>
      </c>
      <c r="CO195" t="n">
        <v>0</v>
      </c>
      <c r="CP195" t="n">
        <v>20</v>
      </c>
      <c r="CQ195" t="n">
        <v>0</v>
      </c>
      <c r="CR195" t="n">
        <v>0</v>
      </c>
      <c r="CS195" t="n">
        <v>0</v>
      </c>
      <c r="CT195" t="n">
        <v>149</v>
      </c>
      <c r="CU195" t="n">
        <v>0</v>
      </c>
      <c r="CV195" t="n">
        <v>0</v>
      </c>
      <c r="CW195" t="n">
        <v>5</v>
      </c>
      <c r="CX195" t="n">
        <v>0</v>
      </c>
      <c r="CY195" t="n">
        <v>101</v>
      </c>
      <c r="CZ195" t="n">
        <v>0</v>
      </c>
      <c r="DA195" t="n">
        <v>0</v>
      </c>
      <c r="DB195" t="n">
        <v>0</v>
      </c>
      <c r="DC195" t="n">
        <v>106</v>
      </c>
      <c r="DD195" t="n">
        <v>0</v>
      </c>
      <c r="DE195" t="n">
        <v>0</v>
      </c>
      <c r="DF195" t="n">
        <v>201</v>
      </c>
      <c r="DG195" t="n">
        <v>48</v>
      </c>
      <c r="DH195" t="n">
        <v>0</v>
      </c>
      <c r="DI195" t="n">
        <v>0</v>
      </c>
      <c r="DJ195" t="n">
        <v>0</v>
      </c>
      <c r="DK195" t="n">
        <v>0</v>
      </c>
      <c r="DL195" t="n">
        <v>0</v>
      </c>
      <c r="DM195" t="n">
        <v>0</v>
      </c>
      <c r="DN195" t="n">
        <v>0</v>
      </c>
      <c r="DO195" t="n">
        <v>0</v>
      </c>
      <c r="DP195" t="n">
        <v>0</v>
      </c>
      <c r="DQ195" t="n">
        <v>0</v>
      </c>
      <c r="DR195" t="n">
        <v>0</v>
      </c>
      <c r="DS195" t="n">
        <v>249</v>
      </c>
      <c r="DT195" t="n">
        <v>504</v>
      </c>
      <c r="DU195" t="n">
        <v>126</v>
      </c>
      <c r="DV195" t="n">
        <v>0</v>
      </c>
      <c r="DW195" t="n">
        <v>0</v>
      </c>
      <c r="DX195" t="n">
        <v>0</v>
      </c>
      <c r="DY195" t="n">
        <v>858</v>
      </c>
      <c r="DZ195" t="n">
        <v>663</v>
      </c>
      <c r="EA195" t="n">
        <v>858</v>
      </c>
      <c r="EB195" t="n">
        <v>819</v>
      </c>
      <c r="EC195" t="n">
        <v>702</v>
      </c>
      <c r="ED195" t="n">
        <v>1084</v>
      </c>
      <c r="EE195" t="n">
        <v>2816</v>
      </c>
      <c r="EF195" t="n">
        <v>0</v>
      </c>
      <c r="EG195" t="n">
        <v>2</v>
      </c>
      <c r="EH195" t="n">
        <v>0.7</v>
      </c>
      <c r="EI195" t="n">
        <v>2.8</v>
      </c>
      <c r="EJ195" t="n">
        <v>0.6</v>
      </c>
      <c r="EK195" t="n">
        <v>0.7</v>
      </c>
    </row>
    <row r="196">
      <c r="A196">
        <f>[1]ingredient!B195</f>
        <v/>
      </c>
      <c r="B196" t="inlineStr">
        <is>
          <t>https://www.naehrwertrechner.de/naehrwerte/F514111/Kiwi+frisch/?menge=100</t>
        </is>
      </c>
      <c r="C196" s="7">
        <f>_xlfn.XLOOKUP(A196,[1]ingredient!$B$2:$B$521,[1]ingredient!$A$2:$A$521)</f>
        <v/>
      </c>
      <c r="D196" t="n">
        <v>61</v>
      </c>
      <c r="E196" t="n">
        <v>1</v>
      </c>
      <c r="F196" t="n">
        <v>1</v>
      </c>
      <c r="G196" t="n">
        <v>11</v>
      </c>
      <c r="H196" t="n">
        <v>4</v>
      </c>
      <c r="I196" t="n">
        <v>10</v>
      </c>
      <c r="J196" t="n">
        <v>0.07000000000000001</v>
      </c>
      <c r="K196" t="n">
        <v>81</v>
      </c>
      <c r="L196" t="n">
        <v>62</v>
      </c>
      <c r="M196" t="n">
        <v>31</v>
      </c>
      <c r="N196" t="n">
        <v>0</v>
      </c>
      <c r="O196" t="n">
        <v>370</v>
      </c>
      <c r="P196" t="n">
        <v>17</v>
      </c>
      <c r="Q196" t="n">
        <v>50</v>
      </c>
      <c r="R196" t="n">
        <v>410</v>
      </c>
      <c r="S196" t="n">
        <v>577</v>
      </c>
      <c r="T196" t="n">
        <v>200</v>
      </c>
      <c r="U196" t="n">
        <v>18</v>
      </c>
      <c r="V196" t="n">
        <v>1</v>
      </c>
      <c r="W196" t="n">
        <v>20</v>
      </c>
      <c r="X196" t="n">
        <v>0</v>
      </c>
      <c r="Y196" t="n">
        <v>71000</v>
      </c>
      <c r="Z196" t="n">
        <v>0</v>
      </c>
      <c r="AA196" t="n">
        <v>500</v>
      </c>
      <c r="AB196" t="n">
        <v>10</v>
      </c>
      <c r="AC196" t="n">
        <v>4</v>
      </c>
      <c r="AD196" t="n">
        <v>295</v>
      </c>
      <c r="AE196" t="n">
        <v>38</v>
      </c>
      <c r="AF196" t="n">
        <v>24</v>
      </c>
      <c r="AG196" t="n">
        <v>31</v>
      </c>
      <c r="AH196" t="n">
        <v>15</v>
      </c>
      <c r="AI196" t="n">
        <v>66</v>
      </c>
      <c r="AJ196" t="n">
        <v>800</v>
      </c>
      <c r="AK196" t="n">
        <v>450</v>
      </c>
      <c r="AL196" t="n">
        <v>120</v>
      </c>
      <c r="AM196" t="n">
        <v>50</v>
      </c>
      <c r="AN196" t="n">
        <v>10</v>
      </c>
      <c r="AO196" t="n">
        <v>2</v>
      </c>
      <c r="AP196" t="n">
        <v>0</v>
      </c>
      <c r="AQ196" t="n">
        <v>0</v>
      </c>
      <c r="AR196" t="n">
        <v>0</v>
      </c>
      <c r="AS196" t="n">
        <v>0</v>
      </c>
      <c r="AT196" t="n">
        <v>4707</v>
      </c>
      <c r="AU196" t="n">
        <v>4405</v>
      </c>
      <c r="AV196" t="n">
        <v>0</v>
      </c>
      <c r="AW196" t="n">
        <v>9112</v>
      </c>
      <c r="AX196" t="n">
        <v>1346</v>
      </c>
      <c r="AY196" t="n">
        <v>0</v>
      </c>
      <c r="AZ196" t="n">
        <v>0</v>
      </c>
      <c r="BA196" t="n">
        <v>1346</v>
      </c>
      <c r="BB196" t="n">
        <v>0</v>
      </c>
      <c r="BC196" t="n">
        <v>0</v>
      </c>
      <c r="BD196" t="n">
        <v>0</v>
      </c>
      <c r="BE196" t="n">
        <v>312</v>
      </c>
      <c r="BF196" t="n">
        <v>312</v>
      </c>
      <c r="BG196">
        <f>IF($F196=0,"0",MIN(
BH196/(30*$F196),
BI196/(61*$F196),
BJ196/(48*$F196),
(BK196+BL196)/(23*$F196),
(BM196+BN196)/(41*$F196),
BO196/(25*$F196),
BP196/(6.6*$F196),
BQ196/(40*$F196),
BS196/(16*$F196)
)*100)</f>
        <v/>
      </c>
      <c r="BH196" t="n">
        <v>30</v>
      </c>
      <c r="BI196" t="n">
        <v>50</v>
      </c>
      <c r="BJ196" t="n">
        <v>50</v>
      </c>
      <c r="BK196" t="n">
        <v>10</v>
      </c>
      <c r="BL196" t="n">
        <v>5</v>
      </c>
      <c r="BM196" t="n">
        <v>25</v>
      </c>
      <c r="BN196" t="n">
        <v>20</v>
      </c>
      <c r="BO196" t="n">
        <v>30</v>
      </c>
      <c r="BP196" t="n">
        <v>10</v>
      </c>
      <c r="BQ196" t="n">
        <v>35</v>
      </c>
      <c r="BR196" t="n">
        <v>35</v>
      </c>
      <c r="BS196" t="n">
        <v>15</v>
      </c>
      <c r="BT196" t="n">
        <v>315</v>
      </c>
      <c r="BU196" t="n">
        <v>45</v>
      </c>
      <c r="BV196" t="n">
        <v>90</v>
      </c>
      <c r="BW196" t="n">
        <v>100</v>
      </c>
      <c r="BX196" t="n">
        <v>35</v>
      </c>
      <c r="BY196" t="n">
        <v>35</v>
      </c>
      <c r="BZ196" t="n">
        <v>40</v>
      </c>
      <c r="CA196" t="n">
        <v>345</v>
      </c>
      <c r="CB196" t="n">
        <v>19</v>
      </c>
      <c r="CC196" t="n">
        <v>8</v>
      </c>
      <c r="CD196" t="n">
        <v>48</v>
      </c>
      <c r="CE196" t="n">
        <v>201</v>
      </c>
      <c r="CF196" t="n">
        <v>4.19</v>
      </c>
      <c r="CG196" t="n">
        <v>0</v>
      </c>
      <c r="CH196" t="n">
        <v>0</v>
      </c>
      <c r="CI196" t="n">
        <v>0</v>
      </c>
      <c r="CJ196" t="n">
        <v>0</v>
      </c>
      <c r="CK196" t="n">
        <v>3</v>
      </c>
      <c r="CL196" t="n">
        <v>5</v>
      </c>
      <c r="CM196" t="n">
        <v>0</v>
      </c>
      <c r="CN196" t="n">
        <v>121</v>
      </c>
      <c r="CO196" t="n">
        <v>0</v>
      </c>
      <c r="CP196" t="n">
        <v>20</v>
      </c>
      <c r="CQ196" t="n">
        <v>0</v>
      </c>
      <c r="CR196" t="n">
        <v>0</v>
      </c>
      <c r="CS196" t="n">
        <v>0</v>
      </c>
      <c r="CT196" t="n">
        <v>149</v>
      </c>
      <c r="CU196" t="n">
        <v>0</v>
      </c>
      <c r="CV196" t="n">
        <v>0</v>
      </c>
      <c r="CW196" t="n">
        <v>5</v>
      </c>
      <c r="CX196" t="n">
        <v>0</v>
      </c>
      <c r="CY196" t="n">
        <v>101</v>
      </c>
      <c r="CZ196" t="n">
        <v>0</v>
      </c>
      <c r="DA196" t="n">
        <v>0</v>
      </c>
      <c r="DB196" t="n">
        <v>0</v>
      </c>
      <c r="DC196" t="n">
        <v>106</v>
      </c>
      <c r="DD196" t="n">
        <v>0</v>
      </c>
      <c r="DE196" t="n">
        <v>0</v>
      </c>
      <c r="DF196" t="n">
        <v>201</v>
      </c>
      <c r="DG196" t="n">
        <v>48</v>
      </c>
      <c r="DH196" t="n">
        <v>0</v>
      </c>
      <c r="DI196" t="n">
        <v>0</v>
      </c>
      <c r="DJ196" t="n">
        <v>0</v>
      </c>
      <c r="DK196" t="n">
        <v>0</v>
      </c>
      <c r="DL196" t="n">
        <v>0</v>
      </c>
      <c r="DM196" t="n">
        <v>0</v>
      </c>
      <c r="DN196" t="n">
        <v>0</v>
      </c>
      <c r="DO196" t="n">
        <v>0</v>
      </c>
      <c r="DP196" t="n">
        <v>0</v>
      </c>
      <c r="DQ196" t="n">
        <v>0</v>
      </c>
      <c r="DR196" t="n">
        <v>0</v>
      </c>
      <c r="DS196" t="n">
        <v>249</v>
      </c>
      <c r="DT196" t="n">
        <v>504</v>
      </c>
      <c r="DU196" t="n">
        <v>126</v>
      </c>
      <c r="DV196" t="n">
        <v>0</v>
      </c>
      <c r="DW196" t="n">
        <v>0</v>
      </c>
      <c r="DX196" t="n">
        <v>0</v>
      </c>
      <c r="DY196" t="n">
        <v>858</v>
      </c>
      <c r="DZ196" t="n">
        <v>663</v>
      </c>
      <c r="EA196" t="n">
        <v>858</v>
      </c>
      <c r="EB196" t="n">
        <v>819</v>
      </c>
      <c r="EC196" t="n">
        <v>702</v>
      </c>
      <c r="ED196" t="n">
        <v>1084</v>
      </c>
      <c r="EE196" t="n">
        <v>2816</v>
      </c>
      <c r="EF196" t="n">
        <v>0</v>
      </c>
      <c r="EG196" t="n">
        <v>2</v>
      </c>
      <c r="EH196" t="n">
        <v>0.7</v>
      </c>
      <c r="EI196" t="n">
        <v>2.8</v>
      </c>
      <c r="EJ196" t="n">
        <v>0.6</v>
      </c>
      <c r="EK196" t="n">
        <v>0.7</v>
      </c>
    </row>
    <row r="197">
      <c r="A197">
        <f>[1]ingredient!B196</f>
        <v/>
      </c>
      <c r="B197" t="inlineStr">
        <is>
          <t>https://www.naehrwertrechner.de/naehrwerte/G490100/Knoblauch+roh/?menge=100</t>
        </is>
      </c>
      <c r="C197" s="7">
        <f>_xlfn.XLOOKUP(A197,[1]ingredient!$B$2:$B$521,[1]ingredient!$A$2:$A$521)</f>
        <v/>
      </c>
      <c r="D197" t="n">
        <v>142</v>
      </c>
      <c r="E197" t="n">
        <v>0.12</v>
      </c>
      <c r="F197" t="n">
        <v>6</v>
      </c>
      <c r="G197" t="n">
        <v>28</v>
      </c>
      <c r="H197" t="n">
        <v>2</v>
      </c>
      <c r="I197" t="n">
        <v>2</v>
      </c>
      <c r="J197" t="n">
        <v>0.05</v>
      </c>
      <c r="K197" t="n">
        <v>62</v>
      </c>
      <c r="L197" t="n">
        <v>0</v>
      </c>
      <c r="M197" t="n">
        <v>0.08</v>
      </c>
      <c r="N197" t="n">
        <v>0</v>
      </c>
      <c r="O197" t="n">
        <v>1</v>
      </c>
      <c r="P197" t="n">
        <v>200</v>
      </c>
      <c r="Q197" t="n">
        <v>80</v>
      </c>
      <c r="R197" t="n">
        <v>600</v>
      </c>
      <c r="S197" t="n">
        <v>2333</v>
      </c>
      <c r="T197" t="n">
        <v>150</v>
      </c>
      <c r="U197" t="n">
        <v>380</v>
      </c>
      <c r="V197" t="n">
        <v>2</v>
      </c>
      <c r="W197" t="n">
        <v>20</v>
      </c>
      <c r="X197" t="n">
        <v>0</v>
      </c>
      <c r="Y197" t="n">
        <v>14000</v>
      </c>
      <c r="Z197" t="n">
        <v>0</v>
      </c>
      <c r="AA197" t="n">
        <v>10</v>
      </c>
      <c r="AB197" t="n">
        <v>0</v>
      </c>
      <c r="AC197" t="n">
        <v>19</v>
      </c>
      <c r="AD197" t="n">
        <v>530</v>
      </c>
      <c r="AE197" t="n">
        <v>38</v>
      </c>
      <c r="AF197" t="n">
        <v>35</v>
      </c>
      <c r="AG197" t="n">
        <v>134</v>
      </c>
      <c r="AH197" t="n">
        <v>50</v>
      </c>
      <c r="AI197" t="n">
        <v>30</v>
      </c>
      <c r="AJ197" t="n">
        <v>1400</v>
      </c>
      <c r="AK197" t="n">
        <v>577</v>
      </c>
      <c r="AL197" t="n">
        <v>149</v>
      </c>
      <c r="AM197" t="n">
        <v>460</v>
      </c>
      <c r="AN197" t="n">
        <v>50</v>
      </c>
      <c r="AO197" t="n">
        <v>3</v>
      </c>
      <c r="AP197" t="n">
        <v>0</v>
      </c>
      <c r="AQ197" t="n">
        <v>0</v>
      </c>
      <c r="AR197" t="n">
        <v>0</v>
      </c>
      <c r="AS197" t="n">
        <v>0</v>
      </c>
      <c r="AT197" t="n">
        <v>400</v>
      </c>
      <c r="AU197" t="n">
        <v>600</v>
      </c>
      <c r="AV197" t="n">
        <v>0</v>
      </c>
      <c r="AW197" t="n">
        <v>1000</v>
      </c>
      <c r="AX197" t="n">
        <v>600</v>
      </c>
      <c r="AY197" t="n">
        <v>0</v>
      </c>
      <c r="AZ197" t="n">
        <v>0</v>
      </c>
      <c r="BA197" t="n">
        <v>600</v>
      </c>
      <c r="BB197" t="n">
        <v>3749</v>
      </c>
      <c r="BC197" t="n">
        <v>0</v>
      </c>
      <c r="BD197" t="n">
        <v>0</v>
      </c>
      <c r="BE197" t="n">
        <v>0</v>
      </c>
      <c r="BF197" t="n">
        <v>0</v>
      </c>
      <c r="BG197">
        <f>IF($F197=0,"0",MIN(
BH197/(30*$F197),
BI197/(61*$F197),
BJ197/(48*$F197),
(BK197+BL197)/(23*$F197),
(BM197+BN197)/(41*$F197),
BO197/(25*$F197),
BP197/(6.6*$F197),
BQ197/(40*$F197),
BS197/(16*$F197)
)*100)</f>
        <v/>
      </c>
      <c r="BH197" t="n">
        <v>303</v>
      </c>
      <c r="BI197" t="n">
        <v>476</v>
      </c>
      <c r="BJ197" t="n">
        <v>363</v>
      </c>
      <c r="BK197" t="n">
        <v>147</v>
      </c>
      <c r="BL197" t="n">
        <v>87</v>
      </c>
      <c r="BM197" t="n">
        <v>241</v>
      </c>
      <c r="BN197" t="n">
        <v>104</v>
      </c>
      <c r="BO197" t="n">
        <v>241</v>
      </c>
      <c r="BP197" t="n">
        <v>104</v>
      </c>
      <c r="BQ197" t="n">
        <v>397</v>
      </c>
      <c r="BR197" t="n">
        <v>864</v>
      </c>
      <c r="BS197" t="n">
        <v>156</v>
      </c>
      <c r="BT197" t="n">
        <v>3483</v>
      </c>
      <c r="BU197" t="n">
        <v>173</v>
      </c>
      <c r="BV197" t="n">
        <v>657</v>
      </c>
      <c r="BW197" t="n">
        <v>1089</v>
      </c>
      <c r="BX197" t="n">
        <v>269</v>
      </c>
      <c r="BY197" t="n">
        <v>130</v>
      </c>
      <c r="BZ197" t="n">
        <v>250</v>
      </c>
      <c r="CA197" t="n">
        <v>2568</v>
      </c>
      <c r="CB197" t="n">
        <v>15</v>
      </c>
      <c r="CC197" t="n">
        <v>6</v>
      </c>
      <c r="CD197" t="n">
        <v>6</v>
      </c>
      <c r="CE197" t="n">
        <v>62</v>
      </c>
      <c r="CF197" t="n">
        <v>10.33</v>
      </c>
      <c r="CG197" t="n">
        <v>0</v>
      </c>
      <c r="CH197" t="n">
        <v>0</v>
      </c>
      <c r="CI197" t="n">
        <v>0</v>
      </c>
      <c r="CJ197" t="n">
        <v>0</v>
      </c>
      <c r="CK197" t="n">
        <v>1</v>
      </c>
      <c r="CL197" t="n">
        <v>0</v>
      </c>
      <c r="CM197" t="n">
        <v>0</v>
      </c>
      <c r="CN197" t="n">
        <v>24</v>
      </c>
      <c r="CO197" t="n">
        <v>0</v>
      </c>
      <c r="CP197" t="n">
        <v>0</v>
      </c>
      <c r="CQ197" t="n">
        <v>0</v>
      </c>
      <c r="CR197" t="n">
        <v>0</v>
      </c>
      <c r="CS197" t="n">
        <v>0</v>
      </c>
      <c r="CT197" t="n">
        <v>25</v>
      </c>
      <c r="CU197" t="n">
        <v>0</v>
      </c>
      <c r="CV197" t="n">
        <v>0</v>
      </c>
      <c r="CW197" t="n">
        <v>0</v>
      </c>
      <c r="CX197" t="n">
        <v>0</v>
      </c>
      <c r="CY197" t="n">
        <v>3</v>
      </c>
      <c r="CZ197" t="n">
        <v>0</v>
      </c>
      <c r="DA197" t="n">
        <v>0</v>
      </c>
      <c r="DB197" t="n">
        <v>0</v>
      </c>
      <c r="DC197" t="n">
        <v>3</v>
      </c>
      <c r="DD197" t="n">
        <v>0</v>
      </c>
      <c r="DE197" t="n">
        <v>0</v>
      </c>
      <c r="DF197" t="n">
        <v>62</v>
      </c>
      <c r="DG197" t="n">
        <v>6</v>
      </c>
      <c r="DH197" t="n">
        <v>0</v>
      </c>
      <c r="DI197" t="n">
        <v>0</v>
      </c>
      <c r="DJ197" t="n">
        <v>0</v>
      </c>
      <c r="DK197" t="n">
        <v>0</v>
      </c>
      <c r="DL197" t="n">
        <v>0</v>
      </c>
      <c r="DM197" t="n">
        <v>0</v>
      </c>
      <c r="DN197" t="n">
        <v>0</v>
      </c>
      <c r="DO197" t="n">
        <v>0</v>
      </c>
      <c r="DP197" t="n">
        <v>0</v>
      </c>
      <c r="DQ197" t="n">
        <v>0</v>
      </c>
      <c r="DR197" t="n">
        <v>0</v>
      </c>
      <c r="DS197" t="n">
        <v>68</v>
      </c>
      <c r="DT197" t="n">
        <v>95</v>
      </c>
      <c r="DU197" t="n">
        <v>24</v>
      </c>
      <c r="DV197" t="n">
        <v>0</v>
      </c>
      <c r="DW197" t="n">
        <v>0</v>
      </c>
      <c r="DX197" t="n">
        <v>0</v>
      </c>
      <c r="DY197" t="n">
        <v>91</v>
      </c>
      <c r="DZ197" t="n">
        <v>652</v>
      </c>
      <c r="EA197" t="n">
        <v>507</v>
      </c>
      <c r="EB197" t="n">
        <v>525</v>
      </c>
      <c r="EC197" t="n">
        <v>36</v>
      </c>
      <c r="ED197" t="n">
        <v>887</v>
      </c>
      <c r="EE197" t="n">
        <v>923</v>
      </c>
      <c r="EF197" t="n">
        <v>0</v>
      </c>
      <c r="EG197" t="n">
        <v>0.2</v>
      </c>
      <c r="EH197" t="n">
        <v>1.4</v>
      </c>
      <c r="EI197" t="n">
        <v>0.9</v>
      </c>
      <c r="EJ197" t="n">
        <v>0.1</v>
      </c>
      <c r="EK197" t="n">
        <v>6.1</v>
      </c>
    </row>
    <row r="198">
      <c r="A198">
        <f>[1]ingredient!B197</f>
        <v/>
      </c>
      <c r="B198" t="inlineStr">
        <is>
          <t>https://www.naehrwertrechner.de/naehrwerte/G490500/Knoblauch+Pulver/?menge=100</t>
        </is>
      </c>
      <c r="C198" s="7">
        <f>_xlfn.XLOOKUP(A198,[1]ingredient!$B$2:$B$521,[1]ingredient!$A$2:$A$521)</f>
        <v/>
      </c>
      <c r="D198" t="n">
        <v>358</v>
      </c>
      <c r="E198" t="n">
        <v>0.32</v>
      </c>
      <c r="F198" t="n">
        <v>16</v>
      </c>
      <c r="G198" t="n">
        <v>71</v>
      </c>
      <c r="H198" t="n">
        <v>5</v>
      </c>
      <c r="I198" t="n">
        <v>21</v>
      </c>
      <c r="J198" t="n">
        <v>0.11</v>
      </c>
      <c r="K198" t="n">
        <v>4</v>
      </c>
      <c r="L198" t="n">
        <v>1</v>
      </c>
      <c r="M198" t="n">
        <v>0.25</v>
      </c>
      <c r="N198" t="n">
        <v>0</v>
      </c>
      <c r="O198" t="n">
        <v>3</v>
      </c>
      <c r="P198" t="n">
        <v>449</v>
      </c>
      <c r="Q198" t="n">
        <v>200</v>
      </c>
      <c r="R198" t="n">
        <v>1343</v>
      </c>
      <c r="S198" t="n">
        <v>5926</v>
      </c>
      <c r="T198" t="n">
        <v>316</v>
      </c>
      <c r="U198" t="n">
        <v>801</v>
      </c>
      <c r="V198" t="n">
        <v>4</v>
      </c>
      <c r="W198" t="n">
        <v>26</v>
      </c>
      <c r="X198" t="n">
        <v>0</v>
      </c>
      <c r="Y198" t="n">
        <v>14750</v>
      </c>
      <c r="Z198" t="n">
        <v>0</v>
      </c>
      <c r="AA198" t="n">
        <v>23</v>
      </c>
      <c r="AB198" t="n">
        <v>0</v>
      </c>
      <c r="AC198" t="n">
        <v>41</v>
      </c>
      <c r="AD198" t="n">
        <v>1187</v>
      </c>
      <c r="AE198" t="n">
        <v>91</v>
      </c>
      <c r="AF198" t="n">
        <v>83</v>
      </c>
      <c r="AG198" t="n">
        <v>319</v>
      </c>
      <c r="AH198" t="n">
        <v>119</v>
      </c>
      <c r="AI198" t="n">
        <v>70</v>
      </c>
      <c r="AJ198" t="n">
        <v>3135</v>
      </c>
      <c r="AK198" t="n">
        <v>1366</v>
      </c>
      <c r="AL198" t="n">
        <v>353</v>
      </c>
      <c r="AM198" t="n">
        <v>1092</v>
      </c>
      <c r="AN198" t="n">
        <v>119</v>
      </c>
      <c r="AO198" t="n">
        <v>6</v>
      </c>
      <c r="AP198" t="n">
        <v>0</v>
      </c>
      <c r="AQ198" t="n">
        <v>0</v>
      </c>
      <c r="AR198" t="n">
        <v>0</v>
      </c>
      <c r="AS198" t="n">
        <v>0</v>
      </c>
      <c r="AT198" t="n">
        <v>5315</v>
      </c>
      <c r="AU198" t="n">
        <v>7975</v>
      </c>
      <c r="AV198" t="n">
        <v>0</v>
      </c>
      <c r="AW198" t="n">
        <v>13290</v>
      </c>
      <c r="AX198" t="n">
        <v>7973</v>
      </c>
      <c r="AY198" t="n">
        <v>0</v>
      </c>
      <c r="AZ198" t="n">
        <v>0</v>
      </c>
      <c r="BA198" t="n">
        <v>7973</v>
      </c>
      <c r="BB198" t="n">
        <v>49826</v>
      </c>
      <c r="BC198" t="n">
        <v>0</v>
      </c>
      <c r="BD198" t="n">
        <v>0</v>
      </c>
      <c r="BE198" t="n">
        <v>0</v>
      </c>
      <c r="BF198" t="n">
        <v>0</v>
      </c>
      <c r="BG198">
        <f>IF($F198=0,"0",MIN(
BH198/(30*$F198),
BI198/(61*$F198),
BJ198/(48*$F198),
(BK198+BL198)/(23*$F198),
(BM198+BN198)/(41*$F198),
BO198/(25*$F198),
BP198/(6.6*$F198),
BQ198/(40*$F198),
BS198/(16*$F198)
)*100)</f>
        <v/>
      </c>
      <c r="BH198" t="n">
        <v>799</v>
      </c>
      <c r="BI198" t="n">
        <v>1255</v>
      </c>
      <c r="BJ198" t="n">
        <v>957</v>
      </c>
      <c r="BK198" t="n">
        <v>386</v>
      </c>
      <c r="BL198" t="n">
        <v>228</v>
      </c>
      <c r="BM198" t="n">
        <v>635</v>
      </c>
      <c r="BN198" t="n">
        <v>275</v>
      </c>
      <c r="BO198" t="n">
        <v>635</v>
      </c>
      <c r="BP198" t="n">
        <v>275</v>
      </c>
      <c r="BQ198" t="n">
        <v>1045</v>
      </c>
      <c r="BR198" t="n">
        <v>2276</v>
      </c>
      <c r="BS198" t="n">
        <v>410</v>
      </c>
      <c r="BT198" t="n">
        <v>9176</v>
      </c>
      <c r="BU198" t="n">
        <v>456</v>
      </c>
      <c r="BV198" t="n">
        <v>1729</v>
      </c>
      <c r="BW198" t="n">
        <v>2868</v>
      </c>
      <c r="BX198" t="n">
        <v>708</v>
      </c>
      <c r="BY198" t="n">
        <v>342</v>
      </c>
      <c r="BZ198" t="n">
        <v>659</v>
      </c>
      <c r="CA198" t="n">
        <v>6762</v>
      </c>
      <c r="CB198" t="n">
        <v>39</v>
      </c>
      <c r="CC198" t="n">
        <v>16</v>
      </c>
      <c r="CD198" t="n">
        <v>16</v>
      </c>
      <c r="CE198" t="n">
        <v>165</v>
      </c>
      <c r="CF198" t="n">
        <v>10.31</v>
      </c>
      <c r="CG198" t="n">
        <v>0</v>
      </c>
      <c r="CH198" t="n">
        <v>0</v>
      </c>
      <c r="CI198" t="n">
        <v>0</v>
      </c>
      <c r="CJ198" t="n">
        <v>0</v>
      </c>
      <c r="CK198" t="n">
        <v>3</v>
      </c>
      <c r="CL198" t="n">
        <v>0</v>
      </c>
      <c r="CM198" t="n">
        <v>0</v>
      </c>
      <c r="CN198" t="n">
        <v>62</v>
      </c>
      <c r="CO198" t="n">
        <v>0</v>
      </c>
      <c r="CP198" t="n">
        <v>0</v>
      </c>
      <c r="CQ198" t="n">
        <v>0</v>
      </c>
      <c r="CR198" t="n">
        <v>0</v>
      </c>
      <c r="CS198" t="n">
        <v>0</v>
      </c>
      <c r="CT198" t="n">
        <v>65</v>
      </c>
      <c r="CU198" t="n">
        <v>0</v>
      </c>
      <c r="CV198" t="n">
        <v>0</v>
      </c>
      <c r="CW198" t="n">
        <v>0</v>
      </c>
      <c r="CX198" t="n">
        <v>0</v>
      </c>
      <c r="CY198" t="n">
        <v>8</v>
      </c>
      <c r="CZ198" t="n">
        <v>0</v>
      </c>
      <c r="DA198" t="n">
        <v>0</v>
      </c>
      <c r="DB198" t="n">
        <v>0</v>
      </c>
      <c r="DC198" t="n">
        <v>8</v>
      </c>
      <c r="DD198" t="n">
        <v>0</v>
      </c>
      <c r="DE198" t="n">
        <v>0</v>
      </c>
      <c r="DF198" t="n">
        <v>165</v>
      </c>
      <c r="DG198" t="n">
        <v>16</v>
      </c>
      <c r="DH198" t="n">
        <v>0</v>
      </c>
      <c r="DI198" t="n">
        <v>0</v>
      </c>
      <c r="DJ198" t="n">
        <v>0</v>
      </c>
      <c r="DK198" t="n">
        <v>0</v>
      </c>
      <c r="DL198" t="n">
        <v>0</v>
      </c>
      <c r="DM198" t="n">
        <v>0</v>
      </c>
      <c r="DN198" t="n">
        <v>0</v>
      </c>
      <c r="DO198" t="n">
        <v>0</v>
      </c>
      <c r="DP198" t="n">
        <v>0</v>
      </c>
      <c r="DQ198" t="n">
        <v>0</v>
      </c>
      <c r="DR198" t="n">
        <v>0</v>
      </c>
      <c r="DS198" t="n">
        <v>181</v>
      </c>
      <c r="DT198" t="n">
        <v>254</v>
      </c>
      <c r="DU198" t="n">
        <v>62</v>
      </c>
      <c r="DV198" t="n">
        <v>0</v>
      </c>
      <c r="DW198" t="n">
        <v>0</v>
      </c>
      <c r="DX198" t="n">
        <v>0</v>
      </c>
      <c r="DY198" t="n">
        <v>239</v>
      </c>
      <c r="DZ198" t="n">
        <v>1716</v>
      </c>
      <c r="EA198" t="n">
        <v>1335</v>
      </c>
      <c r="EB198" t="n">
        <v>1382</v>
      </c>
      <c r="EC198" t="n">
        <v>96</v>
      </c>
      <c r="ED198" t="n">
        <v>2336</v>
      </c>
      <c r="EE198" t="n">
        <v>2432</v>
      </c>
      <c r="EF198" t="n">
        <v>0</v>
      </c>
      <c r="EG198" t="n">
        <v>1</v>
      </c>
      <c r="EH198" t="n">
        <v>3.4</v>
      </c>
      <c r="EI198" t="n">
        <v>2.4</v>
      </c>
      <c r="EJ198" t="n">
        <v>0.3</v>
      </c>
      <c r="EK198" t="n">
        <v>16.1</v>
      </c>
    </row>
    <row r="199">
      <c r="A199">
        <f>[1]ingredient!B198</f>
        <v/>
      </c>
      <c r="B199" t="inlineStr">
        <is>
          <t>https://www.naehrwertrechner.de/naehrwerte/G660111/Knollensellerie+frisch/?menge=100</t>
        </is>
      </c>
      <c r="C199" s="7">
        <f>_xlfn.XLOOKUP(A199,[1]ingredient!$B$2:$B$521,[1]ingredient!$A$2:$A$521)</f>
        <v/>
      </c>
      <c r="D199" t="n">
        <v>19</v>
      </c>
      <c r="E199" t="n">
        <v>0.3</v>
      </c>
      <c r="F199" t="n">
        <v>2</v>
      </c>
      <c r="G199" t="n">
        <v>2</v>
      </c>
      <c r="H199" t="n">
        <v>4</v>
      </c>
      <c r="I199" t="n">
        <v>2</v>
      </c>
      <c r="J199" t="n">
        <v>0.23</v>
      </c>
      <c r="K199" t="n">
        <v>90</v>
      </c>
      <c r="L199" t="n">
        <v>3</v>
      </c>
      <c r="M199" t="n">
        <v>1</v>
      </c>
      <c r="N199" t="n">
        <v>0</v>
      </c>
      <c r="O199" t="n">
        <v>15</v>
      </c>
      <c r="P199" t="n">
        <v>36</v>
      </c>
      <c r="Q199" t="n">
        <v>70</v>
      </c>
      <c r="R199" t="n">
        <v>900</v>
      </c>
      <c r="S199" t="n">
        <v>1267</v>
      </c>
      <c r="T199" t="n">
        <v>510</v>
      </c>
      <c r="U199" t="n">
        <v>200</v>
      </c>
      <c r="V199" t="n">
        <v>1</v>
      </c>
      <c r="W199" t="n">
        <v>12</v>
      </c>
      <c r="X199" t="n">
        <v>0</v>
      </c>
      <c r="Y199" t="n">
        <v>8250</v>
      </c>
      <c r="Z199" t="n">
        <v>0</v>
      </c>
      <c r="AA199" t="n">
        <v>539</v>
      </c>
      <c r="AB199" t="n">
        <v>100</v>
      </c>
      <c r="AC199" t="n">
        <v>77</v>
      </c>
      <c r="AD199" t="n">
        <v>321</v>
      </c>
      <c r="AE199" t="n">
        <v>68</v>
      </c>
      <c r="AF199" t="n">
        <v>9</v>
      </c>
      <c r="AG199" t="n">
        <v>80</v>
      </c>
      <c r="AH199" t="n">
        <v>15</v>
      </c>
      <c r="AI199" t="n">
        <v>150</v>
      </c>
      <c r="AJ199" t="n">
        <v>530</v>
      </c>
      <c r="AK199" t="n">
        <v>369</v>
      </c>
      <c r="AL199" t="n">
        <v>116</v>
      </c>
      <c r="AM199" t="n">
        <v>150</v>
      </c>
      <c r="AN199" t="n">
        <v>14</v>
      </c>
      <c r="AO199" t="n">
        <v>3</v>
      </c>
      <c r="AP199" t="n">
        <v>0</v>
      </c>
      <c r="AQ199" t="n">
        <v>0</v>
      </c>
      <c r="AR199" t="n">
        <v>0</v>
      </c>
      <c r="AS199" t="n">
        <v>0</v>
      </c>
      <c r="AT199" t="n">
        <v>45</v>
      </c>
      <c r="AU199" t="n">
        <v>90</v>
      </c>
      <c r="AV199" t="n">
        <v>0</v>
      </c>
      <c r="AW199" t="n">
        <v>135</v>
      </c>
      <c r="AX199" t="n">
        <v>1665</v>
      </c>
      <c r="AY199" t="n">
        <v>0</v>
      </c>
      <c r="AZ199" t="n">
        <v>0</v>
      </c>
      <c r="BA199" t="n">
        <v>1665</v>
      </c>
      <c r="BB199" t="n">
        <v>0</v>
      </c>
      <c r="BC199" t="n">
        <v>0</v>
      </c>
      <c r="BD199" t="n">
        <v>0</v>
      </c>
      <c r="BE199" t="n">
        <v>450</v>
      </c>
      <c r="BF199" t="n">
        <v>450</v>
      </c>
      <c r="BG199">
        <f>IF($F199=0,"0",MIN(
BH199/(30*$F199),
BI199/(61*$F199),
BJ199/(48*$F199),
(BK199+BL199)/(23*$F199),
(BM199+BN199)/(41*$F199),
BO199/(25*$F199),
BP199/(6.6*$F199),
BQ199/(40*$F199),
BS199/(16*$F199)
)*100)</f>
        <v/>
      </c>
      <c r="BH199" t="n">
        <v>51</v>
      </c>
      <c r="BI199" t="n">
        <v>80</v>
      </c>
      <c r="BJ199" t="n">
        <v>66</v>
      </c>
      <c r="BK199" t="n">
        <v>14</v>
      </c>
      <c r="BL199" t="n">
        <v>10</v>
      </c>
      <c r="BM199" t="n">
        <v>48</v>
      </c>
      <c r="BN199" t="n">
        <v>22</v>
      </c>
      <c r="BO199" t="n">
        <v>48</v>
      </c>
      <c r="BP199" t="n">
        <v>22</v>
      </c>
      <c r="BQ199" t="n">
        <v>68</v>
      </c>
      <c r="BR199" t="n">
        <v>51</v>
      </c>
      <c r="BS199" t="n">
        <v>27</v>
      </c>
      <c r="BT199" t="n">
        <v>507</v>
      </c>
      <c r="BU199" t="n">
        <v>56</v>
      </c>
      <c r="BV199" t="n">
        <v>292</v>
      </c>
      <c r="BW199" t="n">
        <v>221</v>
      </c>
      <c r="BX199" t="n">
        <v>54</v>
      </c>
      <c r="BY199" t="n">
        <v>43</v>
      </c>
      <c r="BZ199" t="n">
        <v>51</v>
      </c>
      <c r="CA199" t="n">
        <v>717</v>
      </c>
      <c r="CB199" t="n">
        <v>30</v>
      </c>
      <c r="CC199" t="n">
        <v>13</v>
      </c>
      <c r="CD199" t="n">
        <v>16</v>
      </c>
      <c r="CE199" t="n">
        <v>131</v>
      </c>
      <c r="CF199" t="n">
        <v>8.19</v>
      </c>
      <c r="CG199" t="n">
        <v>0</v>
      </c>
      <c r="CH199" t="n">
        <v>0</v>
      </c>
      <c r="CI199" t="n">
        <v>0</v>
      </c>
      <c r="CJ199" t="n">
        <v>0</v>
      </c>
      <c r="CK199" t="n">
        <v>0</v>
      </c>
      <c r="CL199" t="n">
        <v>2</v>
      </c>
      <c r="CM199" t="n">
        <v>0</v>
      </c>
      <c r="CN199" t="n">
        <v>60</v>
      </c>
      <c r="CO199" t="n">
        <v>0</v>
      </c>
      <c r="CP199" t="n">
        <v>5</v>
      </c>
      <c r="CQ199" t="n">
        <v>0</v>
      </c>
      <c r="CR199" t="n">
        <v>0</v>
      </c>
      <c r="CS199" t="n">
        <v>0</v>
      </c>
      <c r="CT199" t="n">
        <v>67</v>
      </c>
      <c r="CU199" t="n">
        <v>0</v>
      </c>
      <c r="CV199" t="n">
        <v>0</v>
      </c>
      <c r="CW199" t="n">
        <v>2</v>
      </c>
      <c r="CX199" t="n">
        <v>0</v>
      </c>
      <c r="CY199" t="n">
        <v>24</v>
      </c>
      <c r="CZ199" t="n">
        <v>0</v>
      </c>
      <c r="DA199" t="n">
        <v>0</v>
      </c>
      <c r="DB199" t="n">
        <v>0</v>
      </c>
      <c r="DC199" t="n">
        <v>26</v>
      </c>
      <c r="DD199" t="n">
        <v>0</v>
      </c>
      <c r="DE199" t="n">
        <v>0</v>
      </c>
      <c r="DF199" t="n">
        <v>131</v>
      </c>
      <c r="DG199" t="n">
        <v>16</v>
      </c>
      <c r="DH199" t="n">
        <v>0</v>
      </c>
      <c r="DI199" t="n">
        <v>0</v>
      </c>
      <c r="DJ199" t="n">
        <v>0</v>
      </c>
      <c r="DK199" t="n">
        <v>0</v>
      </c>
      <c r="DL199" t="n">
        <v>0</v>
      </c>
      <c r="DM199" t="n">
        <v>0</v>
      </c>
      <c r="DN199" t="n">
        <v>0</v>
      </c>
      <c r="DO199" t="n">
        <v>0</v>
      </c>
      <c r="DP199" t="n">
        <v>0</v>
      </c>
      <c r="DQ199" t="n">
        <v>0</v>
      </c>
      <c r="DR199" t="n">
        <v>0</v>
      </c>
      <c r="DS199" t="n">
        <v>147</v>
      </c>
      <c r="DT199" t="n">
        <v>240</v>
      </c>
      <c r="DU199" t="n">
        <v>60</v>
      </c>
      <c r="DV199" t="n">
        <v>0</v>
      </c>
      <c r="DW199" t="n">
        <v>0</v>
      </c>
      <c r="DX199" t="n">
        <v>0</v>
      </c>
      <c r="DY199" t="n">
        <v>924</v>
      </c>
      <c r="DZ199" t="n">
        <v>756</v>
      </c>
      <c r="EA199" t="n">
        <v>1092</v>
      </c>
      <c r="EB199" t="n">
        <v>1386</v>
      </c>
      <c r="EC199" t="n">
        <v>42</v>
      </c>
      <c r="ED199" t="n">
        <v>840</v>
      </c>
      <c r="EE199" t="n">
        <v>3360</v>
      </c>
      <c r="EF199" t="n">
        <v>0</v>
      </c>
      <c r="EG199" t="n">
        <v>0.2</v>
      </c>
      <c r="EH199" t="n">
        <v>0.9</v>
      </c>
      <c r="EI199" t="n">
        <v>3.4</v>
      </c>
      <c r="EJ199" t="n">
        <v>0.3</v>
      </c>
      <c r="EK199" t="n">
        <v>1.3</v>
      </c>
    </row>
    <row r="200">
      <c r="A200">
        <f>[1]ingredient!B199</f>
        <v/>
      </c>
      <c r="B200" t="inlineStr">
        <is>
          <t>https://www.naehrwertrechner.de/naehrwerte/G331111/Kohlrabi+frisch/?menge=100</t>
        </is>
      </c>
      <c r="C200" s="7">
        <f>_xlfn.XLOOKUP(A200,[1]ingredient!$B$2:$B$521,[1]ingredient!$A$2:$A$521)</f>
        <v/>
      </c>
      <c r="D200" t="n">
        <v>25</v>
      </c>
      <c r="E200" t="n">
        <v>0.1</v>
      </c>
      <c r="F200" t="n">
        <v>2</v>
      </c>
      <c r="G200" t="n">
        <v>4</v>
      </c>
      <c r="H200" t="n">
        <v>2</v>
      </c>
      <c r="I200" t="n">
        <v>4</v>
      </c>
      <c r="J200" t="n">
        <v>0.09</v>
      </c>
      <c r="K200" t="n">
        <v>92</v>
      </c>
      <c r="L200" t="n">
        <v>33</v>
      </c>
      <c r="M200" t="n">
        <v>17</v>
      </c>
      <c r="N200" t="n">
        <v>0</v>
      </c>
      <c r="O200" t="n">
        <v>200</v>
      </c>
      <c r="P200" t="n">
        <v>48</v>
      </c>
      <c r="Q200" t="n">
        <v>46</v>
      </c>
      <c r="R200" t="n">
        <v>1800</v>
      </c>
      <c r="S200" t="n">
        <v>2133</v>
      </c>
      <c r="T200" t="n">
        <v>100</v>
      </c>
      <c r="U200" t="n">
        <v>120</v>
      </c>
      <c r="V200" t="n">
        <v>3</v>
      </c>
      <c r="W200" t="n">
        <v>25</v>
      </c>
      <c r="X200" t="n">
        <v>0</v>
      </c>
      <c r="Y200" t="n">
        <v>64000</v>
      </c>
      <c r="Z200" t="n">
        <v>0</v>
      </c>
      <c r="AA200" t="n">
        <v>400</v>
      </c>
      <c r="AB200" t="n">
        <v>7</v>
      </c>
      <c r="AC200" t="n">
        <v>32</v>
      </c>
      <c r="AD200" t="n">
        <v>380</v>
      </c>
      <c r="AE200" t="n">
        <v>68</v>
      </c>
      <c r="AF200" t="n">
        <v>43</v>
      </c>
      <c r="AG200" t="n">
        <v>50</v>
      </c>
      <c r="AH200" t="n">
        <v>50</v>
      </c>
      <c r="AI200" t="n">
        <v>57</v>
      </c>
      <c r="AJ200" t="n">
        <v>900</v>
      </c>
      <c r="AK200" t="n">
        <v>260</v>
      </c>
      <c r="AL200" t="n">
        <v>120</v>
      </c>
      <c r="AM200" t="n">
        <v>130</v>
      </c>
      <c r="AN200" t="n">
        <v>10</v>
      </c>
      <c r="AO200" t="n">
        <v>1</v>
      </c>
      <c r="AP200" t="n">
        <v>0</v>
      </c>
      <c r="AQ200" t="n">
        <v>0</v>
      </c>
      <c r="AR200" t="n">
        <v>0</v>
      </c>
      <c r="AS200" t="n">
        <v>0</v>
      </c>
      <c r="AT200" t="n">
        <v>1295</v>
      </c>
      <c r="AU200" t="n">
        <v>1110</v>
      </c>
      <c r="AV200" t="n">
        <v>0</v>
      </c>
      <c r="AW200" t="n">
        <v>2405</v>
      </c>
      <c r="AX200" t="n">
        <v>1147</v>
      </c>
      <c r="AY200" t="n">
        <v>0</v>
      </c>
      <c r="AZ200" t="n">
        <v>0</v>
      </c>
      <c r="BA200" t="n">
        <v>1147</v>
      </c>
      <c r="BB200" t="n">
        <v>0</v>
      </c>
      <c r="BC200" t="n">
        <v>0</v>
      </c>
      <c r="BD200" t="n">
        <v>0</v>
      </c>
      <c r="BE200" t="n">
        <v>148</v>
      </c>
      <c r="BF200" t="n">
        <v>148</v>
      </c>
      <c r="BG200">
        <f>IF($F200=0,"0",MIN(
BH200/(30*$F200),
BI200/(61*$F200),
BJ200/(48*$F200),
(BK200+BL200)/(23*$F200),
(BM200+BN200)/(41*$F200),
BO200/(25*$F200),
BP200/(6.6*$F200),
BQ200/(40*$F200),
BS200/(16*$F200)
)*100)</f>
        <v/>
      </c>
      <c r="BH200" t="n">
        <v>82</v>
      </c>
      <c r="BI200" t="n">
        <v>90</v>
      </c>
      <c r="BJ200" t="n">
        <v>84</v>
      </c>
      <c r="BK200" t="n">
        <v>20</v>
      </c>
      <c r="BL200" t="n">
        <v>10</v>
      </c>
      <c r="BM200" t="n">
        <v>56</v>
      </c>
      <c r="BN200" t="n">
        <v>40</v>
      </c>
      <c r="BO200" t="n">
        <v>64</v>
      </c>
      <c r="BP200" t="n">
        <v>20</v>
      </c>
      <c r="BQ200" t="n">
        <v>76</v>
      </c>
      <c r="BR200" t="n">
        <v>124</v>
      </c>
      <c r="BS200" t="n">
        <v>42</v>
      </c>
      <c r="BT200" t="n">
        <v>708</v>
      </c>
      <c r="BU200" t="n">
        <v>96</v>
      </c>
      <c r="BV200" t="n">
        <v>204</v>
      </c>
      <c r="BW200" t="n">
        <v>320</v>
      </c>
      <c r="BX200" t="n">
        <v>76</v>
      </c>
      <c r="BY200" t="n">
        <v>354</v>
      </c>
      <c r="BZ200" t="n">
        <v>102</v>
      </c>
      <c r="CA200" t="n">
        <v>1152</v>
      </c>
      <c r="CB200" t="n">
        <v>30</v>
      </c>
      <c r="CC200" t="n">
        <v>13</v>
      </c>
      <c r="CD200" t="n">
        <v>33</v>
      </c>
      <c r="CE200" t="n">
        <v>24</v>
      </c>
      <c r="CF200" t="n">
        <v>0.73</v>
      </c>
      <c r="CG200" t="n">
        <v>0</v>
      </c>
      <c r="CH200" t="n">
        <v>0</v>
      </c>
      <c r="CI200" t="n">
        <v>0</v>
      </c>
      <c r="CJ200" t="n">
        <v>0</v>
      </c>
      <c r="CK200" t="n">
        <v>0</v>
      </c>
      <c r="CL200" t="n">
        <v>1</v>
      </c>
      <c r="CM200" t="n">
        <v>0</v>
      </c>
      <c r="CN200" t="n">
        <v>13</v>
      </c>
      <c r="CO200" t="n">
        <v>0</v>
      </c>
      <c r="CP200" t="n">
        <v>1</v>
      </c>
      <c r="CQ200" t="n">
        <v>0</v>
      </c>
      <c r="CR200" t="n">
        <v>0</v>
      </c>
      <c r="CS200" t="n">
        <v>0</v>
      </c>
      <c r="CT200" t="n">
        <v>15</v>
      </c>
      <c r="CU200" t="n">
        <v>0</v>
      </c>
      <c r="CV200" t="n">
        <v>0</v>
      </c>
      <c r="CW200" t="n">
        <v>0</v>
      </c>
      <c r="CX200" t="n">
        <v>0</v>
      </c>
      <c r="CY200" t="n">
        <v>8</v>
      </c>
      <c r="CZ200" t="n">
        <v>0</v>
      </c>
      <c r="DA200" t="n">
        <v>0</v>
      </c>
      <c r="DB200" t="n">
        <v>0</v>
      </c>
      <c r="DC200" t="n">
        <v>8</v>
      </c>
      <c r="DD200" t="n">
        <v>0</v>
      </c>
      <c r="DE200" t="n">
        <v>0</v>
      </c>
      <c r="DF200" t="n">
        <v>24</v>
      </c>
      <c r="DG200" t="n">
        <v>33</v>
      </c>
      <c r="DH200" t="n">
        <v>0</v>
      </c>
      <c r="DI200" t="n">
        <v>0</v>
      </c>
      <c r="DJ200" t="n">
        <v>0</v>
      </c>
      <c r="DK200" t="n">
        <v>0</v>
      </c>
      <c r="DL200" t="n">
        <v>0</v>
      </c>
      <c r="DM200" t="n">
        <v>0</v>
      </c>
      <c r="DN200" t="n">
        <v>0</v>
      </c>
      <c r="DO200" t="n">
        <v>0</v>
      </c>
      <c r="DP200" t="n">
        <v>0</v>
      </c>
      <c r="DQ200" t="n">
        <v>0</v>
      </c>
      <c r="DR200" t="n">
        <v>0</v>
      </c>
      <c r="DS200" t="n">
        <v>57</v>
      </c>
      <c r="DT200" t="n">
        <v>80</v>
      </c>
      <c r="DU200" t="n">
        <v>20</v>
      </c>
      <c r="DV200" t="n">
        <v>0</v>
      </c>
      <c r="DW200" t="n">
        <v>0</v>
      </c>
      <c r="DX200" t="n">
        <v>0</v>
      </c>
      <c r="DY200" t="n">
        <v>300</v>
      </c>
      <c r="DZ200" t="n">
        <v>225</v>
      </c>
      <c r="EA200" t="n">
        <v>300</v>
      </c>
      <c r="EB200" t="n">
        <v>600</v>
      </c>
      <c r="EC200" t="n">
        <v>75</v>
      </c>
      <c r="ED200" t="n">
        <v>495</v>
      </c>
      <c r="EE200" t="n">
        <v>1005</v>
      </c>
      <c r="EF200" t="n">
        <v>0</v>
      </c>
      <c r="EG200" t="n">
        <v>0.16</v>
      </c>
      <c r="EH200" t="n">
        <v>0.9</v>
      </c>
      <c r="EI200" t="n">
        <v>1</v>
      </c>
      <c r="EJ200" t="n">
        <v>0.1</v>
      </c>
      <c r="EK200" t="n">
        <v>2</v>
      </c>
    </row>
    <row r="201">
      <c r="A201">
        <f>[1]ingredient!B200</f>
        <v/>
      </c>
      <c r="B201" t="inlineStr">
        <is>
          <t>https://www.naehrwertrechner.de/naehrwerte/G331111/Kohlrabi+frisch/?menge=100</t>
        </is>
      </c>
      <c r="C201" s="7">
        <f>_xlfn.XLOOKUP(A201,[1]ingredient!$B$2:$B$521,[1]ingredient!$A$2:$A$521)</f>
        <v/>
      </c>
      <c r="D201" t="n">
        <v>25</v>
      </c>
      <c r="E201" t="n">
        <v>0.1</v>
      </c>
      <c r="F201" t="n">
        <v>2</v>
      </c>
      <c r="G201" t="n">
        <v>4</v>
      </c>
      <c r="H201" t="n">
        <v>2</v>
      </c>
      <c r="I201" t="n">
        <v>4</v>
      </c>
      <c r="J201" t="n">
        <v>0.09</v>
      </c>
      <c r="K201" t="n">
        <v>92</v>
      </c>
      <c r="L201" t="n">
        <v>33</v>
      </c>
      <c r="M201" t="n">
        <v>17</v>
      </c>
      <c r="N201" t="n">
        <v>0</v>
      </c>
      <c r="O201" t="n">
        <v>200</v>
      </c>
      <c r="P201" t="n">
        <v>48</v>
      </c>
      <c r="Q201" t="n">
        <v>46</v>
      </c>
      <c r="R201" t="n">
        <v>1800</v>
      </c>
      <c r="S201" t="n">
        <v>2133</v>
      </c>
      <c r="T201" t="n">
        <v>100</v>
      </c>
      <c r="U201" t="n">
        <v>120</v>
      </c>
      <c r="V201" t="n">
        <v>3</v>
      </c>
      <c r="W201" t="n">
        <v>25</v>
      </c>
      <c r="X201" t="n">
        <v>0</v>
      </c>
      <c r="Y201" t="n">
        <v>64000</v>
      </c>
      <c r="Z201" t="n">
        <v>0</v>
      </c>
      <c r="AA201" t="n">
        <v>400</v>
      </c>
      <c r="AB201" t="n">
        <v>7</v>
      </c>
      <c r="AC201" t="n">
        <v>32</v>
      </c>
      <c r="AD201" t="n">
        <v>380</v>
      </c>
      <c r="AE201" t="n">
        <v>68</v>
      </c>
      <c r="AF201" t="n">
        <v>43</v>
      </c>
      <c r="AG201" t="n">
        <v>50</v>
      </c>
      <c r="AH201" t="n">
        <v>50</v>
      </c>
      <c r="AI201" t="n">
        <v>57</v>
      </c>
      <c r="AJ201" t="n">
        <v>900</v>
      </c>
      <c r="AK201" t="n">
        <v>260</v>
      </c>
      <c r="AL201" t="n">
        <v>120</v>
      </c>
      <c r="AM201" t="n">
        <v>130</v>
      </c>
      <c r="AN201" t="n">
        <v>10</v>
      </c>
      <c r="AO201" t="n">
        <v>1</v>
      </c>
      <c r="AP201" t="n">
        <v>0</v>
      </c>
      <c r="AQ201" t="n">
        <v>0</v>
      </c>
      <c r="AR201" t="n">
        <v>0</v>
      </c>
      <c r="AS201" t="n">
        <v>0</v>
      </c>
      <c r="AT201" t="n">
        <v>1295</v>
      </c>
      <c r="AU201" t="n">
        <v>1110</v>
      </c>
      <c r="AV201" t="n">
        <v>0</v>
      </c>
      <c r="AW201" t="n">
        <v>2405</v>
      </c>
      <c r="AX201" t="n">
        <v>1147</v>
      </c>
      <c r="AY201" t="n">
        <v>0</v>
      </c>
      <c r="AZ201" t="n">
        <v>0</v>
      </c>
      <c r="BA201" t="n">
        <v>1147</v>
      </c>
      <c r="BB201" t="n">
        <v>0</v>
      </c>
      <c r="BC201" t="n">
        <v>0</v>
      </c>
      <c r="BD201" t="n">
        <v>0</v>
      </c>
      <c r="BE201" t="n">
        <v>148</v>
      </c>
      <c r="BF201" t="n">
        <v>148</v>
      </c>
      <c r="BG201">
        <f>IF($F201=0,"0",MIN(
BH201/(30*$F201),
BI201/(61*$F201),
BJ201/(48*$F201),
(BK201+BL201)/(23*$F201),
(BM201+BN201)/(41*$F201),
BO201/(25*$F201),
BP201/(6.6*$F201),
BQ201/(40*$F201),
BS201/(16*$F201)
)*100)</f>
        <v/>
      </c>
      <c r="BH201" t="n">
        <v>82</v>
      </c>
      <c r="BI201" t="n">
        <v>90</v>
      </c>
      <c r="BJ201" t="n">
        <v>84</v>
      </c>
      <c r="BK201" t="n">
        <v>20</v>
      </c>
      <c r="BL201" t="n">
        <v>10</v>
      </c>
      <c r="BM201" t="n">
        <v>56</v>
      </c>
      <c r="BN201" t="n">
        <v>40</v>
      </c>
      <c r="BO201" t="n">
        <v>64</v>
      </c>
      <c r="BP201" t="n">
        <v>20</v>
      </c>
      <c r="BQ201" t="n">
        <v>76</v>
      </c>
      <c r="BR201" t="n">
        <v>124</v>
      </c>
      <c r="BS201" t="n">
        <v>42</v>
      </c>
      <c r="BT201" t="n">
        <v>708</v>
      </c>
      <c r="BU201" t="n">
        <v>96</v>
      </c>
      <c r="BV201" t="n">
        <v>204</v>
      </c>
      <c r="BW201" t="n">
        <v>320</v>
      </c>
      <c r="BX201" t="n">
        <v>76</v>
      </c>
      <c r="BY201" t="n">
        <v>354</v>
      </c>
      <c r="BZ201" t="n">
        <v>102</v>
      </c>
      <c r="CA201" t="n">
        <v>1152</v>
      </c>
      <c r="CB201" t="n">
        <v>30</v>
      </c>
      <c r="CC201" t="n">
        <v>13</v>
      </c>
      <c r="CD201" t="n">
        <v>33</v>
      </c>
      <c r="CE201" t="n">
        <v>24</v>
      </c>
      <c r="CF201" t="n">
        <v>0.73</v>
      </c>
      <c r="CG201" t="n">
        <v>0</v>
      </c>
      <c r="CH201" t="n">
        <v>0</v>
      </c>
      <c r="CI201" t="n">
        <v>0</v>
      </c>
      <c r="CJ201" t="n">
        <v>0</v>
      </c>
      <c r="CK201" t="n">
        <v>0</v>
      </c>
      <c r="CL201" t="n">
        <v>1</v>
      </c>
      <c r="CM201" t="n">
        <v>0</v>
      </c>
      <c r="CN201" t="n">
        <v>13</v>
      </c>
      <c r="CO201" t="n">
        <v>0</v>
      </c>
      <c r="CP201" t="n">
        <v>1</v>
      </c>
      <c r="CQ201" t="n">
        <v>0</v>
      </c>
      <c r="CR201" t="n">
        <v>0</v>
      </c>
      <c r="CS201" t="n">
        <v>0</v>
      </c>
      <c r="CT201" t="n">
        <v>15</v>
      </c>
      <c r="CU201" t="n">
        <v>0</v>
      </c>
      <c r="CV201" t="n">
        <v>0</v>
      </c>
      <c r="CW201" t="n">
        <v>0</v>
      </c>
      <c r="CX201" t="n">
        <v>0</v>
      </c>
      <c r="CY201" t="n">
        <v>8</v>
      </c>
      <c r="CZ201" t="n">
        <v>0</v>
      </c>
      <c r="DA201" t="n">
        <v>0</v>
      </c>
      <c r="DB201" t="n">
        <v>0</v>
      </c>
      <c r="DC201" t="n">
        <v>8</v>
      </c>
      <c r="DD201" t="n">
        <v>0</v>
      </c>
      <c r="DE201" t="n">
        <v>0</v>
      </c>
      <c r="DF201" t="n">
        <v>24</v>
      </c>
      <c r="DG201" t="n">
        <v>33</v>
      </c>
      <c r="DH201" t="n">
        <v>0</v>
      </c>
      <c r="DI201" t="n">
        <v>0</v>
      </c>
      <c r="DJ201" t="n">
        <v>0</v>
      </c>
      <c r="DK201" t="n">
        <v>0</v>
      </c>
      <c r="DL201" t="n">
        <v>0</v>
      </c>
      <c r="DM201" t="n">
        <v>0</v>
      </c>
      <c r="DN201" t="n">
        <v>0</v>
      </c>
      <c r="DO201" t="n">
        <v>0</v>
      </c>
      <c r="DP201" t="n">
        <v>0</v>
      </c>
      <c r="DQ201" t="n">
        <v>0</v>
      </c>
      <c r="DR201" t="n">
        <v>0</v>
      </c>
      <c r="DS201" t="n">
        <v>57</v>
      </c>
      <c r="DT201" t="n">
        <v>80</v>
      </c>
      <c r="DU201" t="n">
        <v>20</v>
      </c>
      <c r="DV201" t="n">
        <v>0</v>
      </c>
      <c r="DW201" t="n">
        <v>0</v>
      </c>
      <c r="DX201" t="n">
        <v>0</v>
      </c>
      <c r="DY201" t="n">
        <v>300</v>
      </c>
      <c r="DZ201" t="n">
        <v>225</v>
      </c>
      <c r="EA201" t="n">
        <v>300</v>
      </c>
      <c r="EB201" t="n">
        <v>600</v>
      </c>
      <c r="EC201" t="n">
        <v>75</v>
      </c>
      <c r="ED201" t="n">
        <v>495</v>
      </c>
      <c r="EE201" t="n">
        <v>1005</v>
      </c>
      <c r="EF201" t="n">
        <v>0</v>
      </c>
      <c r="EG201" t="n">
        <v>0.16</v>
      </c>
      <c r="EH201" t="n">
        <v>0.9</v>
      </c>
      <c r="EI201" t="n">
        <v>1</v>
      </c>
      <c r="EJ201" t="n">
        <v>0.1</v>
      </c>
      <c r="EK201" t="n">
        <v>2</v>
      </c>
    </row>
    <row r="202">
      <c r="A202">
        <f>[1]ingredient!B201</f>
        <v/>
      </c>
      <c r="B202" t="inlineStr">
        <is>
          <t>https://www.naehrwertrechner.de/naehrwerte/H155000/Kokosjoghurt+natur/?menge=100</t>
        </is>
      </c>
      <c r="C202" s="7">
        <f>_xlfn.XLOOKUP(A202,[1]ingredient!$B$2:$B$521,[1]ingredient!$A$2:$A$521)</f>
        <v/>
      </c>
      <c r="D202" t="n">
        <v>95</v>
      </c>
      <c r="E202" t="n">
        <v>8</v>
      </c>
      <c r="F202" t="n">
        <v>1</v>
      </c>
      <c r="G202" t="n">
        <v>5</v>
      </c>
      <c r="H202" t="n">
        <v>1</v>
      </c>
      <c r="I202" t="n">
        <v>1</v>
      </c>
      <c r="J202" t="n">
        <v>0.27</v>
      </c>
      <c r="K202" t="n">
        <v>85</v>
      </c>
      <c r="L202" t="n">
        <v>0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n">
        <v>100</v>
      </c>
      <c r="S202" t="n">
        <v>200</v>
      </c>
      <c r="T202" t="n">
        <v>0</v>
      </c>
      <c r="U202" t="n">
        <v>0</v>
      </c>
      <c r="V202" t="n">
        <v>1</v>
      </c>
      <c r="W202" t="n">
        <v>4</v>
      </c>
      <c r="X202" t="n">
        <v>0</v>
      </c>
      <c r="Y202" t="n">
        <v>600</v>
      </c>
      <c r="Z202" t="n">
        <v>0</v>
      </c>
      <c r="AA202" t="n">
        <v>0</v>
      </c>
      <c r="AB202" t="n">
        <v>0</v>
      </c>
      <c r="AC202" t="n">
        <v>72</v>
      </c>
      <c r="AD202" t="n">
        <v>181</v>
      </c>
      <c r="AE202" t="n">
        <v>39</v>
      </c>
      <c r="AF202" t="n">
        <v>31</v>
      </c>
      <c r="AG202" t="n">
        <v>30</v>
      </c>
      <c r="AH202" t="n">
        <v>8</v>
      </c>
      <c r="AI202" t="n">
        <v>201</v>
      </c>
      <c r="AJ202" t="n">
        <v>400</v>
      </c>
      <c r="AK202" t="n">
        <v>200</v>
      </c>
      <c r="AL202" t="n">
        <v>200</v>
      </c>
      <c r="AM202" t="n">
        <v>300</v>
      </c>
      <c r="AN202" t="n">
        <v>0</v>
      </c>
      <c r="AO202" t="n">
        <v>5</v>
      </c>
      <c r="AP202" t="n">
        <v>0</v>
      </c>
      <c r="AQ202" t="n">
        <v>0</v>
      </c>
      <c r="AR202" t="n">
        <v>0</v>
      </c>
      <c r="AS202" t="n">
        <v>0</v>
      </c>
      <c r="AT202" t="n">
        <v>9</v>
      </c>
      <c r="AU202" t="n">
        <v>0</v>
      </c>
      <c r="AV202" t="n">
        <v>0</v>
      </c>
      <c r="AW202" t="n">
        <v>9</v>
      </c>
      <c r="AX202" t="n">
        <v>800</v>
      </c>
      <c r="AY202" t="n">
        <v>0</v>
      </c>
      <c r="AZ202" t="n">
        <v>0</v>
      </c>
      <c r="BA202" t="n">
        <v>791</v>
      </c>
      <c r="BB202" t="n">
        <v>1600</v>
      </c>
      <c r="BC202" t="n">
        <v>0</v>
      </c>
      <c r="BD202" t="n">
        <v>0</v>
      </c>
      <c r="BE202" t="n">
        <v>3000</v>
      </c>
      <c r="BF202" t="n">
        <v>0</v>
      </c>
      <c r="BG202">
        <f>IF($F202=0,"0",MIN(
BH202/(30*$F202),
BI202/(61*$F202),
BJ202/(48*$F202),
(BK202+BL202)/(23*$F202),
(BM202+BN202)/(41*$F202),
BO202/(25*$F202),
BP202/(6.6*$F202),
BQ202/(40*$F202),
BS202/(16*$F202)
)*100)</f>
        <v/>
      </c>
      <c r="BH202" t="n">
        <v>24</v>
      </c>
      <c r="BI202" t="n">
        <v>43</v>
      </c>
      <c r="BJ202" t="n">
        <v>33</v>
      </c>
      <c r="BK202" t="n">
        <v>11</v>
      </c>
      <c r="BL202" t="n">
        <v>14</v>
      </c>
      <c r="BM202" t="n">
        <v>28</v>
      </c>
      <c r="BN202" t="n">
        <v>19</v>
      </c>
      <c r="BO202" t="n">
        <v>24</v>
      </c>
      <c r="BP202" t="n">
        <v>6</v>
      </c>
      <c r="BQ202" t="n">
        <v>35</v>
      </c>
      <c r="BR202" t="n">
        <v>101</v>
      </c>
      <c r="BS202" t="n">
        <v>17</v>
      </c>
      <c r="BT202" t="n">
        <v>355</v>
      </c>
      <c r="BU202" t="n">
        <v>34</v>
      </c>
      <c r="BV202" t="n">
        <v>60</v>
      </c>
      <c r="BW202" t="n">
        <v>160</v>
      </c>
      <c r="BX202" t="n">
        <v>32</v>
      </c>
      <c r="BY202" t="n">
        <v>26</v>
      </c>
      <c r="BZ202" t="n">
        <v>33</v>
      </c>
      <c r="CA202" t="n">
        <v>345</v>
      </c>
      <c r="CB202" t="n">
        <v>1</v>
      </c>
      <c r="CC202" t="n">
        <v>1</v>
      </c>
      <c r="CD202" t="n">
        <v>1</v>
      </c>
      <c r="CE202" t="n">
        <v>100</v>
      </c>
      <c r="CF202" t="n">
        <v>100</v>
      </c>
      <c r="CG202" t="n">
        <v>2</v>
      </c>
      <c r="CH202" t="n">
        <v>64</v>
      </c>
      <c r="CI202" t="n">
        <v>702</v>
      </c>
      <c r="CJ202" t="n">
        <v>505</v>
      </c>
      <c r="CK202" t="n">
        <v>3680</v>
      </c>
      <c r="CL202" t="n">
        <v>1346</v>
      </c>
      <c r="CM202" t="n">
        <v>1</v>
      </c>
      <c r="CN202" t="n">
        <v>575</v>
      </c>
      <c r="CO202" t="n">
        <v>1</v>
      </c>
      <c r="CP202" t="n">
        <v>216</v>
      </c>
      <c r="CQ202" t="n">
        <v>6</v>
      </c>
      <c r="CR202" t="n">
        <v>1</v>
      </c>
      <c r="CS202" t="n">
        <v>2</v>
      </c>
      <c r="CT202" t="n">
        <v>7100</v>
      </c>
      <c r="CU202" t="n">
        <v>0</v>
      </c>
      <c r="CV202" t="n">
        <v>0</v>
      </c>
      <c r="CW202" t="n">
        <v>2</v>
      </c>
      <c r="CX202" t="n">
        <v>0</v>
      </c>
      <c r="CY202" t="n">
        <v>462</v>
      </c>
      <c r="CZ202" t="n">
        <v>2</v>
      </c>
      <c r="DA202" t="n">
        <v>0</v>
      </c>
      <c r="DB202" t="n">
        <v>0</v>
      </c>
      <c r="DC202" t="n">
        <v>500</v>
      </c>
      <c r="DD202" t="n">
        <v>0</v>
      </c>
      <c r="DE202" t="n">
        <v>0</v>
      </c>
      <c r="DF202" t="n">
        <v>100</v>
      </c>
      <c r="DG202" t="n">
        <v>0</v>
      </c>
      <c r="DH202" t="n">
        <v>0</v>
      </c>
      <c r="DI202" t="n">
        <v>0</v>
      </c>
      <c r="DJ202" t="n">
        <v>0</v>
      </c>
      <c r="DK202" t="n">
        <v>0</v>
      </c>
      <c r="DL202" t="n">
        <v>0</v>
      </c>
      <c r="DM202" t="n">
        <v>1</v>
      </c>
      <c r="DN202" t="n">
        <v>0</v>
      </c>
      <c r="DO202" t="n">
        <v>0</v>
      </c>
      <c r="DP202" t="n">
        <v>0</v>
      </c>
      <c r="DQ202" t="n">
        <v>0</v>
      </c>
      <c r="DR202" t="n">
        <v>0</v>
      </c>
      <c r="DS202" t="n">
        <v>100</v>
      </c>
      <c r="DT202" t="n">
        <v>6397</v>
      </c>
      <c r="DU202" t="n">
        <v>31</v>
      </c>
      <c r="DV202" t="n">
        <v>0</v>
      </c>
      <c r="DW202" t="n">
        <v>66</v>
      </c>
      <c r="DX202" t="n">
        <v>1207</v>
      </c>
      <c r="DY202" t="n">
        <v>18</v>
      </c>
      <c r="DZ202" t="n">
        <v>52</v>
      </c>
      <c r="EA202" t="n">
        <v>319</v>
      </c>
      <c r="EB202" t="n">
        <v>50</v>
      </c>
      <c r="EC202" t="n">
        <v>1</v>
      </c>
      <c r="ED202" t="n">
        <v>23</v>
      </c>
      <c r="EE202" t="n">
        <v>477</v>
      </c>
      <c r="EF202" t="n">
        <v>0</v>
      </c>
      <c r="EG202" t="n">
        <v>100</v>
      </c>
      <c r="EH202" t="n">
        <v>0.6</v>
      </c>
      <c r="EI202" t="n">
        <v>0.5</v>
      </c>
      <c r="EJ202" t="n">
        <v>7.7</v>
      </c>
      <c r="EK202" t="n">
        <v>0.7</v>
      </c>
    </row>
    <row r="203">
      <c r="A203">
        <f>[1]ingredient!B202</f>
        <v/>
      </c>
      <c r="B203" t="inlineStr">
        <is>
          <t>https://www.naehrwertrechner.de/naehrwerte/H153000/Kokosmilch+mit+S%C3%BC%C3%9Fstoff/?menge=100</t>
        </is>
      </c>
      <c r="C203" s="7">
        <f>_xlfn.XLOOKUP(A203,[1]ingredient!$B$2:$B$521,[1]ingredient!$A$2:$A$521)</f>
        <v/>
      </c>
      <c r="D203" t="n">
        <v>10</v>
      </c>
      <c r="E203" t="n">
        <v>0.4</v>
      </c>
      <c r="F203" t="n">
        <v>0.25</v>
      </c>
      <c r="G203" t="n">
        <v>1</v>
      </c>
      <c r="H203" t="n">
        <v>0</v>
      </c>
      <c r="I203" t="n">
        <v>1</v>
      </c>
      <c r="J203" t="n">
        <v>0.24</v>
      </c>
      <c r="K203" t="n">
        <v>97</v>
      </c>
      <c r="L203" t="n">
        <v>0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  <c r="R203" t="n">
        <v>99</v>
      </c>
      <c r="S203" t="n">
        <v>132</v>
      </c>
      <c r="T203" t="n">
        <v>50</v>
      </c>
      <c r="U203" t="n">
        <v>30</v>
      </c>
      <c r="V203" t="n">
        <v>1</v>
      </c>
      <c r="W203" t="n">
        <v>10</v>
      </c>
      <c r="X203" t="n">
        <v>0</v>
      </c>
      <c r="Y203" t="n">
        <v>1980</v>
      </c>
      <c r="Z203" t="n">
        <v>0</v>
      </c>
      <c r="AA203" t="n">
        <v>0</v>
      </c>
      <c r="AB203" t="n">
        <v>0</v>
      </c>
      <c r="AC203" t="n">
        <v>62</v>
      </c>
      <c r="AD203" t="n">
        <v>279</v>
      </c>
      <c r="AE203" t="n">
        <v>27</v>
      </c>
      <c r="AF203" t="n">
        <v>30</v>
      </c>
      <c r="AG203" t="n">
        <v>33</v>
      </c>
      <c r="AH203" t="n">
        <v>24</v>
      </c>
      <c r="AI203" t="n">
        <v>181</v>
      </c>
      <c r="AJ203" t="n">
        <v>99</v>
      </c>
      <c r="AK203" t="n">
        <v>99</v>
      </c>
      <c r="AL203" t="n">
        <v>396</v>
      </c>
      <c r="AM203" t="n">
        <v>396</v>
      </c>
      <c r="AN203" t="n">
        <v>0</v>
      </c>
      <c r="AO203" t="n">
        <v>0.4</v>
      </c>
      <c r="AP203" t="n">
        <v>0</v>
      </c>
      <c r="AQ203" t="n">
        <v>0</v>
      </c>
      <c r="AR203" t="n">
        <v>0</v>
      </c>
      <c r="AS203" t="n">
        <v>0</v>
      </c>
      <c r="AT203" t="n">
        <v>42</v>
      </c>
      <c r="AU203" t="n">
        <v>0</v>
      </c>
      <c r="AV203" t="n">
        <v>0</v>
      </c>
      <c r="AW203" t="n">
        <v>42</v>
      </c>
      <c r="AX203" t="n">
        <v>1304</v>
      </c>
      <c r="AY203" t="n">
        <v>0</v>
      </c>
      <c r="AZ203" t="n">
        <v>0</v>
      </c>
      <c r="BA203" t="n">
        <v>1304</v>
      </c>
      <c r="BB203" t="n">
        <v>0</v>
      </c>
      <c r="BC203" t="n">
        <v>0</v>
      </c>
      <c r="BD203" t="n">
        <v>0</v>
      </c>
      <c r="BE203" t="n">
        <v>0</v>
      </c>
      <c r="BF203" t="n">
        <v>0</v>
      </c>
      <c r="BG203">
        <f>IF($F203=0,"0",MIN(
BH203/(30*$F203),
BI203/(61*$F203),
BJ203/(48*$F203),
(BK203+BL203)/(23*$F203),
(BM203+BN203)/(41*$F203),
BO203/(25*$F203),
BP203/(6.6*$F203),
BQ203/(40*$F203),
BS203/(16*$F203)
)*100)</f>
        <v/>
      </c>
      <c r="BH203" t="n">
        <v>12</v>
      </c>
      <c r="BI203" t="n">
        <v>19</v>
      </c>
      <c r="BJ203" t="n">
        <v>9</v>
      </c>
      <c r="BK203" t="n">
        <v>4</v>
      </c>
      <c r="BL203" t="n">
        <v>4</v>
      </c>
      <c r="BM203" t="n">
        <v>11</v>
      </c>
      <c r="BN203" t="n">
        <v>7</v>
      </c>
      <c r="BO203" t="n">
        <v>9</v>
      </c>
      <c r="BP203" t="n">
        <v>2</v>
      </c>
      <c r="BQ203" t="n">
        <v>14</v>
      </c>
      <c r="BR203" t="n">
        <v>32</v>
      </c>
      <c r="BS203" t="n">
        <v>5</v>
      </c>
      <c r="BT203" t="n">
        <v>128</v>
      </c>
      <c r="BU203" t="n">
        <v>12</v>
      </c>
      <c r="BV203" t="n">
        <v>24</v>
      </c>
      <c r="BW203" t="n">
        <v>51</v>
      </c>
      <c r="BX203" t="n">
        <v>12</v>
      </c>
      <c r="BY203" t="n">
        <v>10</v>
      </c>
      <c r="BZ203" t="n">
        <v>13</v>
      </c>
      <c r="CA203" t="n">
        <v>122</v>
      </c>
      <c r="CB203" t="n">
        <v>0</v>
      </c>
      <c r="CC203" t="n">
        <v>0</v>
      </c>
      <c r="CD203" t="n">
        <v>0</v>
      </c>
      <c r="CE203" t="n">
        <v>6</v>
      </c>
      <c r="CF203" s="15" t="n">
        <v>1</v>
      </c>
      <c r="CG203" t="n">
        <v>0</v>
      </c>
      <c r="CH203" t="n">
        <v>3</v>
      </c>
      <c r="CI203" t="n">
        <v>28</v>
      </c>
      <c r="CJ203" t="n">
        <v>24</v>
      </c>
      <c r="CK203" t="n">
        <v>176</v>
      </c>
      <c r="CL203" t="n">
        <v>65</v>
      </c>
      <c r="CM203" t="n">
        <v>0</v>
      </c>
      <c r="CN203" t="n">
        <v>33</v>
      </c>
      <c r="CO203" t="n">
        <v>0</v>
      </c>
      <c r="CP203" t="n">
        <v>11</v>
      </c>
      <c r="CQ203" t="n">
        <v>3</v>
      </c>
      <c r="CR203" t="n">
        <v>0</v>
      </c>
      <c r="CS203" t="n">
        <v>0</v>
      </c>
      <c r="CT203" t="n">
        <v>343</v>
      </c>
      <c r="CU203" t="n">
        <v>0</v>
      </c>
      <c r="CV203" t="n">
        <v>0</v>
      </c>
      <c r="CW203" t="n">
        <v>1</v>
      </c>
      <c r="CX203" t="n">
        <v>0</v>
      </c>
      <c r="CY203" t="n">
        <v>23</v>
      </c>
      <c r="CZ203" t="n">
        <v>0</v>
      </c>
      <c r="DA203" t="n">
        <v>0</v>
      </c>
      <c r="DB203" t="n">
        <v>0</v>
      </c>
      <c r="DC203" t="n">
        <v>24</v>
      </c>
      <c r="DD203" t="n">
        <v>0</v>
      </c>
      <c r="DE203" t="n">
        <v>0</v>
      </c>
      <c r="DF203" t="n">
        <v>6</v>
      </c>
      <c r="DG203" t="n">
        <v>0</v>
      </c>
      <c r="DH203" t="n">
        <v>0</v>
      </c>
      <c r="DI203" t="n">
        <v>0</v>
      </c>
      <c r="DJ203" t="n">
        <v>0</v>
      </c>
      <c r="DK203" t="n">
        <v>0</v>
      </c>
      <c r="DL203" t="n">
        <v>0</v>
      </c>
      <c r="DM203" t="n">
        <v>0</v>
      </c>
      <c r="DN203" t="n">
        <v>0</v>
      </c>
      <c r="DO203" t="n">
        <v>0</v>
      </c>
      <c r="DP203" t="n">
        <v>0</v>
      </c>
      <c r="DQ203" t="n">
        <v>0</v>
      </c>
      <c r="DR203" t="n">
        <v>0</v>
      </c>
      <c r="DS203" t="n">
        <v>6</v>
      </c>
      <c r="DT203" t="n">
        <v>318</v>
      </c>
      <c r="DU203" t="n">
        <v>23</v>
      </c>
      <c r="DV203" t="n">
        <v>0</v>
      </c>
      <c r="DW203" t="n">
        <v>3</v>
      </c>
      <c r="DX203" t="n">
        <v>52</v>
      </c>
      <c r="DY203" t="n">
        <v>0</v>
      </c>
      <c r="DZ203" t="n">
        <v>0</v>
      </c>
      <c r="EA203" t="n">
        <v>0</v>
      </c>
      <c r="EB203" t="n">
        <v>0</v>
      </c>
      <c r="EC203" t="n">
        <v>0</v>
      </c>
      <c r="ED203" t="n">
        <v>0</v>
      </c>
      <c r="EE203" t="n">
        <v>0</v>
      </c>
      <c r="EF203" t="n">
        <v>0</v>
      </c>
      <c r="EG203" t="n">
        <v>0</v>
      </c>
      <c r="EH203" t="n">
        <v>0.7</v>
      </c>
      <c r="EI203" t="n">
        <v>0</v>
      </c>
      <c r="EJ203" t="n">
        <v>0.4</v>
      </c>
      <c r="EK203" t="n">
        <v>0.3</v>
      </c>
    </row>
    <row r="204">
      <c r="A204">
        <f>[1]ingredient!B203</f>
        <v/>
      </c>
      <c r="B204" t="inlineStr">
        <is>
          <t>https://www.naehrwertrechner.de/naehrwerte/Q550000/Kokosfett/?menge=100</t>
        </is>
      </c>
      <c r="C204" s="7">
        <f>_xlfn.XLOOKUP(A204,[1]ingredient!$B$2:$B$521,[1]ingredient!$A$2:$A$521)</f>
        <v/>
      </c>
      <c r="D204" t="n">
        <v>878</v>
      </c>
      <c r="E204" t="n">
        <v>99</v>
      </c>
      <c r="F204" t="n">
        <v>1</v>
      </c>
      <c r="G204" t="n">
        <v>0.01</v>
      </c>
      <c r="H204" t="n">
        <v>0</v>
      </c>
      <c r="I204" t="n">
        <v>0.01</v>
      </c>
      <c r="J204" t="n">
        <v>0</v>
      </c>
      <c r="K204" t="n">
        <v>0.09</v>
      </c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  <c r="S204" t="n">
        <v>117</v>
      </c>
      <c r="T204" t="n">
        <v>0</v>
      </c>
      <c r="U204" t="n">
        <v>0</v>
      </c>
      <c r="V204" t="n">
        <v>0</v>
      </c>
      <c r="W204" t="n">
        <v>0</v>
      </c>
      <c r="X204" t="n">
        <v>0</v>
      </c>
      <c r="Y204" t="n">
        <v>0</v>
      </c>
      <c r="Z204" t="n">
        <v>0</v>
      </c>
      <c r="AA204" t="n">
        <v>2121</v>
      </c>
      <c r="AB204" t="n">
        <v>10</v>
      </c>
      <c r="AC204" t="n">
        <v>2</v>
      </c>
      <c r="AD204" t="n">
        <v>2</v>
      </c>
      <c r="AE204" t="n">
        <v>2</v>
      </c>
      <c r="AF204" t="n">
        <v>0</v>
      </c>
      <c r="AG204" t="n">
        <v>1</v>
      </c>
      <c r="AH204" t="n">
        <v>0</v>
      </c>
      <c r="AI204" t="n">
        <v>0</v>
      </c>
      <c r="AJ204" t="n">
        <v>20</v>
      </c>
      <c r="AK204" t="n">
        <v>0</v>
      </c>
      <c r="AL204" t="n">
        <v>2</v>
      </c>
      <c r="AM204" t="n">
        <v>0</v>
      </c>
      <c r="AN204" t="n">
        <v>0</v>
      </c>
      <c r="AO204" t="n">
        <v>0</v>
      </c>
      <c r="AP204" t="n">
        <v>0</v>
      </c>
      <c r="AQ204" t="n">
        <v>0</v>
      </c>
      <c r="AR204" t="n">
        <v>0</v>
      </c>
      <c r="AS204" t="n">
        <v>0</v>
      </c>
      <c r="AT204" t="n">
        <v>0</v>
      </c>
      <c r="AU204" t="n">
        <v>0</v>
      </c>
      <c r="AV204" t="n">
        <v>0</v>
      </c>
      <c r="AW204" t="n">
        <v>0</v>
      </c>
      <c r="AX204" t="n">
        <v>10</v>
      </c>
      <c r="AY204" t="n">
        <v>0</v>
      </c>
      <c r="AZ204" t="n">
        <v>0</v>
      </c>
      <c r="BA204" t="n">
        <v>10</v>
      </c>
      <c r="BB204" t="n">
        <v>0</v>
      </c>
      <c r="BC204" t="n">
        <v>0</v>
      </c>
      <c r="BD204" t="n">
        <v>0</v>
      </c>
      <c r="BE204" t="n">
        <v>0</v>
      </c>
      <c r="BF204" t="n">
        <v>0</v>
      </c>
      <c r="BG204">
        <f>IF($F204=0,"0",MIN(
BH204/(30*$F204),
BI204/(61*$F204),
BJ204/(48*$F204),
(BK204+BL204)/(23*$F204),
(BM204+BN204)/(41*$F204),
BO204/(25*$F204),
BP204/(6.6*$F204),
BQ204/(40*$F204),
BS204/(16*$F204)
)*100)</f>
        <v/>
      </c>
      <c r="BH204" t="n">
        <v>38</v>
      </c>
      <c r="BI204" t="n">
        <v>59</v>
      </c>
      <c r="BJ204" t="n">
        <v>30</v>
      </c>
      <c r="BK204" t="n">
        <v>14</v>
      </c>
      <c r="BL204" t="n">
        <v>14</v>
      </c>
      <c r="BM204" t="n">
        <v>35</v>
      </c>
      <c r="BN204" t="n">
        <v>23</v>
      </c>
      <c r="BO204" t="n">
        <v>27</v>
      </c>
      <c r="BP204" t="n">
        <v>7</v>
      </c>
      <c r="BQ204" t="n">
        <v>43</v>
      </c>
      <c r="BR204" t="n">
        <v>101</v>
      </c>
      <c r="BS204" t="n">
        <v>15</v>
      </c>
      <c r="BT204" t="n">
        <v>406</v>
      </c>
      <c r="BU204" t="n">
        <v>39</v>
      </c>
      <c r="BV204" t="n">
        <v>75</v>
      </c>
      <c r="BW204" t="n">
        <v>166</v>
      </c>
      <c r="BX204" t="n">
        <v>38</v>
      </c>
      <c r="BY204" t="n">
        <v>31</v>
      </c>
      <c r="BZ204" t="n">
        <v>41</v>
      </c>
      <c r="CA204" t="n">
        <v>390</v>
      </c>
      <c r="CB204" t="n">
        <v>0</v>
      </c>
      <c r="CC204" t="n">
        <v>0</v>
      </c>
      <c r="CD204" t="n">
        <v>0</v>
      </c>
      <c r="CE204" t="n">
        <v>1399</v>
      </c>
      <c r="CG204" t="n">
        <v>0</v>
      </c>
      <c r="CH204" t="n">
        <v>466</v>
      </c>
      <c r="CI204" t="n">
        <v>7461</v>
      </c>
      <c r="CJ204" t="n">
        <v>5595</v>
      </c>
      <c r="CK204" t="n">
        <v>44205</v>
      </c>
      <c r="CL204" t="n">
        <v>16507</v>
      </c>
      <c r="CM204" t="n">
        <v>0</v>
      </c>
      <c r="CN204" t="n">
        <v>8393</v>
      </c>
      <c r="CO204" t="n">
        <v>0</v>
      </c>
      <c r="CP204" t="n">
        <v>2331</v>
      </c>
      <c r="CQ204" t="n">
        <v>933</v>
      </c>
      <c r="CR204" t="n">
        <v>0</v>
      </c>
      <c r="CS204" t="n">
        <v>0</v>
      </c>
      <c r="CT204" t="n">
        <v>85891</v>
      </c>
      <c r="CU204" t="n">
        <v>0</v>
      </c>
      <c r="CV204" t="n">
        <v>0</v>
      </c>
      <c r="CW204" t="n">
        <v>373</v>
      </c>
      <c r="CX204" t="n">
        <v>0</v>
      </c>
      <c r="CY204" t="n">
        <v>5595</v>
      </c>
      <c r="CZ204" t="n">
        <v>0</v>
      </c>
      <c r="DA204" t="n">
        <v>0</v>
      </c>
      <c r="DB204" t="n">
        <v>0</v>
      </c>
      <c r="DC204" t="n">
        <v>5968</v>
      </c>
      <c r="DD204" t="n">
        <v>0</v>
      </c>
      <c r="DE204" t="n">
        <v>0</v>
      </c>
      <c r="DF204" t="n">
        <v>1399</v>
      </c>
      <c r="DG204" t="n">
        <v>0</v>
      </c>
      <c r="DH204" t="n">
        <v>0</v>
      </c>
      <c r="DI204" t="n">
        <v>0</v>
      </c>
      <c r="DJ204" t="n">
        <v>0</v>
      </c>
      <c r="DK204" t="n">
        <v>0</v>
      </c>
      <c r="DL204" t="n">
        <v>0</v>
      </c>
      <c r="DM204" t="n">
        <v>0</v>
      </c>
      <c r="DN204" t="n">
        <v>0</v>
      </c>
      <c r="DO204" t="n">
        <v>0</v>
      </c>
      <c r="DP204" t="n">
        <v>0</v>
      </c>
      <c r="DQ204" t="n">
        <v>0</v>
      </c>
      <c r="DR204" t="n">
        <v>0</v>
      </c>
      <c r="DS204" t="n">
        <v>1399</v>
      </c>
      <c r="DT204" t="n">
        <v>79736</v>
      </c>
      <c r="DU204" t="n">
        <v>5742</v>
      </c>
      <c r="DV204" t="n">
        <v>1</v>
      </c>
      <c r="DW204" t="n">
        <v>466</v>
      </c>
      <c r="DX204" t="n">
        <v>13056</v>
      </c>
      <c r="DY204" t="n">
        <v>0</v>
      </c>
      <c r="DZ204" t="n">
        <v>0</v>
      </c>
      <c r="EA204" t="n">
        <v>0</v>
      </c>
      <c r="EB204" t="n">
        <v>0</v>
      </c>
      <c r="EC204" t="n">
        <v>0</v>
      </c>
      <c r="ED204" t="n">
        <v>0</v>
      </c>
      <c r="EE204" t="n">
        <v>0</v>
      </c>
      <c r="EF204" t="n">
        <v>0</v>
      </c>
      <c r="EG204" t="n">
        <v>0</v>
      </c>
      <c r="EH204" t="n">
        <v>0.1</v>
      </c>
      <c r="EI204" t="n">
        <v>0</v>
      </c>
      <c r="EJ204" t="n">
        <v>99</v>
      </c>
      <c r="EK204" t="n">
        <v>0.8</v>
      </c>
    </row>
    <row r="205">
      <c r="A205">
        <f>[1]ingredient!B204</f>
        <v/>
      </c>
      <c r="B205" t="inlineStr">
        <is>
          <t>https://www.naehrwertrechner.de/naehrwerte/H150000/Kokosnuss/?menge=100</t>
        </is>
      </c>
      <c r="C205" s="7">
        <f>_xlfn.XLOOKUP(A205,[1]ingredient!$B$2:$B$521,[1]ingredient!$A$2:$A$521)</f>
        <v/>
      </c>
      <c r="D205" t="n">
        <v>361</v>
      </c>
      <c r="E205" t="n">
        <v>37</v>
      </c>
      <c r="F205" t="n">
        <v>5</v>
      </c>
      <c r="G205" t="n">
        <v>5</v>
      </c>
      <c r="H205" t="n">
        <v>9</v>
      </c>
      <c r="I205" t="n">
        <v>5</v>
      </c>
      <c r="J205" t="n">
        <v>0.16</v>
      </c>
      <c r="K205" t="n">
        <v>44</v>
      </c>
      <c r="L205" t="n">
        <v>0</v>
      </c>
      <c r="M205" t="n">
        <v>0</v>
      </c>
      <c r="N205" t="n">
        <v>0</v>
      </c>
      <c r="O205" t="n">
        <v>0</v>
      </c>
      <c r="P205" t="n">
        <v>61</v>
      </c>
      <c r="Q205" t="n">
        <v>8</v>
      </c>
      <c r="R205" t="n">
        <v>380</v>
      </c>
      <c r="S205" t="n">
        <v>1080</v>
      </c>
      <c r="T205" t="n">
        <v>200</v>
      </c>
      <c r="U205" t="n">
        <v>60</v>
      </c>
      <c r="V205" t="n">
        <v>12</v>
      </c>
      <c r="W205" t="n">
        <v>30</v>
      </c>
      <c r="X205" t="n">
        <v>0</v>
      </c>
      <c r="Y205" t="n">
        <v>2000</v>
      </c>
      <c r="Z205" t="n">
        <v>0</v>
      </c>
      <c r="AA205" t="n">
        <v>700</v>
      </c>
      <c r="AB205" t="n">
        <v>0</v>
      </c>
      <c r="AC205" t="n">
        <v>35</v>
      </c>
      <c r="AD205" t="n">
        <v>379</v>
      </c>
      <c r="AE205" t="n">
        <v>20</v>
      </c>
      <c r="AF205" t="n">
        <v>39</v>
      </c>
      <c r="AG205" t="n">
        <v>94</v>
      </c>
      <c r="AH205" t="n">
        <v>44</v>
      </c>
      <c r="AI205" t="n">
        <v>122</v>
      </c>
      <c r="AJ205" t="n">
        <v>2250</v>
      </c>
      <c r="AK205" t="n">
        <v>785</v>
      </c>
      <c r="AL205" t="n">
        <v>0</v>
      </c>
      <c r="AM205" t="n">
        <v>1310</v>
      </c>
      <c r="AN205" t="n">
        <v>10</v>
      </c>
      <c r="AO205" t="n">
        <v>1</v>
      </c>
      <c r="AP205" t="n">
        <v>0</v>
      </c>
      <c r="AQ205" t="n">
        <v>0</v>
      </c>
      <c r="AR205" t="n">
        <v>0</v>
      </c>
      <c r="AS205" t="n">
        <v>0</v>
      </c>
      <c r="AT205" t="n">
        <v>143</v>
      </c>
      <c r="AU205" t="n">
        <v>0</v>
      </c>
      <c r="AV205" t="n">
        <v>0</v>
      </c>
      <c r="AW205" t="n">
        <v>143</v>
      </c>
      <c r="AX205" t="n">
        <v>4637</v>
      </c>
      <c r="AY205" t="n">
        <v>0</v>
      </c>
      <c r="AZ205" t="n">
        <v>0</v>
      </c>
      <c r="BA205" t="n">
        <v>4637</v>
      </c>
      <c r="BB205" t="n">
        <v>0</v>
      </c>
      <c r="BC205" t="n">
        <v>0</v>
      </c>
      <c r="BD205" t="n">
        <v>0</v>
      </c>
      <c r="BE205" t="n">
        <v>0</v>
      </c>
      <c r="BF205" t="n">
        <v>0</v>
      </c>
      <c r="BG205">
        <f>IF($F205=0,"0",MIN(
BH205/(30*$F205),
BI205/(61*$F205),
BJ205/(48*$F205),
(BK205+BL205)/(23*$F205),
(BM205+BN205)/(41*$F205),
BO205/(25*$F205),
BP205/(6.6*$F205),
BQ205/(40*$F205),
BS205/(16*$F205)
)*100)</f>
        <v/>
      </c>
      <c r="BH205" t="n">
        <v>214</v>
      </c>
      <c r="BI205" t="n">
        <v>332</v>
      </c>
      <c r="BJ205" t="n">
        <v>161</v>
      </c>
      <c r="BK205" t="n">
        <v>75</v>
      </c>
      <c r="BL205" t="n">
        <v>76</v>
      </c>
      <c r="BM205" t="n">
        <v>193</v>
      </c>
      <c r="BN205" t="n">
        <v>128</v>
      </c>
      <c r="BO205" t="n">
        <v>139</v>
      </c>
      <c r="BP205" t="n">
        <v>42</v>
      </c>
      <c r="BQ205" t="n">
        <v>235</v>
      </c>
      <c r="BR205" t="n">
        <v>524</v>
      </c>
      <c r="BS205" t="n">
        <v>76</v>
      </c>
      <c r="BT205" t="n">
        <v>2195</v>
      </c>
      <c r="BU205" t="n">
        <v>244</v>
      </c>
      <c r="BV205" t="n">
        <v>468</v>
      </c>
      <c r="BW205" t="n">
        <v>1035</v>
      </c>
      <c r="BX205" t="n">
        <v>233</v>
      </c>
      <c r="BY205" t="n">
        <v>194</v>
      </c>
      <c r="BZ205" t="n">
        <v>254</v>
      </c>
      <c r="CA205" t="n">
        <v>2428</v>
      </c>
      <c r="CB205" t="n">
        <v>0</v>
      </c>
      <c r="CC205" t="n">
        <v>0</v>
      </c>
      <c r="CD205" t="n">
        <v>0</v>
      </c>
      <c r="CE205" t="n">
        <v>669</v>
      </c>
      <c r="CG205" t="n">
        <v>0</v>
      </c>
      <c r="CH205" t="n">
        <v>237</v>
      </c>
      <c r="CI205" t="n">
        <v>2754</v>
      </c>
      <c r="CJ205" t="n">
        <v>2164</v>
      </c>
      <c r="CK205" t="n">
        <v>15935</v>
      </c>
      <c r="CL205" t="n">
        <v>6000</v>
      </c>
      <c r="CM205" t="n">
        <v>0</v>
      </c>
      <c r="CN205" t="n">
        <v>3049</v>
      </c>
      <c r="CO205" t="n">
        <v>0</v>
      </c>
      <c r="CP205" t="n">
        <v>1082</v>
      </c>
      <c r="CQ205" t="n">
        <v>334</v>
      </c>
      <c r="CR205" t="n">
        <v>0</v>
      </c>
      <c r="CS205" t="n">
        <v>0</v>
      </c>
      <c r="CT205" t="n">
        <v>31555</v>
      </c>
      <c r="CU205" t="n">
        <v>0</v>
      </c>
      <c r="CV205" t="n">
        <v>0</v>
      </c>
      <c r="CW205" t="n">
        <v>128</v>
      </c>
      <c r="CX205" t="n">
        <v>0</v>
      </c>
      <c r="CY205" t="n">
        <v>2065</v>
      </c>
      <c r="CZ205" t="n">
        <v>0</v>
      </c>
      <c r="DA205" t="n">
        <v>0</v>
      </c>
      <c r="DB205" t="n">
        <v>0</v>
      </c>
      <c r="DC205" t="n">
        <v>2193</v>
      </c>
      <c r="DD205" t="n">
        <v>0</v>
      </c>
      <c r="DE205" t="n">
        <v>0</v>
      </c>
      <c r="DF205" t="n">
        <v>669</v>
      </c>
      <c r="DG205" t="n">
        <v>0</v>
      </c>
      <c r="DH205" t="n">
        <v>0</v>
      </c>
      <c r="DI205" t="n">
        <v>0</v>
      </c>
      <c r="DJ205" t="n">
        <v>0</v>
      </c>
      <c r="DK205" t="n">
        <v>0</v>
      </c>
      <c r="DL205" t="n">
        <v>0</v>
      </c>
      <c r="DM205" t="n">
        <v>0</v>
      </c>
      <c r="DN205" t="n">
        <v>0</v>
      </c>
      <c r="DO205" t="n">
        <v>0</v>
      </c>
      <c r="DP205" t="n">
        <v>0</v>
      </c>
      <c r="DQ205" t="n">
        <v>0</v>
      </c>
      <c r="DR205" t="n">
        <v>0</v>
      </c>
      <c r="DS205" t="n">
        <v>669</v>
      </c>
      <c r="DT205" t="n">
        <v>29262</v>
      </c>
      <c r="DU205" t="n">
        <v>2082</v>
      </c>
      <c r="DV205" t="n">
        <v>0</v>
      </c>
      <c r="DW205" t="n">
        <v>237</v>
      </c>
      <c r="DX205" t="n">
        <v>4918</v>
      </c>
      <c r="DY205" t="n">
        <v>1350</v>
      </c>
      <c r="DZ205" t="n">
        <v>5940</v>
      </c>
      <c r="EA205" t="n">
        <v>180</v>
      </c>
      <c r="EB205" t="n">
        <v>1350</v>
      </c>
      <c r="EC205" t="n">
        <v>180</v>
      </c>
      <c r="ED205" t="n">
        <v>2100</v>
      </c>
      <c r="EE205" t="n">
        <v>6900</v>
      </c>
      <c r="EF205" t="n">
        <v>0</v>
      </c>
      <c r="EG205" t="n">
        <v>0</v>
      </c>
      <c r="EH205" t="n">
        <v>1.2</v>
      </c>
      <c r="EI205" t="n">
        <v>6.9</v>
      </c>
      <c r="EJ205" t="n">
        <v>36.5</v>
      </c>
      <c r="EK205" t="n">
        <v>4.6</v>
      </c>
    </row>
    <row r="206">
      <c r="A206">
        <f>[1]ingredient!B205</f>
        <v/>
      </c>
      <c r="B206" t="inlineStr">
        <is>
          <t>https://www.naehrwertrechner.de/naehrwerte/H150400/Kokosnuss+Raspeln+getrocknet/?menge=100</t>
        </is>
      </c>
      <c r="C206" s="7">
        <f>_xlfn.XLOOKUP(A206,[1]ingredient!$B$2:$B$521,[1]ingredient!$A$2:$A$521)</f>
        <v/>
      </c>
      <c r="D206" t="n">
        <v>639</v>
      </c>
      <c r="E206" t="n">
        <v>65</v>
      </c>
      <c r="F206" t="n">
        <v>7</v>
      </c>
      <c r="G206" t="n">
        <v>8</v>
      </c>
      <c r="H206" t="n">
        <v>15</v>
      </c>
      <c r="I206" t="n">
        <v>7</v>
      </c>
      <c r="J206" t="n">
        <v>0.26</v>
      </c>
      <c r="K206" t="n">
        <v>2</v>
      </c>
      <c r="L206" t="n">
        <v>0</v>
      </c>
      <c r="M206" t="n">
        <v>0</v>
      </c>
      <c r="N206" t="n">
        <v>0</v>
      </c>
      <c r="O206" t="n">
        <v>0</v>
      </c>
      <c r="P206" t="n">
        <v>40</v>
      </c>
      <c r="Q206" t="n">
        <v>0</v>
      </c>
      <c r="R206" t="n">
        <v>900</v>
      </c>
      <c r="S206" t="n">
        <v>1733</v>
      </c>
      <c r="T206" t="n">
        <v>0</v>
      </c>
      <c r="U206" t="n">
        <v>110</v>
      </c>
      <c r="V206" t="n">
        <v>10</v>
      </c>
      <c r="W206" t="n">
        <v>11</v>
      </c>
      <c r="X206" t="n">
        <v>0</v>
      </c>
      <c r="Y206" t="n">
        <v>0</v>
      </c>
      <c r="Z206" t="n">
        <v>0</v>
      </c>
      <c r="AA206" t="n">
        <v>0</v>
      </c>
      <c r="AB206" t="n">
        <v>0</v>
      </c>
      <c r="AC206" t="n">
        <v>20</v>
      </c>
      <c r="AD206" t="n">
        <v>912</v>
      </c>
      <c r="AE206" t="n">
        <v>13</v>
      </c>
      <c r="AF206" t="n">
        <v>116</v>
      </c>
      <c r="AG206" t="n">
        <v>194</v>
      </c>
      <c r="AH206" t="n">
        <v>0</v>
      </c>
      <c r="AI206" t="n">
        <v>238</v>
      </c>
      <c r="AJ206" t="n">
        <v>2990</v>
      </c>
      <c r="AK206" t="n">
        <v>1460</v>
      </c>
      <c r="AL206" t="n">
        <v>795</v>
      </c>
      <c r="AM206" t="n">
        <v>2130</v>
      </c>
      <c r="AN206" t="n">
        <v>0</v>
      </c>
      <c r="AO206" t="n">
        <v>6</v>
      </c>
      <c r="AP206" t="n">
        <v>0</v>
      </c>
      <c r="AQ206" t="n">
        <v>680</v>
      </c>
      <c r="AR206" t="n">
        <v>0</v>
      </c>
      <c r="AS206" t="n">
        <v>680</v>
      </c>
      <c r="AT206" t="n">
        <v>0</v>
      </c>
      <c r="AU206" t="n">
        <v>0</v>
      </c>
      <c r="AV206" t="n">
        <v>0</v>
      </c>
      <c r="AW206" t="n">
        <v>0</v>
      </c>
      <c r="AX206" t="n">
        <v>6570</v>
      </c>
      <c r="AY206" t="n">
        <v>0</v>
      </c>
      <c r="AZ206" t="n">
        <v>0</v>
      </c>
      <c r="BA206" t="n">
        <v>6570</v>
      </c>
      <c r="BB206" t="n">
        <v>0</v>
      </c>
      <c r="BC206" t="n">
        <v>0</v>
      </c>
      <c r="BD206" t="n">
        <v>0</v>
      </c>
      <c r="BE206" t="n">
        <v>0</v>
      </c>
      <c r="BF206" t="n">
        <v>0</v>
      </c>
      <c r="BG206">
        <f>IF($F206=0,"0",MIN(
BH206/(30*$F206),
BI206/(61*$F206),
BJ206/(48*$F206),
(BK206+BL206)/(23*$F206),
(BM206+BN206)/(41*$F206),
BO206/(25*$F206),
BP206/(6.6*$F206),
BQ206/(40*$F206),
BS206/(16*$F206)
)*100)</f>
        <v/>
      </c>
      <c r="BH206" t="n">
        <v>230</v>
      </c>
      <c r="BI206" t="n">
        <v>440</v>
      </c>
      <c r="BJ206" t="n">
        <v>300</v>
      </c>
      <c r="BK206" t="n">
        <v>110</v>
      </c>
      <c r="BL206" t="n">
        <v>130</v>
      </c>
      <c r="BM206" t="n">
        <v>300</v>
      </c>
      <c r="BN206" t="n">
        <v>190</v>
      </c>
      <c r="BO206" t="n">
        <v>230</v>
      </c>
      <c r="BP206" t="n">
        <v>50</v>
      </c>
      <c r="BQ206" t="n">
        <v>380</v>
      </c>
      <c r="BR206" t="n">
        <v>1040</v>
      </c>
      <c r="BS206" t="n">
        <v>160</v>
      </c>
      <c r="BT206" t="n">
        <v>3560</v>
      </c>
      <c r="BU206" t="n">
        <v>350</v>
      </c>
      <c r="BV206" t="n">
        <v>590</v>
      </c>
      <c r="BW206" t="n">
        <v>1470</v>
      </c>
      <c r="BX206" t="n">
        <v>320</v>
      </c>
      <c r="BY206" t="n">
        <v>260</v>
      </c>
      <c r="BZ206" t="n">
        <v>340</v>
      </c>
      <c r="CA206" t="n">
        <v>3330</v>
      </c>
      <c r="CB206" t="n">
        <v>0</v>
      </c>
      <c r="CC206" t="n">
        <v>0</v>
      </c>
      <c r="CD206" t="n">
        <v>7</v>
      </c>
      <c r="CE206" t="n">
        <v>456</v>
      </c>
      <c r="CF206" t="n">
        <v>65.14</v>
      </c>
      <c r="CG206" t="n">
        <v>13</v>
      </c>
      <c r="CH206" t="n">
        <v>560</v>
      </c>
      <c r="CI206" t="n">
        <v>6119</v>
      </c>
      <c r="CJ206" t="n">
        <v>4392</v>
      </c>
      <c r="CK206" t="n">
        <v>31990</v>
      </c>
      <c r="CL206" t="n">
        <v>11700</v>
      </c>
      <c r="CM206" t="n">
        <v>7</v>
      </c>
      <c r="CN206" t="n">
        <v>4913</v>
      </c>
      <c r="CO206" t="n">
        <v>7</v>
      </c>
      <c r="CP206" t="n">
        <v>1870</v>
      </c>
      <c r="CQ206" t="n">
        <v>46</v>
      </c>
      <c r="CR206" t="n">
        <v>7</v>
      </c>
      <c r="CS206" t="n">
        <v>13</v>
      </c>
      <c r="CT206" t="n">
        <v>61637</v>
      </c>
      <c r="CU206" t="n">
        <v>0</v>
      </c>
      <c r="CV206" t="n">
        <v>0</v>
      </c>
      <c r="CW206" t="n">
        <v>7</v>
      </c>
      <c r="CX206" t="n">
        <v>0</v>
      </c>
      <c r="CY206" t="n">
        <v>2932</v>
      </c>
      <c r="CZ206" t="n">
        <v>13</v>
      </c>
      <c r="DA206" t="n">
        <v>0</v>
      </c>
      <c r="DB206" t="n">
        <v>0</v>
      </c>
      <c r="DC206" t="n">
        <v>2952</v>
      </c>
      <c r="DD206" t="n">
        <v>0</v>
      </c>
      <c r="DE206" t="n">
        <v>0</v>
      </c>
      <c r="DF206" t="n">
        <v>456</v>
      </c>
      <c r="DG206" t="n">
        <v>0</v>
      </c>
      <c r="DH206" t="n">
        <v>0</v>
      </c>
      <c r="DI206" t="n">
        <v>0</v>
      </c>
      <c r="DJ206" t="n">
        <v>0</v>
      </c>
      <c r="DK206" t="n">
        <v>0</v>
      </c>
      <c r="DL206" t="n">
        <v>0</v>
      </c>
      <c r="DM206" t="n">
        <v>7</v>
      </c>
      <c r="DN206" t="n">
        <v>0</v>
      </c>
      <c r="DO206" t="n">
        <v>0</v>
      </c>
      <c r="DP206" t="n">
        <v>0</v>
      </c>
      <c r="DQ206" t="n">
        <v>0</v>
      </c>
      <c r="DR206" t="n">
        <v>0</v>
      </c>
      <c r="DS206" t="n">
        <v>463</v>
      </c>
      <c r="DT206" t="n">
        <v>53968</v>
      </c>
      <c r="DU206" t="n">
        <v>0</v>
      </c>
      <c r="DV206" t="n">
        <v>0</v>
      </c>
      <c r="DW206" t="n">
        <v>573</v>
      </c>
      <c r="DX206" t="n">
        <v>10511</v>
      </c>
      <c r="DY206" t="n">
        <v>0</v>
      </c>
      <c r="DZ206" t="n">
        <v>0</v>
      </c>
      <c r="EA206" t="n">
        <v>0</v>
      </c>
      <c r="EB206" t="n">
        <v>0</v>
      </c>
      <c r="EC206" t="n">
        <v>0</v>
      </c>
      <c r="ED206" t="n">
        <v>0</v>
      </c>
      <c r="EE206" t="n">
        <v>14800</v>
      </c>
      <c r="EF206" t="n">
        <v>0</v>
      </c>
      <c r="EG206" t="n">
        <v>0</v>
      </c>
      <c r="EH206" t="n">
        <v>2</v>
      </c>
      <c r="EI206" t="n">
        <v>14.8</v>
      </c>
      <c r="EJ206" t="n">
        <v>65.2</v>
      </c>
      <c r="EK206" t="n">
        <v>6.9</v>
      </c>
    </row>
    <row r="207">
      <c r="A207">
        <f>[1]ingredient!B206</f>
        <v/>
      </c>
      <c r="B207" t="inlineStr">
        <is>
          <t>https://www.naehrwertrechner.de/naehrwerte/G002411/Braunalge+getrocknet/?menge=100</t>
        </is>
      </c>
      <c r="C207" s="7">
        <f>_xlfn.XLOOKUP(A207,[1]ingredient!$B$2:$B$521,[1]ingredient!$A$2:$A$521)</f>
        <v/>
      </c>
      <c r="D207" t="n">
        <v>301</v>
      </c>
      <c r="E207" t="n">
        <v>4</v>
      </c>
      <c r="F207" t="n">
        <v>11</v>
      </c>
      <c r="G207" t="n">
        <v>53</v>
      </c>
      <c r="H207" t="n">
        <v>9</v>
      </c>
      <c r="I207" t="n">
        <v>53</v>
      </c>
      <c r="J207" t="n">
        <v>1</v>
      </c>
      <c r="K207" t="n">
        <v>15</v>
      </c>
      <c r="L207" t="n">
        <v>451</v>
      </c>
      <c r="M207" t="n">
        <v>226</v>
      </c>
      <c r="N207" t="n">
        <v>0</v>
      </c>
      <c r="O207" t="n">
        <v>2708</v>
      </c>
      <c r="P207" t="n">
        <v>293</v>
      </c>
      <c r="Q207" t="n">
        <v>973</v>
      </c>
      <c r="R207" t="n">
        <v>3055</v>
      </c>
      <c r="S207" t="n">
        <v>6338</v>
      </c>
      <c r="T207" t="n">
        <v>1109</v>
      </c>
      <c r="U207" t="n">
        <v>646</v>
      </c>
      <c r="V207" t="n">
        <v>0</v>
      </c>
      <c r="W207" t="n">
        <v>1231</v>
      </c>
      <c r="X207" t="n">
        <v>7</v>
      </c>
      <c r="Y207" t="n">
        <v>75217</v>
      </c>
      <c r="Z207" t="n">
        <v>0</v>
      </c>
      <c r="AA207" t="n">
        <v>5354</v>
      </c>
      <c r="AB207" t="n">
        <v>2055</v>
      </c>
      <c r="AC207" t="n">
        <v>1354</v>
      </c>
      <c r="AD207" t="n">
        <v>517</v>
      </c>
      <c r="AE207" t="n">
        <v>1034</v>
      </c>
      <c r="AF207" t="n">
        <v>742</v>
      </c>
      <c r="AG207" t="n">
        <v>259</v>
      </c>
      <c r="AH207" t="n">
        <v>306</v>
      </c>
      <c r="AI207" t="n">
        <v>75</v>
      </c>
      <c r="AJ207" t="n">
        <v>16566</v>
      </c>
      <c r="AK207" t="n">
        <v>7572</v>
      </c>
      <c r="AL207" t="n">
        <v>803</v>
      </c>
      <c r="AM207" t="n">
        <v>1231</v>
      </c>
      <c r="AN207" t="n">
        <v>612</v>
      </c>
      <c r="AO207" t="n">
        <v>308</v>
      </c>
      <c r="AP207" t="n">
        <v>0</v>
      </c>
      <c r="AQ207" t="n">
        <v>0</v>
      </c>
      <c r="AR207" t="n">
        <v>0</v>
      </c>
      <c r="AS207" t="n">
        <v>0</v>
      </c>
      <c r="AT207" t="n">
        <v>21308</v>
      </c>
      <c r="AU207" t="n">
        <v>21308</v>
      </c>
      <c r="AV207" t="n">
        <v>0</v>
      </c>
      <c r="AW207" t="n">
        <v>42616</v>
      </c>
      <c r="AX207" t="n">
        <v>10123</v>
      </c>
      <c r="AY207" t="n">
        <v>0</v>
      </c>
      <c r="AZ207" t="n">
        <v>0</v>
      </c>
      <c r="BA207" t="n">
        <v>10123</v>
      </c>
      <c r="BB207" t="n">
        <v>0</v>
      </c>
      <c r="BC207" t="n">
        <v>0</v>
      </c>
      <c r="BD207" t="n">
        <v>0</v>
      </c>
      <c r="BE207" t="n">
        <v>531</v>
      </c>
      <c r="BF207" t="n">
        <v>531</v>
      </c>
      <c r="BG207">
        <f>IF($F207=0,"0",MIN(
BH207/(30*$F207),
BI207/(61*$F207),
BJ207/(48*$F207),
(BK207+BL207)/(23*$F207),
(BM207+BN207)/(41*$F207),
BO207/(25*$F207),
BP207/(6.6*$F207),
BQ207/(40*$F207),
BS207/(16*$F207)
)*100)</f>
        <v/>
      </c>
      <c r="BH207" t="n">
        <v>408</v>
      </c>
      <c r="BI207" t="n">
        <v>680</v>
      </c>
      <c r="BJ207" t="n">
        <v>320</v>
      </c>
      <c r="BK207" t="n">
        <v>197</v>
      </c>
      <c r="BL207" t="n">
        <v>184</v>
      </c>
      <c r="BM207" t="n">
        <v>503</v>
      </c>
      <c r="BN207" t="n">
        <v>408</v>
      </c>
      <c r="BO207" t="n">
        <v>320</v>
      </c>
      <c r="BP207" t="n">
        <v>197</v>
      </c>
      <c r="BQ207" t="n">
        <v>898</v>
      </c>
      <c r="BR207" t="n">
        <v>408</v>
      </c>
      <c r="BS207" t="n">
        <v>82</v>
      </c>
      <c r="BT207" t="n">
        <v>4605</v>
      </c>
      <c r="BU207" t="n">
        <v>782</v>
      </c>
      <c r="BV207" t="n">
        <v>1381</v>
      </c>
      <c r="BW207" t="n">
        <v>2791</v>
      </c>
      <c r="BX207" t="n">
        <v>456</v>
      </c>
      <c r="BY207" t="n">
        <v>592</v>
      </c>
      <c r="BZ207" t="n">
        <v>367</v>
      </c>
      <c r="CA207" t="n">
        <v>6369</v>
      </c>
      <c r="CB207" t="n">
        <v>102</v>
      </c>
      <c r="CC207" t="n">
        <v>43</v>
      </c>
      <c r="CD207" t="n">
        <v>102</v>
      </c>
      <c r="CE207" t="n">
        <v>218</v>
      </c>
      <c r="CF207" t="n">
        <v>2.14</v>
      </c>
      <c r="CG207" t="n">
        <v>0</v>
      </c>
      <c r="CH207" t="n">
        <v>0</v>
      </c>
      <c r="CI207" t="n">
        <v>0</v>
      </c>
      <c r="CJ207" t="n">
        <v>0</v>
      </c>
      <c r="CK207" t="n">
        <v>0</v>
      </c>
      <c r="CL207" t="n">
        <v>211</v>
      </c>
      <c r="CM207" t="n">
        <v>0</v>
      </c>
      <c r="CN207" t="n">
        <v>897</v>
      </c>
      <c r="CO207" t="n">
        <v>0</v>
      </c>
      <c r="CP207" t="n">
        <v>585</v>
      </c>
      <c r="CQ207" t="n">
        <v>0</v>
      </c>
      <c r="CR207" t="n">
        <v>0</v>
      </c>
      <c r="CS207" t="n">
        <v>0</v>
      </c>
      <c r="CT207" t="n">
        <v>1693</v>
      </c>
      <c r="CU207" t="n">
        <v>0</v>
      </c>
      <c r="CV207" t="n">
        <v>0</v>
      </c>
      <c r="CW207" t="n">
        <v>82</v>
      </c>
      <c r="CX207" t="n">
        <v>0</v>
      </c>
      <c r="CY207" t="n">
        <v>585</v>
      </c>
      <c r="CZ207" t="n">
        <v>0</v>
      </c>
      <c r="DA207" t="n">
        <v>0</v>
      </c>
      <c r="DB207" t="n">
        <v>0</v>
      </c>
      <c r="DC207" t="n">
        <v>667</v>
      </c>
      <c r="DD207" t="n">
        <v>0</v>
      </c>
      <c r="DE207" t="n">
        <v>0</v>
      </c>
      <c r="DF207" t="n">
        <v>136</v>
      </c>
      <c r="DG207" t="n">
        <v>27</v>
      </c>
      <c r="DH207" t="n">
        <v>27</v>
      </c>
      <c r="DI207" t="n">
        <v>0</v>
      </c>
      <c r="DJ207" t="n">
        <v>0</v>
      </c>
      <c r="DK207" t="n">
        <v>0</v>
      </c>
      <c r="DL207" t="n">
        <v>82</v>
      </c>
      <c r="DM207" t="n">
        <v>48</v>
      </c>
      <c r="DN207" t="n">
        <v>0</v>
      </c>
      <c r="DO207" t="n">
        <v>0</v>
      </c>
      <c r="DP207" t="n">
        <v>0</v>
      </c>
      <c r="DQ207" t="n">
        <v>0</v>
      </c>
      <c r="DR207" t="n">
        <v>0</v>
      </c>
      <c r="DS207" t="n">
        <v>320</v>
      </c>
      <c r="DT207" t="n">
        <v>2680</v>
      </c>
      <c r="DU207" t="n">
        <v>1150</v>
      </c>
      <c r="DV207" t="n">
        <v>0</v>
      </c>
      <c r="DW207" t="n">
        <v>0</v>
      </c>
      <c r="DX207" t="n">
        <v>0</v>
      </c>
      <c r="DY207" t="n">
        <v>1333</v>
      </c>
      <c r="DZ207" t="n">
        <v>1776</v>
      </c>
      <c r="EA207" t="n">
        <v>2402</v>
      </c>
      <c r="EB207" t="n">
        <v>3116</v>
      </c>
      <c r="EC207" t="n">
        <v>265</v>
      </c>
      <c r="ED207" t="n">
        <v>2667</v>
      </c>
      <c r="EE207" t="n">
        <v>6225</v>
      </c>
      <c r="EF207" t="n">
        <v>0</v>
      </c>
      <c r="EG207" t="n">
        <v>1</v>
      </c>
      <c r="EH207" t="n">
        <v>6.2</v>
      </c>
      <c r="EI207" t="n">
        <v>6.2</v>
      </c>
      <c r="EJ207" t="n">
        <v>3.8</v>
      </c>
      <c r="EK207" t="n">
        <v>11.3</v>
      </c>
    </row>
    <row r="208">
      <c r="A208">
        <f>[1]ingredient!B207</f>
        <v/>
      </c>
      <c r="B208" t="inlineStr">
        <is>
          <t>https://www.naehrwertrechner.de/naehrwerte/G105111/Kopfsalat+frisch/?menge=100</t>
        </is>
      </c>
      <c r="C208" s="7">
        <f>_xlfn.XLOOKUP(A208,[1]ingredient!$B$2:$B$521,[1]ingredient!$A$2:$A$521)</f>
        <v/>
      </c>
      <c r="D208" t="n">
        <v>12</v>
      </c>
      <c r="E208" t="n">
        <v>0.22</v>
      </c>
      <c r="F208" t="n">
        <v>1</v>
      </c>
      <c r="G208" t="n">
        <v>1</v>
      </c>
      <c r="H208" t="n">
        <v>2</v>
      </c>
      <c r="I208" t="n">
        <v>1</v>
      </c>
      <c r="J208" t="n">
        <v>0.07000000000000001</v>
      </c>
      <c r="K208" t="n">
        <v>95</v>
      </c>
      <c r="L208" t="n">
        <v>240</v>
      </c>
      <c r="M208" t="n">
        <v>120</v>
      </c>
      <c r="N208" t="n">
        <v>0</v>
      </c>
      <c r="O208" t="n">
        <v>1437</v>
      </c>
      <c r="P208" t="n">
        <v>62</v>
      </c>
      <c r="Q208" t="n">
        <v>80</v>
      </c>
      <c r="R208" t="n">
        <v>400</v>
      </c>
      <c r="S208" t="n">
        <v>633</v>
      </c>
      <c r="T208" t="n">
        <v>110</v>
      </c>
      <c r="U208" t="n">
        <v>55</v>
      </c>
      <c r="V208" t="n">
        <v>2</v>
      </c>
      <c r="W208" t="n">
        <v>37</v>
      </c>
      <c r="X208" t="n">
        <v>0</v>
      </c>
      <c r="Y208" t="n">
        <v>13000</v>
      </c>
      <c r="Z208" t="n">
        <v>0</v>
      </c>
      <c r="AA208" t="n">
        <v>601</v>
      </c>
      <c r="AB208" t="n">
        <v>133</v>
      </c>
      <c r="AC208" t="n">
        <v>10</v>
      </c>
      <c r="AD208" t="n">
        <v>224</v>
      </c>
      <c r="AE208" t="n">
        <v>37</v>
      </c>
      <c r="AF208" t="n">
        <v>11</v>
      </c>
      <c r="AG208" t="n">
        <v>33</v>
      </c>
      <c r="AH208" t="n">
        <v>16</v>
      </c>
      <c r="AI208" t="n">
        <v>57</v>
      </c>
      <c r="AJ208" t="n">
        <v>1000</v>
      </c>
      <c r="AK208" t="n">
        <v>372</v>
      </c>
      <c r="AL208" t="n">
        <v>49</v>
      </c>
      <c r="AM208" t="n">
        <v>176</v>
      </c>
      <c r="AN208" t="n">
        <v>32</v>
      </c>
      <c r="AO208" t="n">
        <v>3</v>
      </c>
      <c r="AP208" t="n">
        <v>0</v>
      </c>
      <c r="AQ208" t="n">
        <v>0</v>
      </c>
      <c r="AR208" t="n">
        <v>0</v>
      </c>
      <c r="AS208" t="n">
        <v>0</v>
      </c>
      <c r="AT208" t="n">
        <v>424</v>
      </c>
      <c r="AU208" t="n">
        <v>530</v>
      </c>
      <c r="AV208" t="n">
        <v>0</v>
      </c>
      <c r="AW208" t="n">
        <v>954</v>
      </c>
      <c r="AX208" t="n">
        <v>95</v>
      </c>
      <c r="AY208" t="n">
        <v>0</v>
      </c>
      <c r="AZ208" t="n">
        <v>0</v>
      </c>
      <c r="BA208" t="n">
        <v>95</v>
      </c>
      <c r="BB208" t="n">
        <v>0</v>
      </c>
      <c r="BC208" t="n">
        <v>0</v>
      </c>
      <c r="BD208" t="n">
        <v>0</v>
      </c>
      <c r="BE208" t="n">
        <v>11</v>
      </c>
      <c r="BF208" t="n">
        <v>11</v>
      </c>
      <c r="BG208">
        <f>IF($F208=0,"0",MIN(
BH208/(30*$F208),
BI208/(61*$F208),
BJ208/(48*$F208),
(BK208+BL208)/(23*$F208),
(BM208+BN208)/(41*$F208),
BO208/(25*$F208),
BP208/(6.6*$F208),
BQ208/(40*$F208),
BS208/(16*$F208)
)*100)</f>
        <v/>
      </c>
      <c r="BH208" t="n">
        <v>81</v>
      </c>
      <c r="BI208" t="n">
        <v>82</v>
      </c>
      <c r="BJ208" t="n">
        <v>63</v>
      </c>
      <c r="BK208" t="n">
        <v>15</v>
      </c>
      <c r="BL208" t="n">
        <v>9</v>
      </c>
      <c r="BM208" t="n">
        <v>56</v>
      </c>
      <c r="BN208" t="n">
        <v>35</v>
      </c>
      <c r="BO208" t="n">
        <v>48</v>
      </c>
      <c r="BP208" t="n">
        <v>14</v>
      </c>
      <c r="BQ208" t="n">
        <v>63</v>
      </c>
      <c r="BR208" t="n">
        <v>60</v>
      </c>
      <c r="BS208" t="n">
        <v>20</v>
      </c>
      <c r="BT208" t="n">
        <v>546</v>
      </c>
      <c r="BU208" t="n">
        <v>54</v>
      </c>
      <c r="BV208" t="n">
        <v>138</v>
      </c>
      <c r="BW208" t="n">
        <v>153</v>
      </c>
      <c r="BX208" t="n">
        <v>50</v>
      </c>
      <c r="BY208" t="n">
        <v>65</v>
      </c>
      <c r="BZ208" t="n">
        <v>44</v>
      </c>
      <c r="CA208" t="n">
        <v>504</v>
      </c>
      <c r="CB208" t="n">
        <v>10</v>
      </c>
      <c r="CC208" t="n">
        <v>4</v>
      </c>
      <c r="CD208" t="n">
        <v>94</v>
      </c>
      <c r="CE208" t="n">
        <v>39</v>
      </c>
      <c r="CF208" t="n">
        <v>0.41</v>
      </c>
      <c r="CG208" t="n">
        <v>0</v>
      </c>
      <c r="CH208" t="n">
        <v>0</v>
      </c>
      <c r="CI208" t="n">
        <v>0</v>
      </c>
      <c r="CJ208" t="n">
        <v>0</v>
      </c>
      <c r="CK208" t="n">
        <v>0</v>
      </c>
      <c r="CL208" t="n">
        <v>0</v>
      </c>
      <c r="CM208" t="n">
        <v>0</v>
      </c>
      <c r="CN208" t="n">
        <v>30</v>
      </c>
      <c r="CO208" t="n">
        <v>0</v>
      </c>
      <c r="CP208" t="n">
        <v>4</v>
      </c>
      <c r="CQ208" t="n">
        <v>0</v>
      </c>
      <c r="CR208" t="n">
        <v>0</v>
      </c>
      <c r="CS208" t="n">
        <v>0</v>
      </c>
      <c r="CT208" t="n">
        <v>34</v>
      </c>
      <c r="CU208" t="n">
        <v>0</v>
      </c>
      <c r="CV208" t="n">
        <v>0</v>
      </c>
      <c r="CW208" t="n">
        <v>2</v>
      </c>
      <c r="CX208" t="n">
        <v>0</v>
      </c>
      <c r="CY208" t="n">
        <v>7</v>
      </c>
      <c r="CZ208" t="n">
        <v>0</v>
      </c>
      <c r="DA208" t="n">
        <v>0</v>
      </c>
      <c r="DB208" t="n">
        <v>0</v>
      </c>
      <c r="DC208" t="n">
        <v>9</v>
      </c>
      <c r="DD208" t="n">
        <v>0</v>
      </c>
      <c r="DE208" t="n">
        <v>0</v>
      </c>
      <c r="DF208" t="n">
        <v>39</v>
      </c>
      <c r="DG208" t="n">
        <v>94</v>
      </c>
      <c r="DH208" t="n">
        <v>0</v>
      </c>
      <c r="DI208" t="n">
        <v>0</v>
      </c>
      <c r="DJ208" t="n">
        <v>0</v>
      </c>
      <c r="DK208" t="n">
        <v>0</v>
      </c>
      <c r="DL208" t="n">
        <v>0</v>
      </c>
      <c r="DM208" t="n">
        <v>0</v>
      </c>
      <c r="DN208" t="n">
        <v>0</v>
      </c>
      <c r="DO208" t="n">
        <v>0</v>
      </c>
      <c r="DP208" t="n">
        <v>0</v>
      </c>
      <c r="DQ208" t="n">
        <v>0</v>
      </c>
      <c r="DR208" t="n">
        <v>0</v>
      </c>
      <c r="DS208" t="n">
        <v>133</v>
      </c>
      <c r="DT208" t="n">
        <v>176</v>
      </c>
      <c r="DU208" t="n">
        <v>44</v>
      </c>
      <c r="DV208" t="n">
        <v>0</v>
      </c>
      <c r="DW208" t="n">
        <v>0</v>
      </c>
      <c r="DX208" t="n">
        <v>0</v>
      </c>
      <c r="DY208" t="n">
        <v>192</v>
      </c>
      <c r="DZ208" t="n">
        <v>160</v>
      </c>
      <c r="EA208" t="n">
        <v>432</v>
      </c>
      <c r="EB208" t="n">
        <v>800</v>
      </c>
      <c r="EC208" t="n">
        <v>16</v>
      </c>
      <c r="ED208" t="n">
        <v>240</v>
      </c>
      <c r="EE208" t="n">
        <v>1360</v>
      </c>
      <c r="EF208" t="n">
        <v>0</v>
      </c>
      <c r="EG208" t="n">
        <v>0.13</v>
      </c>
      <c r="EH208" t="n">
        <v>0.7</v>
      </c>
      <c r="EI208" t="n">
        <v>1.4</v>
      </c>
      <c r="EJ208" t="n">
        <v>0.2</v>
      </c>
      <c r="EK208" t="n">
        <v>1.1</v>
      </c>
    </row>
    <row r="209">
      <c r="A209">
        <f>[1]ingredient!B208</f>
        <v/>
      </c>
      <c r="B209" t="inlineStr">
        <is>
          <t>https://www.naehrwertrechner.de/naehrwerte/R255111/Koriander+frisch/?menge=100</t>
        </is>
      </c>
      <c r="C209" s="7">
        <f>_xlfn.XLOOKUP(A209,[1]ingredient!$B$2:$B$521,[1]ingredient!$A$2:$A$521)</f>
        <v/>
      </c>
      <c r="D209" t="n">
        <v>23</v>
      </c>
      <c r="E209" t="n">
        <v>1</v>
      </c>
      <c r="F209" t="n">
        <v>2</v>
      </c>
      <c r="G209" t="n">
        <v>1</v>
      </c>
      <c r="H209" t="n">
        <v>3</v>
      </c>
      <c r="I209" t="n">
        <v>1</v>
      </c>
      <c r="J209" t="n">
        <v>0.2</v>
      </c>
      <c r="K209" t="n">
        <v>92</v>
      </c>
      <c r="L209" t="n">
        <v>700</v>
      </c>
      <c r="M209" t="n">
        <v>325</v>
      </c>
      <c r="N209" t="n">
        <v>0</v>
      </c>
      <c r="O209" t="n">
        <v>3900</v>
      </c>
      <c r="P209" t="n">
        <v>100</v>
      </c>
      <c r="Q209" t="n">
        <v>200</v>
      </c>
      <c r="R209" t="n">
        <v>1100</v>
      </c>
      <c r="S209" t="n">
        <v>1900</v>
      </c>
      <c r="T209" t="n">
        <v>600</v>
      </c>
      <c r="U209" t="n">
        <v>100</v>
      </c>
      <c r="V209" t="n">
        <v>0</v>
      </c>
      <c r="W209" t="n">
        <v>62</v>
      </c>
      <c r="X209" t="n">
        <v>0</v>
      </c>
      <c r="Y209" t="n">
        <v>27000</v>
      </c>
      <c r="Z209" t="n">
        <v>0</v>
      </c>
      <c r="AA209" t="n">
        <v>0</v>
      </c>
      <c r="AB209" t="n">
        <v>0</v>
      </c>
      <c r="AC209" t="n">
        <v>46</v>
      </c>
      <c r="AD209" t="n">
        <v>521</v>
      </c>
      <c r="AE209" t="n">
        <v>67</v>
      </c>
      <c r="AF209" t="n">
        <v>26</v>
      </c>
      <c r="AG209" t="n">
        <v>48</v>
      </c>
      <c r="AH209" t="n">
        <v>190</v>
      </c>
      <c r="AI209" t="n">
        <v>156</v>
      </c>
      <c r="AJ209" t="n">
        <v>1800</v>
      </c>
      <c r="AK209" t="n">
        <v>500</v>
      </c>
      <c r="AL209" t="n">
        <v>200</v>
      </c>
      <c r="AM209" t="n">
        <v>400</v>
      </c>
      <c r="AN209" t="n">
        <v>100</v>
      </c>
      <c r="AO209" t="n">
        <v>3</v>
      </c>
      <c r="AP209" t="n">
        <v>0</v>
      </c>
      <c r="AQ209" t="n">
        <v>0</v>
      </c>
      <c r="AR209" t="n">
        <v>0</v>
      </c>
      <c r="AS209" t="n">
        <v>0</v>
      </c>
      <c r="AT209" t="n">
        <v>543</v>
      </c>
      <c r="AU209" t="n">
        <v>328</v>
      </c>
      <c r="AV209" t="n">
        <v>0</v>
      </c>
      <c r="AW209" t="n">
        <v>870</v>
      </c>
      <c r="AX209" t="n">
        <v>0</v>
      </c>
      <c r="AY209" t="n">
        <v>0</v>
      </c>
      <c r="AZ209" t="n">
        <v>0</v>
      </c>
      <c r="BA209" t="n">
        <v>0</v>
      </c>
      <c r="BB209" t="n">
        <v>0</v>
      </c>
      <c r="BC209" t="n">
        <v>0</v>
      </c>
      <c r="BD209" t="n">
        <v>0</v>
      </c>
      <c r="BE209" t="n">
        <v>0</v>
      </c>
      <c r="BF209" t="n">
        <v>0</v>
      </c>
      <c r="BG209">
        <f>IF($F209=0,"0",MIN(
BH209/(30*$F209),
BI209/(61*$F209),
BJ209/(48*$F209),
(BK209+BL209)/(23*$F209),
(BM209+BN209)/(41*$F209),
BO209/(25*$F209),
BP209/(6.6*$F209),
BQ209/(40*$F209),
BS209/(16*$F209)
)*100)</f>
        <v/>
      </c>
      <c r="BH209" t="n">
        <v>112</v>
      </c>
      <c r="BI209" t="n">
        <v>156</v>
      </c>
      <c r="BJ209" t="n">
        <v>146</v>
      </c>
      <c r="BK209" t="n">
        <v>11</v>
      </c>
      <c r="BL209" t="n">
        <v>11</v>
      </c>
      <c r="BM209" t="n">
        <v>127</v>
      </c>
      <c r="BN209" t="n">
        <v>65</v>
      </c>
      <c r="BO209" t="n">
        <v>97</v>
      </c>
      <c r="BP209" t="n">
        <v>46</v>
      </c>
      <c r="BQ209" t="n">
        <v>156</v>
      </c>
      <c r="BR209" t="n">
        <v>89</v>
      </c>
      <c r="BS209" t="n">
        <v>52</v>
      </c>
      <c r="BT209" t="n">
        <v>1067</v>
      </c>
      <c r="BU209" t="n">
        <v>164</v>
      </c>
      <c r="BV209" t="n">
        <v>253</v>
      </c>
      <c r="BW209" t="n">
        <v>208</v>
      </c>
      <c r="BX209" t="n">
        <v>112</v>
      </c>
      <c r="BY209" t="n">
        <v>223</v>
      </c>
      <c r="BZ209" t="n">
        <v>104</v>
      </c>
      <c r="CA209" t="n">
        <v>1063</v>
      </c>
      <c r="CB209" t="n">
        <v>57</v>
      </c>
      <c r="CC209" t="n">
        <v>24</v>
      </c>
      <c r="CD209" t="n">
        <v>0</v>
      </c>
      <c r="CE209" t="n">
        <v>0</v>
      </c>
      <c r="CF209" t="n">
        <v>1</v>
      </c>
      <c r="CG209" t="n">
        <v>0</v>
      </c>
      <c r="CH209" t="n">
        <v>0</v>
      </c>
      <c r="CI209" t="n">
        <v>0</v>
      </c>
      <c r="CJ209" t="n">
        <v>0</v>
      </c>
      <c r="CK209" t="n">
        <v>0</v>
      </c>
      <c r="CL209" t="n">
        <v>0</v>
      </c>
      <c r="CM209" t="n">
        <v>0</v>
      </c>
      <c r="CN209" t="n">
        <v>13</v>
      </c>
      <c r="CO209" t="n">
        <v>0</v>
      </c>
      <c r="CP209" t="n">
        <v>1</v>
      </c>
      <c r="CQ209" t="n">
        <v>0</v>
      </c>
      <c r="CR209" t="n">
        <v>0</v>
      </c>
      <c r="CS209" t="n">
        <v>0</v>
      </c>
      <c r="CT209" t="n">
        <v>0</v>
      </c>
      <c r="CU209" t="n">
        <v>0</v>
      </c>
      <c r="CV209" t="n">
        <v>0</v>
      </c>
      <c r="CW209" t="n">
        <v>69</v>
      </c>
      <c r="CX209" t="n">
        <v>0</v>
      </c>
      <c r="CY209" t="n">
        <v>206</v>
      </c>
      <c r="CZ209" t="n">
        <v>0</v>
      </c>
      <c r="DA209" t="n">
        <v>0</v>
      </c>
      <c r="DB209" t="n">
        <v>0</v>
      </c>
      <c r="DC209" t="n">
        <v>300</v>
      </c>
      <c r="DD209" t="n">
        <v>0</v>
      </c>
      <c r="DE209" t="n">
        <v>0</v>
      </c>
      <c r="DF209" t="n">
        <v>0</v>
      </c>
      <c r="DG209" t="n">
        <v>0</v>
      </c>
      <c r="DH209" t="n">
        <v>0</v>
      </c>
      <c r="DI209" t="n">
        <v>0</v>
      </c>
      <c r="DJ209" t="n">
        <v>0</v>
      </c>
      <c r="DK209" t="n">
        <v>0</v>
      </c>
      <c r="DL209" t="n">
        <v>0</v>
      </c>
      <c r="DM209" t="n">
        <v>0</v>
      </c>
      <c r="DN209" t="n">
        <v>0</v>
      </c>
      <c r="DO209" t="n">
        <v>0</v>
      </c>
      <c r="DP209" t="n">
        <v>0</v>
      </c>
      <c r="DQ209" t="n">
        <v>0</v>
      </c>
      <c r="DR209" t="n">
        <v>0</v>
      </c>
      <c r="DS209" t="n">
        <v>0</v>
      </c>
      <c r="DT209" t="n">
        <v>329</v>
      </c>
      <c r="DU209" t="n">
        <v>191</v>
      </c>
      <c r="DV209" t="n">
        <v>0</v>
      </c>
      <c r="DW209" t="n">
        <v>0</v>
      </c>
      <c r="DX209" t="n">
        <v>0</v>
      </c>
      <c r="DY209" t="n">
        <v>568</v>
      </c>
      <c r="DZ209" t="n">
        <v>568</v>
      </c>
      <c r="EA209" t="n">
        <v>199</v>
      </c>
      <c r="EB209" t="n">
        <v>1069</v>
      </c>
      <c r="EC209" t="n">
        <v>397</v>
      </c>
      <c r="ED209" t="n">
        <v>700</v>
      </c>
      <c r="EE209" t="n">
        <v>2100</v>
      </c>
      <c r="EF209" t="n">
        <v>0</v>
      </c>
      <c r="EG209" t="n">
        <v>230</v>
      </c>
      <c r="EH209" t="n">
        <v>1.1</v>
      </c>
      <c r="EI209" t="n">
        <v>2.1</v>
      </c>
      <c r="EJ209" t="n">
        <v>0.5</v>
      </c>
      <c r="EK209" t="n">
        <v>2.3</v>
      </c>
    </row>
    <row r="210">
      <c r="A210">
        <f>[1]ingredient!B209</f>
        <v/>
      </c>
      <c r="B210" t="inlineStr">
        <is>
          <t>https://www.naehrwertrechner.de/naehrwerte/R255011/Koriander+Gew%C3%BCrz/?menge=100</t>
        </is>
      </c>
      <c r="C210" s="7">
        <f>_xlfn.XLOOKUP(A210,[1]ingredient!$B$2:$B$521,[1]ingredient!$A$2:$A$521)</f>
        <v/>
      </c>
      <c r="D210" t="n">
        <v>313</v>
      </c>
      <c r="E210" t="n">
        <v>18</v>
      </c>
      <c r="F210" t="n">
        <v>12</v>
      </c>
      <c r="G210" t="n">
        <v>26</v>
      </c>
      <c r="H210" t="n">
        <v>29</v>
      </c>
      <c r="I210" t="n">
        <v>25</v>
      </c>
      <c r="J210" t="n">
        <v>0.1</v>
      </c>
      <c r="K210" t="n">
        <v>9</v>
      </c>
      <c r="L210" t="n">
        <v>0</v>
      </c>
      <c r="M210" t="n">
        <v>0.08</v>
      </c>
      <c r="N210" t="n">
        <v>0</v>
      </c>
      <c r="O210" t="n">
        <v>1</v>
      </c>
      <c r="P210" t="n">
        <v>240</v>
      </c>
      <c r="Q210" t="n">
        <v>290</v>
      </c>
      <c r="R210" t="n">
        <v>2100</v>
      </c>
      <c r="S210" t="n">
        <v>4167</v>
      </c>
      <c r="T210" t="n">
        <v>500</v>
      </c>
      <c r="U210" t="n">
        <v>200</v>
      </c>
      <c r="V210" t="n">
        <v>10</v>
      </c>
      <c r="W210" t="n">
        <v>0</v>
      </c>
      <c r="X210" t="n">
        <v>0</v>
      </c>
      <c r="Y210" t="n">
        <v>0</v>
      </c>
      <c r="Z210" t="n">
        <v>0</v>
      </c>
      <c r="AA210" t="n">
        <v>0</v>
      </c>
      <c r="AB210" t="n">
        <v>0</v>
      </c>
      <c r="AC210" t="n">
        <v>35</v>
      </c>
      <c r="AD210" t="n">
        <v>1270</v>
      </c>
      <c r="AE210" t="n">
        <v>660</v>
      </c>
      <c r="AF210" t="n">
        <v>330</v>
      </c>
      <c r="AG210" t="n">
        <v>400</v>
      </c>
      <c r="AH210" t="n">
        <v>100</v>
      </c>
      <c r="AI210" t="n">
        <v>60</v>
      </c>
      <c r="AJ210" t="n">
        <v>16320</v>
      </c>
      <c r="AK210" t="n">
        <v>4700</v>
      </c>
      <c r="AL210" t="n">
        <v>970</v>
      </c>
      <c r="AM210" t="n">
        <v>1900</v>
      </c>
      <c r="AN210" t="n">
        <v>50</v>
      </c>
      <c r="AO210" t="n">
        <v>5</v>
      </c>
      <c r="AP210" t="n">
        <v>0</v>
      </c>
      <c r="AQ210" t="n">
        <v>0</v>
      </c>
      <c r="AR210" t="n">
        <v>0</v>
      </c>
      <c r="AS210" t="n">
        <v>0</v>
      </c>
      <c r="AT210" t="n">
        <v>12950</v>
      </c>
      <c r="AU210" t="n">
        <v>10619</v>
      </c>
      <c r="AV210" t="n">
        <v>0</v>
      </c>
      <c r="AW210" t="n">
        <v>23569</v>
      </c>
      <c r="AX210" t="n">
        <v>1036</v>
      </c>
      <c r="AY210" t="n">
        <v>0</v>
      </c>
      <c r="AZ210" t="n">
        <v>0</v>
      </c>
      <c r="BA210" t="n">
        <v>1036</v>
      </c>
      <c r="BB210" t="n">
        <v>0</v>
      </c>
      <c r="BC210" t="n">
        <v>0</v>
      </c>
      <c r="BD210" t="n">
        <v>0</v>
      </c>
      <c r="BE210" t="n">
        <v>1295</v>
      </c>
      <c r="BF210" t="n">
        <v>1295</v>
      </c>
      <c r="BG210">
        <f>IF($F210=0,"0",MIN(
BH210/(30*$F210),
BI210/(61*$F210),
BJ210/(48*$F210),
(BK210+BL210)/(23*$F210),
(BM210+BN210)/(41*$F210),
BO210/(25*$F210),
BP210/(6.6*$F210),
BQ210/(40*$F210),
BS210/(16*$F210)
)*100)</f>
        <v/>
      </c>
      <c r="BH210" t="n">
        <v>372</v>
      </c>
      <c r="BI210" t="n">
        <v>620</v>
      </c>
      <c r="BJ210" t="n">
        <v>620</v>
      </c>
      <c r="BK210" t="n">
        <v>186</v>
      </c>
      <c r="BL210" t="n">
        <v>124</v>
      </c>
      <c r="BM210" t="n">
        <v>434</v>
      </c>
      <c r="BN210" t="n">
        <v>248</v>
      </c>
      <c r="BO210" t="n">
        <v>310</v>
      </c>
      <c r="BP210" t="n">
        <v>124</v>
      </c>
      <c r="BQ210" t="n">
        <v>496</v>
      </c>
      <c r="BR210" t="n">
        <v>558</v>
      </c>
      <c r="BS210" t="n">
        <v>186</v>
      </c>
      <c r="BT210" t="n">
        <v>4278</v>
      </c>
      <c r="BU210" t="n">
        <v>744</v>
      </c>
      <c r="BV210" t="n">
        <v>1860</v>
      </c>
      <c r="BW210" t="n">
        <v>1736</v>
      </c>
      <c r="BX210" t="n">
        <v>496</v>
      </c>
      <c r="BY210" t="n">
        <v>434</v>
      </c>
      <c r="BZ210" t="n">
        <v>496</v>
      </c>
      <c r="CA210" t="n">
        <v>5766</v>
      </c>
      <c r="CB210" t="n">
        <v>60</v>
      </c>
      <c r="CC210" t="n">
        <v>25</v>
      </c>
      <c r="CD210" t="n">
        <v>0</v>
      </c>
      <c r="CE210" t="n">
        <v>1748</v>
      </c>
      <c r="CG210" t="n">
        <v>0</v>
      </c>
      <c r="CH210" t="n">
        <v>0</v>
      </c>
      <c r="CI210" t="n">
        <v>0</v>
      </c>
      <c r="CJ210" t="n">
        <v>0</v>
      </c>
      <c r="CK210" t="n">
        <v>0</v>
      </c>
      <c r="CL210" t="n">
        <v>16</v>
      </c>
      <c r="CM210" t="n">
        <v>0</v>
      </c>
      <c r="CN210" t="n">
        <v>850</v>
      </c>
      <c r="CO210" t="n">
        <v>0</v>
      </c>
      <c r="CP210" t="n">
        <v>114</v>
      </c>
      <c r="CQ210" t="n">
        <v>0</v>
      </c>
      <c r="CR210" t="n">
        <v>0</v>
      </c>
      <c r="CS210" t="n">
        <v>0</v>
      </c>
      <c r="CT210" t="n">
        <v>980</v>
      </c>
      <c r="CU210" t="n">
        <v>0</v>
      </c>
      <c r="CV210" t="n">
        <v>0</v>
      </c>
      <c r="CW210" t="n">
        <v>98</v>
      </c>
      <c r="CX210" t="n">
        <v>0</v>
      </c>
      <c r="CY210" t="n">
        <v>13514</v>
      </c>
      <c r="CZ210" t="n">
        <v>0</v>
      </c>
      <c r="DA210" t="n">
        <v>0</v>
      </c>
      <c r="DB210" t="n">
        <v>0</v>
      </c>
      <c r="DC210" t="n">
        <v>13612</v>
      </c>
      <c r="DD210" t="n">
        <v>0</v>
      </c>
      <c r="DE210" t="n">
        <v>0</v>
      </c>
      <c r="DF210" t="n">
        <v>1748</v>
      </c>
      <c r="DG210" t="n">
        <v>0</v>
      </c>
      <c r="DH210" t="n">
        <v>0</v>
      </c>
      <c r="DI210" t="n">
        <v>0</v>
      </c>
      <c r="DJ210" t="n">
        <v>0</v>
      </c>
      <c r="DK210" t="n">
        <v>0</v>
      </c>
      <c r="DL210" t="n">
        <v>0</v>
      </c>
      <c r="DM210" t="n">
        <v>0</v>
      </c>
      <c r="DN210" t="n">
        <v>0</v>
      </c>
      <c r="DO210" t="n">
        <v>0</v>
      </c>
      <c r="DP210" t="n">
        <v>0</v>
      </c>
      <c r="DQ210" t="n">
        <v>0</v>
      </c>
      <c r="DR210" t="n">
        <v>0</v>
      </c>
      <c r="DS210" t="n">
        <v>1748</v>
      </c>
      <c r="DT210" t="n">
        <v>16340</v>
      </c>
      <c r="DU210" t="n">
        <v>1460</v>
      </c>
      <c r="DV210" t="n">
        <v>0</v>
      </c>
      <c r="DW210" t="n">
        <v>0</v>
      </c>
      <c r="DX210" t="n">
        <v>0</v>
      </c>
      <c r="DY210" t="n">
        <v>6406</v>
      </c>
      <c r="DZ210" t="n">
        <v>5242</v>
      </c>
      <c r="EA210" t="n">
        <v>5824</v>
      </c>
      <c r="EB210" t="n">
        <v>5824</v>
      </c>
      <c r="EC210" t="n">
        <v>5824</v>
      </c>
      <c r="ED210" t="n">
        <v>8736</v>
      </c>
      <c r="EE210" t="n">
        <v>20384</v>
      </c>
      <c r="EF210" t="n">
        <v>0</v>
      </c>
      <c r="EG210" t="n">
        <v>0.1</v>
      </c>
      <c r="EH210" t="n">
        <v>6</v>
      </c>
      <c r="EI210" t="n">
        <v>20.4</v>
      </c>
      <c r="EJ210" t="n">
        <v>17.8</v>
      </c>
      <c r="EK210" t="n">
        <v>10.2</v>
      </c>
    </row>
    <row r="211">
      <c r="A211">
        <f>[1]ingredient!B210</f>
        <v/>
      </c>
      <c r="B211" t="inlineStr">
        <is>
          <t>https://www.naehrwertrechner.de/naehrwerte/R255000/Koriandersamen/?menge=100</t>
        </is>
      </c>
      <c r="C211" s="7">
        <f>_xlfn.XLOOKUP(A211,[1]ingredient!$B$2:$B$521,[1]ingredient!$A$2:$A$521)</f>
        <v/>
      </c>
      <c r="D211" t="n">
        <v>313</v>
      </c>
      <c r="E211" t="n">
        <v>18</v>
      </c>
      <c r="F211" t="n">
        <v>12</v>
      </c>
      <c r="G211" t="n">
        <v>26</v>
      </c>
      <c r="H211" t="n">
        <v>29</v>
      </c>
      <c r="I211" t="n">
        <v>25</v>
      </c>
      <c r="J211" t="n">
        <v>0.1</v>
      </c>
      <c r="K211" t="n">
        <v>9</v>
      </c>
      <c r="L211" t="n">
        <v>0</v>
      </c>
      <c r="M211" t="n">
        <v>0.08</v>
      </c>
      <c r="N211" t="n">
        <v>0</v>
      </c>
      <c r="O211" t="n">
        <v>1</v>
      </c>
      <c r="P211" t="n">
        <v>240</v>
      </c>
      <c r="Q211" t="n">
        <v>290</v>
      </c>
      <c r="R211" t="n">
        <v>2100</v>
      </c>
      <c r="S211" t="n">
        <v>4650</v>
      </c>
      <c r="T211" t="n">
        <v>500</v>
      </c>
      <c r="U211" t="n">
        <v>200</v>
      </c>
      <c r="V211" t="n">
        <v>10</v>
      </c>
      <c r="W211" t="n">
        <v>0</v>
      </c>
      <c r="X211" t="n">
        <v>0</v>
      </c>
      <c r="Y211" t="n">
        <v>0</v>
      </c>
      <c r="Z211" t="n">
        <v>0</v>
      </c>
      <c r="AA211" t="n">
        <v>0</v>
      </c>
      <c r="AB211" t="n">
        <v>0</v>
      </c>
      <c r="AC211" t="n">
        <v>35</v>
      </c>
      <c r="AD211" t="n">
        <v>1270</v>
      </c>
      <c r="AE211" t="n">
        <v>660</v>
      </c>
      <c r="AF211" t="n">
        <v>330</v>
      </c>
      <c r="AG211" t="n">
        <v>400</v>
      </c>
      <c r="AH211" t="n">
        <v>100</v>
      </c>
      <c r="AI211" t="n">
        <v>60</v>
      </c>
      <c r="AJ211" t="n">
        <v>16320</v>
      </c>
      <c r="AK211" t="n">
        <v>4700</v>
      </c>
      <c r="AL211" t="n">
        <v>970</v>
      </c>
      <c r="AM211" t="n">
        <v>1900</v>
      </c>
      <c r="AN211" t="n">
        <v>50</v>
      </c>
      <c r="AO211" t="n">
        <v>5</v>
      </c>
      <c r="AP211" t="n">
        <v>0</v>
      </c>
      <c r="AQ211" t="n">
        <v>0</v>
      </c>
      <c r="AR211" t="n">
        <v>0</v>
      </c>
      <c r="AS211" t="n">
        <v>0</v>
      </c>
      <c r="AT211" t="n">
        <v>12950</v>
      </c>
      <c r="AU211" t="n">
        <v>10619</v>
      </c>
      <c r="AV211" t="n">
        <v>0</v>
      </c>
      <c r="AW211" t="n">
        <v>23569</v>
      </c>
      <c r="AX211" t="n">
        <v>1036</v>
      </c>
      <c r="AY211" t="n">
        <v>0</v>
      </c>
      <c r="AZ211" t="n">
        <v>0</v>
      </c>
      <c r="BA211" t="n">
        <v>1036</v>
      </c>
      <c r="BB211" t="n">
        <v>0</v>
      </c>
      <c r="BC211" t="n">
        <v>0</v>
      </c>
      <c r="BD211" t="n">
        <v>0</v>
      </c>
      <c r="BE211" t="n">
        <v>1295</v>
      </c>
      <c r="BF211" t="n">
        <v>1295</v>
      </c>
      <c r="BG211">
        <f>IF($F211=0,"0",MIN(
BH211/(30*$F211),
BI211/(61*$F211),
BJ211/(48*$F211),
(BK211+BL211)/(23*$F211),
(BM211+BN211)/(41*$F211),
BO211/(25*$F211),
BP211/(6.6*$F211),
BQ211/(40*$F211),
BS211/(16*$F211)
)*100)</f>
        <v/>
      </c>
      <c r="BH211" t="n">
        <v>459</v>
      </c>
      <c r="BI211" t="n">
        <v>765</v>
      </c>
      <c r="BJ211" t="n">
        <v>765</v>
      </c>
      <c r="BK211" t="n">
        <v>230</v>
      </c>
      <c r="BL211" t="n">
        <v>153</v>
      </c>
      <c r="BM211" t="n">
        <v>536</v>
      </c>
      <c r="BN211" t="n">
        <v>306</v>
      </c>
      <c r="BO211" t="n">
        <v>383</v>
      </c>
      <c r="BP211" t="n">
        <v>153</v>
      </c>
      <c r="BQ211" t="n">
        <v>612</v>
      </c>
      <c r="BR211" t="n">
        <v>689</v>
      </c>
      <c r="BS211" t="n">
        <v>230</v>
      </c>
      <c r="BT211" t="n">
        <v>5281</v>
      </c>
      <c r="BU211" t="n">
        <v>919</v>
      </c>
      <c r="BV211" t="n">
        <v>2296</v>
      </c>
      <c r="BW211" t="n">
        <v>2143</v>
      </c>
      <c r="BX211" t="n">
        <v>612</v>
      </c>
      <c r="BY211" t="n">
        <v>536</v>
      </c>
      <c r="BZ211" t="n">
        <v>612</v>
      </c>
      <c r="CA211" t="n">
        <v>7118</v>
      </c>
      <c r="CB211" t="n">
        <v>60</v>
      </c>
      <c r="CC211" t="n">
        <v>20</v>
      </c>
      <c r="CD211" t="n">
        <v>0</v>
      </c>
      <c r="CE211" t="n">
        <v>1748</v>
      </c>
      <c r="CG211" t="n">
        <v>0</v>
      </c>
      <c r="CH211" t="n">
        <v>0</v>
      </c>
      <c r="CI211" t="n">
        <v>0</v>
      </c>
      <c r="CJ211" t="n">
        <v>0</v>
      </c>
      <c r="CK211" t="n">
        <v>0</v>
      </c>
      <c r="CL211" t="n">
        <v>16</v>
      </c>
      <c r="CM211" t="n">
        <v>0</v>
      </c>
      <c r="CN211" t="n">
        <v>850</v>
      </c>
      <c r="CO211" t="n">
        <v>0</v>
      </c>
      <c r="CP211" t="n">
        <v>114</v>
      </c>
      <c r="CQ211" t="n">
        <v>0</v>
      </c>
      <c r="CR211" t="n">
        <v>0</v>
      </c>
      <c r="CS211" t="n">
        <v>0</v>
      </c>
      <c r="CT211" t="n">
        <v>980</v>
      </c>
      <c r="CU211" t="n">
        <v>0</v>
      </c>
      <c r="CV211" t="n">
        <v>0</v>
      </c>
      <c r="CW211" t="n">
        <v>98</v>
      </c>
      <c r="CX211" t="n">
        <v>0</v>
      </c>
      <c r="CY211" t="n">
        <v>13514</v>
      </c>
      <c r="CZ211" t="n">
        <v>0</v>
      </c>
      <c r="DA211" t="n">
        <v>0</v>
      </c>
      <c r="DB211" t="n">
        <v>0</v>
      </c>
      <c r="DC211" t="n">
        <v>13612</v>
      </c>
      <c r="DD211" t="n">
        <v>0</v>
      </c>
      <c r="DE211" t="n">
        <v>0</v>
      </c>
      <c r="DF211" t="n">
        <v>1748</v>
      </c>
      <c r="DG211" t="n">
        <v>0</v>
      </c>
      <c r="DH211" t="n">
        <v>0</v>
      </c>
      <c r="DI211" t="n">
        <v>0</v>
      </c>
      <c r="DJ211" t="n">
        <v>0</v>
      </c>
      <c r="DK211" t="n">
        <v>0</v>
      </c>
      <c r="DL211" t="n">
        <v>0</v>
      </c>
      <c r="DM211" t="n">
        <v>0</v>
      </c>
      <c r="DN211" t="n">
        <v>0</v>
      </c>
      <c r="DO211" t="n">
        <v>0</v>
      </c>
      <c r="DP211" t="n">
        <v>0</v>
      </c>
      <c r="DQ211" t="n">
        <v>0</v>
      </c>
      <c r="DR211" t="n">
        <v>0</v>
      </c>
      <c r="DS211" t="n">
        <v>1748</v>
      </c>
      <c r="DT211" t="n">
        <v>16340</v>
      </c>
      <c r="DU211" t="n">
        <v>1460</v>
      </c>
      <c r="DV211" t="n">
        <v>0</v>
      </c>
      <c r="DW211" t="n">
        <v>0</v>
      </c>
      <c r="DX211" t="n">
        <v>0</v>
      </c>
      <c r="DY211" t="n">
        <v>6406</v>
      </c>
      <c r="DZ211" t="n">
        <v>5242</v>
      </c>
      <c r="EA211" t="n">
        <v>5824</v>
      </c>
      <c r="EB211" t="n">
        <v>5824</v>
      </c>
      <c r="EC211" t="n">
        <v>5824</v>
      </c>
      <c r="ED211" t="n">
        <v>8736</v>
      </c>
      <c r="EE211" t="n">
        <v>20384</v>
      </c>
      <c r="EF211" t="n">
        <v>0</v>
      </c>
      <c r="EG211" t="n">
        <v>0.1</v>
      </c>
      <c r="EH211" t="n">
        <v>6</v>
      </c>
      <c r="EI211" t="n">
        <v>20.4</v>
      </c>
      <c r="EJ211" t="n">
        <v>17.8</v>
      </c>
      <c r="EK211" t="n">
        <v>12.6</v>
      </c>
    </row>
    <row r="212">
      <c r="A212">
        <f>[1]ingredient!B211</f>
        <v/>
      </c>
      <c r="B212" t="inlineStr">
        <is>
          <t>https://www.naehrwertrechner.de/naehrwerte/R255011/Koriander+Gew%C3%BCrz/?menge=100</t>
        </is>
      </c>
      <c r="C212" s="7">
        <f>_xlfn.XLOOKUP(A212,[1]ingredient!$B$2:$B$521,[1]ingredient!$A$2:$A$521)</f>
        <v/>
      </c>
      <c r="D212" t="n">
        <v>313</v>
      </c>
      <c r="E212" t="n">
        <v>18</v>
      </c>
      <c r="F212" t="n">
        <v>12</v>
      </c>
      <c r="G212" t="n">
        <v>26</v>
      </c>
      <c r="H212" t="n">
        <v>29</v>
      </c>
      <c r="I212" t="n">
        <v>25</v>
      </c>
      <c r="J212" t="n">
        <v>0.1</v>
      </c>
      <c r="K212" t="n">
        <v>9</v>
      </c>
      <c r="L212" t="n">
        <v>0</v>
      </c>
      <c r="M212" t="n">
        <v>0.08</v>
      </c>
      <c r="N212" t="n">
        <v>0</v>
      </c>
      <c r="O212" t="n">
        <v>1</v>
      </c>
      <c r="P212" t="n">
        <v>240</v>
      </c>
      <c r="Q212" t="n">
        <v>290</v>
      </c>
      <c r="R212" t="n">
        <v>2100</v>
      </c>
      <c r="S212" t="n">
        <v>4167</v>
      </c>
      <c r="T212" t="n">
        <v>500</v>
      </c>
      <c r="U212" t="n">
        <v>200</v>
      </c>
      <c r="V212" t="n">
        <v>10</v>
      </c>
      <c r="W212" t="n">
        <v>0</v>
      </c>
      <c r="X212" t="n">
        <v>0</v>
      </c>
      <c r="Y212" t="n">
        <v>0</v>
      </c>
      <c r="Z212" t="n">
        <v>0</v>
      </c>
      <c r="AA212" t="n">
        <v>0</v>
      </c>
      <c r="AB212" t="n">
        <v>0</v>
      </c>
      <c r="AC212" t="n">
        <v>35</v>
      </c>
      <c r="AD212" t="n">
        <v>1270</v>
      </c>
      <c r="AE212" t="n">
        <v>660</v>
      </c>
      <c r="AF212" t="n">
        <v>330</v>
      </c>
      <c r="AG212" t="n">
        <v>400</v>
      </c>
      <c r="AH212" t="n">
        <v>100</v>
      </c>
      <c r="AI212" t="n">
        <v>60</v>
      </c>
      <c r="AJ212" t="n">
        <v>16320</v>
      </c>
      <c r="AK212" t="n">
        <v>4700</v>
      </c>
      <c r="AL212" t="n">
        <v>970</v>
      </c>
      <c r="AM212" t="n">
        <v>1900</v>
      </c>
      <c r="AN212" t="n">
        <v>50</v>
      </c>
      <c r="AO212" t="n">
        <v>5</v>
      </c>
      <c r="AP212" t="n">
        <v>0</v>
      </c>
      <c r="AQ212" t="n">
        <v>0</v>
      </c>
      <c r="AR212" t="n">
        <v>0</v>
      </c>
      <c r="AS212" t="n">
        <v>0</v>
      </c>
      <c r="AT212" t="n">
        <v>12950</v>
      </c>
      <c r="AU212" t="n">
        <v>10619</v>
      </c>
      <c r="AV212" t="n">
        <v>0</v>
      </c>
      <c r="AW212" t="n">
        <v>23569</v>
      </c>
      <c r="AX212" t="n">
        <v>1036</v>
      </c>
      <c r="AY212" t="n">
        <v>0</v>
      </c>
      <c r="AZ212" t="n">
        <v>0</v>
      </c>
      <c r="BA212" t="n">
        <v>1036</v>
      </c>
      <c r="BB212" t="n">
        <v>0</v>
      </c>
      <c r="BC212" t="n">
        <v>0</v>
      </c>
      <c r="BD212" t="n">
        <v>0</v>
      </c>
      <c r="BE212" t="n">
        <v>1295</v>
      </c>
      <c r="BF212" t="n">
        <v>1295</v>
      </c>
      <c r="BG212">
        <f>IF($F212=0,"0",MIN(
BH212/(30*$F212),
BI212/(61*$F212),
BJ212/(48*$F212),
(BK212+BL212)/(23*$F212),
(BM212+BN212)/(41*$F212),
BO212/(25*$F212),
BP212/(6.6*$F212),
BQ212/(40*$F212),
BS212/(16*$F212)
)*100)</f>
        <v/>
      </c>
      <c r="BH212" t="n">
        <v>372</v>
      </c>
      <c r="BI212" t="n">
        <v>620</v>
      </c>
      <c r="BJ212" t="n">
        <v>620</v>
      </c>
      <c r="BK212" t="n">
        <v>186</v>
      </c>
      <c r="BL212" t="n">
        <v>124</v>
      </c>
      <c r="BM212" t="n">
        <v>434</v>
      </c>
      <c r="BN212" t="n">
        <v>248</v>
      </c>
      <c r="BO212" t="n">
        <v>310</v>
      </c>
      <c r="BP212" t="n">
        <v>124</v>
      </c>
      <c r="BQ212" t="n">
        <v>496</v>
      </c>
      <c r="BR212" t="n">
        <v>558</v>
      </c>
      <c r="BS212" t="n">
        <v>186</v>
      </c>
      <c r="BT212" t="n">
        <v>4278</v>
      </c>
      <c r="BU212" t="n">
        <v>744</v>
      </c>
      <c r="BV212" t="n">
        <v>1860</v>
      </c>
      <c r="BW212" t="n">
        <v>1736</v>
      </c>
      <c r="BX212" t="n">
        <v>496</v>
      </c>
      <c r="BY212" t="n">
        <v>434</v>
      </c>
      <c r="BZ212" t="n">
        <v>496</v>
      </c>
      <c r="CA212" t="n">
        <v>5766</v>
      </c>
      <c r="CB212" t="n">
        <v>60</v>
      </c>
      <c r="CC212" t="n">
        <v>25</v>
      </c>
      <c r="CD212" t="n">
        <v>0</v>
      </c>
      <c r="CE212" t="n">
        <v>1748</v>
      </c>
      <c r="CG212" t="n">
        <v>0</v>
      </c>
      <c r="CH212" t="n">
        <v>0</v>
      </c>
      <c r="CI212" t="n">
        <v>0</v>
      </c>
      <c r="CJ212" t="n">
        <v>0</v>
      </c>
      <c r="CK212" t="n">
        <v>0</v>
      </c>
      <c r="CL212" t="n">
        <v>16</v>
      </c>
      <c r="CM212" t="n">
        <v>0</v>
      </c>
      <c r="CN212" t="n">
        <v>850</v>
      </c>
      <c r="CO212" t="n">
        <v>0</v>
      </c>
      <c r="CP212" t="n">
        <v>114</v>
      </c>
      <c r="CQ212" t="n">
        <v>0</v>
      </c>
      <c r="CR212" t="n">
        <v>0</v>
      </c>
      <c r="CS212" t="n">
        <v>0</v>
      </c>
      <c r="CT212" t="n">
        <v>980</v>
      </c>
      <c r="CU212" t="n">
        <v>0</v>
      </c>
      <c r="CV212" t="n">
        <v>0</v>
      </c>
      <c r="CW212" t="n">
        <v>98</v>
      </c>
      <c r="CX212" t="n">
        <v>0</v>
      </c>
      <c r="CY212" t="n">
        <v>13514</v>
      </c>
      <c r="CZ212" t="n">
        <v>0</v>
      </c>
      <c r="DA212" t="n">
        <v>0</v>
      </c>
      <c r="DB212" t="n">
        <v>0</v>
      </c>
      <c r="DC212" t="n">
        <v>13612</v>
      </c>
      <c r="DD212" t="n">
        <v>0</v>
      </c>
      <c r="DE212" t="n">
        <v>0</v>
      </c>
      <c r="DF212" t="n">
        <v>1748</v>
      </c>
      <c r="DG212" t="n">
        <v>0</v>
      </c>
      <c r="DH212" t="n">
        <v>0</v>
      </c>
      <c r="DI212" t="n">
        <v>0</v>
      </c>
      <c r="DJ212" t="n">
        <v>0</v>
      </c>
      <c r="DK212" t="n">
        <v>0</v>
      </c>
      <c r="DL212" t="n">
        <v>0</v>
      </c>
      <c r="DM212" t="n">
        <v>0</v>
      </c>
      <c r="DN212" t="n">
        <v>0</v>
      </c>
      <c r="DO212" t="n">
        <v>0</v>
      </c>
      <c r="DP212" t="n">
        <v>0</v>
      </c>
      <c r="DQ212" t="n">
        <v>0</v>
      </c>
      <c r="DR212" t="n">
        <v>0</v>
      </c>
      <c r="DS212" t="n">
        <v>1748</v>
      </c>
      <c r="DT212" t="n">
        <v>16340</v>
      </c>
      <c r="DU212" t="n">
        <v>1460</v>
      </c>
      <c r="DV212" t="n">
        <v>0</v>
      </c>
      <c r="DW212" t="n">
        <v>0</v>
      </c>
      <c r="DX212" t="n">
        <v>0</v>
      </c>
      <c r="DY212" t="n">
        <v>6406</v>
      </c>
      <c r="DZ212" t="n">
        <v>5242</v>
      </c>
      <c r="EA212" t="n">
        <v>5824</v>
      </c>
      <c r="EB212" t="n">
        <v>5824</v>
      </c>
      <c r="EC212" t="n">
        <v>5824</v>
      </c>
      <c r="ED212" t="n">
        <v>8736</v>
      </c>
      <c r="EE212" t="n">
        <v>20384</v>
      </c>
      <c r="EF212" t="n">
        <v>0</v>
      </c>
      <c r="EG212" t="n">
        <v>0.1</v>
      </c>
      <c r="EH212" t="n">
        <v>6</v>
      </c>
      <c r="EI212" t="n">
        <v>20.4</v>
      </c>
      <c r="EJ212" t="n">
        <v>17.8</v>
      </c>
      <c r="EK212" t="n">
        <v>10.2</v>
      </c>
    </row>
    <row r="213">
      <c r="A213">
        <f>[1]ingredient!B212</f>
        <v/>
      </c>
      <c r="B213" t="inlineStr">
        <is>
          <t>https://www.naehrwertrechner.de/naehrwerte/G087400/Kr%C3%A4uter+der+Provence+frisch/?menge=100</t>
        </is>
      </c>
      <c r="C213" s="7">
        <f>_xlfn.XLOOKUP(A213,[1]ingredient!$B$2:$B$521,[1]ingredient!$A$2:$A$521)</f>
        <v/>
      </c>
      <c r="D213" t="n">
        <v>103</v>
      </c>
      <c r="E213" t="n">
        <v>3</v>
      </c>
      <c r="F213" t="n">
        <v>3</v>
      </c>
      <c r="G213" t="n">
        <v>15</v>
      </c>
      <c r="H213" t="n">
        <v>8</v>
      </c>
      <c r="I213" t="n">
        <v>15</v>
      </c>
      <c r="J213" t="n">
        <v>0.07000000000000001</v>
      </c>
      <c r="K213" t="n">
        <v>69</v>
      </c>
      <c r="L213" t="n">
        <v>175</v>
      </c>
      <c r="M213" t="n">
        <v>87</v>
      </c>
      <c r="N213" t="n">
        <v>0</v>
      </c>
      <c r="O213" t="n">
        <v>1049</v>
      </c>
      <c r="P213" t="n">
        <v>64</v>
      </c>
      <c r="Q213" t="n">
        <v>132</v>
      </c>
      <c r="R213" t="n">
        <v>945</v>
      </c>
      <c r="S213" t="n">
        <v>1545</v>
      </c>
      <c r="T213" t="n">
        <v>36</v>
      </c>
      <c r="U213" t="n">
        <v>35</v>
      </c>
      <c r="V213" t="n">
        <v>0.4</v>
      </c>
      <c r="W213" t="n">
        <v>10</v>
      </c>
      <c r="X213" t="n">
        <v>0</v>
      </c>
      <c r="Y213" t="n">
        <v>4999</v>
      </c>
      <c r="Z213" t="n">
        <v>0</v>
      </c>
      <c r="AA213" t="n">
        <v>182</v>
      </c>
      <c r="AB213" t="n">
        <v>0</v>
      </c>
      <c r="AC213" t="n">
        <v>8</v>
      </c>
      <c r="AD213" t="n">
        <v>227</v>
      </c>
      <c r="AE213" t="n">
        <v>350</v>
      </c>
      <c r="AF213" t="n">
        <v>57</v>
      </c>
      <c r="AG213" t="n">
        <v>38</v>
      </c>
      <c r="AH213" t="n">
        <v>30</v>
      </c>
      <c r="AI213" t="n">
        <v>60</v>
      </c>
      <c r="AJ213" t="n">
        <v>13701</v>
      </c>
      <c r="AK213" t="n">
        <v>1252</v>
      </c>
      <c r="AL213" t="n">
        <v>175</v>
      </c>
      <c r="AM213" t="n">
        <v>2519</v>
      </c>
      <c r="AN213" t="n">
        <v>105</v>
      </c>
      <c r="AO213" t="n">
        <v>2</v>
      </c>
      <c r="AP213" t="n">
        <v>0</v>
      </c>
      <c r="AQ213" t="n">
        <v>0</v>
      </c>
      <c r="AR213" t="n">
        <v>0</v>
      </c>
      <c r="AS213" t="n">
        <v>0</v>
      </c>
      <c r="AT213" t="n">
        <v>6156</v>
      </c>
      <c r="AU213" t="n">
        <v>6156</v>
      </c>
      <c r="AV213" t="n">
        <v>0</v>
      </c>
      <c r="AW213" t="n">
        <v>12312</v>
      </c>
      <c r="AX213" t="n">
        <v>2924</v>
      </c>
      <c r="AY213" t="n">
        <v>0</v>
      </c>
      <c r="AZ213" t="n">
        <v>0</v>
      </c>
      <c r="BA213" t="n">
        <v>2924</v>
      </c>
      <c r="BB213" t="n">
        <v>0</v>
      </c>
      <c r="BC213" t="n">
        <v>0</v>
      </c>
      <c r="BD213" t="n">
        <v>0</v>
      </c>
      <c r="BE213" t="n">
        <v>154</v>
      </c>
      <c r="BF213" t="n">
        <v>154</v>
      </c>
      <c r="BG213">
        <f>IF($F213=0,"0",MIN(
BH213/(30*$F213),
BI213/(61*$F213),
BJ213/(48*$F213),
(BK213+BL213)/(23*$F213),
(BM213+BN213)/(41*$F213),
BO213/(25*$F213),
BP213/(6.6*$F213),
BQ213/(40*$F213),
BS213/(16*$F213)
)*100)</f>
        <v/>
      </c>
      <c r="BH213" t="n">
        <v>146</v>
      </c>
      <c r="BI213" t="n">
        <v>220</v>
      </c>
      <c r="BJ213" t="n">
        <v>184</v>
      </c>
      <c r="BK213" t="n">
        <v>43</v>
      </c>
      <c r="BL213" t="n">
        <v>36</v>
      </c>
      <c r="BM213" t="n">
        <v>110</v>
      </c>
      <c r="BN213" t="n">
        <v>74</v>
      </c>
      <c r="BO213" t="n">
        <v>128</v>
      </c>
      <c r="BP213" t="n">
        <v>36</v>
      </c>
      <c r="BQ213" t="n">
        <v>146</v>
      </c>
      <c r="BR213" t="n">
        <v>146</v>
      </c>
      <c r="BS213" t="n">
        <v>55</v>
      </c>
      <c r="BT213" t="n">
        <v>1324</v>
      </c>
      <c r="BU213" t="n">
        <v>184</v>
      </c>
      <c r="BV213" t="n">
        <v>367</v>
      </c>
      <c r="BW213" t="n">
        <v>550</v>
      </c>
      <c r="BX213" t="n">
        <v>103</v>
      </c>
      <c r="BY213" t="n">
        <v>146</v>
      </c>
      <c r="BZ213" t="n">
        <v>110</v>
      </c>
      <c r="CA213" t="n">
        <v>1460</v>
      </c>
      <c r="CB213" t="n">
        <v>60</v>
      </c>
      <c r="CC213" t="n">
        <v>20</v>
      </c>
      <c r="CD213" t="n">
        <v>567</v>
      </c>
      <c r="CE213" t="n">
        <v>493</v>
      </c>
      <c r="CF213" t="n">
        <v>0.87</v>
      </c>
      <c r="CG213" t="n">
        <v>0</v>
      </c>
      <c r="CH213" t="n">
        <v>0</v>
      </c>
      <c r="CI213" t="n">
        <v>35</v>
      </c>
      <c r="CJ213" t="n">
        <v>33</v>
      </c>
      <c r="CK213" t="n">
        <v>135</v>
      </c>
      <c r="CL213" t="n">
        <v>85</v>
      </c>
      <c r="CM213" t="n">
        <v>0</v>
      </c>
      <c r="CN213" t="n">
        <v>596</v>
      </c>
      <c r="CO213" t="n">
        <v>0</v>
      </c>
      <c r="CP213" t="n">
        <v>124</v>
      </c>
      <c r="CQ213" t="n">
        <v>0</v>
      </c>
      <c r="CR213" t="n">
        <v>0</v>
      </c>
      <c r="CS213" t="n">
        <v>0</v>
      </c>
      <c r="CT213" t="n">
        <v>1008</v>
      </c>
      <c r="CU213" t="n">
        <v>0</v>
      </c>
      <c r="CV213" t="n">
        <v>0</v>
      </c>
      <c r="CW213" t="n">
        <v>41</v>
      </c>
      <c r="CX213" t="n">
        <v>0</v>
      </c>
      <c r="CY213" t="n">
        <v>426</v>
      </c>
      <c r="CZ213" t="n">
        <v>0</v>
      </c>
      <c r="DA213" t="n">
        <v>0</v>
      </c>
      <c r="DB213" t="n">
        <v>0</v>
      </c>
      <c r="DC213" t="n">
        <v>467</v>
      </c>
      <c r="DD213" t="n">
        <v>0</v>
      </c>
      <c r="DE213" t="n">
        <v>0</v>
      </c>
      <c r="DF213" t="n">
        <v>493</v>
      </c>
      <c r="DG213" t="n">
        <v>567</v>
      </c>
      <c r="DH213" t="n">
        <v>0</v>
      </c>
      <c r="DI213" t="n">
        <v>0</v>
      </c>
      <c r="DJ213" t="n">
        <v>0</v>
      </c>
      <c r="DK213" t="n">
        <v>0</v>
      </c>
      <c r="DL213" t="n">
        <v>0</v>
      </c>
      <c r="DM213" t="n">
        <v>0</v>
      </c>
      <c r="DN213" t="n">
        <v>0</v>
      </c>
      <c r="DO213" t="n">
        <v>0</v>
      </c>
      <c r="DP213" t="n">
        <v>0</v>
      </c>
      <c r="DQ213" t="n">
        <v>0</v>
      </c>
      <c r="DR213" t="n">
        <v>0</v>
      </c>
      <c r="DS213" t="n">
        <v>1060</v>
      </c>
      <c r="DT213" t="n">
        <v>2467</v>
      </c>
      <c r="DU213" t="n">
        <v>729</v>
      </c>
      <c r="DV213" t="n">
        <v>0</v>
      </c>
      <c r="DW213" t="n">
        <v>0</v>
      </c>
      <c r="DX213" t="n">
        <v>68</v>
      </c>
      <c r="DY213" t="n">
        <v>1142</v>
      </c>
      <c r="DZ213" t="n">
        <v>1523</v>
      </c>
      <c r="EA213" t="n">
        <v>2055</v>
      </c>
      <c r="EB213" t="n">
        <v>2664</v>
      </c>
      <c r="EC213" t="n">
        <v>228</v>
      </c>
      <c r="ED213" t="n">
        <v>2283</v>
      </c>
      <c r="EE213" t="n">
        <v>5329</v>
      </c>
      <c r="EF213" t="n">
        <v>0</v>
      </c>
      <c r="EG213" t="n">
        <v>0.11</v>
      </c>
      <c r="EH213" t="n">
        <v>1.6</v>
      </c>
      <c r="EI213" t="n">
        <v>5.3</v>
      </c>
      <c r="EJ213" t="n">
        <v>3.3</v>
      </c>
      <c r="EK213" t="n">
        <v>3</v>
      </c>
    </row>
    <row r="214">
      <c r="A214">
        <f>[1]ingredient!B213</f>
        <v/>
      </c>
      <c r="B214" t="inlineStr">
        <is>
          <t>https://www.naehrwertrechner.de/naehrwerte/K741100/Kr%C3%A4uterseitlinge+roh/?menge=100</t>
        </is>
      </c>
      <c r="C214" s="7">
        <f>_xlfn.XLOOKUP(A214,[1]ingredient!$B$2:$B$521,[1]ingredient!$A$2:$A$521)</f>
        <v/>
      </c>
      <c r="D214" t="n">
        <v>33</v>
      </c>
      <c r="E214" t="n">
        <v>0.4</v>
      </c>
      <c r="F214" t="n">
        <v>3</v>
      </c>
      <c r="G214" t="n">
        <v>4</v>
      </c>
      <c r="H214" t="n">
        <v>2</v>
      </c>
      <c r="I214" t="n">
        <v>1</v>
      </c>
      <c r="J214" t="n">
        <v>0.09</v>
      </c>
      <c r="K214" t="n">
        <v>89</v>
      </c>
      <c r="L214" t="n">
        <v>0</v>
      </c>
      <c r="M214" t="n">
        <v>0</v>
      </c>
      <c r="N214" t="n">
        <v>0</v>
      </c>
      <c r="O214" t="n">
        <v>0</v>
      </c>
      <c r="P214" t="n">
        <v>100</v>
      </c>
      <c r="Q214" t="n">
        <v>300</v>
      </c>
      <c r="R214" t="n">
        <v>5000</v>
      </c>
      <c r="S214" t="n">
        <v>5500</v>
      </c>
      <c r="T214" t="n">
        <v>0</v>
      </c>
      <c r="U214" t="n">
        <v>100</v>
      </c>
      <c r="V214" t="n">
        <v>16</v>
      </c>
      <c r="W214" t="n">
        <v>38</v>
      </c>
      <c r="X214" t="n">
        <v>0.1</v>
      </c>
      <c r="Y214" t="n">
        <v>600</v>
      </c>
      <c r="Z214" t="n">
        <v>1</v>
      </c>
      <c r="AA214" t="n">
        <v>0</v>
      </c>
      <c r="AB214" t="n">
        <v>0</v>
      </c>
      <c r="AC214" t="n">
        <v>18</v>
      </c>
      <c r="AD214" t="n">
        <v>420</v>
      </c>
      <c r="AE214" t="n">
        <v>3</v>
      </c>
      <c r="AF214" t="n">
        <v>18</v>
      </c>
      <c r="AG214" t="n">
        <v>120</v>
      </c>
      <c r="AH214" t="n">
        <v>34</v>
      </c>
      <c r="AI214" t="n">
        <v>67</v>
      </c>
      <c r="AJ214" t="n">
        <v>1300</v>
      </c>
      <c r="AK214" t="n">
        <v>800</v>
      </c>
      <c r="AL214" t="n">
        <v>200</v>
      </c>
      <c r="AM214" t="n">
        <v>100</v>
      </c>
      <c r="AN214" t="n">
        <v>0</v>
      </c>
      <c r="AO214" t="n">
        <v>3</v>
      </c>
      <c r="AP214" t="n">
        <v>2680</v>
      </c>
      <c r="AQ214" t="n">
        <v>0</v>
      </c>
      <c r="AR214" t="n">
        <v>0</v>
      </c>
      <c r="AS214" t="n">
        <v>2680</v>
      </c>
      <c r="AT214" t="n">
        <v>1110</v>
      </c>
      <c r="AU214" t="n">
        <v>0</v>
      </c>
      <c r="AV214" t="n">
        <v>0</v>
      </c>
      <c r="AW214" t="n">
        <v>1110</v>
      </c>
      <c r="AX214" t="n">
        <v>0</v>
      </c>
      <c r="AY214" t="n">
        <v>0</v>
      </c>
      <c r="AZ214" t="n">
        <v>0</v>
      </c>
      <c r="BA214" t="n">
        <v>0</v>
      </c>
      <c r="BB214" t="n">
        <v>0</v>
      </c>
      <c r="BC214" t="n">
        <v>0</v>
      </c>
      <c r="BD214" t="n">
        <v>0</v>
      </c>
      <c r="BE214" t="n">
        <v>0</v>
      </c>
      <c r="BF214" t="n">
        <v>0</v>
      </c>
      <c r="BG214">
        <f>IF($F214=0,"0",MIN(
BH214/(30*$F214),
BI214/(61*$F214),
BJ214/(48*$F214),
(BK214+BL214)/(23*$F214),
(BM214+BN214)/(41*$F214),
BO214/(25*$F214),
BP214/(6.6*$F214),
BQ214/(40*$F214),
BS214/(16*$F214)
)*100)</f>
        <v/>
      </c>
      <c r="BH214" t="n">
        <v>128</v>
      </c>
      <c r="BI214" t="n">
        <v>198</v>
      </c>
      <c r="BJ214" t="n">
        <v>174</v>
      </c>
      <c r="BK214" t="n">
        <v>58</v>
      </c>
      <c r="BL214" t="n">
        <v>217</v>
      </c>
      <c r="BM214" t="n">
        <v>116</v>
      </c>
      <c r="BN214" t="n">
        <v>245</v>
      </c>
      <c r="BO214" t="n">
        <v>140</v>
      </c>
      <c r="BP214" t="n">
        <v>35</v>
      </c>
      <c r="BQ214" t="n">
        <v>163</v>
      </c>
      <c r="BR214" t="n">
        <v>272</v>
      </c>
      <c r="BS214" t="n">
        <v>58</v>
      </c>
      <c r="BT214" t="n">
        <v>1804</v>
      </c>
      <c r="BU214" t="n">
        <v>272</v>
      </c>
      <c r="BV214" t="n">
        <v>250</v>
      </c>
      <c r="BW214" t="n">
        <v>375</v>
      </c>
      <c r="BX214" t="n">
        <v>146</v>
      </c>
      <c r="BY214" t="n">
        <v>299</v>
      </c>
      <c r="BZ214" t="n">
        <v>164</v>
      </c>
      <c r="CA214" t="n">
        <v>1506</v>
      </c>
      <c r="CB214" t="n">
        <v>50</v>
      </c>
      <c r="CC214" t="n">
        <v>17</v>
      </c>
      <c r="CD214" t="n">
        <v>0</v>
      </c>
      <c r="CE214" t="n">
        <v>100</v>
      </c>
      <c r="CG214" t="n">
        <v>0</v>
      </c>
      <c r="CH214" t="n">
        <v>0</v>
      </c>
      <c r="CI214" t="n">
        <v>0</v>
      </c>
      <c r="CJ214" t="n">
        <v>0</v>
      </c>
      <c r="CK214" t="n">
        <v>0</v>
      </c>
      <c r="CL214" t="n">
        <v>0</v>
      </c>
      <c r="CM214" t="n">
        <v>0</v>
      </c>
      <c r="CN214" t="n">
        <v>62</v>
      </c>
      <c r="CO214" t="n">
        <v>0</v>
      </c>
      <c r="CP214" t="n">
        <v>0</v>
      </c>
      <c r="CQ214" t="n">
        <v>0</v>
      </c>
      <c r="CR214" t="n">
        <v>0</v>
      </c>
      <c r="CS214" t="n">
        <v>0</v>
      </c>
      <c r="CT214" t="n">
        <v>100</v>
      </c>
      <c r="CU214" t="n">
        <v>0</v>
      </c>
      <c r="CV214" t="n">
        <v>0</v>
      </c>
      <c r="CW214" t="n">
        <v>0</v>
      </c>
      <c r="CX214" t="n">
        <v>0</v>
      </c>
      <c r="CY214" t="n">
        <v>31</v>
      </c>
      <c r="CZ214" t="n">
        <v>0</v>
      </c>
      <c r="DA214" t="n">
        <v>0</v>
      </c>
      <c r="DB214" t="n">
        <v>0</v>
      </c>
      <c r="DC214" t="n">
        <v>0</v>
      </c>
      <c r="DD214" t="n">
        <v>0</v>
      </c>
      <c r="DE214" t="n">
        <v>0</v>
      </c>
      <c r="DF214" t="n">
        <v>100</v>
      </c>
      <c r="DG214" t="n">
        <v>0</v>
      </c>
      <c r="DH214" t="n">
        <v>0</v>
      </c>
      <c r="DI214" t="n">
        <v>0</v>
      </c>
      <c r="DJ214" t="n">
        <v>0</v>
      </c>
      <c r="DK214" t="n">
        <v>0</v>
      </c>
      <c r="DL214" t="n">
        <v>0</v>
      </c>
      <c r="DM214" t="n">
        <v>0</v>
      </c>
      <c r="DN214" t="n">
        <v>0</v>
      </c>
      <c r="DO214" t="n">
        <v>0</v>
      </c>
      <c r="DP214" t="n">
        <v>0</v>
      </c>
      <c r="DQ214" t="n">
        <v>0</v>
      </c>
      <c r="DR214" t="n">
        <v>0</v>
      </c>
      <c r="DS214" t="n">
        <v>100</v>
      </c>
      <c r="DT214" t="n">
        <v>216</v>
      </c>
      <c r="DU214" t="n">
        <v>194</v>
      </c>
      <c r="DV214" t="n">
        <v>0</v>
      </c>
      <c r="DW214" t="n">
        <v>0</v>
      </c>
      <c r="DX214" t="n">
        <v>0</v>
      </c>
      <c r="DY214" t="n">
        <v>0</v>
      </c>
      <c r="DZ214" t="n">
        <v>943</v>
      </c>
      <c r="EA214" t="n">
        <v>23</v>
      </c>
      <c r="EB214" t="n">
        <v>1311</v>
      </c>
      <c r="EC214" t="n">
        <v>23</v>
      </c>
      <c r="ED214" t="n">
        <v>437</v>
      </c>
      <c r="EE214" t="n">
        <v>1863</v>
      </c>
      <c r="EF214" t="n">
        <v>0</v>
      </c>
      <c r="EG214" t="n">
        <v>200</v>
      </c>
      <c r="EH214" t="n">
        <v>0.7</v>
      </c>
      <c r="EI214" t="n">
        <v>1.9</v>
      </c>
      <c r="EJ214" t="n">
        <v>0.4</v>
      </c>
      <c r="EK214" t="n">
        <v>3.5</v>
      </c>
    </row>
    <row r="215">
      <c r="A215">
        <f>[1]ingredient!B214</f>
        <v/>
      </c>
      <c r="B215" t="inlineStr">
        <is>
          <t>https://www.naehrwertrechner.de/naehrwerte/G280000/Kresse+%28Gartenkresse%29/?menge=100</t>
        </is>
      </c>
      <c r="C215" s="7">
        <f>_xlfn.XLOOKUP(A215,[1]ingredient!$B$2:$B$521,[1]ingredient!$A$2:$A$521)</f>
        <v/>
      </c>
      <c r="D215" t="n">
        <v>35</v>
      </c>
      <c r="E215" t="n">
        <v>1</v>
      </c>
      <c r="F215" t="n">
        <v>4</v>
      </c>
      <c r="G215" t="n">
        <v>2</v>
      </c>
      <c r="H215" t="n">
        <v>4</v>
      </c>
      <c r="I215" t="n">
        <v>2</v>
      </c>
      <c r="J215" t="n">
        <v>0.11</v>
      </c>
      <c r="K215" t="n">
        <v>87</v>
      </c>
      <c r="L215" t="n">
        <v>365</v>
      </c>
      <c r="M215" t="n">
        <v>183</v>
      </c>
      <c r="N215" t="n">
        <v>0</v>
      </c>
      <c r="O215" t="n">
        <v>2190</v>
      </c>
      <c r="P215" t="n">
        <v>150</v>
      </c>
      <c r="Q215" t="n">
        <v>190</v>
      </c>
      <c r="R215" t="n">
        <v>1750</v>
      </c>
      <c r="S215" t="n">
        <v>2667</v>
      </c>
      <c r="T215" t="n">
        <v>180</v>
      </c>
      <c r="U215" t="n">
        <v>300</v>
      </c>
      <c r="V215" t="n">
        <v>1</v>
      </c>
      <c r="W215" t="n">
        <v>110</v>
      </c>
      <c r="X215" t="n">
        <v>0</v>
      </c>
      <c r="Y215" t="n">
        <v>59000</v>
      </c>
      <c r="Z215" t="n">
        <v>0</v>
      </c>
      <c r="AA215" t="n">
        <v>700</v>
      </c>
      <c r="AB215" t="n">
        <v>0</v>
      </c>
      <c r="AC215" t="n">
        <v>5</v>
      </c>
      <c r="AD215" t="n">
        <v>550</v>
      </c>
      <c r="AE215" t="n">
        <v>214</v>
      </c>
      <c r="AF215" t="n">
        <v>40</v>
      </c>
      <c r="AG215" t="n">
        <v>38</v>
      </c>
      <c r="AH215" t="n">
        <v>200</v>
      </c>
      <c r="AI215" t="n">
        <v>100</v>
      </c>
      <c r="AJ215" t="n">
        <v>2900</v>
      </c>
      <c r="AK215" t="n">
        <v>150</v>
      </c>
      <c r="AL215" t="n">
        <v>130</v>
      </c>
      <c r="AM215" t="n">
        <v>350</v>
      </c>
      <c r="AN215" t="n">
        <v>24</v>
      </c>
      <c r="AO215" t="n">
        <v>2</v>
      </c>
      <c r="AP215" t="n">
        <v>0</v>
      </c>
      <c r="AQ215" t="n">
        <v>0</v>
      </c>
      <c r="AR215" t="n">
        <v>0</v>
      </c>
      <c r="AS215" t="n">
        <v>0</v>
      </c>
      <c r="AT215" t="n">
        <v>1488</v>
      </c>
      <c r="AU215" t="n">
        <v>620</v>
      </c>
      <c r="AV215" t="n">
        <v>0</v>
      </c>
      <c r="AW215" t="n">
        <v>2108</v>
      </c>
      <c r="AX215" t="n">
        <v>0</v>
      </c>
      <c r="AY215" t="n">
        <v>0</v>
      </c>
      <c r="AZ215" t="n">
        <v>0</v>
      </c>
      <c r="BA215" t="n">
        <v>0</v>
      </c>
      <c r="BB215" t="n">
        <v>0</v>
      </c>
      <c r="BC215" t="n">
        <v>0</v>
      </c>
      <c r="BD215" t="n">
        <v>0</v>
      </c>
      <c r="BE215" t="n">
        <v>372</v>
      </c>
      <c r="BF215" t="n">
        <v>372</v>
      </c>
      <c r="BG215">
        <f>IF($F215=0,"0",MIN(
BH215/(30*$F215),
BI215/(61*$F215),
BJ215/(48*$F215),
(BK215+BL215)/(23*$F215),
(BM215+BN215)/(41*$F215),
BO215/(25*$F215),
BP215/(6.6*$F215),
BQ215/(40*$F215),
BS215/(16*$F215)
)*100)</f>
        <v/>
      </c>
      <c r="BH215" t="n">
        <v>221</v>
      </c>
      <c r="BI215" t="n">
        <v>314</v>
      </c>
      <c r="BJ215" t="n">
        <v>321</v>
      </c>
      <c r="BK215" t="n">
        <v>78</v>
      </c>
      <c r="BL215" t="n">
        <v>5</v>
      </c>
      <c r="BM215" t="n">
        <v>226</v>
      </c>
      <c r="BN215" t="n">
        <v>149</v>
      </c>
      <c r="BO215" t="n">
        <v>210</v>
      </c>
      <c r="BP215" t="n">
        <v>55</v>
      </c>
      <c r="BQ215" t="n">
        <v>281</v>
      </c>
      <c r="BR215" t="n">
        <v>266</v>
      </c>
      <c r="BS215" t="n">
        <v>110</v>
      </c>
      <c r="BT215" t="n">
        <v>2236</v>
      </c>
      <c r="BU215" t="n">
        <v>243</v>
      </c>
      <c r="BV215" t="n">
        <v>487</v>
      </c>
      <c r="BW215" t="n">
        <v>570</v>
      </c>
      <c r="BX215" t="n">
        <v>226</v>
      </c>
      <c r="BY215" t="n">
        <v>226</v>
      </c>
      <c r="BZ215" t="n">
        <v>211</v>
      </c>
      <c r="CA215" t="n">
        <v>1963</v>
      </c>
      <c r="CB215" t="n">
        <v>28</v>
      </c>
      <c r="CC215" t="n">
        <v>12</v>
      </c>
      <c r="CD215" t="n">
        <v>321</v>
      </c>
      <c r="CE215" t="n">
        <v>106</v>
      </c>
      <c r="CF215" t="n">
        <v>0.33</v>
      </c>
      <c r="CG215" t="n">
        <v>0</v>
      </c>
      <c r="CH215" t="n">
        <v>0</v>
      </c>
      <c r="CI215" t="n">
        <v>0</v>
      </c>
      <c r="CJ215" t="n">
        <v>0</v>
      </c>
      <c r="CK215" t="n">
        <v>0</v>
      </c>
      <c r="CL215" t="n">
        <v>0</v>
      </c>
      <c r="CM215" t="n">
        <v>0</v>
      </c>
      <c r="CN215" t="n">
        <v>96</v>
      </c>
      <c r="CO215" t="n">
        <v>0</v>
      </c>
      <c r="CP215" t="n">
        <v>7</v>
      </c>
      <c r="CQ215" t="n">
        <v>0</v>
      </c>
      <c r="CR215" t="n">
        <v>0</v>
      </c>
      <c r="CS215" t="n">
        <v>0</v>
      </c>
      <c r="CT215" t="n">
        <v>103</v>
      </c>
      <c r="CU215" t="n">
        <v>0</v>
      </c>
      <c r="CV215" t="n">
        <v>0</v>
      </c>
      <c r="CW215" t="n">
        <v>11</v>
      </c>
      <c r="CX215" t="n">
        <v>0</v>
      </c>
      <c r="CY215" t="n">
        <v>4</v>
      </c>
      <c r="CZ215" t="n">
        <v>0</v>
      </c>
      <c r="DA215" t="n">
        <v>0</v>
      </c>
      <c r="DB215" t="n">
        <v>0</v>
      </c>
      <c r="DC215" t="n">
        <v>15</v>
      </c>
      <c r="DD215" t="n">
        <v>0</v>
      </c>
      <c r="DE215" t="n">
        <v>0</v>
      </c>
      <c r="DF215" t="n">
        <v>106</v>
      </c>
      <c r="DG215" t="n">
        <v>321</v>
      </c>
      <c r="DH215" t="n">
        <v>0</v>
      </c>
      <c r="DI215" t="n">
        <v>0</v>
      </c>
      <c r="DJ215" t="n">
        <v>0</v>
      </c>
      <c r="DK215" t="n">
        <v>0</v>
      </c>
      <c r="DL215" t="n">
        <v>0</v>
      </c>
      <c r="DM215" t="n">
        <v>0</v>
      </c>
      <c r="DN215" t="n">
        <v>0</v>
      </c>
      <c r="DO215" t="n">
        <v>0</v>
      </c>
      <c r="DP215" t="n">
        <v>0</v>
      </c>
      <c r="DQ215" t="n">
        <v>0</v>
      </c>
      <c r="DR215" t="n">
        <v>0</v>
      </c>
      <c r="DS215" t="n">
        <v>427</v>
      </c>
      <c r="DT215" t="n">
        <v>545</v>
      </c>
      <c r="DU215" t="n">
        <v>155</v>
      </c>
      <c r="DV215" t="n">
        <v>0</v>
      </c>
      <c r="DW215" t="n">
        <v>0</v>
      </c>
      <c r="DX215" t="n">
        <v>0</v>
      </c>
      <c r="DY215" t="n">
        <v>458</v>
      </c>
      <c r="DZ215" t="n">
        <v>493</v>
      </c>
      <c r="EA215" t="n">
        <v>845</v>
      </c>
      <c r="EB215" t="n">
        <v>1584</v>
      </c>
      <c r="EC215" t="n">
        <v>141</v>
      </c>
      <c r="ED215" t="n">
        <v>1480</v>
      </c>
      <c r="EE215" t="n">
        <v>2040</v>
      </c>
      <c r="EF215" t="n">
        <v>0</v>
      </c>
      <c r="EG215" t="n">
        <v>0.4</v>
      </c>
      <c r="EH215" t="n">
        <v>1.9</v>
      </c>
      <c r="EI215" t="n">
        <v>2</v>
      </c>
      <c r="EJ215" t="n">
        <v>0.7</v>
      </c>
      <c r="EK215" t="n">
        <v>4.3</v>
      </c>
    </row>
    <row r="216">
      <c r="A216">
        <f>[1]ingredient!B215</f>
        <v/>
      </c>
      <c r="B216" t="inlineStr">
        <is>
          <t>https://www.naehrwertrechner.de/naehrwerte/R265011/Kreuzk%C3%BCmmel/?menge=100</t>
        </is>
      </c>
      <c r="C216" s="7">
        <f>_xlfn.XLOOKUP(A216,[1]ingredient!$B$2:$B$521,[1]ingredient!$A$2:$A$521)</f>
        <v/>
      </c>
      <c r="D216" t="n">
        <v>408</v>
      </c>
      <c r="E216" t="n">
        <v>22</v>
      </c>
      <c r="F216" t="n">
        <v>18</v>
      </c>
      <c r="G216" t="n">
        <v>34</v>
      </c>
      <c r="H216" t="n">
        <v>11</v>
      </c>
      <c r="I216" t="n">
        <v>7</v>
      </c>
      <c r="J216" t="n">
        <v>0.21</v>
      </c>
      <c r="K216" t="n">
        <v>8</v>
      </c>
      <c r="L216" t="n">
        <v>127</v>
      </c>
      <c r="M216" t="n">
        <v>63</v>
      </c>
      <c r="N216" t="n">
        <v>0</v>
      </c>
      <c r="O216" t="n">
        <v>760</v>
      </c>
      <c r="P216" t="n">
        <v>590</v>
      </c>
      <c r="Q216" t="n">
        <v>350</v>
      </c>
      <c r="R216" t="n">
        <v>3600</v>
      </c>
      <c r="S216" t="n">
        <v>8050</v>
      </c>
      <c r="T216" t="n">
        <v>500</v>
      </c>
      <c r="U216" t="n">
        <v>200</v>
      </c>
      <c r="V216" t="n">
        <v>10</v>
      </c>
      <c r="W216" t="n">
        <v>0</v>
      </c>
      <c r="X216" t="n">
        <v>0</v>
      </c>
      <c r="Y216" t="n">
        <v>0</v>
      </c>
      <c r="Z216" t="n">
        <v>0</v>
      </c>
      <c r="AA216" t="n">
        <v>0</v>
      </c>
      <c r="AB216" t="n">
        <v>0</v>
      </c>
      <c r="AC216" t="n">
        <v>150</v>
      </c>
      <c r="AD216" t="n">
        <v>1380</v>
      </c>
      <c r="AE216" t="n">
        <v>970</v>
      </c>
      <c r="AF216" t="n">
        <v>370</v>
      </c>
      <c r="AG216" t="n">
        <v>510</v>
      </c>
      <c r="AH216" t="n">
        <v>100</v>
      </c>
      <c r="AI216" t="n">
        <v>60</v>
      </c>
      <c r="AJ216" t="n">
        <v>69000</v>
      </c>
      <c r="AK216" t="n">
        <v>4200</v>
      </c>
      <c r="AL216" t="n">
        <v>1290</v>
      </c>
      <c r="AM216" t="n">
        <v>3000</v>
      </c>
      <c r="AN216" t="n">
        <v>50</v>
      </c>
      <c r="AO216" t="n">
        <v>5</v>
      </c>
      <c r="AP216" t="n">
        <v>0</v>
      </c>
      <c r="AQ216" t="n">
        <v>0</v>
      </c>
      <c r="AR216" t="n">
        <v>0</v>
      </c>
      <c r="AS216" t="n">
        <v>0</v>
      </c>
      <c r="AT216" t="n">
        <v>0</v>
      </c>
      <c r="AU216" t="n">
        <v>0</v>
      </c>
      <c r="AV216" t="n">
        <v>0</v>
      </c>
      <c r="AW216" t="n">
        <v>0</v>
      </c>
      <c r="AX216" t="n">
        <v>6800</v>
      </c>
      <c r="AY216" t="n">
        <v>0</v>
      </c>
      <c r="AZ216" t="n">
        <v>0</v>
      </c>
      <c r="BA216" t="n">
        <v>6800</v>
      </c>
      <c r="BB216" t="n">
        <v>0</v>
      </c>
      <c r="BC216" t="n">
        <v>0</v>
      </c>
      <c r="BD216" t="n">
        <v>0</v>
      </c>
      <c r="BE216" t="n">
        <v>27200</v>
      </c>
      <c r="BF216" t="n">
        <v>27200</v>
      </c>
      <c r="BG216">
        <f>IF($F216=0,"0",MIN(
BH216/(30*$F216),
BI216/(61*$F216),
BJ216/(48*$F216),
(BK216+BL216)/(23*$F216),
(BM216+BN216)/(41*$F216),
BO216/(25*$F216),
BP216/(6.6*$F216),
BQ216/(40*$F216),
BS216/(16*$F216)
)*100)</f>
        <v/>
      </c>
      <c r="BH216" t="n">
        <v>819</v>
      </c>
      <c r="BI216" t="n">
        <v>1210</v>
      </c>
      <c r="BJ216" t="n">
        <v>659</v>
      </c>
      <c r="BK216" t="n">
        <v>374</v>
      </c>
      <c r="BL216" t="n">
        <v>338</v>
      </c>
      <c r="BM216" t="n">
        <v>801</v>
      </c>
      <c r="BN216" t="n">
        <v>587</v>
      </c>
      <c r="BO216" t="n">
        <v>641</v>
      </c>
      <c r="BP216" t="n">
        <v>267</v>
      </c>
      <c r="BQ216" t="n">
        <v>961</v>
      </c>
      <c r="BR216" t="n">
        <v>1778</v>
      </c>
      <c r="BS216" t="n">
        <v>481</v>
      </c>
      <c r="BT216" t="n">
        <v>8916</v>
      </c>
      <c r="BU216" t="n">
        <v>837</v>
      </c>
      <c r="BV216" t="n">
        <v>1727</v>
      </c>
      <c r="BW216" t="n">
        <v>3738</v>
      </c>
      <c r="BX216" t="n">
        <v>926</v>
      </c>
      <c r="BY216" t="n">
        <v>748</v>
      </c>
      <c r="BZ216" t="n">
        <v>819</v>
      </c>
      <c r="CA216" t="n">
        <v>8795</v>
      </c>
      <c r="CB216" t="n">
        <v>149</v>
      </c>
      <c r="CC216" t="n">
        <v>62</v>
      </c>
      <c r="CD216" t="n">
        <v>218</v>
      </c>
      <c r="CE216" t="n">
        <v>4752</v>
      </c>
      <c r="CF216" t="n">
        <v>21.8</v>
      </c>
      <c r="CG216" t="n">
        <v>0</v>
      </c>
      <c r="CH216" t="n">
        <v>0</v>
      </c>
      <c r="CI216" t="n">
        <v>0</v>
      </c>
      <c r="CJ216" t="n">
        <v>0</v>
      </c>
      <c r="CK216" t="n">
        <v>0</v>
      </c>
      <c r="CL216" t="n">
        <v>67</v>
      </c>
      <c r="CM216" t="n">
        <v>0</v>
      </c>
      <c r="CN216" t="n">
        <v>705</v>
      </c>
      <c r="CO216" t="n">
        <v>0</v>
      </c>
      <c r="CP216" t="n">
        <v>168</v>
      </c>
      <c r="CQ216" t="n">
        <v>0</v>
      </c>
      <c r="CR216" t="n">
        <v>0</v>
      </c>
      <c r="CS216" t="n">
        <v>0</v>
      </c>
      <c r="CT216" t="n">
        <v>940</v>
      </c>
      <c r="CU216" t="n">
        <v>0</v>
      </c>
      <c r="CV216" t="n">
        <v>0</v>
      </c>
      <c r="CW216" t="n">
        <v>134</v>
      </c>
      <c r="CX216" t="n">
        <v>0</v>
      </c>
      <c r="CY216" t="n">
        <v>10748</v>
      </c>
      <c r="CZ216" t="n">
        <v>0</v>
      </c>
      <c r="DA216" t="n">
        <v>0</v>
      </c>
      <c r="DB216" t="n">
        <v>0</v>
      </c>
      <c r="DC216" t="n">
        <v>10882</v>
      </c>
      <c r="DD216" t="n">
        <v>0</v>
      </c>
      <c r="DE216" t="n">
        <v>0</v>
      </c>
      <c r="DF216" t="n">
        <v>4752</v>
      </c>
      <c r="DG216" t="n">
        <v>218</v>
      </c>
      <c r="DH216" t="n">
        <v>0</v>
      </c>
      <c r="DI216" t="n">
        <v>0</v>
      </c>
      <c r="DJ216" t="n">
        <v>0</v>
      </c>
      <c r="DK216" t="n">
        <v>0</v>
      </c>
      <c r="DL216" t="n">
        <v>0</v>
      </c>
      <c r="DM216" t="n">
        <v>0</v>
      </c>
      <c r="DN216" t="n">
        <v>0</v>
      </c>
      <c r="DO216" t="n">
        <v>0</v>
      </c>
      <c r="DP216" t="n">
        <v>0</v>
      </c>
      <c r="DQ216" t="n">
        <v>0</v>
      </c>
      <c r="DR216" t="n">
        <v>0</v>
      </c>
      <c r="DS216" t="n">
        <v>4970</v>
      </c>
      <c r="DT216" t="n">
        <v>16792</v>
      </c>
      <c r="DU216" t="n">
        <v>5478</v>
      </c>
      <c r="DV216" t="n">
        <v>0</v>
      </c>
      <c r="DW216" t="n">
        <v>0</v>
      </c>
      <c r="DX216" t="n">
        <v>0</v>
      </c>
      <c r="DY216" t="n">
        <v>1575</v>
      </c>
      <c r="DZ216" t="n">
        <v>6930</v>
      </c>
      <c r="EA216" t="n">
        <v>210</v>
      </c>
      <c r="EB216" t="n">
        <v>1575</v>
      </c>
      <c r="EC216" t="n">
        <v>210</v>
      </c>
      <c r="ED216" t="n">
        <v>4200</v>
      </c>
      <c r="EE216" t="n">
        <v>6300</v>
      </c>
      <c r="EF216" t="n">
        <v>0</v>
      </c>
      <c r="EG216" t="n">
        <v>0.3</v>
      </c>
      <c r="EH216" t="n">
        <v>7.6</v>
      </c>
      <c r="EI216" t="n">
        <v>6.3</v>
      </c>
      <c r="EJ216" t="n">
        <v>22.3</v>
      </c>
      <c r="EK216" t="n">
        <v>18.2</v>
      </c>
    </row>
    <row r="217">
      <c r="A217">
        <f>[1]ingredient!B216</f>
        <v/>
      </c>
      <c r="B217" t="inlineStr">
        <is>
          <t>https://www.naehrwertrechner.de/naehrwerte/R265011/Kreuzk%C3%BCmmel/?menge=100</t>
        </is>
      </c>
      <c r="C217" s="7">
        <f>_xlfn.XLOOKUP(A217,[1]ingredient!$B$2:$B$521,[1]ingredient!$A$2:$A$521)</f>
        <v/>
      </c>
      <c r="D217" t="n">
        <v>408</v>
      </c>
      <c r="E217" t="n">
        <v>22</v>
      </c>
      <c r="F217" t="n">
        <v>18</v>
      </c>
      <c r="G217" t="n">
        <v>34</v>
      </c>
      <c r="H217" t="n">
        <v>11</v>
      </c>
      <c r="I217" t="n">
        <v>7</v>
      </c>
      <c r="J217" t="n">
        <v>0.21</v>
      </c>
      <c r="K217" t="n">
        <v>8</v>
      </c>
      <c r="L217" t="n">
        <v>127</v>
      </c>
      <c r="M217" t="n">
        <v>63</v>
      </c>
      <c r="N217" t="n">
        <v>0</v>
      </c>
      <c r="O217" t="n">
        <v>760</v>
      </c>
      <c r="P217" t="n">
        <v>590</v>
      </c>
      <c r="Q217" t="n">
        <v>350</v>
      </c>
      <c r="R217" t="n">
        <v>3600</v>
      </c>
      <c r="S217" t="n">
        <v>8050</v>
      </c>
      <c r="T217" t="n">
        <v>500</v>
      </c>
      <c r="U217" t="n">
        <v>200</v>
      </c>
      <c r="V217" t="n">
        <v>10</v>
      </c>
      <c r="W217" t="n">
        <v>0</v>
      </c>
      <c r="X217" t="n">
        <v>0</v>
      </c>
      <c r="Y217" t="n">
        <v>0</v>
      </c>
      <c r="Z217" t="n">
        <v>0</v>
      </c>
      <c r="AA217" t="n">
        <v>0</v>
      </c>
      <c r="AB217" t="n">
        <v>0</v>
      </c>
      <c r="AC217" t="n">
        <v>150</v>
      </c>
      <c r="AD217" t="n">
        <v>1380</v>
      </c>
      <c r="AE217" t="n">
        <v>970</v>
      </c>
      <c r="AF217" t="n">
        <v>370</v>
      </c>
      <c r="AG217" t="n">
        <v>510</v>
      </c>
      <c r="AH217" t="n">
        <v>100</v>
      </c>
      <c r="AI217" t="n">
        <v>60</v>
      </c>
      <c r="AJ217" t="n">
        <v>69000</v>
      </c>
      <c r="AK217" t="n">
        <v>4200</v>
      </c>
      <c r="AL217" t="n">
        <v>1290</v>
      </c>
      <c r="AM217" t="n">
        <v>3000</v>
      </c>
      <c r="AN217" t="n">
        <v>50</v>
      </c>
      <c r="AO217" t="n">
        <v>5</v>
      </c>
      <c r="AP217" t="n">
        <v>0</v>
      </c>
      <c r="AQ217" t="n">
        <v>0</v>
      </c>
      <c r="AR217" t="n">
        <v>0</v>
      </c>
      <c r="AS217" t="n">
        <v>0</v>
      </c>
      <c r="AT217" t="n">
        <v>0</v>
      </c>
      <c r="AU217" t="n">
        <v>0</v>
      </c>
      <c r="AV217" t="n">
        <v>0</v>
      </c>
      <c r="AW217" t="n">
        <v>0</v>
      </c>
      <c r="AX217" t="n">
        <v>6800</v>
      </c>
      <c r="AY217" t="n">
        <v>0</v>
      </c>
      <c r="AZ217" t="n">
        <v>0</v>
      </c>
      <c r="BA217" t="n">
        <v>6800</v>
      </c>
      <c r="BB217" t="n">
        <v>0</v>
      </c>
      <c r="BC217" t="n">
        <v>0</v>
      </c>
      <c r="BD217" t="n">
        <v>0</v>
      </c>
      <c r="BE217" t="n">
        <v>27200</v>
      </c>
      <c r="BF217" t="n">
        <v>27200</v>
      </c>
      <c r="BG217">
        <f>IF($F217=0,"0",MIN(
BH217/(30*$F217),
BI217/(61*$F217),
BJ217/(48*$F217),
(BK217+BL217)/(23*$F217),
(BM217+BN217)/(41*$F217),
BO217/(25*$F217),
BP217/(6.6*$F217),
BQ217/(40*$F217),
BS217/(16*$F217)
)*100)</f>
        <v/>
      </c>
      <c r="BH217" t="n">
        <v>819</v>
      </c>
      <c r="BI217" t="n">
        <v>1210</v>
      </c>
      <c r="BJ217" t="n">
        <v>659</v>
      </c>
      <c r="BK217" t="n">
        <v>374</v>
      </c>
      <c r="BL217" t="n">
        <v>338</v>
      </c>
      <c r="BM217" t="n">
        <v>801</v>
      </c>
      <c r="BN217" t="n">
        <v>587</v>
      </c>
      <c r="BO217" t="n">
        <v>641</v>
      </c>
      <c r="BP217" t="n">
        <v>267</v>
      </c>
      <c r="BQ217" t="n">
        <v>961</v>
      </c>
      <c r="BR217" t="n">
        <v>1778</v>
      </c>
      <c r="BS217" t="n">
        <v>481</v>
      </c>
      <c r="BT217" t="n">
        <v>8916</v>
      </c>
      <c r="BU217" t="n">
        <v>837</v>
      </c>
      <c r="BV217" t="n">
        <v>1727</v>
      </c>
      <c r="BW217" t="n">
        <v>3738</v>
      </c>
      <c r="BX217" t="n">
        <v>926</v>
      </c>
      <c r="BY217" t="n">
        <v>748</v>
      </c>
      <c r="BZ217" t="n">
        <v>819</v>
      </c>
      <c r="CA217" t="n">
        <v>8795</v>
      </c>
      <c r="CB217" t="n">
        <v>149</v>
      </c>
      <c r="CC217" t="n">
        <v>62</v>
      </c>
      <c r="CD217" t="n">
        <v>218</v>
      </c>
      <c r="CE217" t="n">
        <v>4752</v>
      </c>
      <c r="CF217" t="n">
        <v>21.8</v>
      </c>
      <c r="CG217" t="n">
        <v>0</v>
      </c>
      <c r="CH217" t="n">
        <v>0</v>
      </c>
      <c r="CI217" t="n">
        <v>0</v>
      </c>
      <c r="CJ217" t="n">
        <v>0</v>
      </c>
      <c r="CK217" t="n">
        <v>0</v>
      </c>
      <c r="CL217" t="n">
        <v>67</v>
      </c>
      <c r="CM217" t="n">
        <v>0</v>
      </c>
      <c r="CN217" t="n">
        <v>705</v>
      </c>
      <c r="CO217" t="n">
        <v>0</v>
      </c>
      <c r="CP217" t="n">
        <v>168</v>
      </c>
      <c r="CQ217" t="n">
        <v>0</v>
      </c>
      <c r="CR217" t="n">
        <v>0</v>
      </c>
      <c r="CS217" t="n">
        <v>0</v>
      </c>
      <c r="CT217" t="n">
        <v>940</v>
      </c>
      <c r="CU217" t="n">
        <v>0</v>
      </c>
      <c r="CV217" t="n">
        <v>0</v>
      </c>
      <c r="CW217" t="n">
        <v>134</v>
      </c>
      <c r="CX217" t="n">
        <v>0</v>
      </c>
      <c r="CY217" t="n">
        <v>10748</v>
      </c>
      <c r="CZ217" t="n">
        <v>0</v>
      </c>
      <c r="DA217" t="n">
        <v>0</v>
      </c>
      <c r="DB217" t="n">
        <v>0</v>
      </c>
      <c r="DC217" t="n">
        <v>10882</v>
      </c>
      <c r="DD217" t="n">
        <v>0</v>
      </c>
      <c r="DE217" t="n">
        <v>0</v>
      </c>
      <c r="DF217" t="n">
        <v>4752</v>
      </c>
      <c r="DG217" t="n">
        <v>218</v>
      </c>
      <c r="DH217" t="n">
        <v>0</v>
      </c>
      <c r="DI217" t="n">
        <v>0</v>
      </c>
      <c r="DJ217" t="n">
        <v>0</v>
      </c>
      <c r="DK217" t="n">
        <v>0</v>
      </c>
      <c r="DL217" t="n">
        <v>0</v>
      </c>
      <c r="DM217" t="n">
        <v>0</v>
      </c>
      <c r="DN217" t="n">
        <v>0</v>
      </c>
      <c r="DO217" t="n">
        <v>0</v>
      </c>
      <c r="DP217" t="n">
        <v>0</v>
      </c>
      <c r="DQ217" t="n">
        <v>0</v>
      </c>
      <c r="DR217" t="n">
        <v>0</v>
      </c>
      <c r="DS217" t="n">
        <v>4970</v>
      </c>
      <c r="DT217" t="n">
        <v>16792</v>
      </c>
      <c r="DU217" t="n">
        <v>5478</v>
      </c>
      <c r="DV217" t="n">
        <v>0</v>
      </c>
      <c r="DW217" t="n">
        <v>0</v>
      </c>
      <c r="DX217" t="n">
        <v>0</v>
      </c>
      <c r="DY217" t="n">
        <v>1575</v>
      </c>
      <c r="DZ217" t="n">
        <v>6930</v>
      </c>
      <c r="EA217" t="n">
        <v>210</v>
      </c>
      <c r="EB217" t="n">
        <v>1575</v>
      </c>
      <c r="EC217" t="n">
        <v>210</v>
      </c>
      <c r="ED217" t="n">
        <v>4200</v>
      </c>
      <c r="EE217" t="n">
        <v>6300</v>
      </c>
      <c r="EF217" t="n">
        <v>0</v>
      </c>
      <c r="EG217" t="n">
        <v>0.3</v>
      </c>
      <c r="EH217" t="n">
        <v>7.6</v>
      </c>
      <c r="EI217" t="n">
        <v>6.3</v>
      </c>
      <c r="EJ217" t="n">
        <v>22.3</v>
      </c>
      <c r="EK217" t="n">
        <v>18.2</v>
      </c>
    </row>
    <row r="218">
      <c r="A218">
        <f>[1]ingredient!B217</f>
        <v/>
      </c>
      <c r="B218" t="inlineStr">
        <is>
          <t>https://www.naehrwertrechner.de/naehrwerte/R262011/K%C3%BCmmel/?menge=100</t>
        </is>
      </c>
      <c r="C218" s="7">
        <f>_xlfn.XLOOKUP(A218,[1]ingredient!$B$2:$B$521,[1]ingredient!$A$2:$A$521)</f>
        <v/>
      </c>
      <c r="D218" t="n">
        <v>362</v>
      </c>
      <c r="E218" t="n">
        <v>15</v>
      </c>
      <c r="F218" t="n">
        <v>20</v>
      </c>
      <c r="G218" t="n">
        <v>37</v>
      </c>
      <c r="H218" t="n">
        <v>13</v>
      </c>
      <c r="I218" t="n">
        <v>7</v>
      </c>
      <c r="J218" t="n">
        <v>0.08</v>
      </c>
      <c r="K218" t="n">
        <v>9</v>
      </c>
      <c r="L218" t="n">
        <v>36</v>
      </c>
      <c r="M218" t="n">
        <v>18</v>
      </c>
      <c r="N218" t="n">
        <v>0</v>
      </c>
      <c r="O218" t="n">
        <v>215</v>
      </c>
      <c r="P218" t="n">
        <v>380</v>
      </c>
      <c r="Q218" t="n">
        <v>380</v>
      </c>
      <c r="R218" t="n">
        <v>3600</v>
      </c>
      <c r="S218" t="n">
        <v>8550</v>
      </c>
      <c r="T218" t="n">
        <v>500</v>
      </c>
      <c r="U218" t="n">
        <v>200</v>
      </c>
      <c r="V218" t="n">
        <v>10</v>
      </c>
      <c r="W218" t="n">
        <v>0</v>
      </c>
      <c r="X218" t="n">
        <v>0</v>
      </c>
      <c r="Y218" t="n">
        <v>0</v>
      </c>
      <c r="Z218" t="n">
        <v>0</v>
      </c>
      <c r="AA218" t="n">
        <v>0</v>
      </c>
      <c r="AB218" t="n">
        <v>0</v>
      </c>
      <c r="AC218" t="n">
        <v>17</v>
      </c>
      <c r="AD218" t="n">
        <v>1350</v>
      </c>
      <c r="AE218" t="n">
        <v>950</v>
      </c>
      <c r="AF218" t="n">
        <v>260</v>
      </c>
      <c r="AG218" t="n">
        <v>510</v>
      </c>
      <c r="AH218" t="n">
        <v>100</v>
      </c>
      <c r="AI218" t="n">
        <v>60</v>
      </c>
      <c r="AJ218" t="n">
        <v>16230</v>
      </c>
      <c r="AK218" t="n">
        <v>5200</v>
      </c>
      <c r="AL218" t="n">
        <v>1060</v>
      </c>
      <c r="AM218" t="n">
        <v>2500</v>
      </c>
      <c r="AN218" t="n">
        <v>50</v>
      </c>
      <c r="AO218" t="n">
        <v>5</v>
      </c>
      <c r="AP218" t="n">
        <v>0</v>
      </c>
      <c r="AQ218" t="n">
        <v>0</v>
      </c>
      <c r="AR218" t="n">
        <v>0</v>
      </c>
      <c r="AS218" t="n">
        <v>0</v>
      </c>
      <c r="AT218" t="n">
        <v>0</v>
      </c>
      <c r="AU218" t="n">
        <v>0</v>
      </c>
      <c r="AV218" t="n">
        <v>0</v>
      </c>
      <c r="AW218" t="n">
        <v>0</v>
      </c>
      <c r="AX218" t="n">
        <v>7460</v>
      </c>
      <c r="AY218" t="n">
        <v>0</v>
      </c>
      <c r="AZ218" t="n">
        <v>0</v>
      </c>
      <c r="BA218" t="n">
        <v>7460</v>
      </c>
      <c r="BB218" t="n">
        <v>0</v>
      </c>
      <c r="BC218" t="n">
        <v>0</v>
      </c>
      <c r="BD218" t="n">
        <v>0</v>
      </c>
      <c r="BE218" t="n">
        <v>29840</v>
      </c>
      <c r="BF218" t="n">
        <v>29840</v>
      </c>
      <c r="BG218">
        <f>IF($F218=0,"0",MIN(
BH218/(30*$F218),
BI218/(61*$F218),
BJ218/(48*$F218),
(BK218+BL218)/(23*$F218),
(BM218+BN218)/(41*$F218),
BO218/(25*$F218),
BP218/(6.6*$F218),
BQ218/(40*$F218),
BS218/(16*$F218)
)*100)</f>
        <v/>
      </c>
      <c r="BH218" t="n">
        <v>911</v>
      </c>
      <c r="BI218" t="n">
        <v>1346</v>
      </c>
      <c r="BJ218" t="n">
        <v>733</v>
      </c>
      <c r="BK218" t="n">
        <v>416</v>
      </c>
      <c r="BL218" t="n">
        <v>376</v>
      </c>
      <c r="BM218" t="n">
        <v>891</v>
      </c>
      <c r="BN218" t="n">
        <v>653</v>
      </c>
      <c r="BO218" t="n">
        <v>713</v>
      </c>
      <c r="BP218" t="n">
        <v>297</v>
      </c>
      <c r="BQ218" t="n">
        <v>1069</v>
      </c>
      <c r="BR218" t="n">
        <v>1978</v>
      </c>
      <c r="BS218" t="n">
        <v>535</v>
      </c>
      <c r="BT218" t="n">
        <v>9918</v>
      </c>
      <c r="BU218" t="n">
        <v>931</v>
      </c>
      <c r="BV218" t="n">
        <v>1921</v>
      </c>
      <c r="BW218" t="n">
        <v>4158</v>
      </c>
      <c r="BX218" t="n">
        <v>1030</v>
      </c>
      <c r="BY218" t="n">
        <v>832</v>
      </c>
      <c r="BZ218" t="n">
        <v>911</v>
      </c>
      <c r="CA218" t="n">
        <v>9783</v>
      </c>
      <c r="CB218" t="n">
        <v>150</v>
      </c>
      <c r="CC218" t="n">
        <v>63</v>
      </c>
      <c r="CD218" t="n">
        <v>143</v>
      </c>
      <c r="CE218" t="n">
        <v>3115</v>
      </c>
      <c r="CF218" t="n">
        <v>21.78</v>
      </c>
      <c r="CG218" t="n">
        <v>0</v>
      </c>
      <c r="CH218" t="n">
        <v>0</v>
      </c>
      <c r="CI218" t="n">
        <v>0</v>
      </c>
      <c r="CJ218" t="n">
        <v>0</v>
      </c>
      <c r="CK218" t="n">
        <v>0</v>
      </c>
      <c r="CL218" t="n">
        <v>44</v>
      </c>
      <c r="CM218" t="n">
        <v>0</v>
      </c>
      <c r="CN218" t="n">
        <v>462</v>
      </c>
      <c r="CO218" t="n">
        <v>0</v>
      </c>
      <c r="CP218" t="n">
        <v>110</v>
      </c>
      <c r="CQ218" t="n">
        <v>0</v>
      </c>
      <c r="CR218" t="n">
        <v>0</v>
      </c>
      <c r="CS218" t="n">
        <v>0</v>
      </c>
      <c r="CT218" t="n">
        <v>616</v>
      </c>
      <c r="CU218" t="n">
        <v>0</v>
      </c>
      <c r="CV218" t="n">
        <v>0</v>
      </c>
      <c r="CW218" t="n">
        <v>88</v>
      </c>
      <c r="CX218" t="n">
        <v>0</v>
      </c>
      <c r="CY218" t="n">
        <v>7046</v>
      </c>
      <c r="CZ218" t="n">
        <v>0</v>
      </c>
      <c r="DA218" t="n">
        <v>0</v>
      </c>
      <c r="DB218" t="n">
        <v>0</v>
      </c>
      <c r="DC218" t="n">
        <v>7134</v>
      </c>
      <c r="DD218" t="n">
        <v>0</v>
      </c>
      <c r="DE218" t="n">
        <v>0</v>
      </c>
      <c r="DF218" t="n">
        <v>3115</v>
      </c>
      <c r="DG218" t="n">
        <v>143</v>
      </c>
      <c r="DH218" t="n">
        <v>0</v>
      </c>
      <c r="DI218" t="n">
        <v>0</v>
      </c>
      <c r="DJ218" t="n">
        <v>0</v>
      </c>
      <c r="DK218" t="n">
        <v>0</v>
      </c>
      <c r="DL218" t="n">
        <v>0</v>
      </c>
      <c r="DM218" t="n">
        <v>0</v>
      </c>
      <c r="DN218" t="n">
        <v>0</v>
      </c>
      <c r="DO218" t="n">
        <v>0</v>
      </c>
      <c r="DP218" t="n">
        <v>0</v>
      </c>
      <c r="DQ218" t="n">
        <v>0</v>
      </c>
      <c r="DR218" t="n">
        <v>0</v>
      </c>
      <c r="DS218" t="n">
        <v>3258</v>
      </c>
      <c r="DT218" t="n">
        <v>11008</v>
      </c>
      <c r="DU218" t="n">
        <v>3592</v>
      </c>
      <c r="DV218" t="n">
        <v>0</v>
      </c>
      <c r="DW218" t="n">
        <v>0</v>
      </c>
      <c r="DX218" t="n">
        <v>0</v>
      </c>
      <c r="DY218" t="n">
        <v>1905</v>
      </c>
      <c r="DZ218" t="n">
        <v>8382</v>
      </c>
      <c r="EA218" t="n">
        <v>254</v>
      </c>
      <c r="EB218" t="n">
        <v>1905</v>
      </c>
      <c r="EC218" t="n">
        <v>254</v>
      </c>
      <c r="ED218" t="n">
        <v>5080</v>
      </c>
      <c r="EE218" t="n">
        <v>7620</v>
      </c>
      <c r="EF218" t="n">
        <v>0</v>
      </c>
      <c r="EG218" t="n">
        <v>0.33</v>
      </c>
      <c r="EH218" t="n">
        <v>5.9</v>
      </c>
      <c r="EI218" t="n">
        <v>7.6</v>
      </c>
      <c r="EJ218" t="n">
        <v>14.6</v>
      </c>
      <c r="EK218" t="n">
        <v>20.2</v>
      </c>
    </row>
    <row r="219">
      <c r="A219">
        <f>[1]ingredient!B218</f>
        <v/>
      </c>
      <c r="B219" t="inlineStr">
        <is>
          <t>https://www.naehrwertrechner.de/naehrwerte/G597111/Butternut+K%C3%BCrbis/?menge=100</t>
        </is>
      </c>
      <c r="C219" s="7">
        <f>_xlfn.XLOOKUP(A219,[1]ingredient!$B$2:$B$521,[1]ingredient!$A$2:$A$521)</f>
        <v/>
      </c>
      <c r="D219" t="n">
        <v>46</v>
      </c>
      <c r="E219" t="n">
        <v>0.1</v>
      </c>
      <c r="F219" t="n">
        <v>1</v>
      </c>
      <c r="G219" t="n">
        <v>10</v>
      </c>
      <c r="H219" t="n">
        <v>2</v>
      </c>
      <c r="I219" t="n">
        <v>2</v>
      </c>
      <c r="J219" t="n">
        <v>0.08</v>
      </c>
      <c r="K219" t="n">
        <v>87</v>
      </c>
      <c r="L219" t="n">
        <v>500</v>
      </c>
      <c r="M219" t="n">
        <v>267</v>
      </c>
      <c r="N219" t="n">
        <v>0</v>
      </c>
      <c r="O219" t="n">
        <v>3200</v>
      </c>
      <c r="P219" t="n">
        <v>100</v>
      </c>
      <c r="Q219" t="n">
        <v>0</v>
      </c>
      <c r="R219" t="n">
        <v>1200</v>
      </c>
      <c r="S219" t="n">
        <v>1400</v>
      </c>
      <c r="T219" t="n">
        <v>400</v>
      </c>
      <c r="U219" t="n">
        <v>200</v>
      </c>
      <c r="V219" t="n">
        <v>0</v>
      </c>
      <c r="W219" t="n">
        <v>27</v>
      </c>
      <c r="X219" t="n">
        <v>0</v>
      </c>
      <c r="Y219" t="n">
        <v>21000</v>
      </c>
      <c r="Z219" t="n">
        <v>0</v>
      </c>
      <c r="AA219" t="n">
        <v>0</v>
      </c>
      <c r="AB219" t="n">
        <v>1</v>
      </c>
      <c r="AC219" t="n">
        <v>4</v>
      </c>
      <c r="AD219" t="n">
        <v>352</v>
      </c>
      <c r="AE219" t="n">
        <v>48</v>
      </c>
      <c r="AF219" t="n">
        <v>34</v>
      </c>
      <c r="AG219" t="n">
        <v>33</v>
      </c>
      <c r="AH219" t="n">
        <v>9</v>
      </c>
      <c r="AI219" t="n">
        <v>77</v>
      </c>
      <c r="AJ219" t="n">
        <v>700</v>
      </c>
      <c r="AK219" t="n">
        <v>200</v>
      </c>
      <c r="AL219" t="n">
        <v>100</v>
      </c>
      <c r="AM219" t="n">
        <v>200</v>
      </c>
      <c r="AN219" t="n">
        <v>0</v>
      </c>
      <c r="AO219" t="n">
        <v>1</v>
      </c>
      <c r="AP219" t="n">
        <v>690</v>
      </c>
      <c r="AQ219" t="n">
        <v>0</v>
      </c>
      <c r="AR219" t="n">
        <v>100</v>
      </c>
      <c r="AS219" t="n">
        <v>790</v>
      </c>
      <c r="AT219" t="n">
        <v>990</v>
      </c>
      <c r="AU219" t="n">
        <v>990</v>
      </c>
      <c r="AV219" t="n">
        <v>0</v>
      </c>
      <c r="AW219" t="n">
        <v>1980</v>
      </c>
      <c r="AX219" t="n">
        <v>200</v>
      </c>
      <c r="AY219" t="n">
        <v>0</v>
      </c>
      <c r="AZ219" t="n">
        <v>0</v>
      </c>
      <c r="BA219" t="n">
        <v>220</v>
      </c>
      <c r="BB219" t="n">
        <v>3700</v>
      </c>
      <c r="BC219" t="n">
        <v>0</v>
      </c>
      <c r="BD219" t="n">
        <v>0</v>
      </c>
      <c r="BE219" t="n">
        <v>3000</v>
      </c>
      <c r="BF219" t="n">
        <v>0</v>
      </c>
      <c r="BG219">
        <f>IF($F219=0,"0",MIN(
BH219/(30*$F219),
BI219/(61*$F219),
BJ219/(48*$F219),
(BK219+BL219)/(23*$F219),
(BM219+BN219)/(41*$F219),
BO219/(25*$F219),
BP219/(6.6*$F219),
BQ219/(40*$F219),
BS219/(16*$F219)
)*100)</f>
        <v/>
      </c>
      <c r="BH219" t="n">
        <v>39</v>
      </c>
      <c r="BI219" t="n">
        <v>57</v>
      </c>
      <c r="BJ219" t="n">
        <v>37</v>
      </c>
      <c r="BK219" t="n">
        <v>12</v>
      </c>
      <c r="BL219" t="n">
        <v>9</v>
      </c>
      <c r="BM219" t="n">
        <v>39</v>
      </c>
      <c r="BN219" t="n">
        <v>34</v>
      </c>
      <c r="BO219" t="n">
        <v>10</v>
      </c>
      <c r="BP219" t="n">
        <v>14</v>
      </c>
      <c r="BQ219" t="n">
        <v>43</v>
      </c>
      <c r="BR219" t="n">
        <v>56</v>
      </c>
      <c r="BS219" t="n">
        <v>19</v>
      </c>
      <c r="BT219" t="n">
        <v>369</v>
      </c>
      <c r="BU219" t="n">
        <v>42</v>
      </c>
      <c r="BV219" t="n">
        <v>107</v>
      </c>
      <c r="BW219" t="n">
        <v>175</v>
      </c>
      <c r="BX219" t="n">
        <v>37</v>
      </c>
      <c r="BY219" t="n">
        <v>36</v>
      </c>
      <c r="BZ219" t="n">
        <v>37</v>
      </c>
      <c r="CA219" t="n">
        <v>434</v>
      </c>
      <c r="CB219" t="n">
        <v>44</v>
      </c>
      <c r="CC219" t="n">
        <v>15</v>
      </c>
      <c r="CD219" t="n">
        <v>0</v>
      </c>
      <c r="CE219" t="n">
        <v>0</v>
      </c>
      <c r="CF219" t="n">
        <v>1</v>
      </c>
      <c r="CG219" t="n">
        <v>0</v>
      </c>
      <c r="CH219" t="n">
        <v>0</v>
      </c>
      <c r="CI219" t="n">
        <v>0</v>
      </c>
      <c r="CJ219" t="n">
        <v>0</v>
      </c>
      <c r="CK219" t="n">
        <v>0</v>
      </c>
      <c r="CL219" t="n">
        <v>1</v>
      </c>
      <c r="CM219" t="n">
        <v>0</v>
      </c>
      <c r="CN219" t="n">
        <v>18</v>
      </c>
      <c r="CO219" t="n">
        <v>0</v>
      </c>
      <c r="CP219" t="n">
        <v>2</v>
      </c>
      <c r="CQ219" t="n">
        <v>0</v>
      </c>
      <c r="CR219" t="n">
        <v>0</v>
      </c>
      <c r="CS219" t="n">
        <v>0</v>
      </c>
      <c r="CT219" t="n">
        <v>0</v>
      </c>
      <c r="CU219" t="n">
        <v>0</v>
      </c>
      <c r="CV219" t="n">
        <v>0</v>
      </c>
      <c r="CW219" t="n">
        <v>0</v>
      </c>
      <c r="CX219" t="n">
        <v>0</v>
      </c>
      <c r="CY219" t="n">
        <v>7</v>
      </c>
      <c r="CZ219" t="n">
        <v>0</v>
      </c>
      <c r="DA219" t="n">
        <v>0</v>
      </c>
      <c r="DB219" t="n">
        <v>0</v>
      </c>
      <c r="DC219" t="n">
        <v>0</v>
      </c>
      <c r="DD219" t="n">
        <v>0</v>
      </c>
      <c r="DE219" t="n">
        <v>0</v>
      </c>
      <c r="DF219" t="n">
        <v>0</v>
      </c>
      <c r="DG219" t="n">
        <v>0</v>
      </c>
      <c r="DH219" t="n">
        <v>0</v>
      </c>
      <c r="DI219" t="n">
        <v>0</v>
      </c>
      <c r="DJ219" t="n">
        <v>0</v>
      </c>
      <c r="DK219" t="n">
        <v>0</v>
      </c>
      <c r="DL219" t="n">
        <v>0</v>
      </c>
      <c r="DM219" t="n">
        <v>0</v>
      </c>
      <c r="DN219" t="n">
        <v>0</v>
      </c>
      <c r="DO219" t="n">
        <v>0</v>
      </c>
      <c r="DP219" t="n">
        <v>0</v>
      </c>
      <c r="DQ219" t="n">
        <v>0</v>
      </c>
      <c r="DR219" t="n">
        <v>0</v>
      </c>
      <c r="DS219" t="n">
        <v>0</v>
      </c>
      <c r="DT219" t="n">
        <v>70</v>
      </c>
      <c r="DU219" t="n">
        <v>30</v>
      </c>
      <c r="DV219" t="n">
        <v>0</v>
      </c>
      <c r="DW219" t="n">
        <v>0</v>
      </c>
      <c r="DX219" t="n">
        <v>0</v>
      </c>
      <c r="DY219" t="n">
        <v>200</v>
      </c>
      <c r="DZ219" t="n">
        <v>300</v>
      </c>
      <c r="EA219" t="n">
        <v>600</v>
      </c>
      <c r="EB219" t="n">
        <v>800</v>
      </c>
      <c r="EC219" t="n">
        <v>180</v>
      </c>
      <c r="ED219" t="n">
        <v>77</v>
      </c>
      <c r="EE219" t="n">
        <v>1923</v>
      </c>
      <c r="EF219" t="n">
        <v>0</v>
      </c>
      <c r="EG219" t="n">
        <v>0</v>
      </c>
      <c r="EH219" t="n">
        <v>0.6</v>
      </c>
      <c r="EI219" t="n">
        <v>1.9</v>
      </c>
      <c r="EJ219" t="n">
        <v>0.1</v>
      </c>
      <c r="EK219" t="n">
        <v>0.9</v>
      </c>
    </row>
    <row r="220">
      <c r="A220">
        <f>[1]ingredient!B219</f>
        <v/>
      </c>
      <c r="B220" t="inlineStr">
        <is>
          <t>https://www.naehrwertrechner.de/naehrwerte/G581111/K%C3%BCrbis+frisch/?menge=100</t>
        </is>
      </c>
      <c r="C220" s="7">
        <f>_xlfn.XLOOKUP(A220,[1]ingredient!$B$2:$B$521,[1]ingredient!$A$2:$A$521)</f>
        <v/>
      </c>
      <c r="D220" t="n">
        <v>27</v>
      </c>
      <c r="E220" t="n">
        <v>0.2</v>
      </c>
      <c r="F220" t="n">
        <v>1</v>
      </c>
      <c r="G220" t="n">
        <v>5</v>
      </c>
      <c r="H220" t="n">
        <v>1</v>
      </c>
      <c r="I220" t="n">
        <v>4</v>
      </c>
      <c r="J220" t="n">
        <v>0.04</v>
      </c>
      <c r="K220" t="n">
        <v>92</v>
      </c>
      <c r="L220" t="n">
        <v>233</v>
      </c>
      <c r="M220" t="n">
        <v>117</v>
      </c>
      <c r="N220" t="n">
        <v>0</v>
      </c>
      <c r="O220" t="n">
        <v>1400</v>
      </c>
      <c r="P220" t="n">
        <v>90</v>
      </c>
      <c r="Q220" t="n">
        <v>60</v>
      </c>
      <c r="R220" t="n">
        <v>1600</v>
      </c>
      <c r="S220" t="n">
        <v>1883</v>
      </c>
      <c r="T220" t="n">
        <v>400</v>
      </c>
      <c r="U220" t="n">
        <v>150</v>
      </c>
      <c r="V220" t="n">
        <v>0.4</v>
      </c>
      <c r="W220" t="n">
        <v>17</v>
      </c>
      <c r="X220" t="n">
        <v>0</v>
      </c>
      <c r="Y220" t="n">
        <v>14000</v>
      </c>
      <c r="Z220" t="n">
        <v>0</v>
      </c>
      <c r="AA220" t="n">
        <v>100</v>
      </c>
      <c r="AB220" t="n">
        <v>5</v>
      </c>
      <c r="AC220" t="n">
        <v>7</v>
      </c>
      <c r="AD220" t="n">
        <v>351</v>
      </c>
      <c r="AE220" t="n">
        <v>27</v>
      </c>
      <c r="AF220" t="n">
        <v>23</v>
      </c>
      <c r="AG220" t="n">
        <v>43</v>
      </c>
      <c r="AH220" t="n">
        <v>10</v>
      </c>
      <c r="AI220" t="n">
        <v>30</v>
      </c>
      <c r="AJ220" t="n">
        <v>770</v>
      </c>
      <c r="AK220" t="n">
        <v>100</v>
      </c>
      <c r="AL220" t="n">
        <v>100</v>
      </c>
      <c r="AM220" t="n">
        <v>220</v>
      </c>
      <c r="AN220" t="n">
        <v>20</v>
      </c>
      <c r="AO220" t="n">
        <v>1</v>
      </c>
      <c r="AP220" t="n">
        <v>28</v>
      </c>
      <c r="AQ220" t="n">
        <v>0</v>
      </c>
      <c r="AR220" t="n">
        <v>18</v>
      </c>
      <c r="AS220" t="n">
        <v>46</v>
      </c>
      <c r="AT220" t="n">
        <v>1331</v>
      </c>
      <c r="AU220" t="n">
        <v>1561</v>
      </c>
      <c r="AV220" t="n">
        <v>0</v>
      </c>
      <c r="AW220" t="n">
        <v>2892</v>
      </c>
      <c r="AX220" t="n">
        <v>734</v>
      </c>
      <c r="AY220" t="n">
        <v>0</v>
      </c>
      <c r="AZ220" t="n">
        <v>0</v>
      </c>
      <c r="BA220" t="n">
        <v>734</v>
      </c>
      <c r="BB220" t="n">
        <v>0</v>
      </c>
      <c r="BC220" t="n">
        <v>0</v>
      </c>
      <c r="BD220" t="n">
        <v>0</v>
      </c>
      <c r="BE220" t="n">
        <v>918</v>
      </c>
      <c r="BF220" t="n">
        <v>918</v>
      </c>
      <c r="BG220">
        <f>IF($F220=0,"0",MIN(
BH220/(30*$F220),
BI220/(61*$F220),
BJ220/(48*$F220),
(BK220+BL220)/(23*$F220),
(BM220+BN220)/(41*$F220),
BO220/(25*$F220),
BP220/(6.6*$F220),
BQ220/(40*$F220),
BS220/(16*$F220)
)*100)</f>
        <v/>
      </c>
      <c r="BH220" t="n">
        <v>53</v>
      </c>
      <c r="BI220" t="n">
        <v>77</v>
      </c>
      <c r="BJ220" t="n">
        <v>71</v>
      </c>
      <c r="BK220" t="n">
        <v>17</v>
      </c>
      <c r="BL220" t="n">
        <v>11</v>
      </c>
      <c r="BM220" t="n">
        <v>45</v>
      </c>
      <c r="BN220" t="n">
        <v>36</v>
      </c>
      <c r="BO220" t="n">
        <v>35</v>
      </c>
      <c r="BP220" t="n">
        <v>17</v>
      </c>
      <c r="BQ220" t="n">
        <v>55</v>
      </c>
      <c r="BR220" t="n">
        <v>59</v>
      </c>
      <c r="BS220" t="n">
        <v>24</v>
      </c>
      <c r="BT220" t="n">
        <v>500</v>
      </c>
      <c r="BU220" t="n">
        <v>63</v>
      </c>
      <c r="BV220" t="n">
        <v>168</v>
      </c>
      <c r="BW220" t="n">
        <v>215</v>
      </c>
      <c r="BX220" t="n">
        <v>45</v>
      </c>
      <c r="BY220" t="n">
        <v>41</v>
      </c>
      <c r="BZ220" t="n">
        <v>60</v>
      </c>
      <c r="CA220" t="n">
        <v>592</v>
      </c>
      <c r="CB220" t="n">
        <v>7</v>
      </c>
      <c r="CC220" t="n">
        <v>3</v>
      </c>
      <c r="CD220" t="n">
        <v>59</v>
      </c>
      <c r="CE220" t="n">
        <v>36</v>
      </c>
      <c r="CF220" t="n">
        <v>0.61</v>
      </c>
      <c r="CG220" t="n">
        <v>0</v>
      </c>
      <c r="CH220" t="n">
        <v>0</v>
      </c>
      <c r="CI220" t="n">
        <v>0</v>
      </c>
      <c r="CJ220" t="n">
        <v>0</v>
      </c>
      <c r="CK220" t="n">
        <v>1</v>
      </c>
      <c r="CL220" t="n">
        <v>1</v>
      </c>
      <c r="CM220" t="n">
        <v>0</v>
      </c>
      <c r="CN220" t="n">
        <v>41</v>
      </c>
      <c r="CO220" t="n">
        <v>0</v>
      </c>
      <c r="CP220" t="n">
        <v>5</v>
      </c>
      <c r="CQ220" t="n">
        <v>0</v>
      </c>
      <c r="CR220" t="n">
        <v>0</v>
      </c>
      <c r="CS220" t="n">
        <v>0</v>
      </c>
      <c r="CT220" t="n">
        <v>48</v>
      </c>
      <c r="CU220" t="n">
        <v>0</v>
      </c>
      <c r="CV220" t="n">
        <v>0</v>
      </c>
      <c r="CW220" t="n">
        <v>1</v>
      </c>
      <c r="CX220" t="n">
        <v>0</v>
      </c>
      <c r="CY220" t="n">
        <v>16</v>
      </c>
      <c r="CZ220" t="n">
        <v>0</v>
      </c>
      <c r="DA220" t="n">
        <v>0</v>
      </c>
      <c r="DB220" t="n">
        <v>0</v>
      </c>
      <c r="DC220" t="n">
        <v>17</v>
      </c>
      <c r="DD220" t="n">
        <v>0</v>
      </c>
      <c r="DE220" t="n">
        <v>0</v>
      </c>
      <c r="DF220" t="n">
        <v>36</v>
      </c>
      <c r="DG220" t="n">
        <v>59</v>
      </c>
      <c r="DH220" t="n">
        <v>0</v>
      </c>
      <c r="DI220" t="n">
        <v>0</v>
      </c>
      <c r="DJ220" t="n">
        <v>0</v>
      </c>
      <c r="DK220" t="n">
        <v>0</v>
      </c>
      <c r="DL220" t="n">
        <v>0</v>
      </c>
      <c r="DM220" t="n">
        <v>0</v>
      </c>
      <c r="DN220" t="n">
        <v>0</v>
      </c>
      <c r="DO220" t="n">
        <v>0</v>
      </c>
      <c r="DP220" t="n">
        <v>0</v>
      </c>
      <c r="DQ220" t="n">
        <v>0</v>
      </c>
      <c r="DR220" t="n">
        <v>0</v>
      </c>
      <c r="DS220" t="n">
        <v>95</v>
      </c>
      <c r="DT220" t="n">
        <v>160</v>
      </c>
      <c r="DU220" t="n">
        <v>40</v>
      </c>
      <c r="DV220" t="n">
        <v>0</v>
      </c>
      <c r="DW220" t="n">
        <v>0</v>
      </c>
      <c r="DX220" t="n">
        <v>0</v>
      </c>
      <c r="DY220" t="n">
        <v>78</v>
      </c>
      <c r="DZ220" t="n">
        <v>117</v>
      </c>
      <c r="EA220" t="n">
        <v>234</v>
      </c>
      <c r="EB220" t="n">
        <v>312</v>
      </c>
      <c r="EC220" t="n">
        <v>39</v>
      </c>
      <c r="ED220" t="n">
        <v>187</v>
      </c>
      <c r="EE220" t="n">
        <v>593</v>
      </c>
      <c r="EF220" t="n">
        <v>0</v>
      </c>
      <c r="EG220" t="n">
        <v>0.25</v>
      </c>
      <c r="EH220" t="n">
        <v>0.7</v>
      </c>
      <c r="EI220" t="n">
        <v>0.6</v>
      </c>
      <c r="EJ220" t="n">
        <v>0.2</v>
      </c>
      <c r="EK220" t="n">
        <v>1.1</v>
      </c>
    </row>
    <row r="221">
      <c r="A221">
        <f>[1]ingredient!B220</f>
        <v/>
      </c>
      <c r="B221" t="inlineStr">
        <is>
          <t>https://www.naehrwertrechner.de/naehrwerte/G581111/K%C3%BCrbis+frisch/?menge=100</t>
        </is>
      </c>
      <c r="C221" s="7">
        <f>_xlfn.XLOOKUP(A221,[1]ingredient!$B$2:$B$521,[1]ingredient!$A$2:$A$521)</f>
        <v/>
      </c>
      <c r="D221" t="n">
        <v>27</v>
      </c>
      <c r="E221" t="n">
        <v>0.2</v>
      </c>
      <c r="F221" t="n">
        <v>1</v>
      </c>
      <c r="G221" t="n">
        <v>5</v>
      </c>
      <c r="H221" t="n">
        <v>1</v>
      </c>
      <c r="I221" t="n">
        <v>4</v>
      </c>
      <c r="J221" t="n">
        <v>0.04</v>
      </c>
      <c r="K221" t="n">
        <v>92</v>
      </c>
      <c r="L221" t="n">
        <v>233</v>
      </c>
      <c r="M221" t="n">
        <v>117</v>
      </c>
      <c r="N221" t="n">
        <v>0</v>
      </c>
      <c r="O221" t="n">
        <v>1400</v>
      </c>
      <c r="P221" t="n">
        <v>90</v>
      </c>
      <c r="Q221" t="n">
        <v>60</v>
      </c>
      <c r="R221" t="n">
        <v>1600</v>
      </c>
      <c r="S221" t="n">
        <v>1883</v>
      </c>
      <c r="T221" t="n">
        <v>400</v>
      </c>
      <c r="U221" t="n">
        <v>150</v>
      </c>
      <c r="V221" t="n">
        <v>0.4</v>
      </c>
      <c r="W221" t="n">
        <v>17</v>
      </c>
      <c r="X221" t="n">
        <v>0</v>
      </c>
      <c r="Y221" t="n">
        <v>14000</v>
      </c>
      <c r="Z221" t="n">
        <v>0</v>
      </c>
      <c r="AA221" t="n">
        <v>100</v>
      </c>
      <c r="AB221" t="n">
        <v>5</v>
      </c>
      <c r="AC221" t="n">
        <v>7</v>
      </c>
      <c r="AD221" t="n">
        <v>351</v>
      </c>
      <c r="AE221" t="n">
        <v>27</v>
      </c>
      <c r="AF221" t="n">
        <v>23</v>
      </c>
      <c r="AG221" t="n">
        <v>43</v>
      </c>
      <c r="AH221" t="n">
        <v>10</v>
      </c>
      <c r="AI221" t="n">
        <v>30</v>
      </c>
      <c r="AJ221" t="n">
        <v>770</v>
      </c>
      <c r="AK221" t="n">
        <v>100</v>
      </c>
      <c r="AL221" t="n">
        <v>100</v>
      </c>
      <c r="AM221" t="n">
        <v>220</v>
      </c>
      <c r="AN221" t="n">
        <v>20</v>
      </c>
      <c r="AO221" t="n">
        <v>1</v>
      </c>
      <c r="AP221" t="n">
        <v>28</v>
      </c>
      <c r="AQ221" t="n">
        <v>0</v>
      </c>
      <c r="AR221" t="n">
        <v>18</v>
      </c>
      <c r="AS221" t="n">
        <v>46</v>
      </c>
      <c r="AT221" t="n">
        <v>1331</v>
      </c>
      <c r="AU221" t="n">
        <v>1561</v>
      </c>
      <c r="AV221" t="n">
        <v>0</v>
      </c>
      <c r="AW221" t="n">
        <v>2892</v>
      </c>
      <c r="AX221" t="n">
        <v>734</v>
      </c>
      <c r="AY221" t="n">
        <v>0</v>
      </c>
      <c r="AZ221" t="n">
        <v>0</v>
      </c>
      <c r="BA221" t="n">
        <v>734</v>
      </c>
      <c r="BB221" t="n">
        <v>0</v>
      </c>
      <c r="BC221" t="n">
        <v>0</v>
      </c>
      <c r="BD221" t="n">
        <v>0</v>
      </c>
      <c r="BE221" t="n">
        <v>918</v>
      </c>
      <c r="BF221" t="n">
        <v>918</v>
      </c>
      <c r="BG221">
        <f>IF($F221=0,"0",MIN(
BH221/(30*$F221),
BI221/(61*$F221),
BJ221/(48*$F221),
(BK221+BL221)/(23*$F221),
(BM221+BN221)/(41*$F221),
BO221/(25*$F221),
BP221/(6.6*$F221),
BQ221/(40*$F221),
BS221/(16*$F221)
)*100)</f>
        <v/>
      </c>
      <c r="BH221" t="n">
        <v>53</v>
      </c>
      <c r="BI221" t="n">
        <v>77</v>
      </c>
      <c r="BJ221" t="n">
        <v>71</v>
      </c>
      <c r="BK221" t="n">
        <v>17</v>
      </c>
      <c r="BL221" t="n">
        <v>11</v>
      </c>
      <c r="BM221" t="n">
        <v>45</v>
      </c>
      <c r="BN221" t="n">
        <v>36</v>
      </c>
      <c r="BO221" t="n">
        <v>35</v>
      </c>
      <c r="BP221" t="n">
        <v>17</v>
      </c>
      <c r="BQ221" t="n">
        <v>55</v>
      </c>
      <c r="BR221" t="n">
        <v>59</v>
      </c>
      <c r="BS221" t="n">
        <v>24</v>
      </c>
      <c r="BT221" t="n">
        <v>500</v>
      </c>
      <c r="BU221" t="n">
        <v>63</v>
      </c>
      <c r="BV221" t="n">
        <v>168</v>
      </c>
      <c r="BW221" t="n">
        <v>215</v>
      </c>
      <c r="BX221" t="n">
        <v>45</v>
      </c>
      <c r="BY221" t="n">
        <v>41</v>
      </c>
      <c r="BZ221" t="n">
        <v>60</v>
      </c>
      <c r="CA221" t="n">
        <v>592</v>
      </c>
      <c r="CB221" t="n">
        <v>7</v>
      </c>
      <c r="CC221" t="n">
        <v>3</v>
      </c>
      <c r="CD221" t="n">
        <v>59</v>
      </c>
      <c r="CE221" t="n">
        <v>36</v>
      </c>
      <c r="CF221" t="n">
        <v>0.61</v>
      </c>
      <c r="CG221" t="n">
        <v>0</v>
      </c>
      <c r="CH221" t="n">
        <v>0</v>
      </c>
      <c r="CI221" t="n">
        <v>0</v>
      </c>
      <c r="CJ221" t="n">
        <v>0</v>
      </c>
      <c r="CK221" t="n">
        <v>1</v>
      </c>
      <c r="CL221" t="n">
        <v>1</v>
      </c>
      <c r="CM221" t="n">
        <v>0</v>
      </c>
      <c r="CN221" t="n">
        <v>41</v>
      </c>
      <c r="CO221" t="n">
        <v>0</v>
      </c>
      <c r="CP221" t="n">
        <v>5</v>
      </c>
      <c r="CQ221" t="n">
        <v>0</v>
      </c>
      <c r="CR221" t="n">
        <v>0</v>
      </c>
      <c r="CS221" t="n">
        <v>0</v>
      </c>
      <c r="CT221" t="n">
        <v>48</v>
      </c>
      <c r="CU221" t="n">
        <v>0</v>
      </c>
      <c r="CV221" t="n">
        <v>0</v>
      </c>
      <c r="CW221" t="n">
        <v>1</v>
      </c>
      <c r="CX221" t="n">
        <v>0</v>
      </c>
      <c r="CY221" t="n">
        <v>16</v>
      </c>
      <c r="CZ221" t="n">
        <v>0</v>
      </c>
      <c r="DA221" t="n">
        <v>0</v>
      </c>
      <c r="DB221" t="n">
        <v>0</v>
      </c>
      <c r="DC221" t="n">
        <v>17</v>
      </c>
      <c r="DD221" t="n">
        <v>0</v>
      </c>
      <c r="DE221" t="n">
        <v>0</v>
      </c>
      <c r="DF221" t="n">
        <v>36</v>
      </c>
      <c r="DG221" t="n">
        <v>59</v>
      </c>
      <c r="DH221" t="n">
        <v>0</v>
      </c>
      <c r="DI221" t="n">
        <v>0</v>
      </c>
      <c r="DJ221" t="n">
        <v>0</v>
      </c>
      <c r="DK221" t="n">
        <v>0</v>
      </c>
      <c r="DL221" t="n">
        <v>0</v>
      </c>
      <c r="DM221" t="n">
        <v>0</v>
      </c>
      <c r="DN221" t="n">
        <v>0</v>
      </c>
      <c r="DO221" t="n">
        <v>0</v>
      </c>
      <c r="DP221" t="n">
        <v>0</v>
      </c>
      <c r="DQ221" t="n">
        <v>0</v>
      </c>
      <c r="DR221" t="n">
        <v>0</v>
      </c>
      <c r="DS221" t="n">
        <v>95</v>
      </c>
      <c r="DT221" t="n">
        <v>160</v>
      </c>
      <c r="DU221" t="n">
        <v>40</v>
      </c>
      <c r="DV221" t="n">
        <v>0</v>
      </c>
      <c r="DW221" t="n">
        <v>0</v>
      </c>
      <c r="DX221" t="n">
        <v>0</v>
      </c>
      <c r="DY221" t="n">
        <v>78</v>
      </c>
      <c r="DZ221" t="n">
        <v>117</v>
      </c>
      <c r="EA221" t="n">
        <v>234</v>
      </c>
      <c r="EB221" t="n">
        <v>312</v>
      </c>
      <c r="EC221" t="n">
        <v>39</v>
      </c>
      <c r="ED221" t="n">
        <v>187</v>
      </c>
      <c r="EE221" t="n">
        <v>593</v>
      </c>
      <c r="EF221" t="n">
        <v>0</v>
      </c>
      <c r="EG221" t="n">
        <v>0.25</v>
      </c>
      <c r="EH221" t="n">
        <v>0.7</v>
      </c>
      <c r="EI221" t="n">
        <v>0.6</v>
      </c>
      <c r="EJ221" t="n">
        <v>0.2</v>
      </c>
      <c r="EK221" t="n">
        <v>1.1</v>
      </c>
    </row>
    <row r="222">
      <c r="A222">
        <f>[1]ingredient!B221</f>
        <v/>
      </c>
      <c r="B222" t="inlineStr">
        <is>
          <t>https://www.naehrwertrechner.de/naehrwerte/G588111/Spaghettik%C3%BCrbis/?menge=100</t>
        </is>
      </c>
      <c r="C222" s="7">
        <f>_xlfn.XLOOKUP(A222,[1]ingredient!$B$2:$B$521,[1]ingredient!$A$2:$A$521)</f>
        <v/>
      </c>
      <c r="D222" t="n">
        <v>13</v>
      </c>
      <c r="E222" t="n">
        <v>0.2</v>
      </c>
      <c r="F222" t="n">
        <v>1</v>
      </c>
      <c r="G222" t="n">
        <v>2</v>
      </c>
      <c r="H222" t="n">
        <v>1</v>
      </c>
      <c r="I222" t="n">
        <v>2</v>
      </c>
      <c r="J222" t="n">
        <v>0.03</v>
      </c>
      <c r="K222" t="n">
        <v>95</v>
      </c>
      <c r="L222" t="n">
        <v>18</v>
      </c>
      <c r="M222" t="n">
        <v>9</v>
      </c>
      <c r="N222" t="n">
        <v>0</v>
      </c>
      <c r="O222" t="n">
        <v>110</v>
      </c>
      <c r="P222" t="n">
        <v>80</v>
      </c>
      <c r="Q222" t="n">
        <v>70</v>
      </c>
      <c r="R222" t="n">
        <v>200</v>
      </c>
      <c r="S222" t="n">
        <v>300</v>
      </c>
      <c r="T222" t="n">
        <v>100</v>
      </c>
      <c r="U222" t="n">
        <v>30</v>
      </c>
      <c r="V222" t="n">
        <v>0.4</v>
      </c>
      <c r="W222" t="n">
        <v>23</v>
      </c>
      <c r="X222" t="n">
        <v>0</v>
      </c>
      <c r="Y222" t="n">
        <v>11000</v>
      </c>
      <c r="Z222" t="n">
        <v>0</v>
      </c>
      <c r="AA222" t="n">
        <v>500</v>
      </c>
      <c r="AB222" t="n">
        <v>5</v>
      </c>
      <c r="AC222" t="n">
        <v>1</v>
      </c>
      <c r="AD222" t="n">
        <v>140</v>
      </c>
      <c r="AE222" t="n">
        <v>18</v>
      </c>
      <c r="AF222" t="n">
        <v>10</v>
      </c>
      <c r="AG222" t="n">
        <v>17</v>
      </c>
      <c r="AH222" t="n">
        <v>6</v>
      </c>
      <c r="AI222" t="n">
        <v>30</v>
      </c>
      <c r="AJ222" t="n">
        <v>200</v>
      </c>
      <c r="AK222" t="n">
        <v>200</v>
      </c>
      <c r="AL222" t="n">
        <v>20</v>
      </c>
      <c r="AM222" t="n">
        <v>157</v>
      </c>
      <c r="AN222" t="n">
        <v>20</v>
      </c>
      <c r="AO222" t="n">
        <v>1</v>
      </c>
      <c r="AP222" t="n">
        <v>13</v>
      </c>
      <c r="AQ222" t="n">
        <v>0</v>
      </c>
      <c r="AR222" t="n">
        <v>9</v>
      </c>
      <c r="AS222" t="n">
        <v>22</v>
      </c>
      <c r="AT222" t="n">
        <v>638</v>
      </c>
      <c r="AU222" t="n">
        <v>748</v>
      </c>
      <c r="AV222" t="n">
        <v>0</v>
      </c>
      <c r="AW222" t="n">
        <v>1386</v>
      </c>
      <c r="AX222" t="n">
        <v>352</v>
      </c>
      <c r="AY222" t="n">
        <v>0</v>
      </c>
      <c r="AZ222" t="n">
        <v>0</v>
      </c>
      <c r="BA222" t="n">
        <v>352</v>
      </c>
      <c r="BB222" t="n">
        <v>0</v>
      </c>
      <c r="BC222" t="n">
        <v>0</v>
      </c>
      <c r="BD222" t="n">
        <v>0</v>
      </c>
      <c r="BE222" t="n">
        <v>440</v>
      </c>
      <c r="BF222" t="n">
        <v>440</v>
      </c>
      <c r="BG222">
        <f>IF($F222=0,"0",MIN(
BH222/(30*$F222),
BI222/(61*$F222),
BJ222/(48*$F222),
(BK222+BL222)/(23*$F222),
(BM222+BN222)/(41*$F222),
BO222/(25*$F222),
BP222/(6.6*$F222),
BQ222/(40*$F222),
BS222/(16*$F222)
)*100)</f>
        <v/>
      </c>
      <c r="BH222" t="n">
        <v>19</v>
      </c>
      <c r="BI222" t="n">
        <v>28</v>
      </c>
      <c r="BJ222" t="n">
        <v>26</v>
      </c>
      <c r="BK222" t="n">
        <v>6</v>
      </c>
      <c r="BL222" t="n">
        <v>4</v>
      </c>
      <c r="BM222" t="n">
        <v>16</v>
      </c>
      <c r="BN222" t="n">
        <v>13</v>
      </c>
      <c r="BO222" t="n">
        <v>13</v>
      </c>
      <c r="BP222" t="n">
        <v>6</v>
      </c>
      <c r="BQ222" t="n">
        <v>20</v>
      </c>
      <c r="BR222" t="n">
        <v>21</v>
      </c>
      <c r="BS222" t="n">
        <v>9</v>
      </c>
      <c r="BT222" t="n">
        <v>181</v>
      </c>
      <c r="BU222" t="n">
        <v>23</v>
      </c>
      <c r="BV222" t="n">
        <v>60</v>
      </c>
      <c r="BW222" t="n">
        <v>73</v>
      </c>
      <c r="BX222" t="n">
        <v>16</v>
      </c>
      <c r="BY222" t="n">
        <v>15</v>
      </c>
      <c r="BZ222" t="n">
        <v>22</v>
      </c>
      <c r="CA222" t="n">
        <v>209</v>
      </c>
      <c r="CB222" t="n">
        <v>7</v>
      </c>
      <c r="CC222" t="n">
        <v>3</v>
      </c>
      <c r="CD222" t="n">
        <v>59</v>
      </c>
      <c r="CE222" t="n">
        <v>36</v>
      </c>
      <c r="CF222" t="n">
        <v>0.61</v>
      </c>
      <c r="CG222" t="n">
        <v>0</v>
      </c>
      <c r="CH222" t="n">
        <v>0</v>
      </c>
      <c r="CI222" t="n">
        <v>0</v>
      </c>
      <c r="CJ222" t="n">
        <v>0</v>
      </c>
      <c r="CK222" t="n">
        <v>1</v>
      </c>
      <c r="CL222" t="n">
        <v>1</v>
      </c>
      <c r="CM222" t="n">
        <v>0</v>
      </c>
      <c r="CN222" t="n">
        <v>41</v>
      </c>
      <c r="CO222" t="n">
        <v>0</v>
      </c>
      <c r="CP222" t="n">
        <v>5</v>
      </c>
      <c r="CQ222" t="n">
        <v>0</v>
      </c>
      <c r="CR222" t="n">
        <v>0</v>
      </c>
      <c r="CS222" t="n">
        <v>0</v>
      </c>
      <c r="CT222" t="n">
        <v>48</v>
      </c>
      <c r="CU222" t="n">
        <v>0</v>
      </c>
      <c r="CV222" t="n">
        <v>0</v>
      </c>
      <c r="CW222" t="n">
        <v>1</v>
      </c>
      <c r="CX222" t="n">
        <v>0</v>
      </c>
      <c r="CY222" t="n">
        <v>16</v>
      </c>
      <c r="CZ222" t="n">
        <v>0</v>
      </c>
      <c r="DA222" t="n">
        <v>0</v>
      </c>
      <c r="DB222" t="n">
        <v>0</v>
      </c>
      <c r="DC222" t="n">
        <v>17</v>
      </c>
      <c r="DD222" t="n">
        <v>0</v>
      </c>
      <c r="DE222" t="n">
        <v>0</v>
      </c>
      <c r="DF222" t="n">
        <v>36</v>
      </c>
      <c r="DG222" t="n">
        <v>59</v>
      </c>
      <c r="DH222" t="n">
        <v>0</v>
      </c>
      <c r="DI222" t="n">
        <v>0</v>
      </c>
      <c r="DJ222" t="n">
        <v>0</v>
      </c>
      <c r="DK222" t="n">
        <v>0</v>
      </c>
      <c r="DL222" t="n">
        <v>0</v>
      </c>
      <c r="DM222" t="n">
        <v>0</v>
      </c>
      <c r="DN222" t="n">
        <v>0</v>
      </c>
      <c r="DO222" t="n">
        <v>0</v>
      </c>
      <c r="DP222" t="n">
        <v>0</v>
      </c>
      <c r="DQ222" t="n">
        <v>0</v>
      </c>
      <c r="DR222" t="n">
        <v>0</v>
      </c>
      <c r="DS222" t="n">
        <v>95</v>
      </c>
      <c r="DT222" t="n">
        <v>160</v>
      </c>
      <c r="DU222" t="n">
        <v>40</v>
      </c>
      <c r="DV222" t="n">
        <v>0</v>
      </c>
      <c r="DW222" t="n">
        <v>0</v>
      </c>
      <c r="DX222" t="n">
        <v>0</v>
      </c>
      <c r="DY222" t="n">
        <v>110</v>
      </c>
      <c r="DZ222" t="n">
        <v>165</v>
      </c>
      <c r="EA222" t="n">
        <v>330</v>
      </c>
      <c r="EB222" t="n">
        <v>440</v>
      </c>
      <c r="EC222" t="n">
        <v>55</v>
      </c>
      <c r="ED222" t="n">
        <v>264</v>
      </c>
      <c r="EE222" t="n">
        <v>836</v>
      </c>
      <c r="EF222" t="n">
        <v>0</v>
      </c>
      <c r="EG222" t="n">
        <v>0.22</v>
      </c>
      <c r="EH222" t="n">
        <v>0.7</v>
      </c>
      <c r="EI222" t="n">
        <v>0.8</v>
      </c>
      <c r="EJ222" t="n">
        <v>0.2</v>
      </c>
      <c r="EK222" t="n">
        <v>0.4</v>
      </c>
    </row>
    <row r="223">
      <c r="A223" s="9">
        <f>[1]ingredient!B222</f>
        <v/>
      </c>
      <c r="C223" s="7">
        <f>_xlfn.XLOOKUP(A223,[1]ingredient!$B$2:$B$521,[1]ingredient!$A$2:$A$521)</f>
        <v/>
      </c>
      <c r="D223" s="10">
        <f>(3*D461+2*D166+2*D276+D316+D280)/9</f>
        <v/>
      </c>
      <c r="E223" s="10">
        <f>(3*E461+2*E166+2*E276+E316+E280)/9</f>
        <v/>
      </c>
      <c r="F223" s="10">
        <f>(3*F461+2*F166+2*F276+F316+F280)/9</f>
        <v/>
      </c>
      <c r="G223" s="10">
        <f>(3*G461+2*G166+2*G276+G316+G280)/9</f>
        <v/>
      </c>
      <c r="H223" s="10">
        <f>(3*H461+2*H166+2*H276+H316+H280)/9</f>
        <v/>
      </c>
      <c r="I223" s="10">
        <f>(3*I461+2*I166+2*I276+I316+I280)/9</f>
        <v/>
      </c>
      <c r="J223" s="10">
        <f>(3*J461+2*J166+2*J276+J316+J280)/9</f>
        <v/>
      </c>
      <c r="K223" s="10">
        <f>(3*K461+2*K166+2*K276+K316+K280)/9</f>
        <v/>
      </c>
      <c r="L223" s="10">
        <f>(3*L461+2*L166+2*L276+L316+L280)/9</f>
        <v/>
      </c>
      <c r="M223" s="10">
        <f>(3*M461+2*M166+2*M276+M316+M280)/9</f>
        <v/>
      </c>
      <c r="N223" s="10">
        <f>(3*N461+2*N166+2*N276+N316+N280)/9</f>
        <v/>
      </c>
      <c r="O223" s="10">
        <f>(3*O461+2*O166+2*O276+O316+O280)/9</f>
        <v/>
      </c>
      <c r="P223" s="10">
        <f>(3*P461+2*P166+2*P276+P316+P280)/9</f>
        <v/>
      </c>
      <c r="Q223" s="10">
        <f>(3*Q461+2*Q166+2*Q276+Q316+Q280)/9</f>
        <v/>
      </c>
      <c r="R223" s="10">
        <f>(3*R461+2*R166+2*R276+R316+R280)/9</f>
        <v/>
      </c>
      <c r="S223" s="10">
        <f>(3*S461+2*S166+2*S276+S316+S280)/9</f>
        <v/>
      </c>
      <c r="T223" s="10">
        <f>(3*T461+2*T166+2*T276+T316+T280)/9</f>
        <v/>
      </c>
      <c r="U223" s="10">
        <f>(3*U461+2*U166+2*U276+U316+U280)/9</f>
        <v/>
      </c>
      <c r="V223" s="10">
        <f>(3*V461+2*V166+2*V276+V316+V280)/9</f>
        <v/>
      </c>
      <c r="W223" s="10">
        <f>(3*W461+2*W166+2*W276+W316+W280)/9</f>
        <v/>
      </c>
      <c r="X223" s="10">
        <f>(3*X461+2*X166+2*X276+X316+X280)/9</f>
        <v/>
      </c>
      <c r="Y223" s="10">
        <f>(3*Y461+2*Y166+2*Y276+Y316+Y280)/9</f>
        <v/>
      </c>
      <c r="Z223" s="10">
        <f>(3*Z461+2*Z166+2*Z276+Z316+Z280)/9</f>
        <v/>
      </c>
      <c r="AA223" s="10">
        <f>(3*AA461+2*AA166+2*AA276+AA316+AA280)/9</f>
        <v/>
      </c>
      <c r="AB223" s="10">
        <f>(3*AB461+2*AB166+2*AB276+AB316+AB280)/9</f>
        <v/>
      </c>
      <c r="AC223" s="10">
        <f>(3*AC461+2*AC166+2*AC276+AC316+AC280)/9</f>
        <v/>
      </c>
      <c r="AD223" s="10">
        <f>(3*AD461+2*AD166+2*AD276+AD316+AD280)/9</f>
        <v/>
      </c>
      <c r="AE223" s="10">
        <f>(3*AE461+2*AE166+2*AE276+AE316+AE280)/9</f>
        <v/>
      </c>
      <c r="AF223" s="10">
        <f>(3*AF461+2*AF166+2*AF276+AF316+AF280)/9</f>
        <v/>
      </c>
      <c r="AG223" s="10">
        <f>(3*AG461+2*AG166+2*AG276+AG316+AG280)/9</f>
        <v/>
      </c>
      <c r="AH223" s="10">
        <f>(3*AH461+2*AH166+2*AH276+AH316+AH280)/9</f>
        <v/>
      </c>
      <c r="AI223" s="10">
        <f>(3*AI461+2*AI166+2*AI276+AI316+AI280)/9</f>
        <v/>
      </c>
      <c r="AJ223" s="10">
        <f>(3*AJ461+2*AJ166+2*AJ276+AJ316+AJ280)/9</f>
        <v/>
      </c>
      <c r="AK223" s="10">
        <f>(3*AK461+2*AK166+2*AK276+AK316+AK280)/9</f>
        <v/>
      </c>
      <c r="AL223" s="10">
        <f>(3*AL461+2*AL166+2*AL276+AL316+AL280)/9</f>
        <v/>
      </c>
      <c r="AM223" s="10">
        <f>(3*AM461+2*AM166+2*AM276+AM316+AM280)/9</f>
        <v/>
      </c>
      <c r="AN223" s="10">
        <f>(3*AN461+2*AN166+2*AN276+AN316+AN280)/9</f>
        <v/>
      </c>
      <c r="AO223" s="10">
        <f>(3*AO461+2*AO166+2*AO276+AO316+AO280)/9</f>
        <v/>
      </c>
      <c r="AP223" s="10">
        <f>(3*AP461+2*AP166+2*AP276+AP316+AP280)/9</f>
        <v/>
      </c>
      <c r="AQ223" s="10">
        <f>(3*AQ461+2*AQ166+2*AQ276+AQ316+AQ280)/9</f>
        <v/>
      </c>
      <c r="AR223" s="10">
        <f>(3*AR461+2*AR166+2*AR276+AR316+AR280)/9</f>
        <v/>
      </c>
      <c r="AS223" s="10">
        <f>(3*AS461+2*AS166+2*AS276+AS316+AS280)/9</f>
        <v/>
      </c>
      <c r="AT223" s="10">
        <f>(3*AT461+2*AT166+2*AT276+AT316+AT280)/9</f>
        <v/>
      </c>
      <c r="AU223" s="10">
        <f>(3*AU461+2*AU166+2*AU276+AU316+AU280)/9</f>
        <v/>
      </c>
      <c r="AV223" s="10">
        <f>(3*AV461+2*AV166+2*AV276+AV316+AV280)/9</f>
        <v/>
      </c>
      <c r="AW223" s="10">
        <f>(3*AW461+2*AW166+2*AW276+AW316+AW280)/9</f>
        <v/>
      </c>
      <c r="AX223" s="10">
        <f>(3*AX461+2*AX166+2*AX276+AX316+AX280)/9</f>
        <v/>
      </c>
      <c r="AY223" s="10">
        <f>(3*AY461+2*AY166+2*AY276+AY316+AY280)/9</f>
        <v/>
      </c>
      <c r="AZ223" s="10">
        <f>(3*AZ461+2*AZ166+2*AZ276+AZ316+AZ280)/9</f>
        <v/>
      </c>
      <c r="BA223" s="10">
        <f>(3*BA461+2*BA166+2*BA276+BA316+BA280)/9</f>
        <v/>
      </c>
      <c r="BB223" s="10">
        <f>(3*BB461+2*BB166+2*BB276+BB316+BB280)/9</f>
        <v/>
      </c>
      <c r="BC223" s="10">
        <f>(3*BC461+2*BC166+2*BC276+BC316+BC280)/9</f>
        <v/>
      </c>
      <c r="BD223" s="10">
        <f>(3*BD461+2*BD166+2*BD276+BD316+BD280)/9</f>
        <v/>
      </c>
      <c r="BE223" s="10">
        <f>(3*BE461+2*BE166+2*BE276+BE316+BE280)/9</f>
        <v/>
      </c>
      <c r="BF223" s="10">
        <f>(3*BF461+2*BF166+2*BF276+BF316+BF280)/9</f>
        <v/>
      </c>
      <c r="BG223">
        <f>IF($F223=0,"0",MIN(
BH223/(30*$F223),
BI223/(61*$F223),
BJ223/(48*$F223),
(BK223+BL223)/(23*$F223),
(BM223+BN223)/(41*$F223),
BO223/(25*$F223),
BP223/(6.6*$F223),
BQ223/(40*$F223),
BS223/(16*$F223)
)*100)</f>
        <v/>
      </c>
      <c r="BH223" s="10">
        <f>(3*BH461+2*BH166+2*BH276+BH316+BH280)/9</f>
        <v/>
      </c>
      <c r="BI223" s="10">
        <f>(3*BI461+2*BI166+2*BI276+BI316+BI280)/9</f>
        <v/>
      </c>
      <c r="BJ223" s="10">
        <f>(3*BJ461+2*BJ166+2*BJ276+BJ316+BJ280)/9</f>
        <v/>
      </c>
      <c r="BK223" s="10">
        <f>(3*BK461+2*BK166+2*BK276+BK316+BK280)/9</f>
        <v/>
      </c>
      <c r="BL223" s="10">
        <f>(3*BL461+2*BL166+2*BL276+BL316+BL280)/9</f>
        <v/>
      </c>
      <c r="BM223" s="10">
        <f>(3*BM461+2*BM166+2*BM276+BM316+BM280)/9</f>
        <v/>
      </c>
      <c r="BN223" s="10">
        <f>(3*BN461+2*BN166+2*BN276+BN316+BN280)/9</f>
        <v/>
      </c>
      <c r="BO223" s="10">
        <f>(3*BO461+2*BO166+2*BO276+BO316+BO280)/9</f>
        <v/>
      </c>
      <c r="BP223" s="10">
        <f>(3*BP461+2*BP166+2*BP276+BP316+BP280)/9</f>
        <v/>
      </c>
      <c r="BQ223" s="10">
        <f>(3*BQ461+2*BQ166+2*BQ276+BQ316+BQ280)/9</f>
        <v/>
      </c>
      <c r="BR223" s="10">
        <f>(3*BR461+2*BR166+2*BR276+BR316+BR280)/9</f>
        <v/>
      </c>
      <c r="BS223" s="10">
        <f>(3*BS461+2*BS166+2*BS276+BS316+BS280)/9</f>
        <v/>
      </c>
      <c r="BT223" s="10">
        <f>(3*BT461+2*BT166+2*BT276+BT316+BT280)/9</f>
        <v/>
      </c>
      <c r="BU223" s="10">
        <f>(3*BU461+2*BU166+2*BU276+BU316+BU280)/9</f>
        <v/>
      </c>
      <c r="BV223" s="10">
        <f>(3*BV461+2*BV166+2*BV276+BV316+BV280)/9</f>
        <v/>
      </c>
      <c r="BW223" s="10">
        <f>(3*BW461+2*BW166+2*BW276+BW316+BW280)/9</f>
        <v/>
      </c>
      <c r="BX223" s="10">
        <f>(3*BX461+2*BX166+2*BX276+BX316+BX280)/9</f>
        <v/>
      </c>
      <c r="BY223" s="10">
        <f>(3*BY461+2*BY166+2*BY276+BY316+BY280)/9</f>
        <v/>
      </c>
      <c r="BZ223" s="10">
        <f>(3*BZ461+2*BZ166+2*BZ276+BZ316+BZ280)/9</f>
        <v/>
      </c>
      <c r="CA223" s="10">
        <f>(3*CA461+2*CA166+2*CA276+CA316+CA280)/9</f>
        <v/>
      </c>
      <c r="CB223" s="10">
        <f>(3*CB461+2*CB166+2*CB276+CB316+CB280)/9</f>
        <v/>
      </c>
      <c r="CC223" s="10">
        <f>(3*CC461+2*CC166+2*CC276+CC316+CC280)/9</f>
        <v/>
      </c>
      <c r="CD223" s="10">
        <f>(3*CD461+2*CD166+2*CD276+CD316+CD280)/9</f>
        <v/>
      </c>
      <c r="CE223" s="10">
        <f>(3*CE461+2*CE166+2*CE276+CE316+CE280)/9</f>
        <v/>
      </c>
      <c r="CF223" s="10">
        <f>(3*CF461+2*CF166+2*CF276+CF316+CF280)/9</f>
        <v/>
      </c>
      <c r="CG223" s="10">
        <f>(3*CG461+2*CG166+2*CG276+CG316+CG280)/9</f>
        <v/>
      </c>
      <c r="CH223" s="10">
        <f>(3*CH461+2*CH166+2*CH276+CH316+CH280)/9</f>
        <v/>
      </c>
      <c r="CI223" s="10">
        <f>(3*CI461+2*CI166+2*CI276+CI316+CI280)/9</f>
        <v/>
      </c>
      <c r="CJ223" s="10">
        <f>(3*CJ461+2*CJ166+2*CJ276+CJ316+CJ280)/9</f>
        <v/>
      </c>
      <c r="CK223" s="10">
        <f>(3*CK461+2*CK166+2*CK276+CK316+CK280)/9</f>
        <v/>
      </c>
      <c r="CL223" s="10">
        <f>(3*CL461+2*CL166+2*CL276+CL316+CL280)/9</f>
        <v/>
      </c>
      <c r="CM223" s="10">
        <f>(3*CM461+2*CM166+2*CM276+CM316+CM280)/9</f>
        <v/>
      </c>
      <c r="CN223" s="10">
        <f>(3*CN461+2*CN166+2*CN276+CN316+CN280)/9</f>
        <v/>
      </c>
      <c r="CO223" s="10">
        <f>(3*CO461+2*CO166+2*CO276+CO316+CO280)/9</f>
        <v/>
      </c>
      <c r="CP223" s="10">
        <f>(3*CP461+2*CP166+2*CP276+CP316+CP280)/9</f>
        <v/>
      </c>
      <c r="CQ223" s="10">
        <f>(3*CQ461+2*CQ166+2*CQ276+CQ316+CQ280)/9</f>
        <v/>
      </c>
      <c r="CR223" s="10">
        <f>(3*CR461+2*CR166+2*CR276+CR316+CR280)/9</f>
        <v/>
      </c>
      <c r="CS223" s="10">
        <f>(3*CS461+2*CS166+2*CS276+CS316+CS280)/9</f>
        <v/>
      </c>
      <c r="CT223" s="10">
        <f>(3*CT461+2*CT166+2*CT276+CT316+CT280)/9</f>
        <v/>
      </c>
      <c r="CU223" s="10">
        <f>(3*CU461+2*CU166+2*CU276+CU316+CU280)/9</f>
        <v/>
      </c>
      <c r="CV223" s="10">
        <f>(3*CV461+2*CV166+2*CV276+CV316+CV280)/9</f>
        <v/>
      </c>
      <c r="CW223" s="10">
        <f>(3*CW461+2*CW166+2*CW276+CW316+CW280)/9</f>
        <v/>
      </c>
      <c r="CX223" s="10">
        <f>(3*CX461+2*CX166+2*CX276+CX316+CX280)/9</f>
        <v/>
      </c>
      <c r="CY223" s="10">
        <f>(3*CY461+2*CY166+2*CY276+CY316+CY280)/9</f>
        <v/>
      </c>
      <c r="CZ223" s="10">
        <f>(3*CZ461+2*CZ166+2*CZ276+CZ316+CZ280)/9</f>
        <v/>
      </c>
      <c r="DA223" s="10">
        <f>(3*DA461+2*DA166+2*DA276+DA316+DA280)/9</f>
        <v/>
      </c>
      <c r="DB223" s="10">
        <f>(3*DB461+2*DB166+2*DB276+DB316+DB280)/9</f>
        <v/>
      </c>
      <c r="DC223" s="10">
        <f>(3*DC461+2*DC166+2*DC276+DC316+DC280)/9</f>
        <v/>
      </c>
      <c r="DD223" s="10">
        <f>(3*DD461+2*DD166+2*DD276+DD316+DD280)/9</f>
        <v/>
      </c>
      <c r="DE223" s="10">
        <f>(3*DE461+2*DE166+2*DE276+DE316+DE280)/9</f>
        <v/>
      </c>
      <c r="DF223" s="10">
        <f>(3*DF461+2*DF166+2*DF276+DF316+DF280)/9</f>
        <v/>
      </c>
      <c r="DG223" s="10">
        <f>(3*DG461+2*DG166+2*DG276+DG316+DG280)/9</f>
        <v/>
      </c>
      <c r="DH223" s="10">
        <f>(3*DH461+2*DH166+2*DH276+DH316+DH280)/9</f>
        <v/>
      </c>
      <c r="DI223" s="10">
        <f>(3*DI461+2*DI166+2*DI276+DI316+DI280)/9</f>
        <v/>
      </c>
      <c r="DJ223" s="10">
        <f>(3*DJ461+2*DJ166+2*DJ276+DJ316+DJ280)/9</f>
        <v/>
      </c>
      <c r="DK223" s="10">
        <f>(3*DK461+2*DK166+2*DK276+DK316+DK280)/9</f>
        <v/>
      </c>
      <c r="DL223" s="10">
        <f>(3*DL461+2*DL166+2*DL276+DL316+DL280)/9</f>
        <v/>
      </c>
      <c r="DM223" s="10">
        <f>(3*DM461+2*DM166+2*DM276+DM316+DM280)/9</f>
        <v/>
      </c>
      <c r="DN223" s="10">
        <f>(3*DN461+2*DN166+2*DN276+DN316+DN280)/9</f>
        <v/>
      </c>
      <c r="DO223" s="10">
        <f>(3*DO461+2*DO166+2*DO276+DO316+DO280)/9</f>
        <v/>
      </c>
      <c r="DP223" s="10">
        <f>(3*DP461+2*DP166+2*DP276+DP316+DP280)/9</f>
        <v/>
      </c>
      <c r="DQ223" s="10">
        <f>(3*DQ461+2*DQ166+2*DQ276+DQ316+DQ280)/9</f>
        <v/>
      </c>
      <c r="DR223" s="10">
        <f>(3*DR461+2*DR166+2*DR276+DR316+DR280)/9</f>
        <v/>
      </c>
      <c r="DS223" s="10">
        <f>(3*DS461+2*DS166+2*DS276+DS316+DS280)/9</f>
        <v/>
      </c>
      <c r="DT223" s="10">
        <f>(3*DT461+2*DT166+2*DT276+DT316+DT280)/9</f>
        <v/>
      </c>
      <c r="DU223" s="10">
        <f>(3*DU461+2*DU166+2*DU276+DU316+DU280)/9</f>
        <v/>
      </c>
      <c r="DV223" s="10">
        <f>(3*DV461+2*DV166+2*DV276+DV316+DV280)/9</f>
        <v/>
      </c>
      <c r="DW223" s="10">
        <f>(3*DW461+2*DW166+2*DW276+DW316+DW280)/9</f>
        <v/>
      </c>
      <c r="DX223" s="10">
        <f>(3*DX461+2*DX166+2*DX276+DX316+DX280)/9</f>
        <v/>
      </c>
      <c r="DY223" s="10">
        <f>(3*DY461+2*DY166+2*DY276+DY316+DY280)/9</f>
        <v/>
      </c>
      <c r="DZ223" s="10">
        <f>(3*DZ461+2*DZ166+2*DZ276+DZ316+DZ280)/9</f>
        <v/>
      </c>
      <c r="EA223" s="10">
        <f>(3*EA461+2*EA166+2*EA276+EA316+EA280)/9</f>
        <v/>
      </c>
      <c r="EB223" s="10">
        <f>(3*EB461+2*EB166+2*EB276+EB316+EB280)/9</f>
        <v/>
      </c>
      <c r="EC223" s="10">
        <f>(3*EC461+2*EC166+2*EC276+EC316+EC280)/9</f>
        <v/>
      </c>
      <c r="ED223" s="10">
        <f>(3*ED461+2*ED166+2*ED276+ED316+ED280)/9</f>
        <v/>
      </c>
      <c r="EE223" s="10">
        <f>(3*EE461+2*EE166+2*EE276+EE316+EE280)/9</f>
        <v/>
      </c>
      <c r="EF223" s="10">
        <f>(3*EF461+2*EF166+2*EF276+EF316+EF280)/9</f>
        <v/>
      </c>
      <c r="EG223" s="10">
        <f>(3*EG461+2*EG166+2*EG276+EG316+EG280)/9</f>
        <v/>
      </c>
      <c r="EH223" s="10">
        <f>(3*EH461+2*EH166+2*EH276+EH316+EH280)/9</f>
        <v/>
      </c>
      <c r="EI223" s="10">
        <f>(3*EI461+2*EI166+2*EI276+EI316+EI280)/9</f>
        <v/>
      </c>
      <c r="EJ223" s="10">
        <f>(3*EJ461+2*EJ166+2*EJ276+EJ316+EJ280)/9</f>
        <v/>
      </c>
      <c r="EK223" s="10">
        <f>(3*EK461+2*EK166+2*EK276+EK316+EK280)/9</f>
        <v/>
      </c>
    </row>
    <row r="224">
      <c r="A224">
        <f>[1]ingredient!B223</f>
        <v/>
      </c>
      <c r="B224" t="inlineStr">
        <is>
          <t>https://www.naehrwertrechner.de/naehrwerte/H310400/K%C3%BCrbiskern+getrocknet/?menge=100</t>
        </is>
      </c>
      <c r="C224" s="7">
        <f>_xlfn.XLOOKUP(A224,[1]ingredient!$B$2:$B$521,[1]ingredient!$A$2:$A$521)</f>
        <v/>
      </c>
      <c r="D224" t="n">
        <v>590</v>
      </c>
      <c r="E224" t="n">
        <v>48</v>
      </c>
      <c r="F224" t="n">
        <v>37</v>
      </c>
      <c r="G224" t="n">
        <v>3</v>
      </c>
      <c r="H224" t="n">
        <v>9</v>
      </c>
      <c r="I224" t="n">
        <v>1</v>
      </c>
      <c r="J224" t="n">
        <v>0.11</v>
      </c>
      <c r="K224" t="n">
        <v>1</v>
      </c>
      <c r="L224" t="n">
        <v>40</v>
      </c>
      <c r="M224" t="n">
        <v>20</v>
      </c>
      <c r="N224" t="n">
        <v>0</v>
      </c>
      <c r="O224" t="n">
        <v>238</v>
      </c>
      <c r="P224" t="n">
        <v>551</v>
      </c>
      <c r="Q224" t="n">
        <v>39</v>
      </c>
      <c r="R224" t="n">
        <v>1707</v>
      </c>
      <c r="S224" t="n">
        <v>11024</v>
      </c>
      <c r="T224" t="n">
        <v>564</v>
      </c>
      <c r="U224" t="n">
        <v>87</v>
      </c>
      <c r="V224" t="n">
        <v>10</v>
      </c>
      <c r="W224" t="n">
        <v>42</v>
      </c>
      <c r="X224" t="n">
        <v>0</v>
      </c>
      <c r="Y224" t="n">
        <v>188</v>
      </c>
      <c r="Z224" t="n">
        <v>0</v>
      </c>
      <c r="AA224" t="n">
        <v>4180</v>
      </c>
      <c r="AB224" t="n">
        <v>0</v>
      </c>
      <c r="AC224" t="n">
        <v>29</v>
      </c>
      <c r="AD224" t="n">
        <v>596</v>
      </c>
      <c r="AE224" t="n">
        <v>10</v>
      </c>
      <c r="AF224" t="n">
        <v>298</v>
      </c>
      <c r="AG224" t="n">
        <v>539</v>
      </c>
      <c r="AH224" t="n">
        <v>167</v>
      </c>
      <c r="AI224" t="n">
        <v>84</v>
      </c>
      <c r="AJ224" t="n">
        <v>5111</v>
      </c>
      <c r="AK224" t="n">
        <v>6426</v>
      </c>
      <c r="AL224" t="n">
        <v>870</v>
      </c>
      <c r="AM224" t="n">
        <v>2893</v>
      </c>
      <c r="AN224" t="n">
        <v>94</v>
      </c>
      <c r="AO224" t="n">
        <v>3</v>
      </c>
      <c r="AP224" t="n">
        <v>0</v>
      </c>
      <c r="AQ224" t="n">
        <v>0</v>
      </c>
      <c r="AR224" t="n">
        <v>0</v>
      </c>
      <c r="AS224" t="n">
        <v>0</v>
      </c>
      <c r="AT224" t="n">
        <v>85</v>
      </c>
      <c r="AU224" t="n">
        <v>71</v>
      </c>
      <c r="AV224" t="n">
        <v>0</v>
      </c>
      <c r="AW224" t="n">
        <v>156</v>
      </c>
      <c r="AX224" t="n">
        <v>797</v>
      </c>
      <c r="AY224" t="n">
        <v>0</v>
      </c>
      <c r="AZ224" t="n">
        <v>0</v>
      </c>
      <c r="BA224" t="n">
        <v>797</v>
      </c>
      <c r="BB224" t="n">
        <v>0</v>
      </c>
      <c r="BC224" t="n">
        <v>0</v>
      </c>
      <c r="BD224" t="n">
        <v>0</v>
      </c>
      <c r="BE224" t="n">
        <v>1910</v>
      </c>
      <c r="BF224" t="n">
        <v>1910</v>
      </c>
      <c r="BG224">
        <f>IF($F224=0,"0",MIN(
BH224/(30*$F224),
BI224/(61*$F224),
BJ224/(48*$F224),
(BK224+BL224)/(23*$F224),
(BM224+BN224)/(41*$F224),
BO224/(25*$F224),
BP224/(6.6*$F224),
BQ224/(40*$F224),
BS224/(16*$F224)
)*100)</f>
        <v/>
      </c>
      <c r="BH224" t="n">
        <v>1640</v>
      </c>
      <c r="BI224" t="n">
        <v>2757</v>
      </c>
      <c r="BJ224" t="n">
        <v>2385</v>
      </c>
      <c r="BK224" t="n">
        <v>707</v>
      </c>
      <c r="BL224" t="n">
        <v>410</v>
      </c>
      <c r="BM224" t="n">
        <v>1603</v>
      </c>
      <c r="BN224" t="n">
        <v>1342</v>
      </c>
      <c r="BO224" t="n">
        <v>1156</v>
      </c>
      <c r="BP224" t="n">
        <v>559</v>
      </c>
      <c r="BQ224" t="n">
        <v>2571</v>
      </c>
      <c r="BR224" t="n">
        <v>5368</v>
      </c>
      <c r="BS224" t="n">
        <v>857</v>
      </c>
      <c r="BT224" t="n">
        <v>21355</v>
      </c>
      <c r="BU224" t="n">
        <v>1528</v>
      </c>
      <c r="BV224" t="n">
        <v>3280</v>
      </c>
      <c r="BW224" t="n">
        <v>5777</v>
      </c>
      <c r="BX224" t="n">
        <v>2348</v>
      </c>
      <c r="BY224" t="n">
        <v>1304</v>
      </c>
      <c r="BZ224" t="n">
        <v>1491</v>
      </c>
      <c r="CA224" t="n">
        <v>15728</v>
      </c>
      <c r="CB224" t="n">
        <v>0</v>
      </c>
      <c r="CC224" t="n">
        <v>0</v>
      </c>
      <c r="CD224" t="n">
        <v>0</v>
      </c>
      <c r="CE224" t="n">
        <v>19807</v>
      </c>
      <c r="CG224" t="n">
        <v>0</v>
      </c>
      <c r="CH224" t="n">
        <v>0</v>
      </c>
      <c r="CI224" t="n">
        <v>0</v>
      </c>
      <c r="CJ224" t="n">
        <v>0</v>
      </c>
      <c r="CK224" t="n">
        <v>240</v>
      </c>
      <c r="CL224" t="n">
        <v>0</v>
      </c>
      <c r="CM224" t="n">
        <v>0</v>
      </c>
      <c r="CN224" t="n">
        <v>5764</v>
      </c>
      <c r="CO224" t="n">
        <v>0</v>
      </c>
      <c r="CP224" t="n">
        <v>3098</v>
      </c>
      <c r="CQ224" t="n">
        <v>13</v>
      </c>
      <c r="CR224" t="n">
        <v>0</v>
      </c>
      <c r="CS224" t="n">
        <v>0</v>
      </c>
      <c r="CT224" t="n">
        <v>9115</v>
      </c>
      <c r="CU224" t="n">
        <v>0</v>
      </c>
      <c r="CV224" t="n">
        <v>0</v>
      </c>
      <c r="CW224" t="n">
        <v>57</v>
      </c>
      <c r="CX224" t="n">
        <v>0</v>
      </c>
      <c r="CY224" t="n">
        <v>17292</v>
      </c>
      <c r="CZ224" t="n">
        <v>52</v>
      </c>
      <c r="DA224" t="n">
        <v>0</v>
      </c>
      <c r="DB224" t="n">
        <v>0</v>
      </c>
      <c r="DC224" t="n">
        <v>17401</v>
      </c>
      <c r="DD224" t="n">
        <v>0</v>
      </c>
      <c r="DE224" t="n">
        <v>0</v>
      </c>
      <c r="DF224" t="n">
        <v>19807</v>
      </c>
      <c r="DG224" t="n">
        <v>0</v>
      </c>
      <c r="DH224" t="n">
        <v>0</v>
      </c>
      <c r="DI224" t="n">
        <v>0</v>
      </c>
      <c r="DJ224" t="n">
        <v>0</v>
      </c>
      <c r="DK224" t="n">
        <v>0</v>
      </c>
      <c r="DL224" t="n">
        <v>0</v>
      </c>
      <c r="DM224" t="n">
        <v>0</v>
      </c>
      <c r="DN224" t="n">
        <v>0</v>
      </c>
      <c r="DO224" t="n">
        <v>0</v>
      </c>
      <c r="DP224" t="n">
        <v>0</v>
      </c>
      <c r="DQ224" t="n">
        <v>0</v>
      </c>
      <c r="DR224" t="n">
        <v>0</v>
      </c>
      <c r="DS224" t="n">
        <v>19807</v>
      </c>
      <c r="DT224" t="n">
        <v>46323</v>
      </c>
      <c r="DU224" t="n">
        <v>2097</v>
      </c>
      <c r="DV224" t="n">
        <v>0</v>
      </c>
      <c r="DW224" t="n">
        <v>0</v>
      </c>
      <c r="DX224" t="n">
        <v>0</v>
      </c>
      <c r="DY224" t="n">
        <v>1357</v>
      </c>
      <c r="DZ224" t="n">
        <v>5973</v>
      </c>
      <c r="EA224" t="n">
        <v>181</v>
      </c>
      <c r="EB224" t="n">
        <v>1357</v>
      </c>
      <c r="EC224" t="n">
        <v>181</v>
      </c>
      <c r="ED224" t="n">
        <v>1810</v>
      </c>
      <c r="EE224" t="n">
        <v>7239</v>
      </c>
      <c r="EF224" t="n">
        <v>0</v>
      </c>
      <c r="EG224" t="n">
        <v>0</v>
      </c>
      <c r="EH224" t="n">
        <v>1.5</v>
      </c>
      <c r="EI224" t="n">
        <v>7.2</v>
      </c>
      <c r="EJ224" t="n">
        <v>48.4</v>
      </c>
      <c r="EK224" t="n">
        <v>37.1</v>
      </c>
    </row>
    <row r="225">
      <c r="A225">
        <f>[1]ingredient!B224</f>
        <v/>
      </c>
      <c r="B225" t="inlineStr">
        <is>
          <t>https://www.naehrwertrechner.de/naehrwerte/R212011/Kurkuma+Gew%C3%BCrz/?menge=100</t>
        </is>
      </c>
      <c r="C225" s="7">
        <f>_xlfn.XLOOKUP(A225,[1]ingredient!$B$2:$B$521,[1]ingredient!$A$2:$A$521)</f>
        <v/>
      </c>
      <c r="D225" t="n">
        <v>356</v>
      </c>
      <c r="E225" t="n">
        <v>10</v>
      </c>
      <c r="F225" t="n">
        <v>8</v>
      </c>
      <c r="G225" t="n">
        <v>58</v>
      </c>
      <c r="H225" t="n">
        <v>7</v>
      </c>
      <c r="I225" t="n">
        <v>58</v>
      </c>
      <c r="J225" t="n">
        <v>0.26</v>
      </c>
      <c r="K225" t="n">
        <v>6</v>
      </c>
      <c r="L225" t="n">
        <v>0</v>
      </c>
      <c r="M225" t="n">
        <v>0</v>
      </c>
      <c r="N225" t="n">
        <v>0</v>
      </c>
      <c r="O225" t="n">
        <v>0</v>
      </c>
      <c r="P225" t="n">
        <v>150</v>
      </c>
      <c r="Q225" t="n">
        <v>230</v>
      </c>
      <c r="R225" t="n">
        <v>5140</v>
      </c>
      <c r="S225" t="n">
        <v>5923</v>
      </c>
      <c r="T225" t="n">
        <v>0</v>
      </c>
      <c r="U225" t="n">
        <v>0</v>
      </c>
      <c r="V225" t="n">
        <v>0</v>
      </c>
      <c r="W225" t="n">
        <v>0</v>
      </c>
      <c r="X225" t="n">
        <v>0</v>
      </c>
      <c r="Y225" t="n">
        <v>25900</v>
      </c>
      <c r="Z225" t="n">
        <v>0</v>
      </c>
      <c r="AA225" t="n">
        <v>0</v>
      </c>
      <c r="AB225" t="n">
        <v>0</v>
      </c>
      <c r="AC225" t="n">
        <v>38</v>
      </c>
      <c r="AD225" t="n">
        <v>2525</v>
      </c>
      <c r="AE225" t="n">
        <v>182</v>
      </c>
      <c r="AF225" t="n">
        <v>193</v>
      </c>
      <c r="AG225" t="n">
        <v>268</v>
      </c>
      <c r="AH225" t="n">
        <v>100</v>
      </c>
      <c r="AI225" t="n">
        <v>220</v>
      </c>
      <c r="AJ225" t="n">
        <v>41420</v>
      </c>
      <c r="AK225" t="n">
        <v>4350</v>
      </c>
      <c r="AL225" t="n">
        <v>200</v>
      </c>
      <c r="AM225" t="n">
        <v>10000</v>
      </c>
      <c r="AN225" t="n">
        <v>50</v>
      </c>
      <c r="AO225" t="n">
        <v>5</v>
      </c>
      <c r="AP225" t="n">
        <v>0</v>
      </c>
      <c r="AQ225" t="n">
        <v>0</v>
      </c>
      <c r="AR225" t="n">
        <v>0</v>
      </c>
      <c r="AS225" t="n">
        <v>0</v>
      </c>
      <c r="AT225" t="n">
        <v>23280</v>
      </c>
      <c r="AU225" t="n">
        <v>23280</v>
      </c>
      <c r="AV225" t="n">
        <v>0</v>
      </c>
      <c r="AW225" t="n">
        <v>46560</v>
      </c>
      <c r="AX225" t="n">
        <v>11058</v>
      </c>
      <c r="AY225" t="n">
        <v>0</v>
      </c>
      <c r="AZ225" t="n">
        <v>0</v>
      </c>
      <c r="BA225" t="n">
        <v>11058</v>
      </c>
      <c r="BB225" t="n">
        <v>0</v>
      </c>
      <c r="BC225" t="n">
        <v>0</v>
      </c>
      <c r="BD225" t="n">
        <v>0</v>
      </c>
      <c r="BE225" t="n">
        <v>582</v>
      </c>
      <c r="BF225" t="n">
        <v>582</v>
      </c>
      <c r="BG225">
        <f>IF($F225=0,"0",MIN(
BH225/(30*$F225),
BI225/(61*$F225),
BJ225/(48*$F225),
(BK225+BL225)/(23*$F225),
(BM225+BN225)/(41*$F225),
BO225/(25*$F225),
BP225/(6.6*$F225),
BQ225/(40*$F225),
BS225/(16*$F225)
)*100)</f>
        <v/>
      </c>
      <c r="BH225" t="n">
        <v>226</v>
      </c>
      <c r="BI225" t="n">
        <v>328</v>
      </c>
      <c r="BJ225" t="n">
        <v>250</v>
      </c>
      <c r="BK225" t="n">
        <v>55</v>
      </c>
      <c r="BL225" t="n">
        <v>31</v>
      </c>
      <c r="BM225" t="n">
        <v>195</v>
      </c>
      <c r="BN225" t="n">
        <v>86</v>
      </c>
      <c r="BO225" t="n">
        <v>156</v>
      </c>
      <c r="BP225" t="n">
        <v>47</v>
      </c>
      <c r="BQ225" t="n">
        <v>320</v>
      </c>
      <c r="BR225" t="n">
        <v>187</v>
      </c>
      <c r="BS225" t="n">
        <v>133</v>
      </c>
      <c r="BT225" t="n">
        <v>2014</v>
      </c>
      <c r="BU225" t="n">
        <v>133</v>
      </c>
      <c r="BV225" t="n">
        <v>928</v>
      </c>
      <c r="BW225" t="n">
        <v>725</v>
      </c>
      <c r="BX225" t="n">
        <v>187</v>
      </c>
      <c r="BY225" t="n">
        <v>179</v>
      </c>
      <c r="BZ225" t="n">
        <v>195</v>
      </c>
      <c r="CA225" t="n">
        <v>2347</v>
      </c>
      <c r="CB225" t="n">
        <v>70</v>
      </c>
      <c r="CC225" t="n">
        <v>29</v>
      </c>
      <c r="CD225" t="n">
        <v>457</v>
      </c>
      <c r="CE225" t="n">
        <v>1622</v>
      </c>
      <c r="CF225" t="n">
        <v>3.55</v>
      </c>
      <c r="CG225" t="n">
        <v>0</v>
      </c>
      <c r="CH225" t="n">
        <v>0</v>
      </c>
      <c r="CI225" t="n">
        <v>90</v>
      </c>
      <c r="CJ225" t="n">
        <v>187</v>
      </c>
      <c r="CK225" t="n">
        <v>506</v>
      </c>
      <c r="CL225" t="n">
        <v>243</v>
      </c>
      <c r="CM225" t="n">
        <v>0</v>
      </c>
      <c r="CN225" t="n">
        <v>1622</v>
      </c>
      <c r="CO225" t="n">
        <v>0</v>
      </c>
      <c r="CP225" t="n">
        <v>222</v>
      </c>
      <c r="CQ225" t="n">
        <v>0</v>
      </c>
      <c r="CR225" t="n">
        <v>0</v>
      </c>
      <c r="CS225" t="n">
        <v>0</v>
      </c>
      <c r="CT225" t="n">
        <v>2870</v>
      </c>
      <c r="CU225" t="n">
        <v>0</v>
      </c>
      <c r="CV225" t="n">
        <v>0</v>
      </c>
      <c r="CW225" t="n">
        <v>284</v>
      </c>
      <c r="CX225" t="n">
        <v>0</v>
      </c>
      <c r="CY225" t="n">
        <v>1608</v>
      </c>
      <c r="CZ225" t="n">
        <v>90</v>
      </c>
      <c r="DA225" t="n">
        <v>0</v>
      </c>
      <c r="DB225" t="n">
        <v>0</v>
      </c>
      <c r="DC225" t="n">
        <v>1982</v>
      </c>
      <c r="DD225" t="n">
        <v>0</v>
      </c>
      <c r="DE225" t="n">
        <v>0</v>
      </c>
      <c r="DF225" t="n">
        <v>1622</v>
      </c>
      <c r="DG225" t="n">
        <v>457</v>
      </c>
      <c r="DH225" t="n">
        <v>0</v>
      </c>
      <c r="DI225" t="n">
        <v>0</v>
      </c>
      <c r="DJ225" t="n">
        <v>0</v>
      </c>
      <c r="DK225" t="n">
        <v>0</v>
      </c>
      <c r="DL225" t="n">
        <v>0</v>
      </c>
      <c r="DM225" t="n">
        <v>0</v>
      </c>
      <c r="DN225" t="n">
        <v>0</v>
      </c>
      <c r="DO225" t="n">
        <v>0</v>
      </c>
      <c r="DP225" t="n">
        <v>0</v>
      </c>
      <c r="DQ225" t="n">
        <v>0</v>
      </c>
      <c r="DR225" t="n">
        <v>0</v>
      </c>
      <c r="DS225" t="n">
        <v>2079</v>
      </c>
      <c r="DT225" t="n">
        <v>6654</v>
      </c>
      <c r="DU225" t="n">
        <v>2970</v>
      </c>
      <c r="DV225" t="n">
        <v>0</v>
      </c>
      <c r="DW225" t="n">
        <v>0</v>
      </c>
      <c r="DX225" t="n">
        <v>277</v>
      </c>
      <c r="DY225" t="n">
        <v>1005</v>
      </c>
      <c r="DZ225" t="n">
        <v>1005</v>
      </c>
      <c r="EA225" t="n">
        <v>1809</v>
      </c>
      <c r="EB225" t="n">
        <v>2680</v>
      </c>
      <c r="EC225" t="n">
        <v>201</v>
      </c>
      <c r="ED225" t="n">
        <v>1675</v>
      </c>
      <c r="EE225" t="n">
        <v>5025</v>
      </c>
      <c r="EF225" t="n">
        <v>0</v>
      </c>
      <c r="EG225" t="n">
        <v>0.21</v>
      </c>
      <c r="EH225" t="n">
        <v>11.2</v>
      </c>
      <c r="EI225" t="n">
        <v>5</v>
      </c>
      <c r="EJ225" t="n">
        <v>9.9</v>
      </c>
      <c r="EK225" t="n">
        <v>4.6</v>
      </c>
    </row>
    <row r="226">
      <c r="A226">
        <f>[1]ingredient!B225</f>
        <v/>
      </c>
      <c r="C226" s="7">
        <f>_xlfn.XLOOKUP(A226,[1]ingredient!$B$2:$B$521,[1]ingredient!$A$2:$A$521)</f>
        <v/>
      </c>
      <c r="D226" t="n">
        <v>39</v>
      </c>
      <c r="E226" t="n">
        <v>0.41</v>
      </c>
      <c r="F226" t="n">
        <v>1.2</v>
      </c>
      <c r="G226" t="n">
        <v>8.4</v>
      </c>
      <c r="H226">
        <f>H225/6.66</f>
        <v/>
      </c>
      <c r="I226">
        <f>I225/6.66</f>
        <v/>
      </c>
      <c r="J226">
        <f>J225/6.66</f>
        <v/>
      </c>
      <c r="K226" t="n">
        <v>15</v>
      </c>
      <c r="L226">
        <f>L225/6.66</f>
        <v/>
      </c>
      <c r="M226">
        <f>M225/6.66</f>
        <v/>
      </c>
      <c r="N226">
        <f>N225/6.66</f>
        <v/>
      </c>
      <c r="O226">
        <f>O225/6.66</f>
        <v/>
      </c>
      <c r="P226">
        <f>P225/6.66</f>
        <v/>
      </c>
      <c r="Q226">
        <f>Q225/6.66</f>
        <v/>
      </c>
      <c r="R226">
        <f>R225/6.66</f>
        <v/>
      </c>
      <c r="S226">
        <f>S225/6.66</f>
        <v/>
      </c>
      <c r="T226">
        <f>T225/6.66</f>
        <v/>
      </c>
      <c r="U226">
        <f>U225/6.66</f>
        <v/>
      </c>
      <c r="V226">
        <f>V225/6.66</f>
        <v/>
      </c>
      <c r="W226">
        <f>W225/6.66</f>
        <v/>
      </c>
      <c r="X226">
        <f>X225/6.66</f>
        <v/>
      </c>
      <c r="Y226">
        <f>Y225/6.66</f>
        <v/>
      </c>
      <c r="Z226">
        <f>Z225/6.66</f>
        <v/>
      </c>
      <c r="AA226">
        <f>AA225/6.66</f>
        <v/>
      </c>
      <c r="AB226">
        <f>AB225/6.66</f>
        <v/>
      </c>
      <c r="AC226">
        <f>AC225/6.66</f>
        <v/>
      </c>
      <c r="AD226">
        <f>AD225/6.66</f>
        <v/>
      </c>
      <c r="AE226">
        <f>AE225/6.66</f>
        <v/>
      </c>
      <c r="AF226">
        <f>AF225/6.66</f>
        <v/>
      </c>
      <c r="AG226">
        <f>AG225/6.66</f>
        <v/>
      </c>
      <c r="AH226">
        <f>AH225/6.66</f>
        <v/>
      </c>
      <c r="AI226">
        <f>AI225/6.66</f>
        <v/>
      </c>
      <c r="AJ226">
        <f>AJ225/6.66</f>
        <v/>
      </c>
      <c r="AK226">
        <f>AK225/6.66</f>
        <v/>
      </c>
      <c r="AL226">
        <f>AL225/6.66</f>
        <v/>
      </c>
      <c r="AM226">
        <f>AM225/6.66</f>
        <v/>
      </c>
      <c r="AN226">
        <f>AN225/6.66</f>
        <v/>
      </c>
      <c r="AO226">
        <f>AO225/6.66</f>
        <v/>
      </c>
      <c r="AP226">
        <f>AP225/6.66</f>
        <v/>
      </c>
      <c r="AQ226">
        <f>AQ225/6.66</f>
        <v/>
      </c>
      <c r="AR226">
        <f>AR225/6.66</f>
        <v/>
      </c>
      <c r="AS226">
        <f>AS225/6.66</f>
        <v/>
      </c>
      <c r="AT226">
        <f>AT225/6.66</f>
        <v/>
      </c>
      <c r="AU226">
        <f>AU225/6.66</f>
        <v/>
      </c>
      <c r="AV226">
        <f>AV225/6.66</f>
        <v/>
      </c>
      <c r="AW226">
        <f>AW225/6.66</f>
        <v/>
      </c>
      <c r="AX226">
        <f>AX225/6.66</f>
        <v/>
      </c>
      <c r="AY226">
        <f>AY225/6.66</f>
        <v/>
      </c>
      <c r="AZ226">
        <f>AZ225/6.66</f>
        <v/>
      </c>
      <c r="BA226">
        <f>BA225/6.66</f>
        <v/>
      </c>
      <c r="BB226">
        <f>BB225/6.66</f>
        <v/>
      </c>
      <c r="BC226">
        <f>BC225/6.66</f>
        <v/>
      </c>
      <c r="BD226">
        <f>BD225/6.66</f>
        <v/>
      </c>
      <c r="BE226">
        <f>BE225/6.66</f>
        <v/>
      </c>
      <c r="BF226">
        <f>BF225/6.66</f>
        <v/>
      </c>
      <c r="BG226">
        <f>IF($F226=0,"0",MIN(
BH226/(30*$F226),
BI226/(61*$F226),
BJ226/(48*$F226),
(BK226+BL226)/(23*$F226),
(BM226+BN226)/(41*$F226),
BO226/(25*$F226),
BP226/(6.6*$F226),
BQ226/(40*$F226),
BS226/(16*$F226)
)*100)</f>
        <v/>
      </c>
      <c r="BH226">
        <f>BH225/6.66</f>
        <v/>
      </c>
      <c r="BI226">
        <f>BI225/6.66</f>
        <v/>
      </c>
      <c r="BJ226">
        <f>BJ225/6.66</f>
        <v/>
      </c>
      <c r="BK226">
        <f>BK225/6.66</f>
        <v/>
      </c>
      <c r="BL226">
        <f>BL225/6.66</f>
        <v/>
      </c>
      <c r="BM226">
        <f>BM225/6.66</f>
        <v/>
      </c>
      <c r="BN226">
        <f>BN225/6.66</f>
        <v/>
      </c>
      <c r="BO226">
        <f>BO225/6.66</f>
        <v/>
      </c>
      <c r="BP226">
        <f>BP225/6.66</f>
        <v/>
      </c>
      <c r="BQ226">
        <f>BQ225/6.66</f>
        <v/>
      </c>
      <c r="BR226">
        <f>BR225/6.66</f>
        <v/>
      </c>
      <c r="BS226">
        <f>BS225/6.66</f>
        <v/>
      </c>
      <c r="BT226">
        <f>BT225/6.66</f>
        <v/>
      </c>
      <c r="BU226">
        <f>BU225/6.66</f>
        <v/>
      </c>
      <c r="BV226">
        <f>BV225/6.66</f>
        <v/>
      </c>
      <c r="BW226">
        <f>BW225/6.66</f>
        <v/>
      </c>
      <c r="BX226">
        <f>BX225/6.66</f>
        <v/>
      </c>
      <c r="BY226">
        <f>BY225/6.66</f>
        <v/>
      </c>
      <c r="BZ226">
        <f>BZ225/6.66</f>
        <v/>
      </c>
      <c r="CA226">
        <f>CA225/6.66</f>
        <v/>
      </c>
      <c r="CB226">
        <f>CB225/6.66</f>
        <v/>
      </c>
      <c r="CC226">
        <f>CC225/6.66</f>
        <v/>
      </c>
      <c r="CD226">
        <f>CD225/6.66</f>
        <v/>
      </c>
      <c r="CE226">
        <f>CE225/6.66</f>
        <v/>
      </c>
      <c r="CF226">
        <f>CF225/6.66</f>
        <v/>
      </c>
      <c r="CG226">
        <f>CG225/6.66</f>
        <v/>
      </c>
      <c r="CH226">
        <f>CH225/6.66</f>
        <v/>
      </c>
      <c r="CI226">
        <f>CI225/6.66</f>
        <v/>
      </c>
      <c r="CJ226">
        <f>CJ225/6.66</f>
        <v/>
      </c>
      <c r="CK226">
        <f>CK225/6.66</f>
        <v/>
      </c>
      <c r="CL226">
        <f>CL225/6.66</f>
        <v/>
      </c>
      <c r="CM226">
        <f>CM225/6.66</f>
        <v/>
      </c>
      <c r="CN226">
        <f>CN225/6.66</f>
        <v/>
      </c>
      <c r="CO226">
        <f>CO225/6.66</f>
        <v/>
      </c>
      <c r="CP226">
        <f>CP225/6.66</f>
        <v/>
      </c>
      <c r="CQ226">
        <f>CQ225/6.66</f>
        <v/>
      </c>
      <c r="CR226">
        <f>CR225/6.66</f>
        <v/>
      </c>
      <c r="CS226">
        <f>CS225/6.66</f>
        <v/>
      </c>
      <c r="CT226">
        <f>CT225/6.66</f>
        <v/>
      </c>
      <c r="CU226">
        <f>CU225/6.66</f>
        <v/>
      </c>
      <c r="CV226">
        <f>CV225/6.66</f>
        <v/>
      </c>
      <c r="CW226">
        <f>CW225/6.66</f>
        <v/>
      </c>
      <c r="CX226">
        <f>CX225/6.66</f>
        <v/>
      </c>
      <c r="CY226">
        <f>CY225/6.66</f>
        <v/>
      </c>
      <c r="CZ226">
        <f>CZ225/6.66</f>
        <v/>
      </c>
      <c r="DA226">
        <f>DA225/6.66</f>
        <v/>
      </c>
      <c r="DB226">
        <f>DB225/6.66</f>
        <v/>
      </c>
      <c r="DC226">
        <f>DC225/6.66</f>
        <v/>
      </c>
      <c r="DD226">
        <f>DD225/6.66</f>
        <v/>
      </c>
      <c r="DE226">
        <f>DE225/6.66</f>
        <v/>
      </c>
      <c r="DF226">
        <f>DF225/6.66</f>
        <v/>
      </c>
      <c r="DG226">
        <f>DG225/6.66</f>
        <v/>
      </c>
      <c r="DH226">
        <f>DH225/6.66</f>
        <v/>
      </c>
      <c r="DI226">
        <f>DI225/6.66</f>
        <v/>
      </c>
      <c r="DJ226">
        <f>DJ225/6.66</f>
        <v/>
      </c>
      <c r="DK226">
        <f>DK225/6.66</f>
        <v/>
      </c>
      <c r="DL226">
        <f>DL225/6.66</f>
        <v/>
      </c>
      <c r="DM226">
        <f>DM225/6.66</f>
        <v/>
      </c>
      <c r="DN226">
        <f>DN225/6.66</f>
        <v/>
      </c>
      <c r="DO226">
        <f>DO225/6.66</f>
        <v/>
      </c>
      <c r="DP226">
        <f>DP225/6.66</f>
        <v/>
      </c>
      <c r="DQ226">
        <f>DQ225/6.66</f>
        <v/>
      </c>
      <c r="DR226">
        <f>DR225/6.66</f>
        <v/>
      </c>
      <c r="DS226">
        <f>DS225/6.66</f>
        <v/>
      </c>
      <c r="DT226">
        <f>DT225/6.66</f>
        <v/>
      </c>
      <c r="DU226">
        <f>DU225/6.66</f>
        <v/>
      </c>
      <c r="DV226">
        <f>DV225/6.66</f>
        <v/>
      </c>
      <c r="DW226">
        <f>DW225/6.66</f>
        <v/>
      </c>
      <c r="DX226">
        <f>DX225/6.66</f>
        <v/>
      </c>
      <c r="DY226">
        <f>DY225/6.66</f>
        <v/>
      </c>
      <c r="DZ226">
        <f>DZ225/6.66</f>
        <v/>
      </c>
      <c r="EA226">
        <f>EA225/6.66</f>
        <v/>
      </c>
      <c r="EB226">
        <f>EB225/6.66</f>
        <v/>
      </c>
      <c r="EC226">
        <f>EC225/6.66</f>
        <v/>
      </c>
      <c r="ED226">
        <f>ED225/6.66</f>
        <v/>
      </c>
      <c r="EE226">
        <f>EE225/6.66</f>
        <v/>
      </c>
      <c r="EF226">
        <f>EF225/6.66</f>
        <v/>
      </c>
      <c r="EG226">
        <f>EG225/6.66</f>
        <v/>
      </c>
      <c r="EH226">
        <f>EH225/6.66</f>
        <v/>
      </c>
      <c r="EI226">
        <f>EI225/6.66</f>
        <v/>
      </c>
      <c r="EJ226">
        <f>EJ225/6.66</f>
        <v/>
      </c>
      <c r="EK226">
        <f>EK225/6.66</f>
        <v/>
      </c>
    </row>
    <row r="227">
      <c r="A227">
        <f>[1]ingredient!B226</f>
        <v/>
      </c>
      <c r="B227" t="inlineStr">
        <is>
          <t>https://www.naehrwertrechner.de/naehrwerte/G470111/Porree+frisch/?menge=100</t>
        </is>
      </c>
      <c r="C227" s="7">
        <f>_xlfn.XLOOKUP(A227,[1]ingredient!$B$2:$B$521,[1]ingredient!$A$2:$A$521)</f>
        <v/>
      </c>
      <c r="D227" t="n">
        <v>26</v>
      </c>
      <c r="E227" t="n">
        <v>0.34</v>
      </c>
      <c r="F227" t="n">
        <v>2</v>
      </c>
      <c r="G227" t="n">
        <v>3</v>
      </c>
      <c r="H227" t="n">
        <v>2</v>
      </c>
      <c r="I227" t="n">
        <v>3</v>
      </c>
      <c r="J227" t="n">
        <v>0.03</v>
      </c>
      <c r="K227" t="n">
        <v>90</v>
      </c>
      <c r="L227" t="n">
        <v>167</v>
      </c>
      <c r="M227" t="n">
        <v>83</v>
      </c>
      <c r="N227" t="n">
        <v>0</v>
      </c>
      <c r="O227" t="n">
        <v>1000</v>
      </c>
      <c r="P227" t="n">
        <v>86</v>
      </c>
      <c r="Q227" t="n">
        <v>68</v>
      </c>
      <c r="R227" t="n">
        <v>530</v>
      </c>
      <c r="S227" t="n">
        <v>797</v>
      </c>
      <c r="T227" t="n">
        <v>140</v>
      </c>
      <c r="U227" t="n">
        <v>250</v>
      </c>
      <c r="V227" t="n">
        <v>2</v>
      </c>
      <c r="W227" t="n">
        <v>56</v>
      </c>
      <c r="X227" t="n">
        <v>0</v>
      </c>
      <c r="Y227" t="n">
        <v>24000</v>
      </c>
      <c r="Z227" t="n">
        <v>0</v>
      </c>
      <c r="AA227" t="n">
        <v>529</v>
      </c>
      <c r="AB227" t="n">
        <v>200</v>
      </c>
      <c r="AC227" t="n">
        <v>5</v>
      </c>
      <c r="AD227" t="n">
        <v>235</v>
      </c>
      <c r="AE227" t="n">
        <v>87</v>
      </c>
      <c r="AF227" t="n">
        <v>18</v>
      </c>
      <c r="AG227" t="n">
        <v>46</v>
      </c>
      <c r="AH227" t="n">
        <v>58</v>
      </c>
      <c r="AI227" t="n">
        <v>24</v>
      </c>
      <c r="AJ227" t="n">
        <v>1000</v>
      </c>
      <c r="AK227" t="n">
        <v>310</v>
      </c>
      <c r="AL227" t="n">
        <v>55</v>
      </c>
      <c r="AM227" t="n">
        <v>190</v>
      </c>
      <c r="AN227" t="n">
        <v>10</v>
      </c>
      <c r="AO227" t="n">
        <v>1</v>
      </c>
      <c r="AP227" t="n">
        <v>96</v>
      </c>
      <c r="AQ227" t="n">
        <v>0</v>
      </c>
      <c r="AR227" t="n">
        <v>0</v>
      </c>
      <c r="AS227" t="n">
        <v>96</v>
      </c>
      <c r="AT227" t="n">
        <v>899</v>
      </c>
      <c r="AU227" t="n">
        <v>1155</v>
      </c>
      <c r="AV227" t="n">
        <v>0</v>
      </c>
      <c r="AW227" t="n">
        <v>2054</v>
      </c>
      <c r="AX227" t="n">
        <v>530</v>
      </c>
      <c r="AY227" t="n">
        <v>48</v>
      </c>
      <c r="AZ227" t="n">
        <v>0</v>
      </c>
      <c r="BA227" t="n">
        <v>578</v>
      </c>
      <c r="BB227" t="n">
        <v>482</v>
      </c>
      <c r="BC227" t="n">
        <v>720</v>
      </c>
      <c r="BD227" t="n">
        <v>0</v>
      </c>
      <c r="BE227" t="n">
        <v>0</v>
      </c>
      <c r="BF227" t="n">
        <v>0</v>
      </c>
      <c r="BG227">
        <f>IF($F227=0,"0",MIN(
BH227/(30*$F227),
BI227/(61*$F227),
BJ227/(48*$F227),
(BK227+BL227)/(23*$F227),
(BM227+BN227)/(41*$F227),
BO227/(25*$F227),
BP227/(6.6*$F227),
BQ227/(40*$F227),
BS227/(16*$F227)
)*100)</f>
        <v/>
      </c>
      <c r="BH227" t="n">
        <v>67</v>
      </c>
      <c r="BI227" t="n">
        <v>112</v>
      </c>
      <c r="BJ227" t="n">
        <v>112</v>
      </c>
      <c r="BK227" t="n">
        <v>25</v>
      </c>
      <c r="BL227" t="n">
        <v>13</v>
      </c>
      <c r="BM227" t="n">
        <v>63</v>
      </c>
      <c r="BN227" t="n">
        <v>38</v>
      </c>
      <c r="BO227" t="n">
        <v>74</v>
      </c>
      <c r="BP227" t="n">
        <v>16</v>
      </c>
      <c r="BQ227" t="n">
        <v>83</v>
      </c>
      <c r="BR227" t="n">
        <v>114</v>
      </c>
      <c r="BS227" t="n">
        <v>36</v>
      </c>
      <c r="BT227" t="n">
        <v>753</v>
      </c>
      <c r="BU227" t="n">
        <v>90</v>
      </c>
      <c r="BV227" t="n">
        <v>170</v>
      </c>
      <c r="BW227" t="n">
        <v>340</v>
      </c>
      <c r="BX227" t="n">
        <v>74</v>
      </c>
      <c r="BY227" t="n">
        <v>67</v>
      </c>
      <c r="BZ227" t="n">
        <v>74</v>
      </c>
      <c r="CA227" t="n">
        <v>815</v>
      </c>
      <c r="CB227" t="n">
        <v>40</v>
      </c>
      <c r="CC227" t="n">
        <v>17</v>
      </c>
      <c r="CD227" t="n">
        <v>95</v>
      </c>
      <c r="CE227" t="n">
        <v>112</v>
      </c>
      <c r="CF227" t="n">
        <v>1.18</v>
      </c>
      <c r="CG227" t="n">
        <v>0</v>
      </c>
      <c r="CH227" t="n">
        <v>0</v>
      </c>
      <c r="CI227" t="n">
        <v>0</v>
      </c>
      <c r="CJ227" t="n">
        <v>0</v>
      </c>
      <c r="CK227" t="n">
        <v>0</v>
      </c>
      <c r="CL227" t="n">
        <v>0</v>
      </c>
      <c r="CM227" t="n">
        <v>0</v>
      </c>
      <c r="CN227" t="n">
        <v>54</v>
      </c>
      <c r="CO227" t="n">
        <v>0</v>
      </c>
      <c r="CP227" t="n">
        <v>3</v>
      </c>
      <c r="CQ227" t="n">
        <v>0</v>
      </c>
      <c r="CR227" t="n">
        <v>0</v>
      </c>
      <c r="CS227" t="n">
        <v>0</v>
      </c>
      <c r="CT227" t="n">
        <v>57</v>
      </c>
      <c r="CU227" t="n">
        <v>0</v>
      </c>
      <c r="CV227" t="n">
        <v>0</v>
      </c>
      <c r="CW227" t="n">
        <v>0</v>
      </c>
      <c r="CX227" t="n">
        <v>0</v>
      </c>
      <c r="CY227" t="n">
        <v>8</v>
      </c>
      <c r="CZ227" t="n">
        <v>0</v>
      </c>
      <c r="DA227" t="n">
        <v>0</v>
      </c>
      <c r="DB227" t="n">
        <v>0</v>
      </c>
      <c r="DC227" t="n">
        <v>8</v>
      </c>
      <c r="DD227" t="n">
        <v>0</v>
      </c>
      <c r="DE227" t="n">
        <v>0</v>
      </c>
      <c r="DF227" t="n">
        <v>112</v>
      </c>
      <c r="DG227" t="n">
        <v>95</v>
      </c>
      <c r="DH227" t="n">
        <v>0</v>
      </c>
      <c r="DI227" t="n">
        <v>0</v>
      </c>
      <c r="DJ227" t="n">
        <v>0</v>
      </c>
      <c r="DK227" t="n">
        <v>0</v>
      </c>
      <c r="DL227" t="n">
        <v>0</v>
      </c>
      <c r="DM227" t="n">
        <v>0</v>
      </c>
      <c r="DN227" t="n">
        <v>0</v>
      </c>
      <c r="DO227" t="n">
        <v>0</v>
      </c>
      <c r="DP227" t="n">
        <v>0</v>
      </c>
      <c r="DQ227" t="n">
        <v>0</v>
      </c>
      <c r="DR227" t="n">
        <v>0</v>
      </c>
      <c r="DS227" t="n">
        <v>207</v>
      </c>
      <c r="DT227" t="n">
        <v>272</v>
      </c>
      <c r="DU227" t="n">
        <v>68</v>
      </c>
      <c r="DV227" t="n">
        <v>0</v>
      </c>
      <c r="DW227" t="n">
        <v>0</v>
      </c>
      <c r="DX227" t="n">
        <v>0</v>
      </c>
      <c r="DY227" t="n">
        <v>110</v>
      </c>
      <c r="DZ227" t="n">
        <v>1056</v>
      </c>
      <c r="EA227" t="n">
        <v>286</v>
      </c>
      <c r="EB227" t="n">
        <v>660</v>
      </c>
      <c r="EC227" t="n">
        <v>88</v>
      </c>
      <c r="ED227" t="n">
        <v>506</v>
      </c>
      <c r="EE227" t="n">
        <v>1694</v>
      </c>
      <c r="EF227" t="n">
        <v>0</v>
      </c>
      <c r="EG227" t="n">
        <v>0.22</v>
      </c>
      <c r="EH227" t="n">
        <v>0.9</v>
      </c>
      <c r="EI227" t="n">
        <v>1.7</v>
      </c>
      <c r="EJ227" t="n">
        <v>0.3</v>
      </c>
      <c r="EK227" t="n">
        <v>1.7</v>
      </c>
    </row>
    <row r="228">
      <c r="A228">
        <f>[1]ingredient!B227</f>
        <v/>
      </c>
      <c r="B228" t="inlineStr">
        <is>
          <t>https://www.naehrwertrechner.de/naehrwerte/G087511/Lavendelbl%C3%BCten+%28getrocknet%29/?menge=100</t>
        </is>
      </c>
      <c r="C228" s="7">
        <f>_xlfn.XLOOKUP(A228,[1]ingredient!$B$2:$B$521,[1]ingredient!$A$2:$A$521)</f>
        <v/>
      </c>
      <c r="D228" t="n">
        <v>254</v>
      </c>
      <c r="E228" t="n">
        <v>3</v>
      </c>
      <c r="F228" t="n">
        <v>8</v>
      </c>
      <c r="G228" t="n">
        <v>26</v>
      </c>
      <c r="H228" t="n">
        <v>45</v>
      </c>
      <c r="I228" t="n">
        <v>12</v>
      </c>
      <c r="J228" t="n">
        <v>0.21</v>
      </c>
      <c r="K228" t="n">
        <v>16</v>
      </c>
      <c r="L228" t="n">
        <v>0</v>
      </c>
      <c r="M228" t="n">
        <v>0</v>
      </c>
      <c r="N228" t="n">
        <v>0</v>
      </c>
      <c r="O228" t="n">
        <v>0</v>
      </c>
      <c r="P228" t="n">
        <v>0</v>
      </c>
      <c r="Q228" t="n">
        <v>900</v>
      </c>
      <c r="R228" t="n">
        <v>8000</v>
      </c>
      <c r="S228" t="n">
        <v>9600</v>
      </c>
      <c r="T228" t="n">
        <v>1300</v>
      </c>
      <c r="U228" t="n">
        <v>300</v>
      </c>
      <c r="V228" t="n">
        <v>0.3</v>
      </c>
      <c r="W228" t="n">
        <v>60</v>
      </c>
      <c r="X228" t="n">
        <v>0</v>
      </c>
      <c r="Y228" t="n">
        <v>0</v>
      </c>
      <c r="Z228" t="n">
        <v>0</v>
      </c>
      <c r="AA228" t="n">
        <v>0</v>
      </c>
      <c r="AB228" t="n">
        <v>0</v>
      </c>
      <c r="AC228" t="n">
        <v>8</v>
      </c>
      <c r="AD228" t="n">
        <v>370</v>
      </c>
      <c r="AE228" t="n">
        <v>300</v>
      </c>
      <c r="AF228" t="n">
        <v>280</v>
      </c>
      <c r="AG228" t="n">
        <v>30</v>
      </c>
      <c r="AH228" t="n">
        <v>100</v>
      </c>
      <c r="AI228" t="n">
        <v>200</v>
      </c>
      <c r="AJ228" t="n">
        <v>78000</v>
      </c>
      <c r="AK228" t="n">
        <v>2000</v>
      </c>
      <c r="AL228" t="n">
        <v>1500</v>
      </c>
      <c r="AM228" t="n">
        <v>50000</v>
      </c>
      <c r="AN228" t="n">
        <v>7000</v>
      </c>
      <c r="AO228" t="n">
        <v>11</v>
      </c>
      <c r="AP228" t="n">
        <v>0</v>
      </c>
      <c r="AQ228" t="n">
        <v>0</v>
      </c>
      <c r="AR228" t="n">
        <v>0</v>
      </c>
      <c r="AS228" t="n">
        <v>0</v>
      </c>
      <c r="AT228" t="n">
        <v>5220</v>
      </c>
      <c r="AU228" t="n">
        <v>5220</v>
      </c>
      <c r="AV228" t="n">
        <v>0</v>
      </c>
      <c r="AW228" t="n">
        <v>10440</v>
      </c>
      <c r="AX228" t="n">
        <v>1200</v>
      </c>
      <c r="AY228" t="n">
        <v>0</v>
      </c>
      <c r="AZ228" t="n">
        <v>0</v>
      </c>
      <c r="BA228" t="n">
        <v>1160</v>
      </c>
      <c r="BB228" t="n">
        <v>7300</v>
      </c>
      <c r="BC228" t="n">
        <v>0</v>
      </c>
      <c r="BD228" t="n">
        <v>0</v>
      </c>
      <c r="BE228" t="n">
        <v>7000</v>
      </c>
      <c r="BF228" t="n">
        <v>0</v>
      </c>
      <c r="BG228">
        <f>IF($F228=0,"0",MIN(
BH228/(30*$F228),
BI228/(61*$F228),
BJ228/(48*$F228),
(BK228+BL228)/(23*$F228),
(BM228+BN228)/(41*$F228),
BO228/(25*$F228),
BP228/(6.6*$F228),
BQ228/(40*$F228),
BS228/(16*$F228)
)*100)</f>
        <v/>
      </c>
      <c r="BH228" t="n">
        <v>293</v>
      </c>
      <c r="BI228" t="n">
        <v>488</v>
      </c>
      <c r="BJ228" t="n">
        <v>488</v>
      </c>
      <c r="BK228" t="n">
        <v>147</v>
      </c>
      <c r="BL228" t="n">
        <v>97</v>
      </c>
      <c r="BM228" t="n">
        <v>342</v>
      </c>
      <c r="BN228" t="n">
        <v>195</v>
      </c>
      <c r="BO228" t="n">
        <v>244</v>
      </c>
      <c r="BP228" t="n">
        <v>97</v>
      </c>
      <c r="BQ228" t="n">
        <v>390</v>
      </c>
      <c r="BR228" t="n">
        <v>439</v>
      </c>
      <c r="BS228" t="n">
        <v>147</v>
      </c>
      <c r="BT228" t="n">
        <v>3366</v>
      </c>
      <c r="BU228" t="n">
        <v>585</v>
      </c>
      <c r="BV228" t="n">
        <v>1463</v>
      </c>
      <c r="BW228" t="n">
        <v>1365</v>
      </c>
      <c r="BX228" t="n">
        <v>390</v>
      </c>
      <c r="BY228" t="n">
        <v>342</v>
      </c>
      <c r="BZ228" t="n">
        <v>390</v>
      </c>
      <c r="CA228" t="n">
        <v>4534</v>
      </c>
      <c r="CB228" t="n">
        <v>40</v>
      </c>
      <c r="CC228" t="n">
        <v>17</v>
      </c>
      <c r="CD228" t="n">
        <v>200</v>
      </c>
      <c r="CE228" t="n">
        <v>800</v>
      </c>
      <c r="CF228" t="n">
        <v>4</v>
      </c>
      <c r="CG228" t="n">
        <v>0</v>
      </c>
      <c r="CH228" t="n">
        <v>0</v>
      </c>
      <c r="CI228" t="n">
        <v>0</v>
      </c>
      <c r="CJ228" t="n">
        <v>0</v>
      </c>
      <c r="CK228" t="n">
        <v>17</v>
      </c>
      <c r="CL228" t="n">
        <v>34</v>
      </c>
      <c r="CM228" t="n">
        <v>0</v>
      </c>
      <c r="CN228" t="n">
        <v>814</v>
      </c>
      <c r="CO228" t="n">
        <v>0</v>
      </c>
      <c r="CP228" t="n">
        <v>136</v>
      </c>
      <c r="CQ228" t="n">
        <v>0</v>
      </c>
      <c r="CR228" t="n">
        <v>0</v>
      </c>
      <c r="CS228" t="n">
        <v>0</v>
      </c>
      <c r="CT228" t="n">
        <v>1000</v>
      </c>
      <c r="CU228" t="n">
        <v>0</v>
      </c>
      <c r="CV228" t="n">
        <v>0</v>
      </c>
      <c r="CW228" t="n">
        <v>20</v>
      </c>
      <c r="CX228" t="n">
        <v>0</v>
      </c>
      <c r="CY228" t="n">
        <v>398</v>
      </c>
      <c r="CZ228" t="n">
        <v>0</v>
      </c>
      <c r="DA228" t="n">
        <v>0</v>
      </c>
      <c r="DB228" t="n">
        <v>0</v>
      </c>
      <c r="DC228" t="n">
        <v>400</v>
      </c>
      <c r="DD228" t="n">
        <v>0</v>
      </c>
      <c r="DE228" t="n">
        <v>0</v>
      </c>
      <c r="DF228" t="n">
        <v>800</v>
      </c>
      <c r="DG228" t="n">
        <v>200</v>
      </c>
      <c r="DH228" t="n">
        <v>0</v>
      </c>
      <c r="DI228" t="n">
        <v>0</v>
      </c>
      <c r="DJ228" t="n">
        <v>0</v>
      </c>
      <c r="DK228" t="n">
        <v>0</v>
      </c>
      <c r="DL228" t="n">
        <v>0</v>
      </c>
      <c r="DM228" t="n">
        <v>0</v>
      </c>
      <c r="DN228" t="n">
        <v>0</v>
      </c>
      <c r="DO228" t="n">
        <v>0</v>
      </c>
      <c r="DP228" t="n">
        <v>0</v>
      </c>
      <c r="DQ228" t="n">
        <v>0</v>
      </c>
      <c r="DR228" t="n">
        <v>0</v>
      </c>
      <c r="DS228" t="n">
        <v>1000</v>
      </c>
      <c r="DT228" t="n">
        <v>2403</v>
      </c>
      <c r="DU228" t="n">
        <v>497</v>
      </c>
      <c r="DV228" t="n">
        <v>0</v>
      </c>
      <c r="DW228" t="n">
        <v>0</v>
      </c>
      <c r="DX228" t="n">
        <v>0</v>
      </c>
      <c r="DY228" t="n">
        <v>9867</v>
      </c>
      <c r="DZ228" t="n">
        <v>8073</v>
      </c>
      <c r="EA228" t="n">
        <v>8970</v>
      </c>
      <c r="EB228" t="n">
        <v>8970</v>
      </c>
      <c r="EC228" t="n">
        <v>8970</v>
      </c>
      <c r="ED228" t="n">
        <v>13455</v>
      </c>
      <c r="EE228" t="n">
        <v>31395</v>
      </c>
      <c r="EF228" t="n">
        <v>0</v>
      </c>
      <c r="EG228" t="n">
        <v>1000</v>
      </c>
      <c r="EH228" t="n">
        <v>1.4</v>
      </c>
      <c r="EI228" t="n">
        <v>31.4</v>
      </c>
      <c r="EJ228" t="n">
        <v>2.9</v>
      </c>
      <c r="EK228" t="n">
        <v>8</v>
      </c>
    </row>
    <row r="229">
      <c r="A229">
        <f>[1]ingredient!B228</f>
        <v/>
      </c>
      <c r="B229" t="inlineStr">
        <is>
          <t>https://www.naehrwertrechner.de/naehrwerte/Q160000/Lein%C3%B6l/?menge=100</t>
        </is>
      </c>
      <c r="C229" s="7">
        <f>_xlfn.XLOOKUP(A229,[1]ingredient!$B$2:$B$521,[1]ingredient!$A$2:$A$521)</f>
        <v/>
      </c>
      <c r="D229" t="n">
        <v>879</v>
      </c>
      <c r="E229" t="n">
        <v>100</v>
      </c>
      <c r="F229" t="n">
        <v>0</v>
      </c>
      <c r="G229" t="n">
        <v>0</v>
      </c>
      <c r="H229" t="n">
        <v>0</v>
      </c>
      <c r="I229" t="n">
        <v>0</v>
      </c>
      <c r="J229" t="n">
        <v>0</v>
      </c>
      <c r="K229" t="n">
        <v>0.49</v>
      </c>
      <c r="L229" t="n">
        <v>0</v>
      </c>
      <c r="M229" t="n">
        <v>0</v>
      </c>
      <c r="N229" t="n">
        <v>0</v>
      </c>
      <c r="O229" t="n">
        <v>0</v>
      </c>
      <c r="P229" t="n">
        <v>0</v>
      </c>
      <c r="Q229" t="n">
        <v>0</v>
      </c>
      <c r="R229" t="n">
        <v>0</v>
      </c>
      <c r="S229" t="n">
        <v>0</v>
      </c>
      <c r="T229" t="n">
        <v>0</v>
      </c>
      <c r="U229" t="n">
        <v>0</v>
      </c>
      <c r="V229" t="n">
        <v>0</v>
      </c>
      <c r="W229" t="n">
        <v>0</v>
      </c>
      <c r="X229" t="n">
        <v>0</v>
      </c>
      <c r="Y229" t="n">
        <v>0</v>
      </c>
      <c r="Z229" t="n">
        <v>0</v>
      </c>
      <c r="AA229" t="n">
        <v>5821</v>
      </c>
      <c r="AB229" t="n">
        <v>25</v>
      </c>
      <c r="AC229" t="n">
        <v>1</v>
      </c>
      <c r="AD229" t="n">
        <v>1</v>
      </c>
      <c r="AE229" t="n">
        <v>1</v>
      </c>
      <c r="AF229" t="n">
        <v>1</v>
      </c>
      <c r="AG229" t="n">
        <v>1</v>
      </c>
      <c r="AH229" t="n">
        <v>0</v>
      </c>
      <c r="AI229" t="n">
        <v>0</v>
      </c>
      <c r="AJ229" t="n">
        <v>0</v>
      </c>
      <c r="AK229" t="n">
        <v>0</v>
      </c>
      <c r="AL229" t="n">
        <v>0</v>
      </c>
      <c r="AM229" t="n">
        <v>0</v>
      </c>
      <c r="AN229" t="n">
        <v>0</v>
      </c>
      <c r="AO229" t="n">
        <v>0</v>
      </c>
      <c r="AP229" t="n">
        <v>0</v>
      </c>
      <c r="AQ229" t="n">
        <v>0</v>
      </c>
      <c r="AR229" t="n">
        <v>0</v>
      </c>
      <c r="AS229" t="n">
        <v>0</v>
      </c>
      <c r="AT229" t="n">
        <v>0</v>
      </c>
      <c r="AU229" t="n">
        <v>0</v>
      </c>
      <c r="AV229" t="n">
        <v>0</v>
      </c>
      <c r="AW229" t="n">
        <v>0</v>
      </c>
      <c r="AX229" t="n">
        <v>0</v>
      </c>
      <c r="AY229" t="n">
        <v>0</v>
      </c>
      <c r="AZ229" t="n">
        <v>0</v>
      </c>
      <c r="BA229" t="n">
        <v>0</v>
      </c>
      <c r="BB229" t="n">
        <v>0</v>
      </c>
      <c r="BC229" t="n">
        <v>0</v>
      </c>
      <c r="BD229" t="n">
        <v>0</v>
      </c>
      <c r="BE229" t="n">
        <v>0</v>
      </c>
      <c r="BF229" t="n">
        <v>0</v>
      </c>
      <c r="BG229">
        <f>IF($F229=0,"0",MIN(
BH229/(30*$F229),
BI229/(61*$F229),
BJ229/(48*$F229),
(BK229+BL229)/(23*$F229),
(BM229+BN229)/(41*$F229),
BO229/(25*$F229),
BP229/(6.6*$F229),
BQ229/(40*$F229),
BS229/(16*$F229)
)*100)</f>
        <v/>
      </c>
      <c r="BH229" t="n">
        <v>0</v>
      </c>
      <c r="BI229" t="n">
        <v>0</v>
      </c>
      <c r="BJ229" t="n">
        <v>0</v>
      </c>
      <c r="BK229" t="n">
        <v>0</v>
      </c>
      <c r="BL229" t="n">
        <v>0</v>
      </c>
      <c r="BM229" t="n">
        <v>0</v>
      </c>
      <c r="BN229" t="n">
        <v>0</v>
      </c>
      <c r="BO229" t="n">
        <v>0</v>
      </c>
      <c r="BP229" t="n">
        <v>0</v>
      </c>
      <c r="BQ229" t="n">
        <v>0</v>
      </c>
      <c r="BR229" t="n">
        <v>0</v>
      </c>
      <c r="BS229" t="n">
        <v>0</v>
      </c>
      <c r="BT229" t="n">
        <v>0</v>
      </c>
      <c r="BU229" t="n">
        <v>0</v>
      </c>
      <c r="BV229" t="n">
        <v>0</v>
      </c>
      <c r="BW229" t="n">
        <v>0</v>
      </c>
      <c r="BX229" t="n">
        <v>0</v>
      </c>
      <c r="BY229" t="n">
        <v>0</v>
      </c>
      <c r="BZ229" t="n">
        <v>0</v>
      </c>
      <c r="CA229" t="n">
        <v>0</v>
      </c>
      <c r="CB229" t="n">
        <v>0</v>
      </c>
      <c r="CC229" t="n">
        <v>0</v>
      </c>
      <c r="CD229" t="n">
        <v>53650</v>
      </c>
      <c r="CE229" t="n">
        <v>13317</v>
      </c>
      <c r="CF229" t="n">
        <v>0.25</v>
      </c>
      <c r="CG229" t="n">
        <v>0</v>
      </c>
      <c r="CH229" t="n">
        <v>0</v>
      </c>
      <c r="CI229" t="n">
        <v>0</v>
      </c>
      <c r="CJ229" t="n">
        <v>0</v>
      </c>
      <c r="CK229" t="n">
        <v>95</v>
      </c>
      <c r="CL229" t="n">
        <v>95</v>
      </c>
      <c r="CM229" t="n">
        <v>0</v>
      </c>
      <c r="CN229" t="n">
        <v>5707</v>
      </c>
      <c r="CO229" t="n">
        <v>95</v>
      </c>
      <c r="CP229" t="n">
        <v>3805</v>
      </c>
      <c r="CQ229" t="n">
        <v>95</v>
      </c>
      <c r="CR229" t="n">
        <v>95</v>
      </c>
      <c r="CS229" t="n">
        <v>0</v>
      </c>
      <c r="CT229" t="n">
        <v>9987</v>
      </c>
      <c r="CU229" t="n">
        <v>0</v>
      </c>
      <c r="CV229" t="n">
        <v>0</v>
      </c>
      <c r="CW229" t="n">
        <v>95</v>
      </c>
      <c r="CX229" t="n">
        <v>0</v>
      </c>
      <c r="CY229" t="n">
        <v>18073</v>
      </c>
      <c r="CZ229" t="n">
        <v>0</v>
      </c>
      <c r="DA229" t="n">
        <v>0</v>
      </c>
      <c r="DB229" t="n">
        <v>0</v>
      </c>
      <c r="DC229" t="n">
        <v>18168</v>
      </c>
      <c r="DD229" t="n">
        <v>0</v>
      </c>
      <c r="DE229" t="n">
        <v>0</v>
      </c>
      <c r="DF229" t="n">
        <v>13317</v>
      </c>
      <c r="DG229" t="n">
        <v>53650</v>
      </c>
      <c r="DH229" t="n">
        <v>0</v>
      </c>
      <c r="DI229" t="n">
        <v>0</v>
      </c>
      <c r="DJ229" t="n">
        <v>0</v>
      </c>
      <c r="DK229" t="n">
        <v>0</v>
      </c>
      <c r="DL229" t="n">
        <v>0</v>
      </c>
      <c r="DM229" t="n">
        <v>0</v>
      </c>
      <c r="DN229" t="n">
        <v>0</v>
      </c>
      <c r="DO229" t="n">
        <v>0</v>
      </c>
      <c r="DP229" t="n">
        <v>0</v>
      </c>
      <c r="DQ229" t="n">
        <v>0</v>
      </c>
      <c r="DR229" t="n">
        <v>0</v>
      </c>
      <c r="DS229" t="n">
        <v>66967</v>
      </c>
      <c r="DT229" t="n">
        <v>95122</v>
      </c>
      <c r="DU229" t="n">
        <v>4378</v>
      </c>
      <c r="DV229" t="n">
        <v>7</v>
      </c>
      <c r="DW229" t="n">
        <v>0</v>
      </c>
      <c r="DX229" t="n">
        <v>0</v>
      </c>
      <c r="DY229" t="n">
        <v>0</v>
      </c>
      <c r="DZ229" t="n">
        <v>0</v>
      </c>
      <c r="EA229" t="n">
        <v>0</v>
      </c>
      <c r="EB229" t="n">
        <v>0</v>
      </c>
      <c r="EC229" t="n">
        <v>0</v>
      </c>
      <c r="ED229" t="n">
        <v>0</v>
      </c>
      <c r="EE229" t="n">
        <v>0</v>
      </c>
      <c r="EF229" t="n">
        <v>0</v>
      </c>
      <c r="EG229" t="n">
        <v>0</v>
      </c>
      <c r="EH229" t="n">
        <v>0</v>
      </c>
      <c r="EI229" t="n">
        <v>0</v>
      </c>
      <c r="EJ229" t="n">
        <v>99.5</v>
      </c>
      <c r="EK229" t="n">
        <v>0</v>
      </c>
    </row>
    <row r="230">
      <c r="A230">
        <f>[1]ingredient!B229</f>
        <v/>
      </c>
      <c r="B230" t="inlineStr">
        <is>
          <t>https://www.naehrwertrechner.de/naehrwerte/H410400/Leinsamen+geschrotet/?menge=100</t>
        </is>
      </c>
      <c r="C230" s="7">
        <f>_xlfn.XLOOKUP(A230,[1]ingredient!$B$2:$B$521,[1]ingredient!$A$2:$A$521)</f>
        <v/>
      </c>
      <c r="D230" t="n">
        <v>450</v>
      </c>
      <c r="E230" t="n">
        <v>37</v>
      </c>
      <c r="F230" t="n">
        <v>23</v>
      </c>
      <c r="G230" t="n">
        <v>8</v>
      </c>
      <c r="H230" t="n">
        <v>22</v>
      </c>
      <c r="I230" t="n">
        <v>8</v>
      </c>
      <c r="J230" t="n">
        <v>0.07000000000000001</v>
      </c>
      <c r="K230" t="n">
        <v>8</v>
      </c>
      <c r="L230" t="n">
        <v>8</v>
      </c>
      <c r="M230" t="n">
        <v>2</v>
      </c>
      <c r="N230" t="n">
        <v>0</v>
      </c>
      <c r="O230" t="n">
        <v>24</v>
      </c>
      <c r="P230" t="n">
        <v>233</v>
      </c>
      <c r="Q230" t="n">
        <v>106</v>
      </c>
      <c r="R230" t="n">
        <v>1813</v>
      </c>
      <c r="S230" t="n">
        <v>8430</v>
      </c>
      <c r="T230" t="n">
        <v>0</v>
      </c>
      <c r="U230" t="n">
        <v>261</v>
      </c>
      <c r="V230" t="n">
        <v>8</v>
      </c>
      <c r="W230" t="n">
        <v>37</v>
      </c>
      <c r="X230" t="n">
        <v>0</v>
      </c>
      <c r="Y230" t="n">
        <v>0</v>
      </c>
      <c r="Z230" t="n">
        <v>1</v>
      </c>
      <c r="AA230" t="n">
        <v>8092</v>
      </c>
      <c r="AB230" t="n">
        <v>2</v>
      </c>
      <c r="AC230" t="n">
        <v>57</v>
      </c>
      <c r="AD230" t="n">
        <v>739</v>
      </c>
      <c r="AE230" t="n">
        <v>208</v>
      </c>
      <c r="AF230" t="n">
        <v>327</v>
      </c>
      <c r="AG230" t="n">
        <v>539</v>
      </c>
      <c r="AH230" t="n">
        <v>223</v>
      </c>
      <c r="AI230" t="n">
        <v>17</v>
      </c>
      <c r="AJ230" t="n">
        <v>6827</v>
      </c>
      <c r="AK230" t="n">
        <v>4218</v>
      </c>
      <c r="AL230" t="n">
        <v>1214</v>
      </c>
      <c r="AM230" t="n">
        <v>2286</v>
      </c>
      <c r="AN230" t="n">
        <v>68</v>
      </c>
      <c r="AO230" t="n">
        <v>2</v>
      </c>
      <c r="AP230" t="n">
        <v>0</v>
      </c>
      <c r="AQ230" t="n">
        <v>0</v>
      </c>
      <c r="AR230" t="n">
        <v>0</v>
      </c>
      <c r="AS230" t="n">
        <v>0</v>
      </c>
      <c r="AT230" t="n">
        <v>0</v>
      </c>
      <c r="AU230" t="n">
        <v>0</v>
      </c>
      <c r="AV230" t="n">
        <v>0</v>
      </c>
      <c r="AW230" t="n">
        <v>0</v>
      </c>
      <c r="AX230" t="n">
        <v>7799</v>
      </c>
      <c r="AY230" t="n">
        <v>0</v>
      </c>
      <c r="AZ230" t="n">
        <v>0</v>
      </c>
      <c r="BA230" t="n">
        <v>7799</v>
      </c>
      <c r="BB230" t="n">
        <v>0</v>
      </c>
      <c r="BC230" t="n">
        <v>0</v>
      </c>
      <c r="BD230" t="n">
        <v>0</v>
      </c>
      <c r="BE230" t="n">
        <v>0</v>
      </c>
      <c r="BF230" t="n">
        <v>0</v>
      </c>
      <c r="BG230">
        <f>IF($F230=0,"0",MIN(
BH230/(30*$F230),
BI230/(61*$F230),
BJ230/(48*$F230),
(BK230+BL230)/(23*$F230),
(BM230+BN230)/(41*$F230),
BO230/(25*$F230),
BP230/(6.6*$F230),
BQ230/(40*$F230),
BS230/(16*$F230)
)*100)</f>
        <v/>
      </c>
      <c r="BH230" t="n">
        <v>963</v>
      </c>
      <c r="BI230" t="n">
        <v>1371</v>
      </c>
      <c r="BJ230" t="n">
        <v>921</v>
      </c>
      <c r="BK230" t="n">
        <v>450</v>
      </c>
      <c r="BL230" t="n">
        <v>429</v>
      </c>
      <c r="BM230" t="n">
        <v>1120</v>
      </c>
      <c r="BN230" t="n">
        <v>597</v>
      </c>
      <c r="BO230" t="n">
        <v>880</v>
      </c>
      <c r="BP230" t="n">
        <v>397</v>
      </c>
      <c r="BQ230" t="n">
        <v>1162</v>
      </c>
      <c r="BR230" t="n">
        <v>2261</v>
      </c>
      <c r="BS230" t="n">
        <v>524</v>
      </c>
      <c r="BT230" t="n">
        <v>11075</v>
      </c>
      <c r="BU230" t="n">
        <v>1078</v>
      </c>
      <c r="BV230" t="n">
        <v>2251</v>
      </c>
      <c r="BW230" t="n">
        <v>4752</v>
      </c>
      <c r="BX230" t="n">
        <v>1392</v>
      </c>
      <c r="BY230" t="n">
        <v>858</v>
      </c>
      <c r="BZ230" t="n">
        <v>1120</v>
      </c>
      <c r="CA230" t="n">
        <v>11451</v>
      </c>
      <c r="CB230" t="n">
        <v>0</v>
      </c>
      <c r="CC230" t="n">
        <v>0</v>
      </c>
      <c r="CD230" t="n">
        <v>20410</v>
      </c>
      <c r="CE230" t="n">
        <v>5516</v>
      </c>
      <c r="CF230" t="n">
        <v>0.27</v>
      </c>
      <c r="CG230" t="n">
        <v>0</v>
      </c>
      <c r="CH230" t="n">
        <v>0</v>
      </c>
      <c r="CI230" t="n">
        <v>0</v>
      </c>
      <c r="CJ230" t="n">
        <v>0</v>
      </c>
      <c r="CK230" t="n">
        <v>4</v>
      </c>
      <c r="CL230" t="n">
        <v>18</v>
      </c>
      <c r="CM230" t="n">
        <v>7</v>
      </c>
      <c r="CN230" t="n">
        <v>1987</v>
      </c>
      <c r="CO230" t="n">
        <v>22</v>
      </c>
      <c r="CP230" t="n">
        <v>1491</v>
      </c>
      <c r="CQ230" t="n">
        <v>57</v>
      </c>
      <c r="CR230" t="n">
        <v>57</v>
      </c>
      <c r="CS230" t="n">
        <v>33</v>
      </c>
      <c r="CT230" t="n">
        <v>3676</v>
      </c>
      <c r="CU230" t="n">
        <v>0</v>
      </c>
      <c r="CV230" t="n">
        <v>0</v>
      </c>
      <c r="CW230" t="n">
        <v>26</v>
      </c>
      <c r="CX230" t="n">
        <v>15</v>
      </c>
      <c r="CY230" t="n">
        <v>7223</v>
      </c>
      <c r="CZ230" t="n">
        <v>48</v>
      </c>
      <c r="DA230" t="n">
        <v>0</v>
      </c>
      <c r="DB230" t="n">
        <v>4</v>
      </c>
      <c r="DC230" t="n">
        <v>7316</v>
      </c>
      <c r="DD230" t="n">
        <v>0</v>
      </c>
      <c r="DE230" t="n">
        <v>0</v>
      </c>
      <c r="DF230" t="n">
        <v>5509</v>
      </c>
      <c r="DG230" t="n">
        <v>20410</v>
      </c>
      <c r="DH230" t="n">
        <v>0</v>
      </c>
      <c r="DI230" t="n">
        <v>0</v>
      </c>
      <c r="DJ230" t="n">
        <v>7</v>
      </c>
      <c r="DK230" t="n">
        <v>0</v>
      </c>
      <c r="DL230" t="n">
        <v>0</v>
      </c>
      <c r="DM230" t="n">
        <v>0</v>
      </c>
      <c r="DN230" t="n">
        <v>0</v>
      </c>
      <c r="DO230" t="n">
        <v>0</v>
      </c>
      <c r="DP230" t="n">
        <v>0</v>
      </c>
      <c r="DQ230" t="n">
        <v>0</v>
      </c>
      <c r="DR230" t="n">
        <v>0</v>
      </c>
      <c r="DS230" t="n">
        <v>25926</v>
      </c>
      <c r="DT230" t="n">
        <v>36918</v>
      </c>
      <c r="DU230" t="n">
        <v>1</v>
      </c>
      <c r="DV230" t="n">
        <v>0</v>
      </c>
      <c r="DW230" t="n">
        <v>0</v>
      </c>
      <c r="DX230" t="n">
        <v>0</v>
      </c>
      <c r="DY230" t="n">
        <v>0</v>
      </c>
      <c r="DZ230" t="n">
        <v>0</v>
      </c>
      <c r="EA230" t="n">
        <v>0</v>
      </c>
      <c r="EB230" t="n">
        <v>0</v>
      </c>
      <c r="EC230" t="n">
        <v>0</v>
      </c>
      <c r="ED230" t="n">
        <v>0</v>
      </c>
      <c r="EE230" t="n">
        <v>0</v>
      </c>
      <c r="EF230" t="n">
        <v>0</v>
      </c>
      <c r="EG230" t="n">
        <v>0</v>
      </c>
      <c r="EH230" t="n">
        <v>3.4</v>
      </c>
      <c r="EI230" t="n">
        <v>0</v>
      </c>
      <c r="EJ230" t="n">
        <v>36.9</v>
      </c>
      <c r="EK230" t="n">
        <v>22.5</v>
      </c>
    </row>
    <row r="231">
      <c r="A231">
        <f>[1]ingredient!B230</f>
        <v/>
      </c>
      <c r="B231" t="inlineStr">
        <is>
          <t>https://www.naehrwertrechner.de/naehrwerte/H680011/%C3%96lsamen+und+anderes+Gekeimtes/?menge=100</t>
        </is>
      </c>
      <c r="C231" s="7">
        <f>_xlfn.XLOOKUP(A231,[1]ingredient!$B$2:$B$521,[1]ingredient!$A$2:$A$521)</f>
        <v/>
      </c>
      <c r="D231" t="n">
        <v>24</v>
      </c>
      <c r="E231" t="n">
        <v>0.3</v>
      </c>
      <c r="F231" t="n">
        <v>3</v>
      </c>
      <c r="G231" t="n">
        <v>2</v>
      </c>
      <c r="H231" t="n">
        <v>6</v>
      </c>
      <c r="I231" t="n">
        <v>1</v>
      </c>
      <c r="J231" t="n">
        <v>0.02</v>
      </c>
      <c r="K231" t="n">
        <v>88</v>
      </c>
      <c r="L231" t="n">
        <v>7</v>
      </c>
      <c r="M231" t="n">
        <v>3</v>
      </c>
      <c r="N231" t="n">
        <v>0</v>
      </c>
      <c r="O231" t="n">
        <v>40</v>
      </c>
      <c r="P231" t="n">
        <v>84</v>
      </c>
      <c r="Q231" t="n">
        <v>92</v>
      </c>
      <c r="R231" t="n">
        <v>750</v>
      </c>
      <c r="S231" t="n">
        <v>1817</v>
      </c>
      <c r="T231" t="n">
        <v>380</v>
      </c>
      <c r="U231" t="n">
        <v>88</v>
      </c>
      <c r="V231" t="n">
        <v>2</v>
      </c>
      <c r="W231" t="n">
        <v>61</v>
      </c>
      <c r="X231" t="n">
        <v>0</v>
      </c>
      <c r="Y231" t="n">
        <v>11000</v>
      </c>
      <c r="Z231" t="n">
        <v>0</v>
      </c>
      <c r="AA231" t="n">
        <v>90</v>
      </c>
      <c r="AB231" t="n">
        <v>5</v>
      </c>
      <c r="AC231" t="n">
        <v>5</v>
      </c>
      <c r="AD231" t="n">
        <v>134</v>
      </c>
      <c r="AE231" t="n">
        <v>13</v>
      </c>
      <c r="AF231" t="n">
        <v>18</v>
      </c>
      <c r="AG231" t="n">
        <v>49</v>
      </c>
      <c r="AH231" t="n">
        <v>70</v>
      </c>
      <c r="AI231" t="n">
        <v>15</v>
      </c>
      <c r="AJ231" t="n">
        <v>910</v>
      </c>
      <c r="AK231" t="n">
        <v>390</v>
      </c>
      <c r="AL231" t="n">
        <v>120</v>
      </c>
      <c r="AM231" t="n">
        <v>188</v>
      </c>
      <c r="AN231" t="n">
        <v>4</v>
      </c>
      <c r="AO231" t="n">
        <v>2</v>
      </c>
      <c r="AP231" t="n">
        <v>0</v>
      </c>
      <c r="AQ231" t="n">
        <v>0</v>
      </c>
      <c r="AR231" t="n">
        <v>0</v>
      </c>
      <c r="AS231" t="n">
        <v>0</v>
      </c>
      <c r="AT231" t="n">
        <v>282</v>
      </c>
      <c r="AU231" t="n">
        <v>88</v>
      </c>
      <c r="AV231" t="n">
        <v>0</v>
      </c>
      <c r="AW231" t="n">
        <v>370</v>
      </c>
      <c r="AX231" t="n">
        <v>364</v>
      </c>
      <c r="AY231" t="n">
        <v>0</v>
      </c>
      <c r="AZ231" t="n">
        <v>0</v>
      </c>
      <c r="BA231" t="n">
        <v>364</v>
      </c>
      <c r="BB231" t="n">
        <v>88</v>
      </c>
      <c r="BC231" t="n">
        <v>0</v>
      </c>
      <c r="BD231" t="n">
        <v>0</v>
      </c>
      <c r="BE231" t="n">
        <v>1038</v>
      </c>
      <c r="BF231" t="n">
        <v>1038</v>
      </c>
      <c r="BG231">
        <f>IF($F231=0,"0",MIN(
BH231/(30*$F231),
BI231/(61*$F231),
BJ231/(48*$F231),
(BK231+BL231)/(23*$F231),
(BM231+BN231)/(41*$F231),
BO231/(25*$F231),
BP231/(6.6*$F231),
BQ231/(40*$F231),
BS231/(16*$F231)
)*100)</f>
        <v/>
      </c>
      <c r="BH231" t="n">
        <v>138</v>
      </c>
      <c r="BI231" t="n">
        <v>195</v>
      </c>
      <c r="BJ231" t="n">
        <v>192</v>
      </c>
      <c r="BK231" t="n">
        <v>38</v>
      </c>
      <c r="BL231" t="n">
        <v>19</v>
      </c>
      <c r="BM231" t="n">
        <v>134</v>
      </c>
      <c r="BN231" t="n">
        <v>64</v>
      </c>
      <c r="BO231" t="n">
        <v>96</v>
      </c>
      <c r="BP231" t="n">
        <v>64</v>
      </c>
      <c r="BQ231" t="n">
        <v>144</v>
      </c>
      <c r="BR231" t="n">
        <v>231</v>
      </c>
      <c r="BS231" t="n">
        <v>74</v>
      </c>
      <c r="BT231" t="n">
        <v>1389</v>
      </c>
      <c r="BU231" t="n">
        <v>115</v>
      </c>
      <c r="BV231" t="n">
        <v>560</v>
      </c>
      <c r="BW231" t="n">
        <v>192</v>
      </c>
      <c r="BX231" t="n">
        <v>74</v>
      </c>
      <c r="BY231" t="n">
        <v>128</v>
      </c>
      <c r="BZ231" t="n">
        <v>38</v>
      </c>
      <c r="CA231" t="n">
        <v>1107</v>
      </c>
      <c r="CB231" t="n">
        <v>12</v>
      </c>
      <c r="CC231" t="n">
        <v>5</v>
      </c>
      <c r="CD231" t="n">
        <v>31</v>
      </c>
      <c r="CE231" t="n">
        <v>77</v>
      </c>
      <c r="CF231" t="n">
        <v>2.48</v>
      </c>
      <c r="CG231" t="n">
        <v>0</v>
      </c>
      <c r="CH231" t="n">
        <v>0</v>
      </c>
      <c r="CI231" t="n">
        <v>0</v>
      </c>
      <c r="CJ231" t="n">
        <v>0</v>
      </c>
      <c r="CK231" t="n">
        <v>0</v>
      </c>
      <c r="CL231" t="n">
        <v>0</v>
      </c>
      <c r="CM231" t="n">
        <v>10</v>
      </c>
      <c r="CN231" t="n">
        <v>64</v>
      </c>
      <c r="CO231" t="n">
        <v>0</v>
      </c>
      <c r="CP231" t="n">
        <v>19</v>
      </c>
      <c r="CQ231" t="n">
        <v>0</v>
      </c>
      <c r="CR231" t="n">
        <v>0</v>
      </c>
      <c r="CS231" t="n">
        <v>0</v>
      </c>
      <c r="CT231" t="n">
        <v>83</v>
      </c>
      <c r="CU231" t="n">
        <v>0</v>
      </c>
      <c r="CV231" t="n">
        <v>0</v>
      </c>
      <c r="CW231" t="n">
        <v>0</v>
      </c>
      <c r="CX231" t="n">
        <v>0</v>
      </c>
      <c r="CY231" t="n">
        <v>41</v>
      </c>
      <c r="CZ231" t="n">
        <v>0</v>
      </c>
      <c r="DA231" t="n">
        <v>0</v>
      </c>
      <c r="DB231" t="n">
        <v>0</v>
      </c>
      <c r="DC231" t="n">
        <v>41</v>
      </c>
      <c r="DD231" t="n">
        <v>0</v>
      </c>
      <c r="DE231" t="n">
        <v>0</v>
      </c>
      <c r="DF231" t="n">
        <v>77</v>
      </c>
      <c r="DG231" t="n">
        <v>31</v>
      </c>
      <c r="DH231" t="n">
        <v>0</v>
      </c>
      <c r="DI231" t="n">
        <v>0</v>
      </c>
      <c r="DJ231" t="n">
        <v>0</v>
      </c>
      <c r="DK231" t="n">
        <v>0</v>
      </c>
      <c r="DL231" t="n">
        <v>0</v>
      </c>
      <c r="DM231" t="n">
        <v>0</v>
      </c>
      <c r="DN231" t="n">
        <v>0</v>
      </c>
      <c r="DO231" t="n">
        <v>0</v>
      </c>
      <c r="DP231" t="n">
        <v>0</v>
      </c>
      <c r="DQ231" t="n">
        <v>0</v>
      </c>
      <c r="DR231" t="n">
        <v>0</v>
      </c>
      <c r="DS231" t="n">
        <v>108</v>
      </c>
      <c r="DT231" t="n">
        <v>232</v>
      </c>
      <c r="DU231" t="n">
        <v>68</v>
      </c>
      <c r="DV231" t="n">
        <v>0</v>
      </c>
      <c r="DW231" t="n">
        <v>0</v>
      </c>
      <c r="DX231" t="n">
        <v>0</v>
      </c>
      <c r="DY231" t="n">
        <v>728</v>
      </c>
      <c r="DZ231" t="n">
        <v>1960</v>
      </c>
      <c r="EA231" t="n">
        <v>728</v>
      </c>
      <c r="EB231" t="n">
        <v>2072</v>
      </c>
      <c r="EC231" t="n">
        <v>112</v>
      </c>
      <c r="ED231" t="n">
        <v>2800</v>
      </c>
      <c r="EE231" t="n">
        <v>2800</v>
      </c>
      <c r="EF231" t="n">
        <v>0</v>
      </c>
      <c r="EG231" t="n">
        <v>0.25</v>
      </c>
      <c r="EH231" t="n">
        <v>0.4</v>
      </c>
      <c r="EI231" t="n">
        <v>2.8</v>
      </c>
      <c r="EJ231" t="n">
        <v>0.3</v>
      </c>
      <c r="EK231" t="n">
        <v>2.5</v>
      </c>
    </row>
    <row r="232">
      <c r="A232">
        <f>[1]ingredient!B231</f>
        <v/>
      </c>
      <c r="B232" t="inlineStr">
        <is>
          <t>https://www.naehrwertrechner.de/naehrwerte/G071111/Liebst%C3%B6ckel+frisch/?menge=100</t>
        </is>
      </c>
      <c r="C232" s="7">
        <f>_xlfn.XLOOKUP(A232,[1]ingredient!$B$2:$B$521,[1]ingredient!$A$2:$A$521)</f>
        <v/>
      </c>
      <c r="D232" t="n">
        <v>42</v>
      </c>
      <c r="E232" t="n">
        <v>1</v>
      </c>
      <c r="F232" t="n">
        <v>4</v>
      </c>
      <c r="G232" t="n">
        <v>5</v>
      </c>
      <c r="H232" t="n">
        <v>3</v>
      </c>
      <c r="I232" t="n">
        <v>5</v>
      </c>
      <c r="J232" t="n">
        <v>0.09</v>
      </c>
      <c r="K232" t="n">
        <v>86</v>
      </c>
      <c r="L232" t="n">
        <v>667</v>
      </c>
      <c r="M232" t="n">
        <v>333</v>
      </c>
      <c r="N232" t="n">
        <v>0</v>
      </c>
      <c r="O232" t="n">
        <v>4000</v>
      </c>
      <c r="P232" t="n">
        <v>80</v>
      </c>
      <c r="Q232" t="n">
        <v>150</v>
      </c>
      <c r="R232" t="n">
        <v>1100</v>
      </c>
      <c r="S232" t="n">
        <v>1683</v>
      </c>
      <c r="T232" t="n">
        <v>190</v>
      </c>
      <c r="U232" t="n">
        <v>50</v>
      </c>
      <c r="V232" t="n">
        <v>2</v>
      </c>
      <c r="W232" t="n">
        <v>30</v>
      </c>
      <c r="X232" t="n">
        <v>0</v>
      </c>
      <c r="Y232" t="n">
        <v>45000</v>
      </c>
      <c r="Z232" t="n">
        <v>0</v>
      </c>
      <c r="AA232" t="n">
        <v>1000</v>
      </c>
      <c r="AB232" t="n">
        <v>300</v>
      </c>
      <c r="AC232" t="n">
        <v>20</v>
      </c>
      <c r="AD232" t="n">
        <v>400</v>
      </c>
      <c r="AE232" t="n">
        <v>150</v>
      </c>
      <c r="AF232" t="n">
        <v>30</v>
      </c>
      <c r="AG232" t="n">
        <v>50</v>
      </c>
      <c r="AH232" t="n">
        <v>80</v>
      </c>
      <c r="AI232" t="n">
        <v>70</v>
      </c>
      <c r="AJ232" t="n">
        <v>2000</v>
      </c>
      <c r="AK232" t="n">
        <v>1200</v>
      </c>
      <c r="AL232" t="n">
        <v>120</v>
      </c>
      <c r="AM232" t="n">
        <v>500</v>
      </c>
      <c r="AN232" t="n">
        <v>50</v>
      </c>
      <c r="AO232" t="n">
        <v>4</v>
      </c>
      <c r="AP232" t="n">
        <v>0</v>
      </c>
      <c r="AQ232" t="n">
        <v>0</v>
      </c>
      <c r="AR232" t="n">
        <v>0</v>
      </c>
      <c r="AS232" t="n">
        <v>0</v>
      </c>
      <c r="AT232" t="n">
        <v>2000</v>
      </c>
      <c r="AU232" t="n">
        <v>2000</v>
      </c>
      <c r="AV232" t="n">
        <v>0</v>
      </c>
      <c r="AW232" t="n">
        <v>4000</v>
      </c>
      <c r="AX232" t="n">
        <v>950</v>
      </c>
      <c r="AY232" t="n">
        <v>0</v>
      </c>
      <c r="AZ232" t="n">
        <v>0</v>
      </c>
      <c r="BA232" t="n">
        <v>950</v>
      </c>
      <c r="BB232" t="n">
        <v>0</v>
      </c>
      <c r="BC232" t="n">
        <v>0</v>
      </c>
      <c r="BD232" t="n">
        <v>0</v>
      </c>
      <c r="BE232" t="n">
        <v>50</v>
      </c>
      <c r="BF232" t="n">
        <v>50</v>
      </c>
      <c r="BG232">
        <f>IF($F232=0,"0",MIN(
BH232/(30*$F232),
BI232/(61*$F232),
BJ232/(48*$F232),
(BK232+BL232)/(23*$F232),
(BM232+BN232)/(41*$F232),
BO232/(25*$F232),
BP232/(6.6*$F232),
BQ232/(40*$F232),
BS232/(16*$F232)
)*100)</f>
        <v/>
      </c>
      <c r="BH232" t="n">
        <v>140</v>
      </c>
      <c r="BI232" t="n">
        <v>210</v>
      </c>
      <c r="BJ232" t="n">
        <v>175</v>
      </c>
      <c r="BK232" t="n">
        <v>42</v>
      </c>
      <c r="BL232" t="n">
        <v>35</v>
      </c>
      <c r="BM232" t="n">
        <v>105</v>
      </c>
      <c r="BN232" t="n">
        <v>70</v>
      </c>
      <c r="BO232" t="n">
        <v>123</v>
      </c>
      <c r="BP232" t="n">
        <v>35</v>
      </c>
      <c r="BQ232" t="n">
        <v>140</v>
      </c>
      <c r="BR232" t="n">
        <v>140</v>
      </c>
      <c r="BS232" t="n">
        <v>53</v>
      </c>
      <c r="BT232" t="n">
        <v>1268</v>
      </c>
      <c r="BU232" t="n">
        <v>175</v>
      </c>
      <c r="BV232" t="n">
        <v>350</v>
      </c>
      <c r="BW232" t="n">
        <v>525</v>
      </c>
      <c r="BX232" t="n">
        <v>98</v>
      </c>
      <c r="BY232" t="n">
        <v>140</v>
      </c>
      <c r="BZ232" t="n">
        <v>105</v>
      </c>
      <c r="CA232" t="n">
        <v>1393</v>
      </c>
      <c r="CB232" t="n">
        <v>15</v>
      </c>
      <c r="CC232" t="n">
        <v>6</v>
      </c>
      <c r="CD232" t="n">
        <v>192</v>
      </c>
      <c r="CE232" t="n">
        <v>256</v>
      </c>
      <c r="CF232" t="n">
        <v>1.33</v>
      </c>
      <c r="CG232" t="n">
        <v>0</v>
      </c>
      <c r="CH232" t="n">
        <v>0</v>
      </c>
      <c r="CI232" t="n">
        <v>0</v>
      </c>
      <c r="CJ232" t="n">
        <v>0</v>
      </c>
      <c r="CK232" t="n">
        <v>0</v>
      </c>
      <c r="CL232" t="n">
        <v>3</v>
      </c>
      <c r="CM232" t="n">
        <v>0</v>
      </c>
      <c r="CN232" t="n">
        <v>125</v>
      </c>
      <c r="CO232" t="n">
        <v>0</v>
      </c>
      <c r="CP232" t="n">
        <v>19</v>
      </c>
      <c r="CQ232" t="n">
        <v>0</v>
      </c>
      <c r="CR232" t="n">
        <v>0</v>
      </c>
      <c r="CS232" t="n">
        <v>0</v>
      </c>
      <c r="CT232" t="n">
        <v>147</v>
      </c>
      <c r="CU232" t="n">
        <v>0</v>
      </c>
      <c r="CV232" t="n">
        <v>0</v>
      </c>
      <c r="CW232" t="n">
        <v>6</v>
      </c>
      <c r="CX232" t="n">
        <v>0</v>
      </c>
      <c r="CY232" t="n">
        <v>38</v>
      </c>
      <c r="CZ232" t="n">
        <v>0</v>
      </c>
      <c r="DA232" t="n">
        <v>0</v>
      </c>
      <c r="DB232" t="n">
        <v>0</v>
      </c>
      <c r="DC232" t="n">
        <v>44</v>
      </c>
      <c r="DD232" t="n">
        <v>0</v>
      </c>
      <c r="DE232" t="n">
        <v>0</v>
      </c>
      <c r="DF232" t="n">
        <v>256</v>
      </c>
      <c r="DG232" t="n">
        <v>192</v>
      </c>
      <c r="DH232" t="n">
        <v>0</v>
      </c>
      <c r="DI232" t="n">
        <v>0</v>
      </c>
      <c r="DJ232" t="n">
        <v>0</v>
      </c>
      <c r="DK232" t="n">
        <v>0</v>
      </c>
      <c r="DL232" t="n">
        <v>0</v>
      </c>
      <c r="DM232" t="n">
        <v>0</v>
      </c>
      <c r="DN232" t="n">
        <v>0</v>
      </c>
      <c r="DO232" t="n">
        <v>0</v>
      </c>
      <c r="DP232" t="n">
        <v>0</v>
      </c>
      <c r="DQ232" t="n">
        <v>0</v>
      </c>
      <c r="DR232" t="n">
        <v>0</v>
      </c>
      <c r="DS232" t="n">
        <v>448</v>
      </c>
      <c r="DT232" t="n">
        <v>639</v>
      </c>
      <c r="DU232" t="n">
        <v>160</v>
      </c>
      <c r="DV232" t="n">
        <v>0</v>
      </c>
      <c r="DW232" t="n">
        <v>0</v>
      </c>
      <c r="DX232" t="n">
        <v>0</v>
      </c>
      <c r="DY232" t="n">
        <v>450</v>
      </c>
      <c r="DZ232" t="n">
        <v>600</v>
      </c>
      <c r="EA232" t="n">
        <v>810</v>
      </c>
      <c r="EB232" t="n">
        <v>1050</v>
      </c>
      <c r="EC232" t="n">
        <v>90</v>
      </c>
      <c r="ED232" t="n">
        <v>900</v>
      </c>
      <c r="EE232" t="n">
        <v>2100</v>
      </c>
      <c r="EF232" t="n">
        <v>0</v>
      </c>
      <c r="EG232" t="n">
        <v>0.25</v>
      </c>
      <c r="EH232" t="n">
        <v>1</v>
      </c>
      <c r="EI232" t="n">
        <v>2.1</v>
      </c>
      <c r="EJ232" t="n">
        <v>0.8</v>
      </c>
      <c r="EK232" t="n">
        <v>2.7</v>
      </c>
    </row>
    <row r="233">
      <c r="A233">
        <f>[1]ingredient!B232</f>
        <v/>
      </c>
      <c r="B233" t="inlineStr">
        <is>
          <t>https://www.naehrwertrechner.de/naehrwerte/G071111/Liebst%C3%B6ckel+frisch/?menge=100</t>
        </is>
      </c>
      <c r="C233" s="7">
        <f>_xlfn.XLOOKUP(A233,[1]ingredient!$B$2:$B$521,[1]ingredient!$A$2:$A$521)</f>
        <v/>
      </c>
      <c r="D233" t="n">
        <v>42</v>
      </c>
      <c r="E233" t="n">
        <v>1</v>
      </c>
      <c r="F233" t="n">
        <v>4</v>
      </c>
      <c r="G233" t="n">
        <v>5</v>
      </c>
      <c r="H233" t="n">
        <v>3</v>
      </c>
      <c r="I233" t="n">
        <v>5</v>
      </c>
      <c r="J233" t="n">
        <v>0.09</v>
      </c>
      <c r="K233" t="n">
        <v>86</v>
      </c>
      <c r="L233" t="n">
        <v>667</v>
      </c>
      <c r="M233" t="n">
        <v>333</v>
      </c>
      <c r="N233" t="n">
        <v>0</v>
      </c>
      <c r="O233" t="n">
        <v>4000</v>
      </c>
      <c r="P233" t="n">
        <v>80</v>
      </c>
      <c r="Q233" t="n">
        <v>150</v>
      </c>
      <c r="R233" t="n">
        <v>1100</v>
      </c>
      <c r="S233" t="n">
        <v>1683</v>
      </c>
      <c r="T233" t="n">
        <v>190</v>
      </c>
      <c r="U233" t="n">
        <v>50</v>
      </c>
      <c r="V233" t="n">
        <v>2</v>
      </c>
      <c r="W233" t="n">
        <v>30</v>
      </c>
      <c r="X233" t="n">
        <v>0</v>
      </c>
      <c r="Y233" t="n">
        <v>45000</v>
      </c>
      <c r="Z233" t="n">
        <v>0</v>
      </c>
      <c r="AA233" t="n">
        <v>1000</v>
      </c>
      <c r="AB233" t="n">
        <v>300</v>
      </c>
      <c r="AC233" t="n">
        <v>20</v>
      </c>
      <c r="AD233" t="n">
        <v>400</v>
      </c>
      <c r="AE233" t="n">
        <v>150</v>
      </c>
      <c r="AF233" t="n">
        <v>30</v>
      </c>
      <c r="AG233" t="n">
        <v>50</v>
      </c>
      <c r="AH233" t="n">
        <v>80</v>
      </c>
      <c r="AI233" t="n">
        <v>70</v>
      </c>
      <c r="AJ233" t="n">
        <v>2000</v>
      </c>
      <c r="AK233" t="n">
        <v>1200</v>
      </c>
      <c r="AL233" t="n">
        <v>120</v>
      </c>
      <c r="AM233" t="n">
        <v>500</v>
      </c>
      <c r="AN233" t="n">
        <v>50</v>
      </c>
      <c r="AO233" t="n">
        <v>4</v>
      </c>
      <c r="AP233" t="n">
        <v>0</v>
      </c>
      <c r="AQ233" t="n">
        <v>0</v>
      </c>
      <c r="AR233" t="n">
        <v>0</v>
      </c>
      <c r="AS233" t="n">
        <v>0</v>
      </c>
      <c r="AT233" t="n">
        <v>2000</v>
      </c>
      <c r="AU233" t="n">
        <v>2000</v>
      </c>
      <c r="AV233" t="n">
        <v>0</v>
      </c>
      <c r="AW233" t="n">
        <v>4000</v>
      </c>
      <c r="AX233" t="n">
        <v>950</v>
      </c>
      <c r="AY233" t="n">
        <v>0</v>
      </c>
      <c r="AZ233" t="n">
        <v>0</v>
      </c>
      <c r="BA233" t="n">
        <v>950</v>
      </c>
      <c r="BB233" t="n">
        <v>0</v>
      </c>
      <c r="BC233" t="n">
        <v>0</v>
      </c>
      <c r="BD233" t="n">
        <v>0</v>
      </c>
      <c r="BE233" t="n">
        <v>50</v>
      </c>
      <c r="BF233" t="n">
        <v>50</v>
      </c>
      <c r="BG233">
        <f>IF($F233=0,"0",MIN(
BH233/(30*$F233),
BI233/(61*$F233),
BJ233/(48*$F233),
(BK233+BL233)/(23*$F233),
(BM233+BN233)/(41*$F233),
BO233/(25*$F233),
BP233/(6.6*$F233),
BQ233/(40*$F233),
BS233/(16*$F233)
)*100)</f>
        <v/>
      </c>
      <c r="BH233" t="n">
        <v>140</v>
      </c>
      <c r="BI233" t="n">
        <v>210</v>
      </c>
      <c r="BJ233" t="n">
        <v>175</v>
      </c>
      <c r="BK233" t="n">
        <v>42</v>
      </c>
      <c r="BL233" t="n">
        <v>35</v>
      </c>
      <c r="BM233" t="n">
        <v>105</v>
      </c>
      <c r="BN233" t="n">
        <v>70</v>
      </c>
      <c r="BO233" t="n">
        <v>123</v>
      </c>
      <c r="BP233" t="n">
        <v>35</v>
      </c>
      <c r="BQ233" t="n">
        <v>140</v>
      </c>
      <c r="BR233" t="n">
        <v>140</v>
      </c>
      <c r="BS233" t="n">
        <v>53</v>
      </c>
      <c r="BT233" t="n">
        <v>1268</v>
      </c>
      <c r="BU233" t="n">
        <v>175</v>
      </c>
      <c r="BV233" t="n">
        <v>350</v>
      </c>
      <c r="BW233" t="n">
        <v>525</v>
      </c>
      <c r="BX233" t="n">
        <v>98</v>
      </c>
      <c r="BY233" t="n">
        <v>140</v>
      </c>
      <c r="BZ233" t="n">
        <v>105</v>
      </c>
      <c r="CA233" t="n">
        <v>1393</v>
      </c>
      <c r="CB233" t="n">
        <v>15</v>
      </c>
      <c r="CC233" t="n">
        <v>6</v>
      </c>
      <c r="CD233" t="n">
        <v>192</v>
      </c>
      <c r="CE233" t="n">
        <v>256</v>
      </c>
      <c r="CF233" t="n">
        <v>1.33</v>
      </c>
      <c r="CG233" t="n">
        <v>0</v>
      </c>
      <c r="CH233" t="n">
        <v>0</v>
      </c>
      <c r="CI233" t="n">
        <v>0</v>
      </c>
      <c r="CJ233" t="n">
        <v>0</v>
      </c>
      <c r="CK233" t="n">
        <v>0</v>
      </c>
      <c r="CL233" t="n">
        <v>3</v>
      </c>
      <c r="CM233" t="n">
        <v>0</v>
      </c>
      <c r="CN233" t="n">
        <v>125</v>
      </c>
      <c r="CO233" t="n">
        <v>0</v>
      </c>
      <c r="CP233" t="n">
        <v>19</v>
      </c>
      <c r="CQ233" t="n">
        <v>0</v>
      </c>
      <c r="CR233" t="n">
        <v>0</v>
      </c>
      <c r="CS233" t="n">
        <v>0</v>
      </c>
      <c r="CT233" t="n">
        <v>147</v>
      </c>
      <c r="CU233" t="n">
        <v>0</v>
      </c>
      <c r="CV233" t="n">
        <v>0</v>
      </c>
      <c r="CW233" t="n">
        <v>6</v>
      </c>
      <c r="CX233" t="n">
        <v>0</v>
      </c>
      <c r="CY233" t="n">
        <v>38</v>
      </c>
      <c r="CZ233" t="n">
        <v>0</v>
      </c>
      <c r="DA233" t="n">
        <v>0</v>
      </c>
      <c r="DB233" t="n">
        <v>0</v>
      </c>
      <c r="DC233" t="n">
        <v>44</v>
      </c>
      <c r="DD233" t="n">
        <v>0</v>
      </c>
      <c r="DE233" t="n">
        <v>0</v>
      </c>
      <c r="DF233" t="n">
        <v>256</v>
      </c>
      <c r="DG233" t="n">
        <v>192</v>
      </c>
      <c r="DH233" t="n">
        <v>0</v>
      </c>
      <c r="DI233" t="n">
        <v>0</v>
      </c>
      <c r="DJ233" t="n">
        <v>0</v>
      </c>
      <c r="DK233" t="n">
        <v>0</v>
      </c>
      <c r="DL233" t="n">
        <v>0</v>
      </c>
      <c r="DM233" t="n">
        <v>0</v>
      </c>
      <c r="DN233" t="n">
        <v>0</v>
      </c>
      <c r="DO233" t="n">
        <v>0</v>
      </c>
      <c r="DP233" t="n">
        <v>0</v>
      </c>
      <c r="DQ233" t="n">
        <v>0</v>
      </c>
      <c r="DR233" t="n">
        <v>0</v>
      </c>
      <c r="DS233" t="n">
        <v>448</v>
      </c>
      <c r="DT233" t="n">
        <v>639</v>
      </c>
      <c r="DU233" t="n">
        <v>160</v>
      </c>
      <c r="DV233" t="n">
        <v>0</v>
      </c>
      <c r="DW233" t="n">
        <v>0</v>
      </c>
      <c r="DX233" t="n">
        <v>0</v>
      </c>
      <c r="DY233" t="n">
        <v>450</v>
      </c>
      <c r="DZ233" t="n">
        <v>600</v>
      </c>
      <c r="EA233" t="n">
        <v>810</v>
      </c>
      <c r="EB233" t="n">
        <v>1050</v>
      </c>
      <c r="EC233" t="n">
        <v>90</v>
      </c>
      <c r="ED233" t="n">
        <v>900</v>
      </c>
      <c r="EE233" t="n">
        <v>2100</v>
      </c>
      <c r="EF233" t="n">
        <v>0</v>
      </c>
      <c r="EG233" t="n">
        <v>0.25</v>
      </c>
      <c r="EH233" t="n">
        <v>1</v>
      </c>
      <c r="EI233" t="n">
        <v>2.1</v>
      </c>
      <c r="EJ233" t="n">
        <v>0.8</v>
      </c>
      <c r="EK233" t="n">
        <v>2.7</v>
      </c>
    </row>
    <row r="234">
      <c r="A234">
        <f>[1]ingredient!B233</f>
        <v/>
      </c>
      <c r="B234" t="inlineStr">
        <is>
          <t>https://www.naehrwertrechner.de/naehrwerte/F602000/Limette/?menge=100</t>
        </is>
      </c>
      <c r="C234" s="7">
        <f>_xlfn.XLOOKUP(A234,[1]ingredient!$B$2:$B$521,[1]ingredient!$A$2:$A$521)</f>
        <v/>
      </c>
      <c r="D234" t="n">
        <v>47</v>
      </c>
      <c r="E234" t="n">
        <v>2</v>
      </c>
      <c r="F234" t="n">
        <v>1</v>
      </c>
      <c r="G234" t="n">
        <v>2</v>
      </c>
      <c r="H234" t="n">
        <v>1</v>
      </c>
      <c r="I234" t="n">
        <v>2</v>
      </c>
      <c r="J234" t="n">
        <v>0.01</v>
      </c>
      <c r="K234" t="n">
        <v>89</v>
      </c>
      <c r="L234" t="n">
        <v>2</v>
      </c>
      <c r="M234" t="n">
        <v>1</v>
      </c>
      <c r="N234" t="n">
        <v>0</v>
      </c>
      <c r="O234" t="n">
        <v>10</v>
      </c>
      <c r="P234" t="n">
        <v>28</v>
      </c>
      <c r="Q234" t="n">
        <v>20</v>
      </c>
      <c r="R234" t="n">
        <v>170</v>
      </c>
      <c r="S234" t="n">
        <v>220</v>
      </c>
      <c r="T234" t="n">
        <v>217</v>
      </c>
      <c r="U234" t="n">
        <v>50</v>
      </c>
      <c r="V234" t="n">
        <v>1</v>
      </c>
      <c r="W234" t="n">
        <v>8</v>
      </c>
      <c r="X234" t="n">
        <v>0</v>
      </c>
      <c r="Y234" t="n">
        <v>43500</v>
      </c>
      <c r="Z234" t="n">
        <v>0</v>
      </c>
      <c r="AA234" t="n">
        <v>400</v>
      </c>
      <c r="AB234" t="n">
        <v>3</v>
      </c>
      <c r="AC234" t="n">
        <v>2</v>
      </c>
      <c r="AD234" t="n">
        <v>82</v>
      </c>
      <c r="AE234" t="n">
        <v>13</v>
      </c>
      <c r="AF234" t="n">
        <v>15</v>
      </c>
      <c r="AG234" t="n">
        <v>11</v>
      </c>
      <c r="AH234" t="n">
        <v>10</v>
      </c>
      <c r="AI234" t="n">
        <v>5</v>
      </c>
      <c r="AJ234" t="n">
        <v>200</v>
      </c>
      <c r="AK234" t="n">
        <v>110</v>
      </c>
      <c r="AL234" t="n">
        <v>65</v>
      </c>
      <c r="AM234" t="n">
        <v>40</v>
      </c>
      <c r="AN234" t="n">
        <v>10</v>
      </c>
      <c r="AO234" t="n">
        <v>1</v>
      </c>
      <c r="AP234" t="n">
        <v>0</v>
      </c>
      <c r="AQ234" t="n">
        <v>0</v>
      </c>
      <c r="AR234" t="n">
        <v>0</v>
      </c>
      <c r="AS234" t="n">
        <v>0</v>
      </c>
      <c r="AT234" t="n">
        <v>800</v>
      </c>
      <c r="AU234" t="n">
        <v>800</v>
      </c>
      <c r="AV234" t="n">
        <v>0</v>
      </c>
      <c r="AW234" t="n">
        <v>1600</v>
      </c>
      <c r="AX234" t="n">
        <v>300</v>
      </c>
      <c r="AY234" t="n">
        <v>0</v>
      </c>
      <c r="AZ234" t="n">
        <v>0</v>
      </c>
      <c r="BA234" t="n">
        <v>300</v>
      </c>
      <c r="BB234" t="n">
        <v>0</v>
      </c>
      <c r="BC234" t="n">
        <v>0</v>
      </c>
      <c r="BD234" t="n">
        <v>0</v>
      </c>
      <c r="BE234" t="n">
        <v>0</v>
      </c>
      <c r="BF234" t="n">
        <v>0</v>
      </c>
      <c r="BG234">
        <f>IF($F234=0,"0",MIN(
BH234/(30*$F234),
BI234/(61*$F234),
BJ234/(48*$F234),
(BK234+BL234)/(23*$F234),
(BM234+BN234)/(41*$F234),
BO234/(25*$F234),
BP234/(6.6*$F234),
BQ234/(40*$F234),
BS234/(16*$F234)
)*100)</f>
        <v/>
      </c>
      <c r="BH234" t="n">
        <v>14</v>
      </c>
      <c r="BI234" t="n">
        <v>13</v>
      </c>
      <c r="BJ234" t="n">
        <v>25</v>
      </c>
      <c r="BK234" t="n">
        <v>7</v>
      </c>
      <c r="BL234" t="n">
        <v>7</v>
      </c>
      <c r="BM234" t="n">
        <v>18</v>
      </c>
      <c r="BN234" t="n">
        <v>10</v>
      </c>
      <c r="BO234" t="n">
        <v>7</v>
      </c>
      <c r="BP234" t="n">
        <v>3</v>
      </c>
      <c r="BQ234" t="n">
        <v>18</v>
      </c>
      <c r="BR234" t="n">
        <v>30</v>
      </c>
      <c r="BS234" t="n">
        <v>7</v>
      </c>
      <c r="BT234" t="n">
        <v>159</v>
      </c>
      <c r="BU234" t="n">
        <v>30</v>
      </c>
      <c r="BV234" t="n">
        <v>66</v>
      </c>
      <c r="BW234" t="n">
        <v>57</v>
      </c>
      <c r="BX234" t="n">
        <v>48</v>
      </c>
      <c r="BY234" t="n">
        <v>27</v>
      </c>
      <c r="BZ234" t="n">
        <v>14</v>
      </c>
      <c r="CA234" t="n">
        <v>242</v>
      </c>
      <c r="CB234" t="n">
        <v>20</v>
      </c>
      <c r="CC234" t="n">
        <v>8</v>
      </c>
      <c r="CD234" t="n">
        <v>361</v>
      </c>
      <c r="CE234" t="n">
        <v>731</v>
      </c>
      <c r="CF234" t="n">
        <v>2.02</v>
      </c>
      <c r="CG234" t="n">
        <v>0</v>
      </c>
      <c r="CH234" t="n">
        <v>0</v>
      </c>
      <c r="CI234" t="n">
        <v>0</v>
      </c>
      <c r="CJ234" t="n">
        <v>0</v>
      </c>
      <c r="CK234" t="n">
        <v>0</v>
      </c>
      <c r="CL234" t="n">
        <v>19</v>
      </c>
      <c r="CM234" t="n">
        <v>0</v>
      </c>
      <c r="CN234" t="n">
        <v>401</v>
      </c>
      <c r="CO234" t="n">
        <v>0</v>
      </c>
      <c r="CP234" t="n">
        <v>19</v>
      </c>
      <c r="CQ234" t="n">
        <v>0</v>
      </c>
      <c r="CR234" t="n">
        <v>0</v>
      </c>
      <c r="CS234" t="n">
        <v>0</v>
      </c>
      <c r="CT234" t="n">
        <v>439</v>
      </c>
      <c r="CU234" t="n">
        <v>0</v>
      </c>
      <c r="CV234" t="n">
        <v>0</v>
      </c>
      <c r="CW234" t="n">
        <v>63</v>
      </c>
      <c r="CX234" t="n">
        <v>0</v>
      </c>
      <c r="CY234" t="n">
        <v>326</v>
      </c>
      <c r="CZ234" t="n">
        <v>0</v>
      </c>
      <c r="DA234" t="n">
        <v>0</v>
      </c>
      <c r="DB234" t="n">
        <v>0</v>
      </c>
      <c r="DC234" t="n">
        <v>389</v>
      </c>
      <c r="DD234" t="n">
        <v>0</v>
      </c>
      <c r="DE234" t="n">
        <v>0</v>
      </c>
      <c r="DF234" t="n">
        <v>731</v>
      </c>
      <c r="DG234" t="n">
        <v>361</v>
      </c>
      <c r="DH234" t="n">
        <v>0</v>
      </c>
      <c r="DI234" t="n">
        <v>0</v>
      </c>
      <c r="DJ234" t="n">
        <v>0</v>
      </c>
      <c r="DK234" t="n">
        <v>0</v>
      </c>
      <c r="DL234" t="n">
        <v>0</v>
      </c>
      <c r="DM234" t="n">
        <v>0</v>
      </c>
      <c r="DN234" t="n">
        <v>0</v>
      </c>
      <c r="DO234" t="n">
        <v>0</v>
      </c>
      <c r="DP234" t="n">
        <v>0</v>
      </c>
      <c r="DQ234" t="n">
        <v>0</v>
      </c>
      <c r="DR234" t="n">
        <v>0</v>
      </c>
      <c r="DS234" t="n">
        <v>1092</v>
      </c>
      <c r="DT234" t="n">
        <v>1920</v>
      </c>
      <c r="DU234" t="n">
        <v>480</v>
      </c>
      <c r="DV234" t="n">
        <v>0</v>
      </c>
      <c r="DW234" t="n">
        <v>0</v>
      </c>
      <c r="DX234" t="n">
        <v>0</v>
      </c>
      <c r="DY234" t="n">
        <v>150</v>
      </c>
      <c r="DZ234" t="n">
        <v>100</v>
      </c>
      <c r="EA234" t="n">
        <v>150</v>
      </c>
      <c r="EB234" t="n">
        <v>500</v>
      </c>
      <c r="EC234" t="n">
        <v>100</v>
      </c>
      <c r="ED234" t="n">
        <v>290</v>
      </c>
      <c r="EE234" t="n">
        <v>710</v>
      </c>
      <c r="EF234" t="n">
        <v>0</v>
      </c>
      <c r="EG234" t="n">
        <v>5</v>
      </c>
      <c r="EH234" t="n">
        <v>0.2</v>
      </c>
      <c r="EI234" t="n">
        <v>0.7</v>
      </c>
      <c r="EJ234" t="n">
        <v>2.4</v>
      </c>
      <c r="EK234" t="n">
        <v>0.5</v>
      </c>
    </row>
    <row r="235">
      <c r="A235">
        <f>[1]ingredient!B234</f>
        <v/>
      </c>
      <c r="B235" t="inlineStr">
        <is>
          <t>https://www.naehrwertrechner.de/naehrwerte/H790111/Berglinsen/?menge=100</t>
        </is>
      </c>
      <c r="C235" s="7">
        <f>_xlfn.XLOOKUP(A235,[1]ingredient!$B$2:$B$521,[1]ingredient!$A$2:$A$521)</f>
        <v/>
      </c>
      <c r="D235" t="n">
        <v>354</v>
      </c>
      <c r="E235" t="n">
        <v>2</v>
      </c>
      <c r="F235" t="n">
        <v>25</v>
      </c>
      <c r="G235" t="n">
        <v>53</v>
      </c>
      <c r="H235" t="n">
        <v>11</v>
      </c>
      <c r="I235" t="n">
        <v>2</v>
      </c>
      <c r="J235" t="n">
        <v>0.1</v>
      </c>
      <c r="K235" t="n">
        <v>5</v>
      </c>
      <c r="L235" t="n">
        <v>0</v>
      </c>
      <c r="M235" t="n">
        <v>8</v>
      </c>
      <c r="N235" t="n">
        <v>0</v>
      </c>
      <c r="O235" t="n">
        <v>100</v>
      </c>
      <c r="P235" t="n">
        <v>400</v>
      </c>
      <c r="Q235" t="n">
        <v>300</v>
      </c>
      <c r="R235" t="n">
        <v>2200</v>
      </c>
      <c r="S235" t="n">
        <v>6200</v>
      </c>
      <c r="T235" t="n">
        <v>1600</v>
      </c>
      <c r="U235" t="n">
        <v>600</v>
      </c>
      <c r="V235" t="n">
        <v>9</v>
      </c>
      <c r="W235" t="n">
        <v>132</v>
      </c>
      <c r="X235" t="n">
        <v>0</v>
      </c>
      <c r="Y235" t="n">
        <v>1000</v>
      </c>
      <c r="Z235" t="n">
        <v>0</v>
      </c>
      <c r="AA235" t="n">
        <v>0</v>
      </c>
      <c r="AB235" t="n">
        <v>0</v>
      </c>
      <c r="AC235" t="n">
        <v>12</v>
      </c>
      <c r="AD235" t="n">
        <v>840</v>
      </c>
      <c r="AE235" t="n">
        <v>71</v>
      </c>
      <c r="AF235" t="n">
        <v>129</v>
      </c>
      <c r="AG235" t="n">
        <v>411</v>
      </c>
      <c r="AH235" t="n">
        <v>120</v>
      </c>
      <c r="AI235" t="n">
        <v>84</v>
      </c>
      <c r="AJ235" t="n">
        <v>7500</v>
      </c>
      <c r="AK235" t="n">
        <v>3600</v>
      </c>
      <c r="AL235" t="n">
        <v>700</v>
      </c>
      <c r="AM235" t="n">
        <v>1400</v>
      </c>
      <c r="AN235" t="n">
        <v>0</v>
      </c>
      <c r="AO235" t="n">
        <v>1</v>
      </c>
      <c r="AP235" t="n">
        <v>0</v>
      </c>
      <c r="AQ235" t="n">
        <v>0</v>
      </c>
      <c r="AR235" t="n">
        <v>0</v>
      </c>
      <c r="AS235" t="n">
        <v>0</v>
      </c>
      <c r="AT235" t="n">
        <v>0</v>
      </c>
      <c r="AU235" t="n">
        <v>0</v>
      </c>
      <c r="AV235" t="n">
        <v>0</v>
      </c>
      <c r="AW235" t="n">
        <v>0</v>
      </c>
      <c r="AX235" t="n">
        <v>2400</v>
      </c>
      <c r="AY235" t="n">
        <v>0</v>
      </c>
      <c r="AZ235" t="n">
        <v>0</v>
      </c>
      <c r="BA235" t="n">
        <v>2400</v>
      </c>
      <c r="BB235" t="n">
        <v>4200</v>
      </c>
      <c r="BC235" t="n">
        <v>2380</v>
      </c>
      <c r="BD235" t="n">
        <v>0</v>
      </c>
      <c r="BE235" t="n">
        <v>46400</v>
      </c>
      <c r="BF235" t="n">
        <v>0</v>
      </c>
      <c r="BG235">
        <f>IF($F235=0,"0",MIN(
BH235/(30*$F235),
BI235/(61*$F235),
BJ235/(48*$F235),
(BK235+BL235)/(23*$F235),
(BM235+BN235)/(41*$F235),
BO235/(25*$F235),
BP235/(6.6*$F235),
BQ235/(40*$F235),
BS235/(16*$F235)
)*100)</f>
        <v/>
      </c>
      <c r="BH235" t="n">
        <v>1184</v>
      </c>
      <c r="BI235" t="n">
        <v>1895</v>
      </c>
      <c r="BJ235" t="n">
        <v>1841</v>
      </c>
      <c r="BK235" t="n">
        <v>211</v>
      </c>
      <c r="BL235" t="n">
        <v>237</v>
      </c>
      <c r="BM235" t="n">
        <v>1316</v>
      </c>
      <c r="BN235" t="n">
        <v>842</v>
      </c>
      <c r="BO235" t="n">
        <v>1052</v>
      </c>
      <c r="BP235" t="n">
        <v>237</v>
      </c>
      <c r="BQ235" t="n">
        <v>1421</v>
      </c>
      <c r="BR235" t="n">
        <v>2079</v>
      </c>
      <c r="BS235" t="n">
        <v>632</v>
      </c>
      <c r="BT235" t="n">
        <v>12946</v>
      </c>
      <c r="BU235" t="n">
        <v>1132</v>
      </c>
      <c r="BV235" t="n">
        <v>3027</v>
      </c>
      <c r="BW235" t="n">
        <v>4342</v>
      </c>
      <c r="BX235" t="n">
        <v>1080</v>
      </c>
      <c r="BY235" t="n">
        <v>1105</v>
      </c>
      <c r="BZ235" t="n">
        <v>1368</v>
      </c>
      <c r="CA235" t="n">
        <v>12054</v>
      </c>
      <c r="CB235" t="n">
        <v>200</v>
      </c>
      <c r="CC235" t="n">
        <v>83</v>
      </c>
      <c r="CD235" t="n">
        <v>100</v>
      </c>
      <c r="CE235" t="n">
        <v>500</v>
      </c>
      <c r="CF235" t="n">
        <v>5</v>
      </c>
      <c r="CG235" t="n">
        <v>0</v>
      </c>
      <c r="CH235" t="n">
        <v>0</v>
      </c>
      <c r="CI235" t="n">
        <v>0</v>
      </c>
      <c r="CJ235" t="n">
        <v>0</v>
      </c>
      <c r="CK235" t="n">
        <v>0</v>
      </c>
      <c r="CL235" t="n">
        <v>0</v>
      </c>
      <c r="CM235" t="n">
        <v>0</v>
      </c>
      <c r="CN235" t="n">
        <v>442</v>
      </c>
      <c r="CO235" t="n">
        <v>0</v>
      </c>
      <c r="CP235" t="n">
        <v>29</v>
      </c>
      <c r="CQ235" t="n">
        <v>29</v>
      </c>
      <c r="CR235" t="n">
        <v>0</v>
      </c>
      <c r="CS235" t="n">
        <v>0</v>
      </c>
      <c r="CT235" t="n">
        <v>500</v>
      </c>
      <c r="CU235" t="n">
        <v>0</v>
      </c>
      <c r="CV235" t="n">
        <v>0</v>
      </c>
      <c r="CW235" t="n">
        <v>0</v>
      </c>
      <c r="CX235" t="n">
        <v>0</v>
      </c>
      <c r="CY235" t="n">
        <v>229</v>
      </c>
      <c r="CZ235" t="n">
        <v>11</v>
      </c>
      <c r="DA235" t="n">
        <v>0</v>
      </c>
      <c r="DB235" t="n">
        <v>0</v>
      </c>
      <c r="DC235" t="n">
        <v>200</v>
      </c>
      <c r="DD235" t="n">
        <v>0</v>
      </c>
      <c r="DE235" t="n">
        <v>0</v>
      </c>
      <c r="DF235" t="n">
        <v>500</v>
      </c>
      <c r="DG235" t="n">
        <v>100</v>
      </c>
      <c r="DH235" t="n">
        <v>0</v>
      </c>
      <c r="DI235" t="n">
        <v>0</v>
      </c>
      <c r="DJ235" t="n">
        <v>0</v>
      </c>
      <c r="DK235" t="n">
        <v>0</v>
      </c>
      <c r="DL235" t="n">
        <v>0</v>
      </c>
      <c r="DM235" t="n">
        <v>0</v>
      </c>
      <c r="DN235" t="n">
        <v>0</v>
      </c>
      <c r="DO235" t="n">
        <v>0</v>
      </c>
      <c r="DP235" t="n">
        <v>0</v>
      </c>
      <c r="DQ235" t="n">
        <v>0</v>
      </c>
      <c r="DR235" t="n">
        <v>0</v>
      </c>
      <c r="DS235" t="n">
        <v>600</v>
      </c>
      <c r="DT235" t="n">
        <v>1384</v>
      </c>
      <c r="DU235" t="n">
        <v>316</v>
      </c>
      <c r="DV235" t="n">
        <v>0</v>
      </c>
      <c r="DW235" t="n">
        <v>0</v>
      </c>
      <c r="DX235" t="n">
        <v>0</v>
      </c>
      <c r="DY235" t="n">
        <v>1430</v>
      </c>
      <c r="DZ235" t="n">
        <v>3850</v>
      </c>
      <c r="EA235" t="n">
        <v>1430</v>
      </c>
      <c r="EB235" t="n">
        <v>4070</v>
      </c>
      <c r="EC235" t="n">
        <v>220</v>
      </c>
      <c r="ED235" t="n">
        <v>4400</v>
      </c>
      <c r="EE235" t="n">
        <v>6600</v>
      </c>
      <c r="EF235" t="n">
        <v>0</v>
      </c>
      <c r="EG235" t="n">
        <v>0</v>
      </c>
      <c r="EH235" t="n">
        <v>1.7</v>
      </c>
      <c r="EI235" t="n">
        <v>6.6</v>
      </c>
      <c r="EJ235" t="n">
        <v>1.7</v>
      </c>
      <c r="EK235" t="n">
        <v>25.7</v>
      </c>
    </row>
    <row r="236">
      <c r="A236">
        <f>[1]ingredient!B235</f>
        <v/>
      </c>
      <c r="B236" t="inlineStr">
        <is>
          <t>https://www.naehrwertrechner.de/naehrwerte/H790011/Gelbe+Linsen+roh/?menge=100</t>
        </is>
      </c>
      <c r="C236" s="7">
        <f>_xlfn.XLOOKUP(A236,[1]ingredient!$B$2:$B$521,[1]ingredient!$A$2:$A$521)</f>
        <v/>
      </c>
      <c r="D236" t="n">
        <v>354</v>
      </c>
      <c r="E236" t="n">
        <v>2</v>
      </c>
      <c r="F236" t="n">
        <v>27</v>
      </c>
      <c r="G236" t="n">
        <v>52</v>
      </c>
      <c r="H236" t="n">
        <v>7</v>
      </c>
      <c r="I236" t="n">
        <v>2</v>
      </c>
      <c r="J236" t="n">
        <v>0.1</v>
      </c>
      <c r="K236" t="n">
        <v>8</v>
      </c>
      <c r="L236" t="n">
        <v>0</v>
      </c>
      <c r="M236" t="n">
        <v>8</v>
      </c>
      <c r="N236" t="n">
        <v>0</v>
      </c>
      <c r="O236" t="n">
        <v>100</v>
      </c>
      <c r="P236" t="n">
        <v>400</v>
      </c>
      <c r="Q236" t="n">
        <v>300</v>
      </c>
      <c r="R236" t="n">
        <v>2200</v>
      </c>
      <c r="S236" t="n">
        <v>6500</v>
      </c>
      <c r="T236" t="n">
        <v>1600</v>
      </c>
      <c r="U236" t="n">
        <v>600</v>
      </c>
      <c r="V236" t="n">
        <v>9</v>
      </c>
      <c r="W236" t="n">
        <v>131</v>
      </c>
      <c r="X236" t="n">
        <v>0</v>
      </c>
      <c r="Y236" t="n">
        <v>1000</v>
      </c>
      <c r="Z236" t="n">
        <v>0</v>
      </c>
      <c r="AA236" t="n">
        <v>0</v>
      </c>
      <c r="AB236" t="n">
        <v>0</v>
      </c>
      <c r="AC236" t="n">
        <v>12</v>
      </c>
      <c r="AD236" t="n">
        <v>832</v>
      </c>
      <c r="AE236" t="n">
        <v>70</v>
      </c>
      <c r="AF236" t="n">
        <v>128</v>
      </c>
      <c r="AG236" t="n">
        <v>407</v>
      </c>
      <c r="AH236" t="n">
        <v>119</v>
      </c>
      <c r="AI236" t="n">
        <v>83</v>
      </c>
      <c r="AJ236" t="n">
        <v>7400</v>
      </c>
      <c r="AK236" t="n">
        <v>3500</v>
      </c>
      <c r="AL236" t="n">
        <v>700</v>
      </c>
      <c r="AM236" t="n">
        <v>1400</v>
      </c>
      <c r="AN236" t="n">
        <v>0</v>
      </c>
      <c r="AO236" t="n">
        <v>1</v>
      </c>
      <c r="AP236" t="n">
        <v>0</v>
      </c>
      <c r="AQ236" t="n">
        <v>0</v>
      </c>
      <c r="AR236" t="n">
        <v>0</v>
      </c>
      <c r="AS236" t="n">
        <v>0</v>
      </c>
      <c r="AT236" t="n">
        <v>0</v>
      </c>
      <c r="AU236" t="n">
        <v>0</v>
      </c>
      <c r="AV236" t="n">
        <v>0</v>
      </c>
      <c r="AW236" t="n">
        <v>0</v>
      </c>
      <c r="AX236" t="n">
        <v>2100</v>
      </c>
      <c r="AY236" t="n">
        <v>0</v>
      </c>
      <c r="AZ236" t="n">
        <v>0</v>
      </c>
      <c r="BA236" t="n">
        <v>2100</v>
      </c>
      <c r="BB236" t="n">
        <v>4900</v>
      </c>
      <c r="BC236" t="n">
        <v>2356</v>
      </c>
      <c r="BD236" t="n">
        <v>0</v>
      </c>
      <c r="BE236" t="n">
        <v>45000</v>
      </c>
      <c r="BF236" t="n">
        <v>0</v>
      </c>
      <c r="BG236">
        <f>IF($F236=0,"0",MIN(
BH236/(30*$F236),
BI236/(61*$F236),
BJ236/(48*$F236),
(BK236+BL236)/(23*$F236),
(BM236+BN236)/(41*$F236),
BO236/(25*$F236),
BP236/(6.6*$F236),
BQ236/(40*$F236),
BS236/(16*$F236)
)*100)</f>
        <v/>
      </c>
      <c r="BH236" t="n">
        <v>1279</v>
      </c>
      <c r="BI236" t="n">
        <v>2046</v>
      </c>
      <c r="BJ236" t="n">
        <v>1989</v>
      </c>
      <c r="BK236" t="n">
        <v>228</v>
      </c>
      <c r="BL236" t="n">
        <v>256</v>
      </c>
      <c r="BM236" t="n">
        <v>1421</v>
      </c>
      <c r="BN236" t="n">
        <v>909</v>
      </c>
      <c r="BO236" t="n">
        <v>1136</v>
      </c>
      <c r="BP236" t="n">
        <v>256</v>
      </c>
      <c r="BQ236" t="n">
        <v>1535</v>
      </c>
      <c r="BR236" t="n">
        <v>2245</v>
      </c>
      <c r="BS236" t="n">
        <v>682</v>
      </c>
      <c r="BT236" t="n">
        <v>13982</v>
      </c>
      <c r="BU236" t="n">
        <v>1222</v>
      </c>
      <c r="BV236" t="n">
        <v>3269</v>
      </c>
      <c r="BW236" t="n">
        <v>4690</v>
      </c>
      <c r="BX236" t="n">
        <v>1166</v>
      </c>
      <c r="BY236" t="n">
        <v>1194</v>
      </c>
      <c r="BZ236" t="n">
        <v>1478</v>
      </c>
      <c r="CA236" t="n">
        <v>13018</v>
      </c>
      <c r="CB236" t="n">
        <v>198</v>
      </c>
      <c r="CC236" t="n">
        <v>83</v>
      </c>
      <c r="CD236" t="n">
        <v>100</v>
      </c>
      <c r="CE236" t="n">
        <v>1000</v>
      </c>
      <c r="CF236" t="n">
        <v>10</v>
      </c>
      <c r="CG236" t="n">
        <v>0</v>
      </c>
      <c r="CH236" t="n">
        <v>0.1</v>
      </c>
      <c r="CI236" t="n">
        <v>0</v>
      </c>
      <c r="CJ236" t="n">
        <v>0</v>
      </c>
      <c r="CK236" t="n">
        <v>1</v>
      </c>
      <c r="CL236" t="n">
        <v>3</v>
      </c>
      <c r="CM236" t="n">
        <v>1</v>
      </c>
      <c r="CN236" t="n">
        <v>297</v>
      </c>
      <c r="CO236" t="n">
        <v>1</v>
      </c>
      <c r="CP236" t="n">
        <v>61</v>
      </c>
      <c r="CQ236" t="n">
        <v>19</v>
      </c>
      <c r="CR236" t="n">
        <v>12</v>
      </c>
      <c r="CS236" t="n">
        <v>6</v>
      </c>
      <c r="CT236" t="n">
        <v>400</v>
      </c>
      <c r="CU236" t="n">
        <v>0.2</v>
      </c>
      <c r="CV236" t="n">
        <v>0</v>
      </c>
      <c r="CW236" t="n">
        <v>3</v>
      </c>
      <c r="CX236" t="n">
        <v>0</v>
      </c>
      <c r="CY236" t="n">
        <v>428</v>
      </c>
      <c r="CZ236" t="n">
        <v>12</v>
      </c>
      <c r="DA236" t="n">
        <v>3</v>
      </c>
      <c r="DB236" t="n">
        <v>0</v>
      </c>
      <c r="DC236" t="n">
        <v>400</v>
      </c>
      <c r="DD236" t="n">
        <v>0</v>
      </c>
      <c r="DE236" t="n">
        <v>0</v>
      </c>
      <c r="DF236" t="n">
        <v>1000</v>
      </c>
      <c r="DG236" t="n">
        <v>100</v>
      </c>
      <c r="DH236" t="n">
        <v>0</v>
      </c>
      <c r="DI236" t="n">
        <v>0</v>
      </c>
      <c r="DJ236" t="n">
        <v>0.2</v>
      </c>
      <c r="DK236" t="n">
        <v>0</v>
      </c>
      <c r="DL236" t="n">
        <v>0</v>
      </c>
      <c r="DM236" t="n">
        <v>0</v>
      </c>
      <c r="DN236" t="n">
        <v>0</v>
      </c>
      <c r="DO236" t="n">
        <v>0</v>
      </c>
      <c r="DP236" t="n">
        <v>0</v>
      </c>
      <c r="DQ236" t="n">
        <v>0</v>
      </c>
      <c r="DR236" t="n">
        <v>0</v>
      </c>
      <c r="DS236" t="n">
        <v>1100</v>
      </c>
      <c r="DT236" t="n">
        <v>1929</v>
      </c>
      <c r="DU236" t="n">
        <v>271</v>
      </c>
      <c r="DV236" t="n">
        <v>0</v>
      </c>
      <c r="DW236" t="n">
        <v>0.1</v>
      </c>
      <c r="DX236" t="n">
        <v>0</v>
      </c>
      <c r="DY236" t="n">
        <v>871</v>
      </c>
      <c r="DZ236" t="n">
        <v>2345</v>
      </c>
      <c r="EA236" t="n">
        <v>871</v>
      </c>
      <c r="EB236" t="n">
        <v>2479</v>
      </c>
      <c r="EC236" t="n">
        <v>134</v>
      </c>
      <c r="ED236" t="n">
        <v>2680</v>
      </c>
      <c r="EE236" t="n">
        <v>4020</v>
      </c>
      <c r="EF236" t="n">
        <v>0</v>
      </c>
      <c r="EG236" t="n">
        <v>0</v>
      </c>
      <c r="EH236" t="n">
        <v>1.7</v>
      </c>
      <c r="EI236" t="n">
        <v>4</v>
      </c>
      <c r="EJ236" t="n">
        <v>2.2</v>
      </c>
      <c r="EK236" t="n">
        <v>27.7</v>
      </c>
    </row>
    <row r="237">
      <c r="A237">
        <f>[1]ingredient!B236</f>
        <v/>
      </c>
      <c r="B237" t="inlineStr">
        <is>
          <t>https://www.naehrwertrechner.de/naehrwerte/H731111/Linsen+gr%C3%BCn/?menge=100</t>
        </is>
      </c>
      <c r="C237" s="7">
        <f>_xlfn.XLOOKUP(A237,[1]ingredient!$B$2:$B$521,[1]ingredient!$A$2:$A$521)</f>
        <v/>
      </c>
      <c r="D237" t="n">
        <v>336</v>
      </c>
      <c r="E237" t="n">
        <v>2</v>
      </c>
      <c r="F237" t="n">
        <v>25</v>
      </c>
      <c r="G237" t="n">
        <v>48</v>
      </c>
      <c r="H237" t="n">
        <v>12</v>
      </c>
      <c r="I237" t="n">
        <v>1</v>
      </c>
      <c r="J237" t="n">
        <v>0.09</v>
      </c>
      <c r="K237" t="n">
        <v>9</v>
      </c>
      <c r="L237" t="n">
        <v>0</v>
      </c>
      <c r="M237" t="n">
        <v>8</v>
      </c>
      <c r="N237" t="n">
        <v>0</v>
      </c>
      <c r="O237" t="n">
        <v>100</v>
      </c>
      <c r="P237" t="n">
        <v>400</v>
      </c>
      <c r="Q237" t="n">
        <v>300</v>
      </c>
      <c r="R237" t="n">
        <v>2200</v>
      </c>
      <c r="S237" t="n">
        <v>6200</v>
      </c>
      <c r="T237" t="n">
        <v>1600</v>
      </c>
      <c r="U237" t="n">
        <v>600</v>
      </c>
      <c r="V237" t="n">
        <v>9</v>
      </c>
      <c r="W237" t="n">
        <v>132</v>
      </c>
      <c r="X237" t="n">
        <v>0</v>
      </c>
      <c r="Y237" t="n">
        <v>1000</v>
      </c>
      <c r="Z237" t="n">
        <v>0</v>
      </c>
      <c r="AA237" t="n">
        <v>0</v>
      </c>
      <c r="AB237" t="n">
        <v>22</v>
      </c>
      <c r="AC237" t="n">
        <v>4</v>
      </c>
      <c r="AD237" t="n">
        <v>840</v>
      </c>
      <c r="AE237" t="n">
        <v>71</v>
      </c>
      <c r="AF237" t="n">
        <v>129</v>
      </c>
      <c r="AG237" t="n">
        <v>411</v>
      </c>
      <c r="AH237" t="n">
        <v>120</v>
      </c>
      <c r="AI237" t="n">
        <v>84</v>
      </c>
      <c r="AJ237" t="n">
        <v>7500</v>
      </c>
      <c r="AK237" t="n">
        <v>3600</v>
      </c>
      <c r="AL237" t="n">
        <v>700</v>
      </c>
      <c r="AM237" t="n">
        <v>1400</v>
      </c>
      <c r="AN237" t="n">
        <v>0</v>
      </c>
      <c r="AO237" t="n">
        <v>1</v>
      </c>
      <c r="AP237" t="n">
        <v>0</v>
      </c>
      <c r="AQ237" t="n">
        <v>0</v>
      </c>
      <c r="AR237" t="n">
        <v>0</v>
      </c>
      <c r="AS237" t="n">
        <v>0</v>
      </c>
      <c r="AT237" t="n">
        <v>0</v>
      </c>
      <c r="AU237" t="n">
        <v>0</v>
      </c>
      <c r="AV237" t="n">
        <v>0</v>
      </c>
      <c r="AW237" t="n">
        <v>0</v>
      </c>
      <c r="AX237" t="n">
        <v>1200</v>
      </c>
      <c r="AY237" t="n">
        <v>0</v>
      </c>
      <c r="AZ237" t="n">
        <v>0</v>
      </c>
      <c r="BA237" t="n">
        <v>1200</v>
      </c>
      <c r="BB237" t="n">
        <v>4700</v>
      </c>
      <c r="BC237" t="n">
        <v>2380</v>
      </c>
      <c r="BD237" t="n">
        <v>0</v>
      </c>
      <c r="BE237" t="n">
        <v>42100</v>
      </c>
      <c r="BF237" t="n">
        <v>0</v>
      </c>
      <c r="BG237">
        <f>IF($F237=0,"0",MIN(
BH237/(30*$F237),
BI237/(61*$F237),
BJ237/(48*$F237),
(BK237+BL237)/(23*$F237),
(BM237+BN237)/(41*$F237),
BO237/(25*$F237),
BP237/(6.6*$F237),
BQ237/(40*$F237),
BS237/(16*$F237)
)*100)</f>
        <v/>
      </c>
      <c r="BH237" t="n">
        <v>1184</v>
      </c>
      <c r="BI237" t="n">
        <v>1895</v>
      </c>
      <c r="BJ237" t="n">
        <v>1841</v>
      </c>
      <c r="BK237" t="n">
        <v>211</v>
      </c>
      <c r="BL237" t="n">
        <v>237</v>
      </c>
      <c r="BM237" t="n">
        <v>1316</v>
      </c>
      <c r="BN237" t="n">
        <v>842</v>
      </c>
      <c r="BO237" t="n">
        <v>1052</v>
      </c>
      <c r="BP237" t="n">
        <v>237</v>
      </c>
      <c r="BQ237" t="n">
        <v>1421</v>
      </c>
      <c r="BR237" t="n">
        <v>2079</v>
      </c>
      <c r="BS237" t="n">
        <v>632</v>
      </c>
      <c r="BT237" t="n">
        <v>12946</v>
      </c>
      <c r="BU237" t="n">
        <v>1132</v>
      </c>
      <c r="BV237" t="n">
        <v>3027</v>
      </c>
      <c r="BW237" t="n">
        <v>4342</v>
      </c>
      <c r="BX237" t="n">
        <v>1080</v>
      </c>
      <c r="BY237" t="n">
        <v>1105</v>
      </c>
      <c r="BZ237" t="n">
        <v>1368</v>
      </c>
      <c r="CA237" t="n">
        <v>12054</v>
      </c>
      <c r="CB237" t="n">
        <v>200</v>
      </c>
      <c r="CC237" t="n">
        <v>67</v>
      </c>
      <c r="CD237" t="n">
        <v>100</v>
      </c>
      <c r="CE237" t="n">
        <v>600</v>
      </c>
      <c r="CF237" t="n">
        <v>6</v>
      </c>
      <c r="CG237" t="n">
        <v>0</v>
      </c>
      <c r="CH237" t="n">
        <v>0</v>
      </c>
      <c r="CI237" t="n">
        <v>0</v>
      </c>
      <c r="CJ237" t="n">
        <v>0</v>
      </c>
      <c r="CK237" t="n">
        <v>0</v>
      </c>
      <c r="CL237" t="n">
        <v>0</v>
      </c>
      <c r="CM237" t="n">
        <v>0</v>
      </c>
      <c r="CN237" t="n">
        <v>353</v>
      </c>
      <c r="CO237" t="n">
        <v>0</v>
      </c>
      <c r="CP237" t="n">
        <v>23</v>
      </c>
      <c r="CQ237" t="n">
        <v>23</v>
      </c>
      <c r="CR237" t="n">
        <v>0</v>
      </c>
      <c r="CS237" t="n">
        <v>0</v>
      </c>
      <c r="CT237" t="n">
        <v>400</v>
      </c>
      <c r="CU237" t="n">
        <v>0</v>
      </c>
      <c r="CV237" t="n">
        <v>0</v>
      </c>
      <c r="CW237" t="n">
        <v>0</v>
      </c>
      <c r="CX237" t="n">
        <v>0</v>
      </c>
      <c r="CY237" t="n">
        <v>248</v>
      </c>
      <c r="CZ237" t="n">
        <v>12</v>
      </c>
      <c r="DA237" t="n">
        <v>0</v>
      </c>
      <c r="DB237" t="n">
        <v>0</v>
      </c>
      <c r="DC237" t="n">
        <v>300</v>
      </c>
      <c r="DD237" t="n">
        <v>0</v>
      </c>
      <c r="DE237" t="n">
        <v>0</v>
      </c>
      <c r="DF237" t="n">
        <v>600</v>
      </c>
      <c r="DG237" t="n">
        <v>100</v>
      </c>
      <c r="DH237" t="n">
        <v>0</v>
      </c>
      <c r="DI237" t="n">
        <v>0</v>
      </c>
      <c r="DJ237" t="n">
        <v>0</v>
      </c>
      <c r="DK237" t="n">
        <v>0</v>
      </c>
      <c r="DL237" t="n">
        <v>0</v>
      </c>
      <c r="DM237" t="n">
        <v>0</v>
      </c>
      <c r="DN237" t="n">
        <v>0</v>
      </c>
      <c r="DO237" t="n">
        <v>0</v>
      </c>
      <c r="DP237" t="n">
        <v>0</v>
      </c>
      <c r="DQ237" t="n">
        <v>0</v>
      </c>
      <c r="DR237" t="n">
        <v>0</v>
      </c>
      <c r="DS237" t="n">
        <v>700</v>
      </c>
      <c r="DT237" t="n">
        <v>1357</v>
      </c>
      <c r="DU237" t="n">
        <v>343</v>
      </c>
      <c r="DV237" t="n">
        <v>0</v>
      </c>
      <c r="DW237" t="n">
        <v>0</v>
      </c>
      <c r="DX237" t="n">
        <v>0</v>
      </c>
      <c r="DY237" t="n">
        <v>1560</v>
      </c>
      <c r="DZ237" t="n">
        <v>4200</v>
      </c>
      <c r="EA237" t="n">
        <v>1560</v>
      </c>
      <c r="EB237" t="n">
        <v>4440</v>
      </c>
      <c r="EC237" t="n">
        <v>240</v>
      </c>
      <c r="ED237" t="n">
        <v>4800</v>
      </c>
      <c r="EE237" t="n">
        <v>7200</v>
      </c>
      <c r="EF237" t="n">
        <v>0</v>
      </c>
      <c r="EG237" t="n">
        <v>0</v>
      </c>
      <c r="EH237" t="n">
        <v>1.7</v>
      </c>
      <c r="EI237" t="n">
        <v>7.2</v>
      </c>
      <c r="EJ237" t="n">
        <v>1.7</v>
      </c>
      <c r="EK237" t="n">
        <v>25.6</v>
      </c>
    </row>
    <row r="238">
      <c r="A238">
        <f>[1]ingredient!B237</f>
        <v/>
      </c>
      <c r="B238" t="inlineStr">
        <is>
          <t>https://www.naehrwertrechner.de/naehrwerte/H770111/Rote+Linsen+roh/?menge=100</t>
        </is>
      </c>
      <c r="C238" s="7">
        <f>_xlfn.XLOOKUP(A238,[1]ingredient!$B$2:$B$521,[1]ingredient!$A$2:$A$521)</f>
        <v/>
      </c>
      <c r="D238" t="n">
        <v>378</v>
      </c>
      <c r="E238" t="n">
        <v>2</v>
      </c>
      <c r="F238" t="n">
        <v>25</v>
      </c>
      <c r="G238" t="n">
        <v>59</v>
      </c>
      <c r="H238" t="n">
        <v>9</v>
      </c>
      <c r="I238" t="n">
        <v>1</v>
      </c>
      <c r="J238" t="n">
        <v>0.09</v>
      </c>
      <c r="K238" t="n">
        <v>1</v>
      </c>
      <c r="L238" t="n">
        <v>0</v>
      </c>
      <c r="M238" t="n">
        <v>8</v>
      </c>
      <c r="N238" t="n">
        <v>0</v>
      </c>
      <c r="O238" t="n">
        <v>100</v>
      </c>
      <c r="P238" t="n">
        <v>400</v>
      </c>
      <c r="Q238" t="n">
        <v>300</v>
      </c>
      <c r="R238" t="n">
        <v>2200</v>
      </c>
      <c r="S238" t="n">
        <v>6200</v>
      </c>
      <c r="T238" t="n">
        <v>1600</v>
      </c>
      <c r="U238" t="n">
        <v>600</v>
      </c>
      <c r="V238" t="n">
        <v>9</v>
      </c>
      <c r="W238" t="n">
        <v>132</v>
      </c>
      <c r="X238" t="n">
        <v>0</v>
      </c>
      <c r="Y238" t="n">
        <v>1000</v>
      </c>
      <c r="Z238" t="n">
        <v>0</v>
      </c>
      <c r="AA238" t="n">
        <v>0</v>
      </c>
      <c r="AB238" t="n">
        <v>0</v>
      </c>
      <c r="AC238" t="n">
        <v>4</v>
      </c>
      <c r="AD238" t="n">
        <v>840</v>
      </c>
      <c r="AE238" t="n">
        <v>71</v>
      </c>
      <c r="AF238" t="n">
        <v>129</v>
      </c>
      <c r="AG238" t="n">
        <v>411</v>
      </c>
      <c r="AH238" t="n">
        <v>120</v>
      </c>
      <c r="AI238" t="n">
        <v>84</v>
      </c>
      <c r="AJ238" t="n">
        <v>7500</v>
      </c>
      <c r="AK238" t="n">
        <v>3600</v>
      </c>
      <c r="AL238" t="n">
        <v>700</v>
      </c>
      <c r="AM238" t="n">
        <v>1400</v>
      </c>
      <c r="AN238" t="n">
        <v>0</v>
      </c>
      <c r="AO238" t="n">
        <v>1</v>
      </c>
      <c r="AP238" t="n">
        <v>0</v>
      </c>
      <c r="AQ238" t="n">
        <v>0</v>
      </c>
      <c r="AR238" t="n">
        <v>0</v>
      </c>
      <c r="AS238" t="n">
        <v>0</v>
      </c>
      <c r="AT238" t="n">
        <v>0</v>
      </c>
      <c r="AU238" t="n">
        <v>0</v>
      </c>
      <c r="AV238" t="n">
        <v>0</v>
      </c>
      <c r="AW238" t="n">
        <v>0</v>
      </c>
      <c r="AX238" t="n">
        <v>500</v>
      </c>
      <c r="AY238" t="n">
        <v>0</v>
      </c>
      <c r="AZ238" t="n">
        <v>0</v>
      </c>
      <c r="BA238" t="n">
        <v>500</v>
      </c>
      <c r="BB238" t="n">
        <v>2500</v>
      </c>
      <c r="BC238" t="n">
        <v>2380</v>
      </c>
      <c r="BD238" t="n">
        <v>0</v>
      </c>
      <c r="BE238" t="n">
        <v>56000</v>
      </c>
      <c r="BF238" t="n">
        <v>0</v>
      </c>
      <c r="BG238">
        <f>IF($F238=0,"0",MIN(
BH238/(30*$F238),
BI238/(61*$F238),
BJ238/(48*$F238),
(BK238+BL238)/(23*$F238),
(BM238+BN238)/(41*$F238),
BO238/(25*$F238),
BP238/(6.6*$F238),
BQ238/(40*$F238),
BS238/(16*$F238)
)*100)</f>
        <v/>
      </c>
      <c r="BH238" t="n">
        <v>1184</v>
      </c>
      <c r="BI238" t="n">
        <v>1895</v>
      </c>
      <c r="BJ238" t="n">
        <v>1841</v>
      </c>
      <c r="BK238" t="n">
        <v>211</v>
      </c>
      <c r="BL238" t="n">
        <v>237</v>
      </c>
      <c r="BM238" t="n">
        <v>1316</v>
      </c>
      <c r="BN238" t="n">
        <v>842</v>
      </c>
      <c r="BO238" t="n">
        <v>1052</v>
      </c>
      <c r="BP238" t="n">
        <v>237</v>
      </c>
      <c r="BQ238" t="n">
        <v>1421</v>
      </c>
      <c r="BR238" t="n">
        <v>2079</v>
      </c>
      <c r="BS238" t="n">
        <v>632</v>
      </c>
      <c r="BT238" t="n">
        <v>12946</v>
      </c>
      <c r="BU238" t="n">
        <v>1132</v>
      </c>
      <c r="BV238" t="n">
        <v>3027</v>
      </c>
      <c r="BW238" t="n">
        <v>4342</v>
      </c>
      <c r="BX238" t="n">
        <v>1080</v>
      </c>
      <c r="BY238" t="n">
        <v>1105</v>
      </c>
      <c r="BZ238" t="n">
        <v>1368</v>
      </c>
      <c r="CA238" t="n">
        <v>12054</v>
      </c>
      <c r="CB238" t="n">
        <v>200</v>
      </c>
      <c r="CC238" t="n">
        <v>83</v>
      </c>
      <c r="CD238" t="n">
        <v>200</v>
      </c>
      <c r="CE238" t="n">
        <v>800</v>
      </c>
      <c r="CF238" t="n">
        <v>4</v>
      </c>
      <c r="CG238" t="n">
        <v>0</v>
      </c>
      <c r="CH238" t="n">
        <v>0</v>
      </c>
      <c r="CI238" t="n">
        <v>0</v>
      </c>
      <c r="CJ238" t="n">
        <v>0</v>
      </c>
      <c r="CK238" t="n">
        <v>0</v>
      </c>
      <c r="CL238" t="n">
        <v>0</v>
      </c>
      <c r="CM238" t="n">
        <v>0</v>
      </c>
      <c r="CN238" t="n">
        <v>353</v>
      </c>
      <c r="CO238" t="n">
        <v>0</v>
      </c>
      <c r="CP238" t="n">
        <v>23</v>
      </c>
      <c r="CQ238" t="n">
        <v>23</v>
      </c>
      <c r="CR238" t="n">
        <v>0</v>
      </c>
      <c r="CS238" t="n">
        <v>0</v>
      </c>
      <c r="CT238" t="n">
        <v>400</v>
      </c>
      <c r="CU238" t="n">
        <v>0</v>
      </c>
      <c r="CV238" t="n">
        <v>0</v>
      </c>
      <c r="CW238" t="n">
        <v>0</v>
      </c>
      <c r="CX238" t="n">
        <v>0</v>
      </c>
      <c r="CY238" t="n">
        <v>343</v>
      </c>
      <c r="CZ238" t="n">
        <v>17</v>
      </c>
      <c r="DA238" t="n">
        <v>0</v>
      </c>
      <c r="DB238" t="n">
        <v>0</v>
      </c>
      <c r="DC238" t="n">
        <v>400</v>
      </c>
      <c r="DD238" t="n">
        <v>0</v>
      </c>
      <c r="DE238" t="n">
        <v>0</v>
      </c>
      <c r="DF238" t="n">
        <v>800</v>
      </c>
      <c r="DG238" t="n">
        <v>200</v>
      </c>
      <c r="DH238" t="n">
        <v>0</v>
      </c>
      <c r="DI238" t="n">
        <v>0</v>
      </c>
      <c r="DJ238" t="n">
        <v>0</v>
      </c>
      <c r="DK238" t="n">
        <v>0</v>
      </c>
      <c r="DL238" t="n">
        <v>0</v>
      </c>
      <c r="DM238" t="n">
        <v>0</v>
      </c>
      <c r="DN238" t="n">
        <v>0</v>
      </c>
      <c r="DO238" t="n">
        <v>0</v>
      </c>
      <c r="DP238" t="n">
        <v>0</v>
      </c>
      <c r="DQ238" t="n">
        <v>0</v>
      </c>
      <c r="DR238" t="n">
        <v>0</v>
      </c>
      <c r="DS238" t="n">
        <v>1000</v>
      </c>
      <c r="DT238" t="n">
        <v>1726</v>
      </c>
      <c r="DU238" t="n">
        <v>475</v>
      </c>
      <c r="DV238" t="n">
        <v>0</v>
      </c>
      <c r="DW238" t="n">
        <v>0</v>
      </c>
      <c r="DX238" t="n">
        <v>0</v>
      </c>
      <c r="DY238" t="n">
        <v>1170</v>
      </c>
      <c r="DZ238" t="n">
        <v>3150</v>
      </c>
      <c r="EA238" t="n">
        <v>1170</v>
      </c>
      <c r="EB238" t="n">
        <v>3330</v>
      </c>
      <c r="EC238" t="n">
        <v>180</v>
      </c>
      <c r="ED238" t="n">
        <v>3600</v>
      </c>
      <c r="EE238" t="n">
        <v>5400</v>
      </c>
      <c r="EF238" t="n">
        <v>0</v>
      </c>
      <c r="EG238" t="n">
        <v>0</v>
      </c>
      <c r="EH238" t="n">
        <v>1.7</v>
      </c>
      <c r="EI238" t="n">
        <v>5.4</v>
      </c>
      <c r="EJ238" t="n">
        <v>2.2</v>
      </c>
      <c r="EK238" t="n">
        <v>25.7</v>
      </c>
    </row>
    <row r="239">
      <c r="A239">
        <f>[1]ingredient!B238</f>
        <v/>
      </c>
      <c r="B239" t="inlineStr">
        <is>
          <t>https://www.naehrwertrechner.de/naehrwerte/H662711/Linsen+gekeimt+gesalzen/?menge=100</t>
        </is>
      </c>
      <c r="C239" s="7">
        <f>_xlfn.XLOOKUP(A239,[1]ingredient!$B$2:$B$521,[1]ingredient!$A$2:$A$521)</f>
        <v/>
      </c>
      <c r="D239" t="n">
        <v>113</v>
      </c>
      <c r="E239" t="n">
        <v>0.48</v>
      </c>
      <c r="F239" t="n">
        <v>9</v>
      </c>
      <c r="G239" t="n">
        <v>18</v>
      </c>
      <c r="H239" t="n">
        <v>3</v>
      </c>
      <c r="I239" t="n">
        <v>9</v>
      </c>
      <c r="J239" t="n">
        <v>0.11</v>
      </c>
      <c r="K239" t="n">
        <v>64</v>
      </c>
      <c r="L239" t="n">
        <v>5</v>
      </c>
      <c r="M239" t="n">
        <v>2</v>
      </c>
      <c r="N239" t="n">
        <v>0</v>
      </c>
      <c r="O239" t="n">
        <v>26</v>
      </c>
      <c r="P239" t="n">
        <v>175</v>
      </c>
      <c r="Q239" t="n">
        <v>99</v>
      </c>
      <c r="R239" t="n">
        <v>838</v>
      </c>
      <c r="S239" t="n">
        <v>1988</v>
      </c>
      <c r="T239" t="n">
        <v>440</v>
      </c>
      <c r="U239" t="n">
        <v>145</v>
      </c>
      <c r="V239" t="n">
        <v>5</v>
      </c>
      <c r="W239" t="n">
        <v>57</v>
      </c>
      <c r="X239" t="n">
        <v>0</v>
      </c>
      <c r="Y239" t="n">
        <v>11000</v>
      </c>
      <c r="Z239" t="n">
        <v>0</v>
      </c>
      <c r="AA239" t="n">
        <v>77</v>
      </c>
      <c r="AB239" t="n">
        <v>5</v>
      </c>
      <c r="AC239" t="n">
        <v>5</v>
      </c>
      <c r="AD239" t="n">
        <v>307</v>
      </c>
      <c r="AE239" t="n">
        <v>36</v>
      </c>
      <c r="AF239" t="n">
        <v>41</v>
      </c>
      <c r="AG239" t="n">
        <v>169</v>
      </c>
      <c r="AH239" t="n">
        <v>30</v>
      </c>
      <c r="AI239" t="n">
        <v>100</v>
      </c>
      <c r="AJ239" t="n">
        <v>3052</v>
      </c>
      <c r="AK239" t="n">
        <v>1440</v>
      </c>
      <c r="AL239" t="n">
        <v>338</v>
      </c>
      <c r="AM239" t="n">
        <v>491</v>
      </c>
      <c r="AN239" t="n">
        <v>15</v>
      </c>
      <c r="AO239" t="n">
        <v>1</v>
      </c>
      <c r="AP239" t="n">
        <v>0</v>
      </c>
      <c r="AQ239" t="n">
        <v>0</v>
      </c>
      <c r="AR239" t="n">
        <v>0</v>
      </c>
      <c r="AS239" t="n">
        <v>0</v>
      </c>
      <c r="AT239" t="n">
        <v>4353</v>
      </c>
      <c r="AU239" t="n">
        <v>4354</v>
      </c>
      <c r="AV239" t="n">
        <v>0</v>
      </c>
      <c r="AW239" t="n">
        <v>8707</v>
      </c>
      <c r="AX239" t="n">
        <v>363</v>
      </c>
      <c r="AY239" t="n">
        <v>0</v>
      </c>
      <c r="AZ239" t="n">
        <v>0</v>
      </c>
      <c r="BA239" t="n">
        <v>363</v>
      </c>
      <c r="BB239" t="n">
        <v>908</v>
      </c>
      <c r="BC239" t="n">
        <v>0</v>
      </c>
      <c r="BD239" t="n">
        <v>0</v>
      </c>
      <c r="BE239" t="n">
        <v>8165</v>
      </c>
      <c r="BF239" t="n">
        <v>8165</v>
      </c>
      <c r="BG239">
        <f>IF($F239=0,"0",MIN(
BH239/(30*$F239),
BI239/(61*$F239),
BJ239/(48*$F239),
(BK239+BL239)/(23*$F239),
(BM239+BN239)/(41*$F239),
BO239/(25*$F239),
BP239/(6.6*$F239),
BQ239/(40*$F239),
BS239/(16*$F239)
)*100)</f>
        <v/>
      </c>
      <c r="BH239" t="n">
        <v>309</v>
      </c>
      <c r="BI239" t="n">
        <v>600</v>
      </c>
      <c r="BJ239" t="n">
        <v>676</v>
      </c>
      <c r="BK239" t="n">
        <v>94</v>
      </c>
      <c r="BL239" t="n">
        <v>317</v>
      </c>
      <c r="BM239" t="n">
        <v>420</v>
      </c>
      <c r="BN239" t="n">
        <v>240</v>
      </c>
      <c r="BO239" t="n">
        <v>309</v>
      </c>
      <c r="BP239" t="n">
        <v>69</v>
      </c>
      <c r="BQ239" t="n">
        <v>377</v>
      </c>
      <c r="BR239" t="n">
        <v>583</v>
      </c>
      <c r="BS239" t="n">
        <v>240</v>
      </c>
      <c r="BT239" t="n">
        <v>4234</v>
      </c>
      <c r="BU239" t="n">
        <v>334</v>
      </c>
      <c r="BV239" t="n">
        <v>1371</v>
      </c>
      <c r="BW239" t="n">
        <v>1209</v>
      </c>
      <c r="BX239" t="n">
        <v>300</v>
      </c>
      <c r="BY239" t="n">
        <v>334</v>
      </c>
      <c r="BZ239" t="n">
        <v>446</v>
      </c>
      <c r="CA239" t="n">
        <v>3994</v>
      </c>
      <c r="CB239" t="n">
        <v>11</v>
      </c>
      <c r="CC239" t="n">
        <v>5</v>
      </c>
      <c r="CD239" t="n">
        <v>37</v>
      </c>
      <c r="CE239" t="n">
        <v>173</v>
      </c>
      <c r="CF239" t="n">
        <v>4.68</v>
      </c>
      <c r="CG239" t="n">
        <v>0</v>
      </c>
      <c r="CH239" t="n">
        <v>0</v>
      </c>
      <c r="CI239" t="n">
        <v>0</v>
      </c>
      <c r="CJ239" t="n">
        <v>0</v>
      </c>
      <c r="CK239" t="n">
        <v>0</v>
      </c>
      <c r="CL239" t="n">
        <v>0</v>
      </c>
      <c r="CM239" t="n">
        <v>0</v>
      </c>
      <c r="CN239" t="n">
        <v>50</v>
      </c>
      <c r="CO239" t="n">
        <v>0</v>
      </c>
      <c r="CP239" t="n">
        <v>6</v>
      </c>
      <c r="CQ239" t="n">
        <v>0</v>
      </c>
      <c r="CR239" t="n">
        <v>0</v>
      </c>
      <c r="CS239" t="n">
        <v>0</v>
      </c>
      <c r="CT239" t="n">
        <v>56</v>
      </c>
      <c r="CU239" t="n">
        <v>0</v>
      </c>
      <c r="CV239" t="n">
        <v>0</v>
      </c>
      <c r="CW239" t="n">
        <v>0</v>
      </c>
      <c r="CX239" t="n">
        <v>0</v>
      </c>
      <c r="CY239" t="n">
        <v>102</v>
      </c>
      <c r="CZ239" t="n">
        <v>0</v>
      </c>
      <c r="DA239" t="n">
        <v>0</v>
      </c>
      <c r="DB239" t="n">
        <v>0</v>
      </c>
      <c r="DC239" t="n">
        <v>102</v>
      </c>
      <c r="DD239" t="n">
        <v>0</v>
      </c>
      <c r="DE239" t="n">
        <v>0</v>
      </c>
      <c r="DF239" t="n">
        <v>173</v>
      </c>
      <c r="DG239" t="n">
        <v>37</v>
      </c>
      <c r="DH239" t="n">
        <v>0</v>
      </c>
      <c r="DI239" t="n">
        <v>0</v>
      </c>
      <c r="DJ239" t="n">
        <v>0</v>
      </c>
      <c r="DK239" t="n">
        <v>0</v>
      </c>
      <c r="DL239" t="n">
        <v>0</v>
      </c>
      <c r="DM239" t="n">
        <v>0</v>
      </c>
      <c r="DN239" t="n">
        <v>0</v>
      </c>
      <c r="DO239" t="n">
        <v>0</v>
      </c>
      <c r="DP239" t="n">
        <v>0</v>
      </c>
      <c r="DQ239" t="n">
        <v>0</v>
      </c>
      <c r="DR239" t="n">
        <v>0</v>
      </c>
      <c r="DS239" t="n">
        <v>210</v>
      </c>
      <c r="DT239" t="n">
        <v>368</v>
      </c>
      <c r="DU239" t="n">
        <v>108</v>
      </c>
      <c r="DV239" t="n">
        <v>0</v>
      </c>
      <c r="DW239" t="n">
        <v>0</v>
      </c>
      <c r="DX239" t="n">
        <v>0</v>
      </c>
      <c r="DY239" t="n">
        <v>378</v>
      </c>
      <c r="DZ239" t="n">
        <v>1017</v>
      </c>
      <c r="EA239" t="n">
        <v>378</v>
      </c>
      <c r="EB239" t="n">
        <v>1074</v>
      </c>
      <c r="EC239" t="n">
        <v>58</v>
      </c>
      <c r="ED239" t="n">
        <v>1452</v>
      </c>
      <c r="EE239" t="n">
        <v>1452</v>
      </c>
      <c r="EF239" t="n">
        <v>0</v>
      </c>
      <c r="EG239" t="n">
        <v>0.29</v>
      </c>
      <c r="EH239" t="n">
        <v>5.7</v>
      </c>
      <c r="EI239" t="n">
        <v>1.5</v>
      </c>
      <c r="EJ239" t="n">
        <v>0.5</v>
      </c>
      <c r="EK239" t="n">
        <v>8.300000000000001</v>
      </c>
    </row>
    <row r="240">
      <c r="A240">
        <f>[1]ingredient!B239</f>
        <v/>
      </c>
      <c r="B240" t="inlineStr">
        <is>
          <t>https://www.naehrwertrechner.de/naehrwerte/C519011/Linsenwaffeln+mit+Meersalz/?menge=100</t>
        </is>
      </c>
      <c r="C240" s="7">
        <f>_xlfn.XLOOKUP(A240,[1]ingredient!$B$2:$B$521,[1]ingredient!$A$2:$A$521)</f>
        <v/>
      </c>
      <c r="D240" t="n">
        <v>365</v>
      </c>
      <c r="E240" t="n">
        <v>1</v>
      </c>
      <c r="F240" t="n">
        <v>27</v>
      </c>
      <c r="G240" t="n">
        <v>58</v>
      </c>
      <c r="H240" t="n">
        <v>5</v>
      </c>
      <c r="I240" t="n">
        <v>2</v>
      </c>
      <c r="J240" t="n">
        <v>1</v>
      </c>
      <c r="K240" t="n">
        <v>4</v>
      </c>
      <c r="L240" t="n">
        <v>0</v>
      </c>
      <c r="M240" t="n">
        <v>8</v>
      </c>
      <c r="N240" t="n">
        <v>0</v>
      </c>
      <c r="O240" t="n">
        <v>100</v>
      </c>
      <c r="P240" t="n">
        <v>200</v>
      </c>
      <c r="Q240" t="n">
        <v>200</v>
      </c>
      <c r="R240" t="n">
        <v>1600</v>
      </c>
      <c r="S240" t="n">
        <v>5900</v>
      </c>
      <c r="T240" t="n">
        <v>1000</v>
      </c>
      <c r="U240" t="n">
        <v>400</v>
      </c>
      <c r="V240" t="n">
        <v>5</v>
      </c>
      <c r="W240" t="n">
        <v>68</v>
      </c>
      <c r="X240" t="n">
        <v>0</v>
      </c>
      <c r="Y240" t="n">
        <v>500</v>
      </c>
      <c r="Z240" t="n">
        <v>0</v>
      </c>
      <c r="AA240" t="n">
        <v>0</v>
      </c>
      <c r="AB240" t="n">
        <v>11</v>
      </c>
      <c r="AC240" t="n">
        <v>200</v>
      </c>
      <c r="AD240" t="n">
        <v>864</v>
      </c>
      <c r="AE240" t="n">
        <v>73</v>
      </c>
      <c r="AF240" t="n">
        <v>133</v>
      </c>
      <c r="AG240" t="n">
        <v>422</v>
      </c>
      <c r="AH240" t="n">
        <v>124</v>
      </c>
      <c r="AI240" t="n">
        <v>387</v>
      </c>
      <c r="AJ240" t="n">
        <v>7700</v>
      </c>
      <c r="AK240" t="n">
        <v>3700</v>
      </c>
      <c r="AL240" t="n">
        <v>700</v>
      </c>
      <c r="AM240" t="n">
        <v>1400</v>
      </c>
      <c r="AN240" t="n">
        <v>0</v>
      </c>
      <c r="AO240" t="n">
        <v>11</v>
      </c>
      <c r="AP240" t="n">
        <v>0</v>
      </c>
      <c r="AQ240" t="n">
        <v>0</v>
      </c>
      <c r="AR240" t="n">
        <v>0</v>
      </c>
      <c r="AS240" t="n">
        <v>0</v>
      </c>
      <c r="AT240" t="n">
        <v>0</v>
      </c>
      <c r="AU240" t="n">
        <v>0</v>
      </c>
      <c r="AV240" t="n">
        <v>0</v>
      </c>
      <c r="AW240" t="n">
        <v>0</v>
      </c>
      <c r="AX240" t="n">
        <v>1500</v>
      </c>
      <c r="AY240" t="n">
        <v>0</v>
      </c>
      <c r="AZ240" t="n">
        <v>0</v>
      </c>
      <c r="BA240" t="n">
        <v>1500</v>
      </c>
      <c r="BB240" t="n">
        <v>5500</v>
      </c>
      <c r="BC240" t="n">
        <v>2446</v>
      </c>
      <c r="BD240" t="n">
        <v>0</v>
      </c>
      <c r="BE240" t="n">
        <v>51000</v>
      </c>
      <c r="BF240" t="n">
        <v>0</v>
      </c>
      <c r="BG240">
        <f>IF($F240=0,"0",MIN(
BH240/(30*$F240),
BI240/(61*$F240),
BJ240/(48*$F240),
(BK240+BL240)/(23*$F240),
(BM240+BN240)/(41*$F240),
BO240/(25*$F240),
BP240/(6.6*$F240),
BQ240/(40*$F240),
BS240/(16*$F240)
)*100)</f>
        <v/>
      </c>
      <c r="BH240" t="n">
        <v>1279</v>
      </c>
      <c r="BI240" t="n">
        <v>2046</v>
      </c>
      <c r="BJ240" t="n">
        <v>1989</v>
      </c>
      <c r="BK240" t="n">
        <v>228</v>
      </c>
      <c r="BL240" t="n">
        <v>256</v>
      </c>
      <c r="BM240" t="n">
        <v>1422</v>
      </c>
      <c r="BN240" t="n">
        <v>909</v>
      </c>
      <c r="BO240" t="n">
        <v>1136</v>
      </c>
      <c r="BP240" t="n">
        <v>256</v>
      </c>
      <c r="BQ240" t="n">
        <v>1535</v>
      </c>
      <c r="BR240" t="n">
        <v>2245</v>
      </c>
      <c r="BS240" t="n">
        <v>683</v>
      </c>
      <c r="BT240" t="n">
        <v>13983</v>
      </c>
      <c r="BU240" t="n">
        <v>1223</v>
      </c>
      <c r="BV240" t="n">
        <v>3268</v>
      </c>
      <c r="BW240" t="n">
        <v>4690</v>
      </c>
      <c r="BX240" t="n">
        <v>1166</v>
      </c>
      <c r="BY240" t="n">
        <v>1194</v>
      </c>
      <c r="BZ240" t="n">
        <v>1477</v>
      </c>
      <c r="CA240" t="n">
        <v>13017</v>
      </c>
      <c r="CB240" t="n">
        <v>206</v>
      </c>
      <c r="CC240" t="n">
        <v>69</v>
      </c>
      <c r="CD240" t="n">
        <v>100</v>
      </c>
      <c r="CE240" t="n">
        <v>300</v>
      </c>
      <c r="CF240" t="n">
        <v>3</v>
      </c>
      <c r="CG240" t="n">
        <v>0</v>
      </c>
      <c r="CH240" t="n">
        <v>0</v>
      </c>
      <c r="CI240" t="n">
        <v>0</v>
      </c>
      <c r="CJ240" t="n">
        <v>0</v>
      </c>
      <c r="CK240" t="n">
        <v>0</v>
      </c>
      <c r="CL240" t="n">
        <v>0</v>
      </c>
      <c r="CM240" t="n">
        <v>0</v>
      </c>
      <c r="CN240" t="n">
        <v>177</v>
      </c>
      <c r="CO240" t="n">
        <v>0</v>
      </c>
      <c r="CP240" t="n">
        <v>11</v>
      </c>
      <c r="CQ240" t="n">
        <v>11</v>
      </c>
      <c r="CR240" t="n">
        <v>0</v>
      </c>
      <c r="CS240" t="n">
        <v>0</v>
      </c>
      <c r="CT240" t="n">
        <v>200</v>
      </c>
      <c r="CU240" t="n">
        <v>0</v>
      </c>
      <c r="CV240" t="n">
        <v>0</v>
      </c>
      <c r="CW240" t="n">
        <v>0</v>
      </c>
      <c r="CX240" t="n">
        <v>0</v>
      </c>
      <c r="CY240" t="n">
        <v>152</v>
      </c>
      <c r="CZ240" t="n">
        <v>7</v>
      </c>
      <c r="DA240" t="n">
        <v>0</v>
      </c>
      <c r="DB240" t="n">
        <v>0</v>
      </c>
      <c r="DC240" t="n">
        <v>200</v>
      </c>
      <c r="DD240" t="n">
        <v>0</v>
      </c>
      <c r="DE240" t="n">
        <v>0</v>
      </c>
      <c r="DF240" t="n">
        <v>300</v>
      </c>
      <c r="DG240" t="n">
        <v>100</v>
      </c>
      <c r="DH240" t="n">
        <v>0</v>
      </c>
      <c r="DI240" t="n">
        <v>0</v>
      </c>
      <c r="DJ240" t="n">
        <v>0</v>
      </c>
      <c r="DK240" t="n">
        <v>0</v>
      </c>
      <c r="DL240" t="n">
        <v>0</v>
      </c>
      <c r="DM240" t="n">
        <v>0</v>
      </c>
      <c r="DN240" t="n">
        <v>0</v>
      </c>
      <c r="DO240" t="n">
        <v>0</v>
      </c>
      <c r="DP240" t="n">
        <v>0</v>
      </c>
      <c r="DQ240" t="n">
        <v>0</v>
      </c>
      <c r="DR240" t="n">
        <v>0</v>
      </c>
      <c r="DS240" t="n">
        <v>400</v>
      </c>
      <c r="DT240" t="n">
        <v>790</v>
      </c>
      <c r="DU240" t="n">
        <v>211</v>
      </c>
      <c r="DV240" t="n">
        <v>0</v>
      </c>
      <c r="DW240" t="n">
        <v>0</v>
      </c>
      <c r="DX240" t="n">
        <v>0</v>
      </c>
      <c r="DY240" t="n">
        <v>702</v>
      </c>
      <c r="DZ240" t="n">
        <v>1890</v>
      </c>
      <c r="EA240" t="n">
        <v>702</v>
      </c>
      <c r="EB240" t="n">
        <v>1999</v>
      </c>
      <c r="EC240" t="n">
        <v>108</v>
      </c>
      <c r="ED240" t="n">
        <v>2160</v>
      </c>
      <c r="EE240" t="n">
        <v>3240</v>
      </c>
      <c r="EF240" t="n">
        <v>0</v>
      </c>
      <c r="EG240" t="n">
        <v>0</v>
      </c>
      <c r="EH240" t="n">
        <v>2.2</v>
      </c>
      <c r="EI240" t="n">
        <v>3.2</v>
      </c>
      <c r="EJ240" t="n">
        <v>1</v>
      </c>
      <c r="EK240" t="n">
        <v>27.6</v>
      </c>
    </row>
    <row r="241">
      <c r="A241">
        <f>[1]ingredient!B240</f>
        <v/>
      </c>
      <c r="B241" t="inlineStr">
        <is>
          <t>https://www.naehrwertrechner.de/naehrwerte/R237011/Lorbeerblatt+Gew%C3%BCrz/?menge=100</t>
        </is>
      </c>
      <c r="C241" s="7">
        <f>_xlfn.XLOOKUP(A241,[1]ingredient!$B$2:$B$521,[1]ingredient!$A$2:$A$521)</f>
        <v/>
      </c>
      <c r="D241" t="n">
        <v>303</v>
      </c>
      <c r="E241" t="n">
        <v>8</v>
      </c>
      <c r="F241" t="n">
        <v>8</v>
      </c>
      <c r="G241" t="n">
        <v>49</v>
      </c>
      <c r="H241" t="n">
        <v>26</v>
      </c>
      <c r="I241" t="n">
        <v>48</v>
      </c>
      <c r="J241" t="n">
        <v>0.22</v>
      </c>
      <c r="K241" t="n">
        <v>5</v>
      </c>
      <c r="L241" t="n">
        <v>618</v>
      </c>
      <c r="M241" t="n">
        <v>309</v>
      </c>
      <c r="N241" t="n">
        <v>0</v>
      </c>
      <c r="O241" t="n">
        <v>3710</v>
      </c>
      <c r="P241" t="n">
        <v>10</v>
      </c>
      <c r="Q241" t="n">
        <v>420</v>
      </c>
      <c r="R241" t="n">
        <v>2000</v>
      </c>
      <c r="S241" t="n">
        <v>3267</v>
      </c>
      <c r="T241" t="n">
        <v>0</v>
      </c>
      <c r="U241" t="n">
        <v>0</v>
      </c>
      <c r="V241" t="n">
        <v>0</v>
      </c>
      <c r="W241" t="n">
        <v>0</v>
      </c>
      <c r="X241" t="n">
        <v>0</v>
      </c>
      <c r="Y241" t="n">
        <v>0</v>
      </c>
      <c r="Z241" t="n">
        <v>0</v>
      </c>
      <c r="AA241" t="n">
        <v>0</v>
      </c>
      <c r="AB241" t="n">
        <v>0</v>
      </c>
      <c r="AC241" t="n">
        <v>23</v>
      </c>
      <c r="AD241" t="n">
        <v>529</v>
      </c>
      <c r="AE241" t="n">
        <v>830</v>
      </c>
      <c r="AF241" t="n">
        <v>120</v>
      </c>
      <c r="AG241" t="n">
        <v>110</v>
      </c>
      <c r="AH241" t="n">
        <v>100</v>
      </c>
      <c r="AI241" t="n">
        <v>200</v>
      </c>
      <c r="AJ241" t="n">
        <v>43000</v>
      </c>
      <c r="AK241" t="n">
        <v>3700</v>
      </c>
      <c r="AL241" t="n">
        <v>420</v>
      </c>
      <c r="AM241" t="n">
        <v>8200</v>
      </c>
      <c r="AN241" t="n">
        <v>400</v>
      </c>
      <c r="AO241" t="n">
        <v>5</v>
      </c>
      <c r="AP241" t="n">
        <v>0</v>
      </c>
      <c r="AQ241" t="n">
        <v>0</v>
      </c>
      <c r="AR241" t="n">
        <v>0</v>
      </c>
      <c r="AS241" t="n">
        <v>0</v>
      </c>
      <c r="AT241" t="n">
        <v>19440</v>
      </c>
      <c r="AU241" t="n">
        <v>19440</v>
      </c>
      <c r="AV241" t="n">
        <v>0</v>
      </c>
      <c r="AW241" t="n">
        <v>38880</v>
      </c>
      <c r="AX241" t="n">
        <v>9234</v>
      </c>
      <c r="AY241" t="n">
        <v>0</v>
      </c>
      <c r="AZ241" t="n">
        <v>0</v>
      </c>
      <c r="BA241" t="n">
        <v>9234</v>
      </c>
      <c r="BB241" t="n">
        <v>0</v>
      </c>
      <c r="BC241" t="n">
        <v>0</v>
      </c>
      <c r="BD241" t="n">
        <v>0</v>
      </c>
      <c r="BE241" t="n">
        <v>486</v>
      </c>
      <c r="BF241" t="n">
        <v>486</v>
      </c>
      <c r="BG241">
        <f>IF($F241=0,"0",MIN(
BH241/(30*$F241),
BI241/(61*$F241),
BJ241/(48*$F241),
(BK241+BL241)/(23*$F241),
(BM241+BN241)/(41*$F241),
BO241/(25*$F241),
BP241/(6.6*$F241),
BQ241/(40*$F241),
BS241/(16*$F241)
)*100)</f>
        <v/>
      </c>
      <c r="BH241" t="n">
        <v>304</v>
      </c>
      <c r="BI241" t="n">
        <v>456</v>
      </c>
      <c r="BJ241" t="n">
        <v>380</v>
      </c>
      <c r="BK241" t="n">
        <v>91</v>
      </c>
      <c r="BL241" t="n">
        <v>76</v>
      </c>
      <c r="BM241" t="n">
        <v>228</v>
      </c>
      <c r="BN241" t="n">
        <v>152</v>
      </c>
      <c r="BO241" t="n">
        <v>266</v>
      </c>
      <c r="BP241" t="n">
        <v>76</v>
      </c>
      <c r="BQ241" t="n">
        <v>304</v>
      </c>
      <c r="BR241" t="n">
        <v>304</v>
      </c>
      <c r="BS241" t="n">
        <v>114</v>
      </c>
      <c r="BT241" t="n">
        <v>2751</v>
      </c>
      <c r="BU241" t="n">
        <v>380</v>
      </c>
      <c r="BV241" t="n">
        <v>760</v>
      </c>
      <c r="BW241" t="n">
        <v>1140</v>
      </c>
      <c r="BX241" t="n">
        <v>213</v>
      </c>
      <c r="BY241" t="n">
        <v>304</v>
      </c>
      <c r="BZ241" t="n">
        <v>228</v>
      </c>
      <c r="CA241" t="n">
        <v>3025</v>
      </c>
      <c r="CB241" t="n">
        <v>110</v>
      </c>
      <c r="CC241" t="n">
        <v>46</v>
      </c>
      <c r="CD241" t="n">
        <v>1064</v>
      </c>
      <c r="CE241" t="n">
        <v>1252</v>
      </c>
      <c r="CF241" t="n">
        <v>1.18</v>
      </c>
      <c r="CG241" t="n">
        <v>0</v>
      </c>
      <c r="CH241" t="n">
        <v>0</v>
      </c>
      <c r="CI241" t="n">
        <v>6</v>
      </c>
      <c r="CJ241" t="n">
        <v>6</v>
      </c>
      <c r="CK241" t="n">
        <v>563</v>
      </c>
      <c r="CL241" t="n">
        <v>225</v>
      </c>
      <c r="CM241" t="n">
        <v>0</v>
      </c>
      <c r="CN241" t="n">
        <v>1327</v>
      </c>
      <c r="CO241" t="n">
        <v>0</v>
      </c>
      <c r="CP241" t="n">
        <v>169</v>
      </c>
      <c r="CQ241" t="n">
        <v>0</v>
      </c>
      <c r="CR241" t="n">
        <v>0</v>
      </c>
      <c r="CS241" t="n">
        <v>0</v>
      </c>
      <c r="CT241" t="n">
        <v>2296</v>
      </c>
      <c r="CU241" t="n">
        <v>0</v>
      </c>
      <c r="CV241" t="n">
        <v>0</v>
      </c>
      <c r="CW241" t="n">
        <v>138</v>
      </c>
      <c r="CX241" t="n">
        <v>0</v>
      </c>
      <c r="CY241" t="n">
        <v>1508</v>
      </c>
      <c r="CZ241" t="n">
        <v>0</v>
      </c>
      <c r="DA241" t="n">
        <v>0</v>
      </c>
      <c r="DB241" t="n">
        <v>0</v>
      </c>
      <c r="DC241" t="n">
        <v>1646</v>
      </c>
      <c r="DD241" t="n">
        <v>0</v>
      </c>
      <c r="DE241" t="n">
        <v>0</v>
      </c>
      <c r="DF241" t="n">
        <v>1252</v>
      </c>
      <c r="DG241" t="n">
        <v>1064</v>
      </c>
      <c r="DH241" t="n">
        <v>0</v>
      </c>
      <c r="DI241" t="n">
        <v>0</v>
      </c>
      <c r="DJ241" t="n">
        <v>0</v>
      </c>
      <c r="DK241" t="n">
        <v>0</v>
      </c>
      <c r="DL241" t="n">
        <v>0</v>
      </c>
      <c r="DM241" t="n">
        <v>0</v>
      </c>
      <c r="DN241" t="n">
        <v>0</v>
      </c>
      <c r="DO241" t="n">
        <v>0</v>
      </c>
      <c r="DP241" t="n">
        <v>0</v>
      </c>
      <c r="DQ241" t="n">
        <v>0</v>
      </c>
      <c r="DR241" t="n">
        <v>0</v>
      </c>
      <c r="DS241" t="n">
        <v>2316</v>
      </c>
      <c r="DT241" t="n">
        <v>6246</v>
      </c>
      <c r="DU241" t="n">
        <v>2142</v>
      </c>
      <c r="DV241" t="n">
        <v>0</v>
      </c>
      <c r="DW241" t="n">
        <v>0</v>
      </c>
      <c r="DX241" t="n">
        <v>12</v>
      </c>
      <c r="DY241" t="n">
        <v>3948</v>
      </c>
      <c r="DZ241" t="n">
        <v>5264</v>
      </c>
      <c r="EA241" t="n">
        <v>7106</v>
      </c>
      <c r="EB241" t="n">
        <v>9212</v>
      </c>
      <c r="EC241" t="n">
        <v>790</v>
      </c>
      <c r="ED241" t="n">
        <v>7896</v>
      </c>
      <c r="EE241" t="n">
        <v>18424</v>
      </c>
      <c r="EF241" t="n">
        <v>0</v>
      </c>
      <c r="EG241" t="n">
        <v>0.08</v>
      </c>
      <c r="EH241" t="n">
        <v>3.6</v>
      </c>
      <c r="EI241" t="n">
        <v>18.4</v>
      </c>
      <c r="EJ241" t="n">
        <v>8.4</v>
      </c>
      <c r="EK241" t="n">
        <v>6.1</v>
      </c>
    </row>
    <row r="242">
      <c r="A242">
        <f>[1]ingredient!B242</f>
        <v/>
      </c>
      <c r="B242" t="inlineStr">
        <is>
          <t>https://www.naehrwertrechner.de/naehrwerte/G800511/Lupinenmehl/?menge=100</t>
        </is>
      </c>
      <c r="C242" s="7">
        <f>_xlfn.XLOOKUP(A242,[1]ingredient!$B$2:$B$521,[1]ingredient!$A$2:$A$521)</f>
        <v/>
      </c>
      <c r="D242" t="n">
        <v>362</v>
      </c>
      <c r="E242" t="n">
        <v>9</v>
      </c>
      <c r="F242" t="n">
        <v>43</v>
      </c>
      <c r="G242" t="n">
        <v>13</v>
      </c>
      <c r="H242" t="n">
        <v>27</v>
      </c>
      <c r="I242" t="n">
        <v>3</v>
      </c>
      <c r="J242" t="n">
        <v>0.09</v>
      </c>
      <c r="K242" t="n">
        <v>3</v>
      </c>
      <c r="L242" t="n">
        <v>0</v>
      </c>
      <c r="M242" t="n">
        <v>0</v>
      </c>
      <c r="N242" t="n">
        <v>0</v>
      </c>
      <c r="O242" t="n">
        <v>0</v>
      </c>
      <c r="P242" t="n">
        <v>300</v>
      </c>
      <c r="Q242" t="n">
        <v>200</v>
      </c>
      <c r="R242" t="n">
        <v>1600</v>
      </c>
      <c r="S242" t="n">
        <v>7300</v>
      </c>
      <c r="T242" t="n">
        <v>500</v>
      </c>
      <c r="U242" t="n">
        <v>200</v>
      </c>
      <c r="V242" t="n">
        <v>10</v>
      </c>
      <c r="W242" t="n">
        <v>188</v>
      </c>
      <c r="X242" t="n">
        <v>0</v>
      </c>
      <c r="Y242" t="n">
        <v>2500</v>
      </c>
      <c r="Z242" t="n">
        <v>0</v>
      </c>
      <c r="AA242" t="n">
        <v>0</v>
      </c>
      <c r="AB242" t="n">
        <v>43</v>
      </c>
      <c r="AC242" t="n">
        <v>36</v>
      </c>
      <c r="AD242" t="n">
        <v>1064</v>
      </c>
      <c r="AE242" t="n">
        <v>185</v>
      </c>
      <c r="AF242" t="n">
        <v>208</v>
      </c>
      <c r="AG242" t="n">
        <v>462</v>
      </c>
      <c r="AH242" t="n">
        <v>137</v>
      </c>
      <c r="AI242" t="n">
        <v>58</v>
      </c>
      <c r="AJ242" t="n">
        <v>4600</v>
      </c>
      <c r="AK242" t="n">
        <v>5000</v>
      </c>
      <c r="AL242" t="n">
        <v>1100</v>
      </c>
      <c r="AM242" t="n">
        <v>2500</v>
      </c>
      <c r="AN242" t="n">
        <v>0</v>
      </c>
      <c r="AO242" t="n">
        <v>15</v>
      </c>
      <c r="AP242" t="n">
        <v>0</v>
      </c>
      <c r="AQ242" t="n">
        <v>0</v>
      </c>
      <c r="AR242" t="n">
        <v>0</v>
      </c>
      <c r="AS242" t="n">
        <v>0</v>
      </c>
      <c r="AT242" t="n">
        <v>0</v>
      </c>
      <c r="AU242" t="n">
        <v>0</v>
      </c>
      <c r="AV242" t="n">
        <v>0</v>
      </c>
      <c r="AW242" t="n">
        <v>0</v>
      </c>
      <c r="AX242" t="n">
        <v>2700</v>
      </c>
      <c r="AY242" t="n">
        <v>0</v>
      </c>
      <c r="AZ242" t="n">
        <v>0</v>
      </c>
      <c r="BA242" t="n">
        <v>2700</v>
      </c>
      <c r="BB242" t="n">
        <v>100</v>
      </c>
      <c r="BC242" t="n">
        <v>3530</v>
      </c>
      <c r="BD242" t="n">
        <v>0</v>
      </c>
      <c r="BE242" t="n">
        <v>10000</v>
      </c>
      <c r="BF242" t="n">
        <v>0</v>
      </c>
      <c r="BG242">
        <f>IF($F242=0,"0",MIN(
BH242/(30*$F242),
BI242/(61*$F242),
BJ242/(48*$F242),
(BK242+BL242)/(23*$F242),
(BM242+BN242)/(41*$F242),
BO242/(25*$F242),
BP242/(6.6*$F242),
BQ242/(40*$F242),
BS242/(16*$F242)
)*100)</f>
        <v/>
      </c>
      <c r="BH242" t="n">
        <v>1894</v>
      </c>
      <c r="BI242" t="n">
        <v>3218</v>
      </c>
      <c r="BJ242" t="n">
        <v>2268</v>
      </c>
      <c r="BK242" t="n">
        <v>299</v>
      </c>
      <c r="BL242" t="n">
        <v>524</v>
      </c>
      <c r="BM242" t="n">
        <v>1684</v>
      </c>
      <c r="BN242" t="n">
        <v>1595</v>
      </c>
      <c r="BO242" t="n">
        <v>1562</v>
      </c>
      <c r="BP242" t="n">
        <v>339</v>
      </c>
      <c r="BQ242" t="n">
        <v>1771</v>
      </c>
      <c r="BR242" t="n">
        <v>4549</v>
      </c>
      <c r="BS242" t="n">
        <v>1209</v>
      </c>
      <c r="BT242" t="n">
        <v>20912</v>
      </c>
      <c r="BU242" t="n">
        <v>1520</v>
      </c>
      <c r="BV242" t="n">
        <v>4548</v>
      </c>
      <c r="BW242" t="n">
        <v>10189</v>
      </c>
      <c r="BX242" t="n">
        <v>1806</v>
      </c>
      <c r="BY242" t="n">
        <v>1732</v>
      </c>
      <c r="BZ242" t="n">
        <v>2193</v>
      </c>
      <c r="CA242" t="n">
        <v>21989</v>
      </c>
      <c r="CB242" t="n">
        <v>167</v>
      </c>
      <c r="CC242" t="n">
        <v>70</v>
      </c>
      <c r="CD242" t="n">
        <v>500</v>
      </c>
      <c r="CE242" t="n">
        <v>2000</v>
      </c>
      <c r="CF242" t="n">
        <v>4</v>
      </c>
      <c r="CG242" t="n">
        <v>0</v>
      </c>
      <c r="CH242" t="n">
        <v>0</v>
      </c>
      <c r="CI242" t="n">
        <v>0</v>
      </c>
      <c r="CJ242" t="n">
        <v>0</v>
      </c>
      <c r="CK242" t="n">
        <v>14</v>
      </c>
      <c r="CL242" t="n">
        <v>23</v>
      </c>
      <c r="CM242" t="n">
        <v>0</v>
      </c>
      <c r="CN242" t="n">
        <v>1307</v>
      </c>
      <c r="CO242" t="n">
        <v>0</v>
      </c>
      <c r="CP242" t="n">
        <v>556</v>
      </c>
      <c r="CQ242" t="n">
        <v>0</v>
      </c>
      <c r="CR242" t="n">
        <v>0</v>
      </c>
      <c r="CS242" t="n">
        <v>0</v>
      </c>
      <c r="CT242" t="n">
        <v>1900</v>
      </c>
      <c r="CU242" t="n">
        <v>0</v>
      </c>
      <c r="CV242" t="n">
        <v>0</v>
      </c>
      <c r="CW242" t="n">
        <v>35</v>
      </c>
      <c r="CX242" t="n">
        <v>0</v>
      </c>
      <c r="CY242" t="n">
        <v>3625</v>
      </c>
      <c r="CZ242" t="n">
        <v>260</v>
      </c>
      <c r="DA242" t="n">
        <v>95</v>
      </c>
      <c r="DB242" t="n">
        <v>0</v>
      </c>
      <c r="DC242" t="n">
        <v>4000</v>
      </c>
      <c r="DD242" t="n">
        <v>0</v>
      </c>
      <c r="DE242" t="n">
        <v>0</v>
      </c>
      <c r="DF242" t="n">
        <v>2000</v>
      </c>
      <c r="DG242" t="n">
        <v>500</v>
      </c>
      <c r="DH242" t="n">
        <v>0</v>
      </c>
      <c r="DI242" t="n">
        <v>0</v>
      </c>
      <c r="DJ242" t="n">
        <v>0</v>
      </c>
      <c r="DK242" t="n">
        <v>0</v>
      </c>
      <c r="DL242" t="n">
        <v>0</v>
      </c>
      <c r="DM242" t="n">
        <v>0</v>
      </c>
      <c r="DN242" t="n">
        <v>0</v>
      </c>
      <c r="DO242" t="n">
        <v>0</v>
      </c>
      <c r="DP242" t="n">
        <v>0</v>
      </c>
      <c r="DQ242" t="n">
        <v>0</v>
      </c>
      <c r="DR242" t="n">
        <v>0</v>
      </c>
      <c r="DS242" t="n">
        <v>2500</v>
      </c>
      <c r="DT242" t="n">
        <v>8403</v>
      </c>
      <c r="DU242" t="n">
        <v>297</v>
      </c>
      <c r="DV242" t="n">
        <v>0</v>
      </c>
      <c r="DW242" t="n">
        <v>0</v>
      </c>
      <c r="DX242" t="n">
        <v>0</v>
      </c>
      <c r="DY242" t="n">
        <v>4065</v>
      </c>
      <c r="DZ242" t="n">
        <v>17886</v>
      </c>
      <c r="EA242" t="n">
        <v>542</v>
      </c>
      <c r="EB242" t="n">
        <v>4065</v>
      </c>
      <c r="EC242" t="n">
        <v>542</v>
      </c>
      <c r="ED242" t="n">
        <v>8130</v>
      </c>
      <c r="EE242" t="n">
        <v>18970</v>
      </c>
      <c r="EF242" t="n">
        <v>0</v>
      </c>
      <c r="EG242" t="n">
        <v>0</v>
      </c>
      <c r="EH242" t="n">
        <v>2.2</v>
      </c>
      <c r="EI242" t="n">
        <v>19</v>
      </c>
      <c r="EJ242" t="n">
        <v>8.699999999999999</v>
      </c>
      <c r="EK242" t="n">
        <v>43.5</v>
      </c>
    </row>
    <row r="243">
      <c r="A243">
        <f>[1]ingredient!B243</f>
        <v/>
      </c>
      <c r="C243" s="7">
        <f>_xlfn.XLOOKUP(A243,[1]ingredient!$B$2:$B$521,[1]ingredient!$A$2:$A$521)</f>
        <v/>
      </c>
      <c r="D243" s="10">
        <f>IFERROR((D446/D445)*D242,0)</f>
        <v/>
      </c>
      <c r="E243" s="10">
        <f>IFERROR((E446/E445)*E242,0)</f>
        <v/>
      </c>
      <c r="F243" s="10">
        <f>IFERROR((F446/F445)*F242,0)</f>
        <v/>
      </c>
      <c r="G243" s="10">
        <f>IFERROR((G446/G445)*G242,0)</f>
        <v/>
      </c>
      <c r="H243" s="10">
        <f>IFERROR((H446/H445)*H242,0)</f>
        <v/>
      </c>
      <c r="I243" s="10">
        <f>IFERROR((I446/I445)*I242,0)</f>
        <v/>
      </c>
      <c r="J243" s="10">
        <f>IFERROR((J446/J445)*J242,0)</f>
        <v/>
      </c>
      <c r="K243" s="10">
        <f>IFERROR((K446/K445)*K242,0)</f>
        <v/>
      </c>
      <c r="L243" s="10">
        <f>IFERROR((L446/L445)*L242,0)</f>
        <v/>
      </c>
      <c r="M243" s="10">
        <f>IFERROR((M446/M445)*M242,0)</f>
        <v/>
      </c>
      <c r="N243" s="10">
        <f>IFERROR((N446/N445)*N242,0)</f>
        <v/>
      </c>
      <c r="O243" s="10">
        <f>IFERROR((O446/O445)*O242,0)</f>
        <v/>
      </c>
      <c r="P243" s="10">
        <f>IFERROR((P446/P445)*P242,0)</f>
        <v/>
      </c>
      <c r="Q243" s="10">
        <f>IFERROR((Q446/Q445)*Q242,0)</f>
        <v/>
      </c>
      <c r="R243" s="10">
        <f>IFERROR((R446/R445)*R242,0)</f>
        <v/>
      </c>
      <c r="S243" s="10">
        <f>IFERROR((S446/S445)*S242,0)</f>
        <v/>
      </c>
      <c r="T243" s="10">
        <f>IFERROR((T446/T445)*T242,0)</f>
        <v/>
      </c>
      <c r="U243" s="10">
        <f>IFERROR((U446/U445)*U242,0)</f>
        <v/>
      </c>
      <c r="V243" s="10">
        <f>IFERROR((V446/V445)*V242,0)</f>
        <v/>
      </c>
      <c r="W243" s="10">
        <f>IFERROR((W446/W445)*W242,0)</f>
        <v/>
      </c>
      <c r="X243" s="10">
        <f>IFERROR((X446/X445)*X242,0)</f>
        <v/>
      </c>
      <c r="Y243" s="10">
        <f>IFERROR((Y446/Y445)*Y242,0)</f>
        <v/>
      </c>
      <c r="Z243" s="10">
        <f>IFERROR((Z446/Z445)*Z242,0)</f>
        <v/>
      </c>
      <c r="AA243" s="10">
        <f>IFERROR((AA446/AA445)*AA242,0)</f>
        <v/>
      </c>
      <c r="AB243" s="10">
        <f>IFERROR((AB446/AB445)*AB242,0)</f>
        <v/>
      </c>
      <c r="AC243" s="10">
        <f>IFERROR((AC446/AC445)*AC242,0)</f>
        <v/>
      </c>
      <c r="AD243" s="10">
        <f>IFERROR((AD446/AD445)*AD242,0)</f>
        <v/>
      </c>
      <c r="AE243" s="10">
        <f>IFERROR((AE446/AE445)*AE242,0)</f>
        <v/>
      </c>
      <c r="AF243" s="10">
        <f>IFERROR((AF446/AF445)*AF242,0)</f>
        <v/>
      </c>
      <c r="AG243" s="10">
        <f>IFERROR((AG446/AG445)*AG242,0)</f>
        <v/>
      </c>
      <c r="AH243" s="10">
        <f>IFERROR((AH446/AH445)*AH242,0)</f>
        <v/>
      </c>
      <c r="AI243" s="10">
        <f>IFERROR((AI446/AI445)*AI242,0)</f>
        <v/>
      </c>
      <c r="AJ243" s="10">
        <f>IFERROR((AJ446/AJ445)*AJ242,0)</f>
        <v/>
      </c>
      <c r="AK243" s="10">
        <f>IFERROR((AK446/AK445)*AK242,0)</f>
        <v/>
      </c>
      <c r="AL243" s="10">
        <f>IFERROR((AL446/AL445)*AL242,0)</f>
        <v/>
      </c>
      <c r="AM243" s="10">
        <f>IFERROR((AM446/AM445)*AM242,0)</f>
        <v/>
      </c>
      <c r="AN243" s="10">
        <f>IFERROR((AN446/AN445)*AN242,0)</f>
        <v/>
      </c>
      <c r="AO243" s="10">
        <f>IFERROR((AO446/AO445)*AO242,0)</f>
        <v/>
      </c>
      <c r="AP243" s="10">
        <f>IFERROR((AP446/AP445)*AP242,0)</f>
        <v/>
      </c>
      <c r="AQ243" s="10">
        <f>IFERROR((AQ446/AQ445)*AQ242,0)</f>
        <v/>
      </c>
      <c r="AR243" s="10">
        <f>IFERROR((AR446/AR445)*AR242,0)</f>
        <v/>
      </c>
      <c r="AS243" s="10">
        <f>IFERROR((AS446/AS445)*AS242,0)</f>
        <v/>
      </c>
      <c r="AT243" s="10">
        <f>IFERROR((AT446/AT445)*AT242,0)</f>
        <v/>
      </c>
      <c r="AU243" s="10">
        <f>IFERROR((AU446/AU445)*AU242,0)</f>
        <v/>
      </c>
      <c r="AV243" s="10">
        <f>IFERROR((AV446/AV445)*AV242,0)</f>
        <v/>
      </c>
      <c r="AW243" s="10">
        <f>IFERROR((AW446/AW445)*AW242,0)</f>
        <v/>
      </c>
      <c r="AX243" s="10">
        <f>IFERROR((AX446/AX445)*AX242,0)</f>
        <v/>
      </c>
      <c r="AY243" s="10">
        <f>IFERROR((AY446/AY445)*AY242,0)</f>
        <v/>
      </c>
      <c r="AZ243" s="10">
        <f>IFERROR((AZ446/AZ445)*AZ242,0)</f>
        <v/>
      </c>
      <c r="BA243" s="10">
        <f>IFERROR((BA446/BA445)*BA242,0)</f>
        <v/>
      </c>
      <c r="BB243" s="10">
        <f>IFERROR((BB446/BB445)*BB242,0)</f>
        <v/>
      </c>
      <c r="BC243" s="10">
        <f>IFERROR((BC446/BC445)*BC242,0)</f>
        <v/>
      </c>
      <c r="BD243" s="10">
        <f>IFERROR((BD446/BD445)*BD242,0)</f>
        <v/>
      </c>
      <c r="BE243" s="10">
        <f>IFERROR((BE446/BE445)*BE242,0)</f>
        <v/>
      </c>
      <c r="BF243" s="10">
        <f>IFERROR((BF446/BF445)*BF242,0)</f>
        <v/>
      </c>
      <c r="BG243">
        <f>IF($F243=0,"0",MIN(
BH243/(30*$F243),
BI243/(61*$F243),
BJ243/(48*$F243),
(BK243+BL243)/(23*$F243),
(BM243+BN243)/(41*$F243),
BO243/(25*$F243),
BP243/(6.6*$F243),
BQ243/(40*$F243),
BS243/(16*$F243)
)*100)</f>
        <v/>
      </c>
      <c r="BH243" s="10">
        <f>IFERROR((BH446/BH445)*BH242,0)</f>
        <v/>
      </c>
      <c r="BI243" s="10">
        <f>IFERROR((BI446/BI445)*BI242,0)</f>
        <v/>
      </c>
      <c r="BJ243" s="10">
        <f>IFERROR((BJ446/BJ445)*BJ242,0)</f>
        <v/>
      </c>
      <c r="BK243" s="10">
        <f>IFERROR((BK446/BK445)*BK242,0)</f>
        <v/>
      </c>
      <c r="BL243" s="10">
        <f>IFERROR((BL446/BL445)*BL242,0)</f>
        <v/>
      </c>
      <c r="BM243" s="10">
        <f>IFERROR((BM446/BM445)*BM242,0)</f>
        <v/>
      </c>
      <c r="BN243" s="10">
        <f>IFERROR((BN446/BN445)*BN242,0)</f>
        <v/>
      </c>
      <c r="BO243" s="10">
        <f>IFERROR((BO446/BO445)*BO242,0)</f>
        <v/>
      </c>
      <c r="BP243" s="10">
        <f>IFERROR((BP446/BP445)*BP242,0)</f>
        <v/>
      </c>
      <c r="BQ243" s="10">
        <f>IFERROR((BQ446/BQ445)*BQ242,0)</f>
        <v/>
      </c>
      <c r="BR243" s="10">
        <f>IFERROR((BR446/BR445)*BR242,0)</f>
        <v/>
      </c>
      <c r="BS243" s="10">
        <f>IFERROR((BS446/BS445)*BS242,0)</f>
        <v/>
      </c>
      <c r="BT243" s="10">
        <f>IFERROR((BT446/BT445)*BT242,0)</f>
        <v/>
      </c>
      <c r="BU243" s="10">
        <f>IFERROR((BU446/BU445)*BU242,0)</f>
        <v/>
      </c>
      <c r="BV243" s="10">
        <f>IFERROR((BV446/BV445)*BV242,0)</f>
        <v/>
      </c>
      <c r="BW243" s="10">
        <f>IFERROR((BW446/BW445)*BW242,0)</f>
        <v/>
      </c>
      <c r="BX243" s="10">
        <f>IFERROR((BX446/BX445)*BX242,0)</f>
        <v/>
      </c>
      <c r="BY243" s="10">
        <f>IFERROR((BY446/BY445)*BY242,0)</f>
        <v/>
      </c>
      <c r="BZ243" s="10">
        <f>IFERROR((BZ446/BZ445)*BZ242,0)</f>
        <v/>
      </c>
      <c r="CA243" s="10">
        <f>IFERROR((CA446/CA445)*CA242,0)</f>
        <v/>
      </c>
      <c r="CB243" s="10">
        <f>IFERROR((CB446/CB445)*CB242,0)</f>
        <v/>
      </c>
      <c r="CC243" s="10">
        <f>IFERROR((CC446/CC445)*CC242,0)</f>
        <v/>
      </c>
      <c r="CD243" s="10">
        <f>IFERROR((CD446/CD445)*CD242,0)</f>
        <v/>
      </c>
      <c r="CE243" s="10">
        <f>IFERROR((CE446/CE445)*CE242,0)</f>
        <v/>
      </c>
      <c r="CF243" s="10">
        <f>IFERROR((CF446/CF445)*CF242,0)</f>
        <v/>
      </c>
      <c r="CG243" s="10">
        <f>IFERROR((CG446/CG445)*CG242,0)</f>
        <v/>
      </c>
      <c r="CH243" s="10">
        <f>IFERROR((CH446/CH445)*CH242,0)</f>
        <v/>
      </c>
      <c r="CI243" s="10">
        <f>IFERROR((CI446/CI445)*CI242,0)</f>
        <v/>
      </c>
      <c r="CJ243" s="10">
        <f>IFERROR((CJ446/CJ445)*CJ242,0)</f>
        <v/>
      </c>
      <c r="CK243" s="10">
        <f>IFERROR((CK446/CK445)*CK242,0)</f>
        <v/>
      </c>
      <c r="CL243" s="10">
        <f>IFERROR((CL446/CL445)*CL242,0)</f>
        <v/>
      </c>
      <c r="CM243" s="10">
        <f>IFERROR((CM446/CM445)*CM242,0)</f>
        <v/>
      </c>
      <c r="CN243" s="10">
        <f>IFERROR((CN446/CN445)*CN242,0)</f>
        <v/>
      </c>
      <c r="CO243" s="10">
        <f>IFERROR((CO446/CO445)*CO242,0)</f>
        <v/>
      </c>
      <c r="CP243" s="10">
        <f>IFERROR((CP446/CP445)*CP242,0)</f>
        <v/>
      </c>
      <c r="CQ243" s="10">
        <f>IFERROR((CQ446/CQ445)*CQ242,0)</f>
        <v/>
      </c>
      <c r="CR243" s="10">
        <f>IFERROR((CR446/CR445)*CR242,0)</f>
        <v/>
      </c>
      <c r="CS243" s="10">
        <f>IFERROR((CS446/CS445)*CS242,0)</f>
        <v/>
      </c>
      <c r="CT243" s="10">
        <f>IFERROR((CT446/CT445)*CT242,0)</f>
        <v/>
      </c>
      <c r="CU243" s="10">
        <f>IFERROR((CU446/CU445)*CU242,0)</f>
        <v/>
      </c>
      <c r="CV243" s="10">
        <f>IFERROR((CV446/CV445)*CV242,0)</f>
        <v/>
      </c>
      <c r="CW243" s="10">
        <f>IFERROR((CW446/CW445)*CW242,0)</f>
        <v/>
      </c>
      <c r="CX243" s="10">
        <f>IFERROR((CX446/CX445)*CX242,0)</f>
        <v/>
      </c>
      <c r="CY243" s="10">
        <f>IFERROR((CY446/CY445)*CY242,0)</f>
        <v/>
      </c>
      <c r="CZ243" s="10">
        <f>IFERROR((CZ446/CZ445)*CZ242,0)</f>
        <v/>
      </c>
      <c r="DA243" s="10">
        <f>IFERROR((DA446/DA445)*DA242,0)</f>
        <v/>
      </c>
      <c r="DB243" s="10">
        <f>IFERROR((DB446/DB445)*DB242,0)</f>
        <v/>
      </c>
      <c r="DC243" s="10">
        <f>IFERROR((DC446/DC445)*DC242,0)</f>
        <v/>
      </c>
      <c r="DD243" s="10">
        <f>IFERROR((DD446/DD445)*DD242,0)</f>
        <v/>
      </c>
      <c r="DE243" s="10">
        <f>IFERROR((DE446/DE445)*DE242,0)</f>
        <v/>
      </c>
      <c r="DF243" s="10">
        <f>IFERROR((DF446/DF445)*DF242,0)</f>
        <v/>
      </c>
      <c r="DG243" s="10">
        <f>IFERROR((DG446/DG445)*DG242,0)</f>
        <v/>
      </c>
      <c r="DH243" s="10">
        <f>IFERROR((DH446/DH445)*DH242,0)</f>
        <v/>
      </c>
      <c r="DI243" s="10">
        <f>IFERROR((DI446/DI445)*DI242,0)</f>
        <v/>
      </c>
      <c r="DJ243" s="10">
        <f>IFERROR((DJ446/DJ445)*DJ242,0)</f>
        <v/>
      </c>
      <c r="DK243" s="10">
        <f>IFERROR((DK446/DK445)*DK242,0)</f>
        <v/>
      </c>
      <c r="DL243" s="10">
        <f>IFERROR((DL446/DL445)*DL242,0)</f>
        <v/>
      </c>
      <c r="DM243" s="10">
        <f>IFERROR((DM446/DM445)*DM242,0)</f>
        <v/>
      </c>
      <c r="DN243" s="10">
        <f>IFERROR((DN446/DN445)*DN242,0)</f>
        <v/>
      </c>
      <c r="DO243" s="10">
        <f>IFERROR((DO446/DO445)*DO242,0)</f>
        <v/>
      </c>
      <c r="DP243" s="10">
        <f>IFERROR((DP446/DP445)*DP242,0)</f>
        <v/>
      </c>
      <c r="DQ243" s="10">
        <f>IFERROR((DQ446/DQ445)*DQ242,0)</f>
        <v/>
      </c>
      <c r="DR243" s="10">
        <f>IFERROR((DR446/DR445)*DR242,0)</f>
        <v/>
      </c>
      <c r="DS243" s="10">
        <f>IFERROR((DS446/DS445)*DS242,0)</f>
        <v/>
      </c>
      <c r="DT243" s="10">
        <f>IFERROR((DT446/DT445)*DT242,0)</f>
        <v/>
      </c>
      <c r="DU243" s="10">
        <f>IFERROR((DU446/DU445)*DU242,0)</f>
        <v/>
      </c>
      <c r="DV243" s="10">
        <f>IFERROR((DV446/DV445)*DV242,0)</f>
        <v/>
      </c>
      <c r="DW243" s="10">
        <f>IFERROR((DW446/DW445)*DW242,0)</f>
        <v/>
      </c>
      <c r="DX243" s="10">
        <f>IFERROR((DX446/DX445)*DX242,0)</f>
        <v/>
      </c>
      <c r="DY243" s="10">
        <f>IFERROR((DY446/DY445)*DY242,0)</f>
        <v/>
      </c>
      <c r="DZ243" s="10">
        <f>IFERROR((DZ446/DZ445)*DZ242,0)</f>
        <v/>
      </c>
      <c r="EA243" s="10">
        <f>IFERROR((EA446/EA445)*EA242,0)</f>
        <v/>
      </c>
      <c r="EB243" s="10">
        <f>IFERROR((EB446/EB445)*EB242,0)</f>
        <v/>
      </c>
      <c r="EC243" s="10">
        <f>IFERROR((EC446/EC445)*EC242,0)</f>
        <v/>
      </c>
      <c r="ED243" s="10">
        <f>IFERROR((ED446/ED445)*ED242,0)</f>
        <v/>
      </c>
      <c r="EE243" s="10">
        <f>IFERROR((EE446/EE445)*EE242,0)</f>
        <v/>
      </c>
      <c r="EF243" s="10">
        <f>IFERROR((EF446/EF445)*EF242,0)</f>
        <v/>
      </c>
      <c r="EG243" s="10">
        <f>IFERROR((EG446/EG445)*EG242,0)</f>
        <v/>
      </c>
      <c r="EH243" s="10">
        <f>IFERROR((EH446/EH445)*EH242,0)</f>
        <v/>
      </c>
      <c r="EI243" s="10">
        <f>IFERROR((EI446/EI445)*EI242,0)</f>
        <v/>
      </c>
      <c r="EJ243" s="10">
        <f>IFERROR((EJ446/EJ445)*EJ242,0)</f>
        <v/>
      </c>
      <c r="EK243" s="10">
        <f>IFERROR((EK446/EK445)*EK242,0)</f>
        <v/>
      </c>
    </row>
    <row r="244">
      <c r="A244">
        <f>[1]ingredient!B244</f>
        <v/>
      </c>
      <c r="C244" s="7">
        <f>_xlfn.XLOOKUP(A244,[1]ingredient!$B$2:$B$521,[1]ingredient!$A$2:$A$521)</f>
        <v/>
      </c>
      <c r="D244">
        <f>IFERROR(D242*(D385/D380),0)</f>
        <v/>
      </c>
      <c r="E244">
        <f>IFERROR(E242*(E385/E380),0)</f>
        <v/>
      </c>
      <c r="F244">
        <f>IFERROR(F242*(F385/F380),0)</f>
        <v/>
      </c>
      <c r="G244">
        <f>IFERROR(G242*(G385/G380),0)</f>
        <v/>
      </c>
      <c r="H244">
        <f>IFERROR(H242*(H385/H380),0)</f>
        <v/>
      </c>
      <c r="I244">
        <f>IFERROR(I242*(I385/I380),0)</f>
        <v/>
      </c>
      <c r="J244">
        <f>IFERROR(J242*(J385/J380),0)</f>
        <v/>
      </c>
      <c r="K244">
        <f>IFERROR(K242*(K385/K380),0)</f>
        <v/>
      </c>
      <c r="L244">
        <f>IFERROR(L242*(L385/L380),0)</f>
        <v/>
      </c>
      <c r="M244">
        <f>IFERROR(M242*(M385/M380),0)</f>
        <v/>
      </c>
      <c r="N244">
        <f>IFERROR(N242*(N385/N380),0)</f>
        <v/>
      </c>
      <c r="O244">
        <f>IFERROR(O242*(O385/O380),0)</f>
        <v/>
      </c>
      <c r="P244">
        <f>IFERROR(P242*(P385/P380),0)</f>
        <v/>
      </c>
      <c r="Q244">
        <f>IFERROR(Q242*(Q385/Q380),0)</f>
        <v/>
      </c>
      <c r="R244">
        <f>IFERROR(R242*(R385/R380),0)</f>
        <v/>
      </c>
      <c r="S244">
        <f>IFERROR(S242*(S385/S380),0)</f>
        <v/>
      </c>
      <c r="T244">
        <f>IFERROR(T242*(T385/T380),0)</f>
        <v/>
      </c>
      <c r="U244">
        <f>IFERROR(U242*(U385/U380),0)</f>
        <v/>
      </c>
      <c r="V244">
        <f>IFERROR(V242*(V385/V380),0)</f>
        <v/>
      </c>
      <c r="W244">
        <f>IFERROR(W242*(W385/W380),0)</f>
        <v/>
      </c>
      <c r="X244">
        <f>IFERROR(X242*(X385/X380),0)</f>
        <v/>
      </c>
      <c r="Y244">
        <f>IFERROR(Y242*(Y385/Y380),0)</f>
        <v/>
      </c>
      <c r="Z244">
        <f>IFERROR(Z242*(Z385/Z380),0)</f>
        <v/>
      </c>
      <c r="AA244">
        <f>IFERROR(AA242*(AA385/AA380),0)</f>
        <v/>
      </c>
      <c r="AB244">
        <f>IFERROR(AB242*(AB385/AB380),0)</f>
        <v/>
      </c>
      <c r="AC244">
        <f>IFERROR(AC242*(AC385/AC380),0)</f>
        <v/>
      </c>
      <c r="AD244">
        <f>IFERROR(AD242*(AD385/AD380),0)</f>
        <v/>
      </c>
      <c r="AE244">
        <f>IFERROR(AE242*(AE385/AE380),0)</f>
        <v/>
      </c>
      <c r="AF244">
        <f>IFERROR(AF242*(AF385/AF380),0)</f>
        <v/>
      </c>
      <c r="AG244">
        <f>IFERROR(AG242*(AG385/AG380),0)</f>
        <v/>
      </c>
      <c r="AH244">
        <f>IFERROR(AH242*(AH385/AH380),0)</f>
        <v/>
      </c>
      <c r="AI244">
        <f>IFERROR(AI242*(AI385/AI380),0)</f>
        <v/>
      </c>
      <c r="AJ244">
        <f>IFERROR(AJ242*(AJ385/AJ380),0)</f>
        <v/>
      </c>
      <c r="AK244">
        <f>IFERROR(AK242*(AK385/AK380),0)</f>
        <v/>
      </c>
      <c r="AL244">
        <f>IFERROR(AL242*(AL385/AL380),0)</f>
        <v/>
      </c>
      <c r="AM244">
        <f>IFERROR(AM242*(AM385/AM380),0)</f>
        <v/>
      </c>
      <c r="AN244">
        <f>IFERROR(AN242*(AN385/AN380),0)</f>
        <v/>
      </c>
      <c r="AO244">
        <f>IFERROR(AO242*(AO385/AO380),0)</f>
        <v/>
      </c>
      <c r="AP244">
        <f>IFERROR(AP242*(AP385/AP380),0)</f>
        <v/>
      </c>
      <c r="AQ244">
        <f>IFERROR(AQ242*(AQ385/AQ380),0)</f>
        <v/>
      </c>
      <c r="AR244">
        <f>IFERROR(AR242*(AR385/AR380),0)</f>
        <v/>
      </c>
      <c r="AS244">
        <f>IFERROR(AS242*(AS385/AS380),0)</f>
        <v/>
      </c>
      <c r="AT244">
        <f>IFERROR(AT242*(AT385/AT380),0)</f>
        <v/>
      </c>
      <c r="AU244">
        <f>IFERROR(AU242*(AU385/AU380),0)</f>
        <v/>
      </c>
      <c r="AV244">
        <f>IFERROR(AV242*(AV385/AV380),0)</f>
        <v/>
      </c>
      <c r="AW244">
        <f>IFERROR(AW242*(AW385/AW380),0)</f>
        <v/>
      </c>
      <c r="AX244">
        <f>IFERROR(AX242*(AX385/AX380),0)</f>
        <v/>
      </c>
      <c r="AY244">
        <f>IFERROR(AY242*(AY385/AY380),0)</f>
        <v/>
      </c>
      <c r="AZ244">
        <f>IFERROR(AZ242*(AZ385/AZ380),0)</f>
        <v/>
      </c>
      <c r="BA244">
        <f>IFERROR(BA242*(BA385/BA380),0)</f>
        <v/>
      </c>
      <c r="BB244">
        <f>IFERROR(BB242*(BB385/BB380),0)</f>
        <v/>
      </c>
      <c r="BC244">
        <f>IFERROR(BC242*(BC385/BC380),0)</f>
        <v/>
      </c>
      <c r="BD244">
        <f>IFERROR(BD242*(BD385/BD380),0)</f>
        <v/>
      </c>
      <c r="BE244">
        <f>IFERROR(BE242*(BE385/BE380),0)</f>
        <v/>
      </c>
      <c r="BF244">
        <f>IFERROR(BF242*(BF385/BF380),0)</f>
        <v/>
      </c>
      <c r="BG244">
        <f>IF($F244=0,"0",MIN(
BH244/(30*$F244),
BI244/(61*$F244),
BJ244/(48*$F244),
(BK244+BL244)/(23*$F244),
(BM244+BN244)/(41*$F244),
BO244/(25*$F244),
BP244/(6.6*$F244),
BQ244/(40*$F244),
BS244/(16*$F244)
)*100)</f>
        <v/>
      </c>
      <c r="BH244">
        <f>IFERROR(BH242*(BH385/BH380),0)</f>
        <v/>
      </c>
      <c r="BI244">
        <f>IFERROR(BI242*(BI385/BI380),0)</f>
        <v/>
      </c>
      <c r="BJ244">
        <f>IFERROR(BJ242*(BJ385/BJ380),0)</f>
        <v/>
      </c>
      <c r="BK244">
        <f>IFERROR(BK242*(BK385/BK380),0)</f>
        <v/>
      </c>
      <c r="BL244">
        <f>IFERROR(BL242*(BL385/BL380),0)</f>
        <v/>
      </c>
      <c r="BM244">
        <f>IFERROR(BM242*(BM385/BM380),0)</f>
        <v/>
      </c>
      <c r="BN244">
        <f>IFERROR(BN242*(BN385/BN380),0)</f>
        <v/>
      </c>
      <c r="BO244">
        <f>IFERROR(BO242*(BO385/BO380),0)</f>
        <v/>
      </c>
      <c r="BP244">
        <f>IFERROR(BP242*(BP385/BP380),0)</f>
        <v/>
      </c>
      <c r="BQ244">
        <f>IFERROR(BQ242*(BQ385/BQ380),0)</f>
        <v/>
      </c>
      <c r="BR244">
        <f>IFERROR(BR242*(BR385/BR380),0)</f>
        <v/>
      </c>
      <c r="BS244">
        <f>IFERROR(BS242*(BS385/BS380),0)</f>
        <v/>
      </c>
      <c r="BT244">
        <f>IFERROR(BT242*(BT385/BT380),0)</f>
        <v/>
      </c>
      <c r="BU244">
        <f>IFERROR(BU242*(BU385/BU380),0)</f>
        <v/>
      </c>
      <c r="BV244">
        <f>IFERROR(BV242*(BV385/BV380),0)</f>
        <v/>
      </c>
      <c r="BW244">
        <f>IFERROR(BW242*(BW385/BW380),0)</f>
        <v/>
      </c>
      <c r="BX244">
        <f>IFERROR(BX242*(BX385/BX380),0)</f>
        <v/>
      </c>
      <c r="BY244">
        <f>IFERROR(BY242*(BY385/BY380),0)</f>
        <v/>
      </c>
      <c r="BZ244">
        <f>IFERROR(BZ242*(BZ385/BZ380),0)</f>
        <v/>
      </c>
      <c r="CA244">
        <f>IFERROR(CA242*(CA385/CA380),0)</f>
        <v/>
      </c>
      <c r="CB244">
        <f>IFERROR(CB242*(CB385/CB380),0)</f>
        <v/>
      </c>
      <c r="CC244">
        <f>IFERROR(CC242*(CC385/CC380),0)</f>
        <v/>
      </c>
      <c r="CD244">
        <f>IFERROR(CD242*(CD385/CD380),0)</f>
        <v/>
      </c>
      <c r="CE244">
        <f>IFERROR(CE242*(CE385/CE380),0)</f>
        <v/>
      </c>
      <c r="CF244">
        <f>IFERROR(CF242*(CF385/CF380),0)</f>
        <v/>
      </c>
      <c r="CG244">
        <f>IFERROR(CG242*(CG385/CG380),0)</f>
        <v/>
      </c>
      <c r="CH244">
        <f>IFERROR(CH242*(CH385/CH380),0)</f>
        <v/>
      </c>
      <c r="CI244">
        <f>IFERROR(CI242*(CI385/CI380),0)</f>
        <v/>
      </c>
      <c r="CJ244">
        <f>IFERROR(CJ242*(CJ385/CJ380),0)</f>
        <v/>
      </c>
      <c r="CK244">
        <f>IFERROR(CK242*(CK385/CK380),0)</f>
        <v/>
      </c>
      <c r="CL244">
        <f>IFERROR(CL242*(CL385/CL380),0)</f>
        <v/>
      </c>
      <c r="CM244">
        <f>IFERROR(CM242*(CM385/CM380),0)</f>
        <v/>
      </c>
      <c r="CN244">
        <f>IFERROR(CN242*(CN385/CN380),0)</f>
        <v/>
      </c>
      <c r="CO244">
        <f>IFERROR(CO242*(CO385/CO380),0)</f>
        <v/>
      </c>
      <c r="CP244">
        <f>IFERROR(CP242*(CP385/CP380),0)</f>
        <v/>
      </c>
      <c r="CQ244">
        <f>IFERROR(CQ242*(CQ385/CQ380),0)</f>
        <v/>
      </c>
      <c r="CR244">
        <f>IFERROR(CR242*(CR385/CR380),0)</f>
        <v/>
      </c>
      <c r="CS244">
        <f>IFERROR(CS242*(CS385/CS380),0)</f>
        <v/>
      </c>
      <c r="CT244">
        <f>IFERROR(CT242*(CT385/CT380),0)</f>
        <v/>
      </c>
      <c r="CU244">
        <f>IFERROR(CU242*(CU385/CU380),0)</f>
        <v/>
      </c>
      <c r="CV244">
        <f>IFERROR(CV242*(CV385/CV380),0)</f>
        <v/>
      </c>
      <c r="CW244">
        <f>IFERROR(CW242*(CW385/CW380),0)</f>
        <v/>
      </c>
      <c r="CX244">
        <f>IFERROR(CX242*(CX385/CX380),0)</f>
        <v/>
      </c>
      <c r="CY244">
        <f>IFERROR(CY242*(CY385/CY380),0)</f>
        <v/>
      </c>
      <c r="CZ244">
        <f>IFERROR(CZ242*(CZ385/CZ380),0)</f>
        <v/>
      </c>
      <c r="DA244">
        <f>IFERROR(DA242*(DA385/DA380),0)</f>
        <v/>
      </c>
      <c r="DB244">
        <f>IFERROR(DB242*(DB385/DB380),0)</f>
        <v/>
      </c>
      <c r="DC244">
        <f>IFERROR(DC242*(DC385/DC380),0)</f>
        <v/>
      </c>
      <c r="DD244">
        <f>IFERROR(DD242*(DD385/DD380),0)</f>
        <v/>
      </c>
      <c r="DE244">
        <f>IFERROR(DE242*(DE385/DE380),0)</f>
        <v/>
      </c>
      <c r="DF244">
        <f>IFERROR(DF242*(DF385/DF380),0)</f>
        <v/>
      </c>
      <c r="DG244">
        <f>IFERROR(DG242*(DG385/DG380),0)</f>
        <v/>
      </c>
      <c r="DH244">
        <f>IFERROR(DH242*(DH385/DH380),0)</f>
        <v/>
      </c>
      <c r="DI244">
        <f>IFERROR(DI242*(DI385/DI380),0)</f>
        <v/>
      </c>
      <c r="DJ244">
        <f>IFERROR(DJ242*(DJ385/DJ380),0)</f>
        <v/>
      </c>
      <c r="DK244">
        <f>IFERROR(DK242*(DK385/DK380),0)</f>
        <v/>
      </c>
      <c r="DL244">
        <f>IFERROR(DL242*(DL385/DL380),0)</f>
        <v/>
      </c>
      <c r="DM244">
        <f>IFERROR(DM242*(DM385/DM380),0)</f>
        <v/>
      </c>
      <c r="DN244">
        <f>IFERROR(DN242*(DN385/DN380),0)</f>
        <v/>
      </c>
      <c r="DO244">
        <f>IFERROR(DO242*(DO385/DO380),0)</f>
        <v/>
      </c>
      <c r="DP244">
        <f>IFERROR(DP242*(DP385/DP380),0)</f>
        <v/>
      </c>
      <c r="DQ244">
        <f>IFERROR(DQ242*(DQ385/DQ380),0)</f>
        <v/>
      </c>
      <c r="DR244">
        <f>IFERROR(DR242*(DR385/DR380),0)</f>
        <v/>
      </c>
      <c r="DS244">
        <f>IFERROR(DS242*(DS385/DS380),0)</f>
        <v/>
      </c>
      <c r="DT244">
        <f>IFERROR(DT242*(DT385/DT380),0)</f>
        <v/>
      </c>
      <c r="DU244">
        <f>IFERROR(DU242*(DU385/DU380),0)</f>
        <v/>
      </c>
      <c r="DV244">
        <f>IFERROR(DV242*(DV385/DV380),0)</f>
        <v/>
      </c>
      <c r="DW244">
        <f>IFERROR(DW242*(DW385/DW380),0)</f>
        <v/>
      </c>
      <c r="DX244">
        <f>IFERROR(DX242*(DX385/DX380),0)</f>
        <v/>
      </c>
      <c r="DY244">
        <f>IFERROR(DY242*(DY385/DY380),0)</f>
        <v/>
      </c>
      <c r="DZ244">
        <f>IFERROR(DZ242*(DZ385/DZ380),0)</f>
        <v/>
      </c>
      <c r="EA244">
        <f>IFERROR(EA242*(EA385/EA380),0)</f>
        <v/>
      </c>
      <c r="EB244">
        <f>IFERROR(EB242*(EB385/EB380),0)</f>
        <v/>
      </c>
      <c r="EC244">
        <f>IFERROR(EC242*(EC385/EC380),0)</f>
        <v/>
      </c>
      <c r="ED244">
        <f>IFERROR(ED242*(ED385/ED380),0)</f>
        <v/>
      </c>
      <c r="EE244">
        <f>IFERROR(EE242*(EE385/EE380),0)</f>
        <v/>
      </c>
      <c r="EF244">
        <f>IFERROR(EF242*(EF385/EF380),0)</f>
        <v/>
      </c>
      <c r="EG244">
        <f>IFERROR(EG242*(EG385/EG380),0)</f>
        <v/>
      </c>
      <c r="EH244">
        <f>IFERROR(EH242*(EH385/EH380),0)</f>
        <v/>
      </c>
      <c r="EI244">
        <f>IFERROR(EI242*(EI385/EI380),0)</f>
        <v/>
      </c>
      <c r="EJ244">
        <f>IFERROR(EJ242*(EJ385/EJ380),0)</f>
        <v/>
      </c>
      <c r="EK244">
        <f>IFERROR(EK242*(EK385/EK380),0)</f>
        <v/>
      </c>
    </row>
    <row r="245">
      <c r="A245">
        <f>[1]ingredient!B245</f>
        <v/>
      </c>
      <c r="B245" t="inlineStr">
        <is>
          <t>https://www.naehrwertrechner.de/naehrwerte/G800411/Lupinenschrot/?menge=100</t>
        </is>
      </c>
      <c r="C245" s="7">
        <f>_xlfn.XLOOKUP(A245,[1]ingredient!$B$2:$B$521,[1]ingredient!$A$2:$A$521)</f>
        <v/>
      </c>
      <c r="D245" t="n">
        <v>362</v>
      </c>
      <c r="E245" t="n">
        <v>9</v>
      </c>
      <c r="F245" t="n">
        <v>43</v>
      </c>
      <c r="G245" t="n">
        <v>13</v>
      </c>
      <c r="H245" t="n">
        <v>27</v>
      </c>
      <c r="I245" t="n">
        <v>3</v>
      </c>
      <c r="J245" t="n">
        <v>0.09</v>
      </c>
      <c r="K245" t="n">
        <v>3</v>
      </c>
      <c r="L245" t="n">
        <v>0</v>
      </c>
      <c r="M245" t="n">
        <v>0</v>
      </c>
      <c r="N245" t="n">
        <v>0</v>
      </c>
      <c r="O245" t="n">
        <v>0</v>
      </c>
      <c r="P245" t="n">
        <v>300</v>
      </c>
      <c r="Q245" t="n">
        <v>200</v>
      </c>
      <c r="R245" t="n">
        <v>1600</v>
      </c>
      <c r="S245" t="n">
        <v>7300</v>
      </c>
      <c r="T245" t="n">
        <v>500</v>
      </c>
      <c r="U245" t="n">
        <v>200</v>
      </c>
      <c r="V245" t="n">
        <v>10</v>
      </c>
      <c r="W245" t="n">
        <v>188</v>
      </c>
      <c r="X245" t="n">
        <v>0</v>
      </c>
      <c r="Y245" t="n">
        <v>2500</v>
      </c>
      <c r="Z245" t="n">
        <v>0</v>
      </c>
      <c r="AA245" t="n">
        <v>0</v>
      </c>
      <c r="AB245" t="n">
        <v>43</v>
      </c>
      <c r="AC245" t="n">
        <v>36</v>
      </c>
      <c r="AD245" t="n">
        <v>1064</v>
      </c>
      <c r="AE245" t="n">
        <v>185</v>
      </c>
      <c r="AF245" t="n">
        <v>208</v>
      </c>
      <c r="AG245" t="n">
        <v>462</v>
      </c>
      <c r="AH245" t="n">
        <v>137</v>
      </c>
      <c r="AI245" t="n">
        <v>58</v>
      </c>
      <c r="AJ245" t="n">
        <v>4600</v>
      </c>
      <c r="AK245" t="n">
        <v>5000</v>
      </c>
      <c r="AL245" t="n">
        <v>1100</v>
      </c>
      <c r="AM245" t="n">
        <v>2500</v>
      </c>
      <c r="AN245" t="n">
        <v>0</v>
      </c>
      <c r="AO245" t="n">
        <v>15</v>
      </c>
      <c r="AP245" t="n">
        <v>0</v>
      </c>
      <c r="AQ245" t="n">
        <v>0</v>
      </c>
      <c r="AR245" t="n">
        <v>0</v>
      </c>
      <c r="AS245" t="n">
        <v>0</v>
      </c>
      <c r="AT245" t="n">
        <v>0</v>
      </c>
      <c r="AU245" t="n">
        <v>0</v>
      </c>
      <c r="AV245" t="n">
        <v>0</v>
      </c>
      <c r="AW245" t="n">
        <v>0</v>
      </c>
      <c r="AX245" t="n">
        <v>2700</v>
      </c>
      <c r="AY245" t="n">
        <v>0</v>
      </c>
      <c r="AZ245" t="n">
        <v>0</v>
      </c>
      <c r="BA245" t="n">
        <v>2700</v>
      </c>
      <c r="BB245" t="n">
        <v>100</v>
      </c>
      <c r="BC245" t="n">
        <v>3530</v>
      </c>
      <c r="BD245" t="n">
        <v>0</v>
      </c>
      <c r="BE245" t="n">
        <v>10000</v>
      </c>
      <c r="BF245" t="n">
        <v>0</v>
      </c>
      <c r="BG245">
        <f>IF($F245=0,"0",MIN(
BH245/(30*$F245),
BI245/(61*$F245),
BJ245/(48*$F245),
(BK245+BL245)/(23*$F245),
(BM245+BN245)/(41*$F245),
BO245/(25*$F245),
BP245/(6.6*$F245),
BQ245/(40*$F245),
BS245/(16*$F245)
)*100)</f>
        <v/>
      </c>
      <c r="BH245" t="n">
        <v>1894</v>
      </c>
      <c r="BI245" t="n">
        <v>3218</v>
      </c>
      <c r="BJ245" t="n">
        <v>2268</v>
      </c>
      <c r="BK245" t="n">
        <v>299</v>
      </c>
      <c r="BL245" t="n">
        <v>524</v>
      </c>
      <c r="BM245" t="n">
        <v>1684</v>
      </c>
      <c r="BN245" t="n">
        <v>1595</v>
      </c>
      <c r="BO245" t="n">
        <v>1562</v>
      </c>
      <c r="BP245" t="n">
        <v>339</v>
      </c>
      <c r="BQ245" t="n">
        <v>1771</v>
      </c>
      <c r="BR245" t="n">
        <v>4549</v>
      </c>
      <c r="BS245" t="n">
        <v>1209</v>
      </c>
      <c r="BT245" t="n">
        <v>20912</v>
      </c>
      <c r="BU245" t="n">
        <v>1520</v>
      </c>
      <c r="BV245" t="n">
        <v>4548</v>
      </c>
      <c r="BW245" t="n">
        <v>10189</v>
      </c>
      <c r="BX245" t="n">
        <v>1806</v>
      </c>
      <c r="BY245" t="n">
        <v>1732</v>
      </c>
      <c r="BZ245" t="n">
        <v>2193</v>
      </c>
      <c r="CA245" t="n">
        <v>21989</v>
      </c>
      <c r="CB245" t="n">
        <v>167</v>
      </c>
      <c r="CC245" t="n">
        <v>70</v>
      </c>
      <c r="CD245" t="n">
        <v>500</v>
      </c>
      <c r="CE245" t="n">
        <v>2000</v>
      </c>
      <c r="CF245" t="n">
        <v>4</v>
      </c>
      <c r="CG245" t="n">
        <v>0</v>
      </c>
      <c r="CH245" t="n">
        <v>0</v>
      </c>
      <c r="CI245" t="n">
        <v>0</v>
      </c>
      <c r="CJ245" t="n">
        <v>0</v>
      </c>
      <c r="CK245" t="n">
        <v>14</v>
      </c>
      <c r="CL245" t="n">
        <v>23</v>
      </c>
      <c r="CM245" t="n">
        <v>0</v>
      </c>
      <c r="CN245" t="n">
        <v>1307</v>
      </c>
      <c r="CO245" t="n">
        <v>0</v>
      </c>
      <c r="CP245" t="n">
        <v>556</v>
      </c>
      <c r="CQ245" t="n">
        <v>0</v>
      </c>
      <c r="CR245" t="n">
        <v>0</v>
      </c>
      <c r="CS245" t="n">
        <v>0</v>
      </c>
      <c r="CT245" t="n">
        <v>1900</v>
      </c>
      <c r="CU245" t="n">
        <v>0</v>
      </c>
      <c r="CV245" t="n">
        <v>0</v>
      </c>
      <c r="CW245" t="n">
        <v>35</v>
      </c>
      <c r="CX245" t="n">
        <v>0</v>
      </c>
      <c r="CY245" t="n">
        <v>3625</v>
      </c>
      <c r="CZ245" t="n">
        <v>260</v>
      </c>
      <c r="DA245" t="n">
        <v>95</v>
      </c>
      <c r="DB245" t="n">
        <v>0</v>
      </c>
      <c r="DC245" t="n">
        <v>4000</v>
      </c>
      <c r="DD245" t="n">
        <v>0</v>
      </c>
      <c r="DE245" t="n">
        <v>0</v>
      </c>
      <c r="DF245" t="n">
        <v>2000</v>
      </c>
      <c r="DG245" t="n">
        <v>500</v>
      </c>
      <c r="DH245" t="n">
        <v>0</v>
      </c>
      <c r="DI245" t="n">
        <v>0</v>
      </c>
      <c r="DJ245" t="n">
        <v>0</v>
      </c>
      <c r="DK245" t="n">
        <v>0</v>
      </c>
      <c r="DL245" t="n">
        <v>0</v>
      </c>
      <c r="DM245" t="n">
        <v>0</v>
      </c>
      <c r="DN245" t="n">
        <v>0</v>
      </c>
      <c r="DO245" t="n">
        <v>0</v>
      </c>
      <c r="DP245" t="n">
        <v>0</v>
      </c>
      <c r="DQ245" t="n">
        <v>0</v>
      </c>
      <c r="DR245" t="n">
        <v>0</v>
      </c>
      <c r="DS245" t="n">
        <v>2500</v>
      </c>
      <c r="DT245" t="n">
        <v>8403</v>
      </c>
      <c r="DU245" t="n">
        <v>297</v>
      </c>
      <c r="DV245" t="n">
        <v>0</v>
      </c>
      <c r="DW245" t="n">
        <v>0</v>
      </c>
      <c r="DX245" t="n">
        <v>0</v>
      </c>
      <c r="DY245" t="n">
        <v>4065</v>
      </c>
      <c r="DZ245" t="n">
        <v>17886</v>
      </c>
      <c r="EA245" t="n">
        <v>542</v>
      </c>
      <c r="EB245" t="n">
        <v>4065</v>
      </c>
      <c r="EC245" t="n">
        <v>542</v>
      </c>
      <c r="ED245" t="n">
        <v>8130</v>
      </c>
      <c r="EE245" t="n">
        <v>18970</v>
      </c>
      <c r="EF245" t="n">
        <v>0</v>
      </c>
      <c r="EG245" t="n">
        <v>0</v>
      </c>
      <c r="EH245" t="n">
        <v>2.2</v>
      </c>
      <c r="EI245" t="n">
        <v>19</v>
      </c>
      <c r="EJ245" t="n">
        <v>8.699999999999999</v>
      </c>
      <c r="EK245" t="n">
        <v>43.5</v>
      </c>
    </row>
    <row r="246">
      <c r="A246">
        <f>[1]ingredient!B246</f>
        <v/>
      </c>
      <c r="B246" t="inlineStr">
        <is>
          <t>https://www.naehrwertrechner.de/naehrwerte/H190100/Macadamianuss+roh/?menge=100</t>
        </is>
      </c>
      <c r="C246" s="7">
        <f>_xlfn.XLOOKUP(A246,[1]ingredient!$B$2:$B$521,[1]ingredient!$A$2:$A$521)</f>
        <v/>
      </c>
      <c r="D246" t="n">
        <v>697</v>
      </c>
      <c r="E246" t="n">
        <v>73</v>
      </c>
      <c r="F246" t="n">
        <v>9</v>
      </c>
      <c r="G246" t="n">
        <v>4</v>
      </c>
      <c r="H246" t="n">
        <v>11</v>
      </c>
      <c r="I246" t="n">
        <v>2</v>
      </c>
      <c r="J246" t="n">
        <v>0.05</v>
      </c>
      <c r="K246" t="n">
        <v>1</v>
      </c>
      <c r="L246" t="n">
        <v>0</v>
      </c>
      <c r="M246" t="n">
        <v>0</v>
      </c>
      <c r="N246" t="n">
        <v>0</v>
      </c>
      <c r="O246" t="n">
        <v>0</v>
      </c>
      <c r="P246" t="n">
        <v>280</v>
      </c>
      <c r="Q246" t="n">
        <v>120</v>
      </c>
      <c r="R246" t="n">
        <v>1500</v>
      </c>
      <c r="S246" t="n">
        <v>3283</v>
      </c>
      <c r="T246" t="n">
        <v>610</v>
      </c>
      <c r="U246" t="n">
        <v>280</v>
      </c>
      <c r="V246" t="n">
        <v>6</v>
      </c>
      <c r="W246" t="n">
        <v>50</v>
      </c>
      <c r="X246" t="n">
        <v>0</v>
      </c>
      <c r="Y246" t="n">
        <v>0</v>
      </c>
      <c r="Z246" t="n">
        <v>0</v>
      </c>
      <c r="AA246" t="n">
        <v>1490</v>
      </c>
      <c r="AB246" t="n">
        <v>0</v>
      </c>
      <c r="AC246" t="n">
        <v>5</v>
      </c>
      <c r="AD246" t="n">
        <v>265</v>
      </c>
      <c r="AE246" t="n">
        <v>51</v>
      </c>
      <c r="AF246" t="n">
        <v>108</v>
      </c>
      <c r="AG246" t="n">
        <v>201</v>
      </c>
      <c r="AH246" t="n">
        <v>250</v>
      </c>
      <c r="AI246" t="n">
        <v>40</v>
      </c>
      <c r="AJ246" t="n">
        <v>200</v>
      </c>
      <c r="AK246" t="n">
        <v>1400</v>
      </c>
      <c r="AL246" t="n">
        <v>363</v>
      </c>
      <c r="AM246" t="n">
        <v>5500</v>
      </c>
      <c r="AN246" t="n">
        <v>100</v>
      </c>
      <c r="AO246" t="n">
        <v>3</v>
      </c>
      <c r="AP246" t="n">
        <v>0</v>
      </c>
      <c r="AQ246" t="n">
        <v>0</v>
      </c>
      <c r="AR246" t="n">
        <v>0</v>
      </c>
      <c r="AS246" t="n">
        <v>0</v>
      </c>
      <c r="AT246" t="n">
        <v>201</v>
      </c>
      <c r="AU246" t="n">
        <v>0</v>
      </c>
      <c r="AV246" t="n">
        <v>0</v>
      </c>
      <c r="AW246" t="n">
        <v>201</v>
      </c>
      <c r="AX246" t="n">
        <v>1805</v>
      </c>
      <c r="AY246" t="n">
        <v>0</v>
      </c>
      <c r="AZ246" t="n">
        <v>0</v>
      </c>
      <c r="BA246" t="n">
        <v>1805</v>
      </c>
      <c r="BB246" t="n">
        <v>0</v>
      </c>
      <c r="BC246" t="n">
        <v>0</v>
      </c>
      <c r="BD246" t="n">
        <v>0</v>
      </c>
      <c r="BE246" t="n">
        <v>2004</v>
      </c>
      <c r="BF246" t="n">
        <v>2004</v>
      </c>
      <c r="BG246">
        <f>IF($F246=0,"0",MIN(
BH246/(30*$F246),
BI246/(61*$F246),
BJ246/(48*$F246),
(BK246+BL246)/(23*$F246),
(BM246+BN246)/(41*$F246),
BO246/(25*$F246),
BP246/(6.6*$F246),
BQ246/(40*$F246),
BS246/(16*$F246)
)*100)</f>
        <v/>
      </c>
      <c r="BH246" t="n">
        <v>256</v>
      </c>
      <c r="BI246" t="n">
        <v>477</v>
      </c>
      <c r="BJ246" t="n">
        <v>336</v>
      </c>
      <c r="BK246" t="n">
        <v>97</v>
      </c>
      <c r="BL246" t="n">
        <v>981</v>
      </c>
      <c r="BM246" t="n">
        <v>274</v>
      </c>
      <c r="BN246" t="n">
        <v>345</v>
      </c>
      <c r="BO246" t="n">
        <v>274</v>
      </c>
      <c r="BP246" t="n">
        <v>107</v>
      </c>
      <c r="BQ246" t="n">
        <v>336</v>
      </c>
      <c r="BR246" t="n">
        <v>928</v>
      </c>
      <c r="BS246" t="n">
        <v>177</v>
      </c>
      <c r="BT246" t="n">
        <v>4588</v>
      </c>
      <c r="BU246" t="n">
        <v>345</v>
      </c>
      <c r="BV246" t="n">
        <v>849</v>
      </c>
      <c r="BW246" t="n">
        <v>1856</v>
      </c>
      <c r="BX246" t="n">
        <v>389</v>
      </c>
      <c r="BY246" t="n">
        <v>407</v>
      </c>
      <c r="BZ246" t="n">
        <v>363</v>
      </c>
      <c r="CA246" t="n">
        <v>4209</v>
      </c>
      <c r="CB246" t="n">
        <v>0</v>
      </c>
      <c r="CC246" t="n">
        <v>0</v>
      </c>
      <c r="CD246" t="n">
        <v>977</v>
      </c>
      <c r="CE246" t="n">
        <v>1740</v>
      </c>
      <c r="CF246" t="n">
        <v>1.78</v>
      </c>
      <c r="CG246" t="n">
        <v>490</v>
      </c>
      <c r="CH246" t="n">
        <v>0</v>
      </c>
      <c r="CI246" t="n">
        <v>0</v>
      </c>
      <c r="CJ246" t="n">
        <v>70</v>
      </c>
      <c r="CK246" t="n">
        <v>0</v>
      </c>
      <c r="CL246" t="n">
        <v>698</v>
      </c>
      <c r="CM246" t="n">
        <v>0</v>
      </c>
      <c r="CN246" t="n">
        <v>5790</v>
      </c>
      <c r="CO246" t="n">
        <v>0</v>
      </c>
      <c r="CP246" t="n">
        <v>1470</v>
      </c>
      <c r="CQ246" t="n">
        <v>1680</v>
      </c>
      <c r="CR246" t="n">
        <v>0</v>
      </c>
      <c r="CS246" t="n">
        <v>335</v>
      </c>
      <c r="CT246" t="n">
        <v>10533</v>
      </c>
      <c r="CU246" t="n">
        <v>0</v>
      </c>
      <c r="CV246" t="n">
        <v>0</v>
      </c>
      <c r="CW246" t="n">
        <v>15140</v>
      </c>
      <c r="CX246" t="n">
        <v>0</v>
      </c>
      <c r="CY246" t="n">
        <v>39640</v>
      </c>
      <c r="CZ246" t="n">
        <v>2160</v>
      </c>
      <c r="DA246" t="n">
        <v>237</v>
      </c>
      <c r="DB246" t="n">
        <v>0</v>
      </c>
      <c r="DC246" t="n">
        <v>57177</v>
      </c>
      <c r="DD246" t="n">
        <v>0</v>
      </c>
      <c r="DE246" t="n">
        <v>0</v>
      </c>
      <c r="DF246" t="n">
        <v>1740</v>
      </c>
      <c r="DG246" t="n">
        <v>977</v>
      </c>
      <c r="DH246" t="n">
        <v>0</v>
      </c>
      <c r="DI246" t="n">
        <v>0</v>
      </c>
      <c r="DJ246" t="n">
        <v>0</v>
      </c>
      <c r="DK246" t="n">
        <v>0</v>
      </c>
      <c r="DL246" t="n">
        <v>0</v>
      </c>
      <c r="DM246" t="n">
        <v>0</v>
      </c>
      <c r="DN246" t="n">
        <v>0</v>
      </c>
      <c r="DO246" t="n">
        <v>0</v>
      </c>
      <c r="DP246" t="n">
        <v>0</v>
      </c>
      <c r="DQ246" t="n">
        <v>0</v>
      </c>
      <c r="DR246" t="n">
        <v>0</v>
      </c>
      <c r="DS246" t="n">
        <v>2717</v>
      </c>
      <c r="DT246" t="n">
        <v>69867</v>
      </c>
      <c r="DU246" t="n">
        <v>3212</v>
      </c>
      <c r="DV246" t="n">
        <v>0</v>
      </c>
      <c r="DW246" t="n">
        <v>490</v>
      </c>
      <c r="DX246" t="n">
        <v>70</v>
      </c>
      <c r="DY246" t="n">
        <v>2286</v>
      </c>
      <c r="DZ246" t="n">
        <v>1715</v>
      </c>
      <c r="EA246" t="n">
        <v>2858</v>
      </c>
      <c r="EB246" t="n">
        <v>3429</v>
      </c>
      <c r="EC246" t="n">
        <v>1143</v>
      </c>
      <c r="ED246" t="n">
        <v>209</v>
      </c>
      <c r="EE246" t="n">
        <v>11223</v>
      </c>
      <c r="EF246" t="n">
        <v>0</v>
      </c>
      <c r="EG246" t="n">
        <v>0</v>
      </c>
      <c r="EH246" t="n">
        <v>1.6</v>
      </c>
      <c r="EI246" t="n">
        <v>11.2</v>
      </c>
      <c r="EJ246" t="n">
        <v>73</v>
      </c>
      <c r="EK246" t="n">
        <v>8.800000000000001</v>
      </c>
    </row>
    <row r="247">
      <c r="A247">
        <f>[1]ingredient!B247</f>
        <v/>
      </c>
      <c r="B247" t="inlineStr">
        <is>
          <t>https://www.naehrwertrechner.de/naehrwerte/C340001/Mais/?menge=100</t>
        </is>
      </c>
      <c r="C247" s="7">
        <f>_xlfn.XLOOKUP(A247,[1]ingredient!$B$2:$B$521,[1]ingredient!$A$2:$A$521)</f>
        <v/>
      </c>
      <c r="D247" t="n">
        <v>331</v>
      </c>
      <c r="E247" t="n">
        <v>4</v>
      </c>
      <c r="F247" t="n">
        <v>9</v>
      </c>
      <c r="G247" t="n">
        <v>65</v>
      </c>
      <c r="H247" t="n">
        <v>9</v>
      </c>
      <c r="I247" t="n">
        <v>1</v>
      </c>
      <c r="J247" t="n">
        <v>0.02</v>
      </c>
      <c r="K247" t="n">
        <v>12</v>
      </c>
      <c r="L247" t="n">
        <v>185</v>
      </c>
      <c r="M247" t="n">
        <v>77</v>
      </c>
      <c r="N247" t="n">
        <v>0</v>
      </c>
      <c r="O247" t="n">
        <v>923</v>
      </c>
      <c r="P247" t="n">
        <v>360</v>
      </c>
      <c r="Q247" t="n">
        <v>200</v>
      </c>
      <c r="R247" t="n">
        <v>1500</v>
      </c>
      <c r="S247" t="n">
        <v>2500</v>
      </c>
      <c r="T247" t="n">
        <v>650</v>
      </c>
      <c r="U247" t="n">
        <v>400</v>
      </c>
      <c r="V247" t="n">
        <v>6</v>
      </c>
      <c r="W247" t="n">
        <v>26</v>
      </c>
      <c r="X247" t="n">
        <v>0</v>
      </c>
      <c r="Y247" t="n">
        <v>0</v>
      </c>
      <c r="Z247" t="n">
        <v>0</v>
      </c>
      <c r="AA247" t="n">
        <v>2014</v>
      </c>
      <c r="AB247" t="n">
        <v>40</v>
      </c>
      <c r="AC247" t="n">
        <v>6</v>
      </c>
      <c r="AD247" t="n">
        <v>330</v>
      </c>
      <c r="AE247" t="n">
        <v>15</v>
      </c>
      <c r="AF247" t="n">
        <v>120</v>
      </c>
      <c r="AG247" t="n">
        <v>256</v>
      </c>
      <c r="AH247" t="n">
        <v>80</v>
      </c>
      <c r="AI247" t="n">
        <v>12</v>
      </c>
      <c r="AJ247" t="n">
        <v>1500</v>
      </c>
      <c r="AK247" t="n">
        <v>2500</v>
      </c>
      <c r="AL247" t="n">
        <v>200</v>
      </c>
      <c r="AM247" t="n">
        <v>480</v>
      </c>
      <c r="AN247" t="n">
        <v>62</v>
      </c>
      <c r="AO247" t="n">
        <v>3</v>
      </c>
      <c r="AP247" t="n">
        <v>0</v>
      </c>
      <c r="AQ247" t="n">
        <v>0</v>
      </c>
      <c r="AR247" t="n">
        <v>0</v>
      </c>
      <c r="AS247" t="n">
        <v>0</v>
      </c>
      <c r="AT247" t="n">
        <v>65</v>
      </c>
      <c r="AU247" t="n">
        <v>65</v>
      </c>
      <c r="AV247" t="n">
        <v>0</v>
      </c>
      <c r="AW247" t="n">
        <v>130</v>
      </c>
      <c r="AX247" t="n">
        <v>1164</v>
      </c>
      <c r="AY247" t="n">
        <v>0</v>
      </c>
      <c r="AZ247" t="n">
        <v>0</v>
      </c>
      <c r="BA247" t="n">
        <v>1164</v>
      </c>
      <c r="BB247" t="n">
        <v>259</v>
      </c>
      <c r="BC247" t="n">
        <v>230</v>
      </c>
      <c r="BD247" t="n">
        <v>0</v>
      </c>
      <c r="BE247" t="n">
        <v>63107</v>
      </c>
      <c r="BF247" t="n">
        <v>63107</v>
      </c>
      <c r="BG247">
        <f>IF($F247=0,"0",MIN(
BH247/(30*$F247),
BI247/(61*$F247),
BJ247/(48*$F247),
(BK247+BL247)/(23*$F247),
(BM247+BN247)/(41*$F247),
BO247/(25*$F247),
BP247/(6.6*$F247),
BQ247/(40*$F247),
BS247/(16*$F247)
)*100)</f>
        <v/>
      </c>
      <c r="BH247" t="n">
        <v>307</v>
      </c>
      <c r="BI247" t="n">
        <v>1068</v>
      </c>
      <c r="BJ247" t="n">
        <v>222</v>
      </c>
      <c r="BK247" t="n">
        <v>162</v>
      </c>
      <c r="BL247" t="n">
        <v>128</v>
      </c>
      <c r="BM247" t="n">
        <v>410</v>
      </c>
      <c r="BN247" t="n">
        <v>325</v>
      </c>
      <c r="BO247" t="n">
        <v>307</v>
      </c>
      <c r="BP247" t="n">
        <v>60</v>
      </c>
      <c r="BQ247" t="n">
        <v>410</v>
      </c>
      <c r="BR247" t="n">
        <v>350</v>
      </c>
      <c r="BS247" t="n">
        <v>231</v>
      </c>
      <c r="BT247" t="n">
        <v>3980</v>
      </c>
      <c r="BU247" t="n">
        <v>641</v>
      </c>
      <c r="BV247" t="n">
        <v>529</v>
      </c>
      <c r="BW247" t="n">
        <v>1615</v>
      </c>
      <c r="BX247" t="n">
        <v>307</v>
      </c>
      <c r="BY247" t="n">
        <v>760</v>
      </c>
      <c r="BZ247" t="n">
        <v>418</v>
      </c>
      <c r="CA247" t="n">
        <v>4270</v>
      </c>
      <c r="CB247" t="n">
        <v>60</v>
      </c>
      <c r="CC247" t="n">
        <v>25</v>
      </c>
      <c r="CD247" t="n">
        <v>59</v>
      </c>
      <c r="CE247" t="n">
        <v>1321</v>
      </c>
      <c r="CF247" t="n">
        <v>22.39</v>
      </c>
      <c r="CG247" t="n">
        <v>0</v>
      </c>
      <c r="CH247" t="n">
        <v>0</v>
      </c>
      <c r="CI247" t="n">
        <v>0</v>
      </c>
      <c r="CJ247" t="n">
        <v>0</v>
      </c>
      <c r="CK247" t="n">
        <v>0</v>
      </c>
      <c r="CL247" t="n">
        <v>0</v>
      </c>
      <c r="CM247" t="n">
        <v>0</v>
      </c>
      <c r="CN247" t="n">
        <v>382</v>
      </c>
      <c r="CO247" t="n">
        <v>0</v>
      </c>
      <c r="CP247" t="n">
        <v>72</v>
      </c>
      <c r="CQ247" t="n">
        <v>59</v>
      </c>
      <c r="CR247" t="n">
        <v>0</v>
      </c>
      <c r="CS247" t="n">
        <v>0</v>
      </c>
      <c r="CT247" t="n">
        <v>513</v>
      </c>
      <c r="CU247" t="n">
        <v>0</v>
      </c>
      <c r="CV247" t="n">
        <v>0</v>
      </c>
      <c r="CW247" t="n">
        <v>29</v>
      </c>
      <c r="CX247" t="n">
        <v>0</v>
      </c>
      <c r="CY247" t="n">
        <v>1346</v>
      </c>
      <c r="CZ247" t="n">
        <v>0</v>
      </c>
      <c r="DA247" t="n">
        <v>0</v>
      </c>
      <c r="DB247" t="n">
        <v>0</v>
      </c>
      <c r="DC247" t="n">
        <v>1375</v>
      </c>
      <c r="DD247" t="n">
        <v>0</v>
      </c>
      <c r="DE247" t="n">
        <v>0</v>
      </c>
      <c r="DF247" t="n">
        <v>1321</v>
      </c>
      <c r="DG247" t="n">
        <v>59</v>
      </c>
      <c r="DH247" t="n">
        <v>0</v>
      </c>
      <c r="DI247" t="n">
        <v>0</v>
      </c>
      <c r="DJ247" t="n">
        <v>0</v>
      </c>
      <c r="DK247" t="n">
        <v>0</v>
      </c>
      <c r="DL247" t="n">
        <v>0</v>
      </c>
      <c r="DM247" t="n">
        <v>0</v>
      </c>
      <c r="DN247" t="n">
        <v>0</v>
      </c>
      <c r="DO247" t="n">
        <v>0</v>
      </c>
      <c r="DP247" t="n">
        <v>0</v>
      </c>
      <c r="DQ247" t="n">
        <v>0</v>
      </c>
      <c r="DR247" t="n">
        <v>0</v>
      </c>
      <c r="DS247" t="n">
        <v>1380</v>
      </c>
      <c r="DT247" t="n">
        <v>3268</v>
      </c>
      <c r="DU247" t="n">
        <v>532</v>
      </c>
      <c r="DV247" t="n">
        <v>0</v>
      </c>
      <c r="DW247" t="n">
        <v>0</v>
      </c>
      <c r="DX247" t="n">
        <v>0</v>
      </c>
      <c r="DY247" t="n">
        <v>1840</v>
      </c>
      <c r="DZ247" t="n">
        <v>2760</v>
      </c>
      <c r="EA247" t="n">
        <v>736</v>
      </c>
      <c r="EB247" t="n">
        <v>3588</v>
      </c>
      <c r="EC247" t="n">
        <v>276</v>
      </c>
      <c r="ED247" t="n">
        <v>2300</v>
      </c>
      <c r="EE247" t="n">
        <v>6900</v>
      </c>
      <c r="EF247" t="n">
        <v>0</v>
      </c>
      <c r="EG247" t="n">
        <v>0</v>
      </c>
      <c r="EH247" t="n">
        <v>1.3</v>
      </c>
      <c r="EI247" t="n">
        <v>6.9</v>
      </c>
      <c r="EJ247" t="n">
        <v>3.8</v>
      </c>
      <c r="EK247" t="n">
        <v>8.4</v>
      </c>
    </row>
    <row r="248">
      <c r="A248">
        <f>[1]ingredient!B248</f>
        <v/>
      </c>
      <c r="B248" t="inlineStr">
        <is>
          <t>https://www.naehrwertrechner.de/naehrwerte/G570021/Zuckermais+%28Gem%C3%BCsemais%29+gegart/?menge=100</t>
        </is>
      </c>
      <c r="C248" s="7">
        <f>_xlfn.XLOOKUP(A248,[1]ingredient!$B$2:$B$521,[1]ingredient!$A$2:$A$521)</f>
        <v/>
      </c>
      <c r="D248" t="n">
        <v>89</v>
      </c>
      <c r="E248" t="n">
        <v>1</v>
      </c>
      <c r="F248" t="n">
        <v>3</v>
      </c>
      <c r="G248" t="n">
        <v>16</v>
      </c>
      <c r="H248" t="n">
        <v>3</v>
      </c>
      <c r="I248" t="n">
        <v>1</v>
      </c>
      <c r="J248" t="n">
        <v>0.01</v>
      </c>
      <c r="K248" t="n">
        <v>75</v>
      </c>
      <c r="L248" t="n">
        <v>9</v>
      </c>
      <c r="M248" t="n">
        <v>4</v>
      </c>
      <c r="N248" t="n">
        <v>0</v>
      </c>
      <c r="O248" t="n">
        <v>51</v>
      </c>
      <c r="P248" t="n">
        <v>117</v>
      </c>
      <c r="Q248" t="n">
        <v>93</v>
      </c>
      <c r="R248" t="n">
        <v>1321</v>
      </c>
      <c r="S248" t="n">
        <v>1654</v>
      </c>
      <c r="T248" t="n">
        <v>692</v>
      </c>
      <c r="U248" t="n">
        <v>171</v>
      </c>
      <c r="V248" t="n">
        <v>3</v>
      </c>
      <c r="W248" t="n">
        <v>24</v>
      </c>
      <c r="X248" t="n">
        <v>0</v>
      </c>
      <c r="Y248" t="n">
        <v>6661</v>
      </c>
      <c r="Z248" t="n">
        <v>0</v>
      </c>
      <c r="AA248" t="n">
        <v>105</v>
      </c>
      <c r="AB248" t="n">
        <v>4</v>
      </c>
      <c r="AC248" t="n">
        <v>1</v>
      </c>
      <c r="AD248" t="n">
        <v>250</v>
      </c>
      <c r="AE248" t="n">
        <v>7</v>
      </c>
      <c r="AF248" t="n">
        <v>48</v>
      </c>
      <c r="AG248" t="n">
        <v>114</v>
      </c>
      <c r="AH248" t="n">
        <v>32</v>
      </c>
      <c r="AI248" t="n">
        <v>11</v>
      </c>
      <c r="AJ248" t="n">
        <v>520</v>
      </c>
      <c r="AK248" t="n">
        <v>1055</v>
      </c>
      <c r="AL248" t="n">
        <v>63</v>
      </c>
      <c r="AM248" t="n">
        <v>200</v>
      </c>
      <c r="AN248" t="n">
        <v>20</v>
      </c>
      <c r="AO248" t="n">
        <v>3</v>
      </c>
      <c r="AP248" t="n">
        <v>157</v>
      </c>
      <c r="AQ248" t="n">
        <v>0</v>
      </c>
      <c r="AR248" t="n">
        <v>0</v>
      </c>
      <c r="AS248" t="n">
        <v>157</v>
      </c>
      <c r="AT248" t="n">
        <v>472</v>
      </c>
      <c r="AU248" t="n">
        <v>157</v>
      </c>
      <c r="AV248" t="n">
        <v>0</v>
      </c>
      <c r="AW248" t="n">
        <v>629</v>
      </c>
      <c r="AX248" t="n">
        <v>566</v>
      </c>
      <c r="AY248" t="n">
        <v>63</v>
      </c>
      <c r="AZ248" t="n">
        <v>0</v>
      </c>
      <c r="BA248" t="n">
        <v>629</v>
      </c>
      <c r="BB248" t="n">
        <v>157</v>
      </c>
      <c r="BC248" t="n">
        <v>222</v>
      </c>
      <c r="BD248" t="n">
        <v>0</v>
      </c>
      <c r="BE248" t="n">
        <v>14135</v>
      </c>
      <c r="BF248" t="n">
        <v>14135</v>
      </c>
      <c r="BG248">
        <f>IF($F248=0,"0",MIN(
BH248/(30*$F248),
BI248/(61*$F248),
BJ248/(48*$F248),
(BK248+BL248)/(23*$F248),
(BM248+BN248)/(41*$F248),
BO248/(25*$F248),
BP248/(6.6*$F248),
BQ248/(40*$F248),
BS248/(16*$F248)
)*100)</f>
        <v/>
      </c>
      <c r="BH248" t="n">
        <v>128</v>
      </c>
      <c r="BI248" t="n">
        <v>348</v>
      </c>
      <c r="BJ248" t="n">
        <v>128</v>
      </c>
      <c r="BK248" t="n">
        <v>56</v>
      </c>
      <c r="BL248" t="n">
        <v>26</v>
      </c>
      <c r="BM248" t="n">
        <v>161</v>
      </c>
      <c r="BN248" t="n">
        <v>125</v>
      </c>
      <c r="BO248" t="n">
        <v>128</v>
      </c>
      <c r="BP248" t="n">
        <v>20</v>
      </c>
      <c r="BQ248" t="n">
        <v>203</v>
      </c>
      <c r="BR248" t="n">
        <v>134</v>
      </c>
      <c r="BS248" t="n">
        <v>82</v>
      </c>
      <c r="BT248" t="n">
        <v>1539</v>
      </c>
      <c r="BU248" t="n">
        <v>262</v>
      </c>
      <c r="BV248" t="n">
        <v>230</v>
      </c>
      <c r="BW248" t="n">
        <v>646</v>
      </c>
      <c r="BX248" t="n">
        <v>121</v>
      </c>
      <c r="BY248" t="n">
        <v>292</v>
      </c>
      <c r="BZ248" t="n">
        <v>154</v>
      </c>
      <c r="CA248" t="n">
        <v>1705</v>
      </c>
      <c r="CB248" t="n">
        <v>47</v>
      </c>
      <c r="CC248" t="n">
        <v>20</v>
      </c>
      <c r="CD248" t="n">
        <v>16</v>
      </c>
      <c r="CE248" t="n">
        <v>492</v>
      </c>
      <c r="CF248" t="n">
        <v>30.75</v>
      </c>
      <c r="CG248" t="n">
        <v>0</v>
      </c>
      <c r="CH248" t="n">
        <v>0</v>
      </c>
      <c r="CI248" t="n">
        <v>0</v>
      </c>
      <c r="CJ248" t="n">
        <v>0</v>
      </c>
      <c r="CK248" t="n">
        <v>0</v>
      </c>
      <c r="CL248" t="n">
        <v>4</v>
      </c>
      <c r="CM248" t="n">
        <v>0</v>
      </c>
      <c r="CN248" t="n">
        <v>148</v>
      </c>
      <c r="CO248" t="n">
        <v>0</v>
      </c>
      <c r="CP248" t="n">
        <v>16</v>
      </c>
      <c r="CQ248" t="n">
        <v>0</v>
      </c>
      <c r="CR248" t="n">
        <v>0</v>
      </c>
      <c r="CS248" t="n">
        <v>0</v>
      </c>
      <c r="CT248" t="n">
        <v>168</v>
      </c>
      <c r="CU248" t="n">
        <v>0</v>
      </c>
      <c r="CV248" t="n">
        <v>0</v>
      </c>
      <c r="CW248" t="n">
        <v>0</v>
      </c>
      <c r="CX248" t="n">
        <v>0</v>
      </c>
      <c r="CY248" t="n">
        <v>307</v>
      </c>
      <c r="CZ248" t="n">
        <v>0</v>
      </c>
      <c r="DA248" t="n">
        <v>0</v>
      </c>
      <c r="DB248" t="n">
        <v>0</v>
      </c>
      <c r="DC248" t="n">
        <v>307</v>
      </c>
      <c r="DD248" t="n">
        <v>0</v>
      </c>
      <c r="DE248" t="n">
        <v>0</v>
      </c>
      <c r="DF248" t="n">
        <v>492</v>
      </c>
      <c r="DG248" t="n">
        <v>16</v>
      </c>
      <c r="DH248" t="n">
        <v>0</v>
      </c>
      <c r="DI248" t="n">
        <v>0</v>
      </c>
      <c r="DJ248" t="n">
        <v>0</v>
      </c>
      <c r="DK248" t="n">
        <v>0</v>
      </c>
      <c r="DL248" t="n">
        <v>0</v>
      </c>
      <c r="DM248" t="n">
        <v>0</v>
      </c>
      <c r="DN248" t="n">
        <v>0</v>
      </c>
      <c r="DO248" t="n">
        <v>0</v>
      </c>
      <c r="DP248" t="n">
        <v>0</v>
      </c>
      <c r="DQ248" t="n">
        <v>0</v>
      </c>
      <c r="DR248" t="n">
        <v>0</v>
      </c>
      <c r="DS248" t="n">
        <v>508</v>
      </c>
      <c r="DT248" t="n">
        <v>983</v>
      </c>
      <c r="DU248" t="n">
        <v>246</v>
      </c>
      <c r="DV248" t="n">
        <v>0</v>
      </c>
      <c r="DW248" t="n">
        <v>0</v>
      </c>
      <c r="DX248" t="n">
        <v>0</v>
      </c>
      <c r="DY248" t="n">
        <v>434</v>
      </c>
      <c r="DZ248" t="n">
        <v>347</v>
      </c>
      <c r="EA248" t="n">
        <v>983</v>
      </c>
      <c r="EB248" t="n">
        <v>925</v>
      </c>
      <c r="EC248" t="n">
        <v>202</v>
      </c>
      <c r="ED248" t="n">
        <v>723</v>
      </c>
      <c r="EE248" t="n">
        <v>2168</v>
      </c>
      <c r="EF248" t="n">
        <v>0</v>
      </c>
      <c r="EG248" t="n">
        <v>1</v>
      </c>
      <c r="EH248" t="n">
        <v>0.7</v>
      </c>
      <c r="EI248" t="n">
        <v>2.2</v>
      </c>
      <c r="EJ248" t="n">
        <v>1.2</v>
      </c>
      <c r="EK248" t="n">
        <v>3.4</v>
      </c>
    </row>
    <row r="249">
      <c r="A249">
        <f>[1]ingredient!B249</f>
        <v/>
      </c>
      <c r="B249" t="inlineStr">
        <is>
          <t>https://www.naehrwertrechner.de/naehrwerte/C346011/Mais+Grie%C3%9F/?menge=100</t>
        </is>
      </c>
      <c r="C249" s="7">
        <f>_xlfn.XLOOKUP(A249,[1]ingredient!$B$2:$B$521,[1]ingredient!$A$2:$A$521)</f>
        <v/>
      </c>
      <c r="D249" t="n">
        <v>345</v>
      </c>
      <c r="E249" t="n">
        <v>1</v>
      </c>
      <c r="F249" t="n">
        <v>9</v>
      </c>
      <c r="G249" t="n">
        <v>74</v>
      </c>
      <c r="H249" t="n">
        <v>5</v>
      </c>
      <c r="I249" t="n">
        <v>1</v>
      </c>
      <c r="J249" t="n">
        <v>0.02</v>
      </c>
      <c r="K249" t="n">
        <v>11</v>
      </c>
      <c r="L249" t="n">
        <v>44</v>
      </c>
      <c r="M249" t="n">
        <v>22</v>
      </c>
      <c r="N249" t="n">
        <v>0</v>
      </c>
      <c r="O249" t="n">
        <v>264</v>
      </c>
      <c r="P249" t="n">
        <v>130</v>
      </c>
      <c r="Q249" t="n">
        <v>40</v>
      </c>
      <c r="R249" t="n">
        <v>1200</v>
      </c>
      <c r="S249" t="n">
        <v>2233</v>
      </c>
      <c r="T249" t="n">
        <v>550</v>
      </c>
      <c r="U249" t="n">
        <v>150</v>
      </c>
      <c r="V249" t="n">
        <v>6</v>
      </c>
      <c r="W249" t="n">
        <v>5</v>
      </c>
      <c r="X249" t="n">
        <v>0</v>
      </c>
      <c r="Y249" t="n">
        <v>0</v>
      </c>
      <c r="Z249" t="n">
        <v>0</v>
      </c>
      <c r="AA249" t="n">
        <v>700</v>
      </c>
      <c r="AB249" t="n">
        <v>40</v>
      </c>
      <c r="AC249" t="n">
        <v>1</v>
      </c>
      <c r="AD249" t="n">
        <v>80</v>
      </c>
      <c r="AE249" t="n">
        <v>4</v>
      </c>
      <c r="AF249" t="n">
        <v>20</v>
      </c>
      <c r="AG249" t="n">
        <v>73</v>
      </c>
      <c r="AH249" t="n">
        <v>80</v>
      </c>
      <c r="AI249" t="n">
        <v>15</v>
      </c>
      <c r="AJ249" t="n">
        <v>1000</v>
      </c>
      <c r="AK249" t="n">
        <v>410</v>
      </c>
      <c r="AL249" t="n">
        <v>75</v>
      </c>
      <c r="AM249" t="n">
        <v>106</v>
      </c>
      <c r="AN249" t="n">
        <v>60</v>
      </c>
      <c r="AO249" t="n">
        <v>3</v>
      </c>
      <c r="AP249" t="n">
        <v>0</v>
      </c>
      <c r="AQ249" t="n">
        <v>0</v>
      </c>
      <c r="AR249" t="n">
        <v>0</v>
      </c>
      <c r="AS249" t="n">
        <v>0</v>
      </c>
      <c r="AT249" t="n">
        <v>74</v>
      </c>
      <c r="AU249" t="n">
        <v>74</v>
      </c>
      <c r="AV249" t="n">
        <v>0</v>
      </c>
      <c r="AW249" t="n">
        <v>148</v>
      </c>
      <c r="AX249" t="n">
        <v>1328</v>
      </c>
      <c r="AY249" t="n">
        <v>0</v>
      </c>
      <c r="AZ249" t="n">
        <v>0</v>
      </c>
      <c r="BA249" t="n">
        <v>1328</v>
      </c>
      <c r="BB249" t="n">
        <v>295</v>
      </c>
      <c r="BC249" t="n">
        <v>0</v>
      </c>
      <c r="BD249" t="n">
        <v>0</v>
      </c>
      <c r="BE249" t="n">
        <v>71986</v>
      </c>
      <c r="BF249" t="n">
        <v>71986</v>
      </c>
      <c r="BG249">
        <f>IF($F249=0,"0",MIN(
BH249/(30*$F249),
BI249/(61*$F249),
BJ249/(48*$F249),
(BK249+BL249)/(23*$F249),
(BM249+BN249)/(41*$F249),
BO249/(25*$F249),
BP249/(6.6*$F249),
BQ249/(40*$F249),
BS249/(16*$F249)
)*100)</f>
        <v/>
      </c>
      <c r="BH249" t="n">
        <v>317</v>
      </c>
      <c r="BI249" t="n">
        <v>1100</v>
      </c>
      <c r="BJ249" t="n">
        <v>229</v>
      </c>
      <c r="BK249" t="n">
        <v>167</v>
      </c>
      <c r="BL249" t="n">
        <v>132</v>
      </c>
      <c r="BM249" t="n">
        <v>422</v>
      </c>
      <c r="BN249" t="n">
        <v>334</v>
      </c>
      <c r="BO249" t="n">
        <v>317</v>
      </c>
      <c r="BP249" t="n">
        <v>62</v>
      </c>
      <c r="BQ249" t="n">
        <v>422</v>
      </c>
      <c r="BR249" t="n">
        <v>361</v>
      </c>
      <c r="BS249" t="n">
        <v>238</v>
      </c>
      <c r="BT249" t="n">
        <v>4101</v>
      </c>
      <c r="BU249" t="n">
        <v>660</v>
      </c>
      <c r="BV249" t="n">
        <v>546</v>
      </c>
      <c r="BW249" t="n">
        <v>1663</v>
      </c>
      <c r="BX249" t="n">
        <v>317</v>
      </c>
      <c r="BY249" t="n">
        <v>783</v>
      </c>
      <c r="BZ249" t="n">
        <v>431</v>
      </c>
      <c r="CA249" t="n">
        <v>4400</v>
      </c>
      <c r="CB249" t="n">
        <v>29</v>
      </c>
      <c r="CC249" t="n">
        <v>12</v>
      </c>
      <c r="CD249" t="n">
        <v>17</v>
      </c>
      <c r="CE249" t="n">
        <v>382</v>
      </c>
      <c r="CF249" t="n">
        <v>22.47</v>
      </c>
      <c r="CG249" t="n">
        <v>0</v>
      </c>
      <c r="CH249" t="n">
        <v>0</v>
      </c>
      <c r="CI249" t="n">
        <v>0</v>
      </c>
      <c r="CJ249" t="n">
        <v>0</v>
      </c>
      <c r="CK249" t="n">
        <v>0</v>
      </c>
      <c r="CL249" t="n">
        <v>0</v>
      </c>
      <c r="CM249" t="n">
        <v>0</v>
      </c>
      <c r="CN249" t="n">
        <v>111</v>
      </c>
      <c r="CO249" t="n">
        <v>0</v>
      </c>
      <c r="CP249" t="n">
        <v>21</v>
      </c>
      <c r="CQ249" t="n">
        <v>17</v>
      </c>
      <c r="CR249" t="n">
        <v>0</v>
      </c>
      <c r="CS249" t="n">
        <v>0</v>
      </c>
      <c r="CT249" t="n">
        <v>149</v>
      </c>
      <c r="CU249" t="n">
        <v>0</v>
      </c>
      <c r="CV249" t="n">
        <v>0</v>
      </c>
      <c r="CW249" t="n">
        <v>9</v>
      </c>
      <c r="CX249" t="n">
        <v>0</v>
      </c>
      <c r="CY249" t="n">
        <v>389</v>
      </c>
      <c r="CZ249" t="n">
        <v>0</v>
      </c>
      <c r="DA249" t="n">
        <v>0</v>
      </c>
      <c r="DB249" t="n">
        <v>0</v>
      </c>
      <c r="DC249" t="n">
        <v>398</v>
      </c>
      <c r="DD249" t="n">
        <v>0</v>
      </c>
      <c r="DE249" t="n">
        <v>0</v>
      </c>
      <c r="DF249" t="n">
        <v>382</v>
      </c>
      <c r="DG249" t="n">
        <v>17</v>
      </c>
      <c r="DH249" t="n">
        <v>0</v>
      </c>
      <c r="DI249" t="n">
        <v>0</v>
      </c>
      <c r="DJ249" t="n">
        <v>0</v>
      </c>
      <c r="DK249" t="n">
        <v>0</v>
      </c>
      <c r="DL249" t="n">
        <v>0</v>
      </c>
      <c r="DM249" t="n">
        <v>0</v>
      </c>
      <c r="DN249" t="n">
        <v>0</v>
      </c>
      <c r="DO249" t="n">
        <v>0</v>
      </c>
      <c r="DP249" t="n">
        <v>0</v>
      </c>
      <c r="DQ249" t="n">
        <v>0</v>
      </c>
      <c r="DR249" t="n">
        <v>0</v>
      </c>
      <c r="DS249" t="n">
        <v>399</v>
      </c>
      <c r="DT249" t="n">
        <v>946</v>
      </c>
      <c r="DU249" t="n">
        <v>154</v>
      </c>
      <c r="DV249" t="n">
        <v>0</v>
      </c>
      <c r="DW249" t="n">
        <v>0</v>
      </c>
      <c r="DX249" t="n">
        <v>0</v>
      </c>
      <c r="DY249" t="n">
        <v>1000</v>
      </c>
      <c r="DZ249" t="n">
        <v>1500</v>
      </c>
      <c r="EA249" t="n">
        <v>400</v>
      </c>
      <c r="EB249" t="n">
        <v>1950</v>
      </c>
      <c r="EC249" t="n">
        <v>150</v>
      </c>
      <c r="ED249" t="n">
        <v>1250</v>
      </c>
      <c r="EE249" t="n">
        <v>3750</v>
      </c>
      <c r="EF249" t="n">
        <v>0</v>
      </c>
      <c r="EG249" t="n">
        <v>0</v>
      </c>
      <c r="EH249" t="n">
        <v>0.3</v>
      </c>
      <c r="EI249" t="n">
        <v>3.8</v>
      </c>
      <c r="EJ249" t="n">
        <v>1.1</v>
      </c>
      <c r="EK249" t="n">
        <v>8.6</v>
      </c>
    </row>
    <row r="250">
      <c r="A250">
        <f>[1]ingredient!B250</f>
        <v/>
      </c>
      <c r="B250" t="inlineStr">
        <is>
          <t>https://www.naehrwertrechner.de/naehrwerte/C348011/Maiswaffel/?menge=100</t>
        </is>
      </c>
      <c r="C250" s="7">
        <f>_xlfn.XLOOKUP(A250,[1]ingredient!$B$2:$B$521,[1]ingredient!$A$2:$A$521)</f>
        <v/>
      </c>
      <c r="D250" t="n">
        <v>377</v>
      </c>
      <c r="E250" t="n">
        <v>1</v>
      </c>
      <c r="F250" t="n">
        <v>7</v>
      </c>
      <c r="G250" t="n">
        <v>85</v>
      </c>
      <c r="H250" t="n">
        <v>3</v>
      </c>
      <c r="I250" t="n">
        <v>1</v>
      </c>
      <c r="J250" t="n">
        <v>0.02</v>
      </c>
      <c r="K250" t="n">
        <v>4</v>
      </c>
      <c r="L250" t="n">
        <v>200</v>
      </c>
      <c r="M250" t="n">
        <v>75</v>
      </c>
      <c r="N250" t="n">
        <v>0</v>
      </c>
      <c r="O250" t="n">
        <v>900</v>
      </c>
      <c r="P250" t="n">
        <v>400</v>
      </c>
      <c r="Q250" t="n">
        <v>200</v>
      </c>
      <c r="R250" t="n">
        <v>1500</v>
      </c>
      <c r="S250" t="n">
        <v>2400</v>
      </c>
      <c r="T250" t="n">
        <v>600</v>
      </c>
      <c r="U250" t="n">
        <v>400</v>
      </c>
      <c r="V250" t="n">
        <v>6</v>
      </c>
      <c r="W250" t="n">
        <v>26</v>
      </c>
      <c r="X250" t="n">
        <v>0</v>
      </c>
      <c r="Y250" t="n">
        <v>0</v>
      </c>
      <c r="Z250" t="n">
        <v>0</v>
      </c>
      <c r="AA250" t="n">
        <v>0</v>
      </c>
      <c r="AB250" t="n">
        <v>40</v>
      </c>
      <c r="AC250" t="n">
        <v>4</v>
      </c>
      <c r="AD250" t="n">
        <v>270</v>
      </c>
      <c r="AE250" t="n">
        <v>8</v>
      </c>
      <c r="AF250" t="n">
        <v>91</v>
      </c>
      <c r="AG250" t="n">
        <v>213</v>
      </c>
      <c r="AH250" t="n">
        <v>80</v>
      </c>
      <c r="AI250" t="n">
        <v>12</v>
      </c>
      <c r="AJ250" t="n">
        <v>1500</v>
      </c>
      <c r="AK250" t="n">
        <v>1500</v>
      </c>
      <c r="AL250" t="n">
        <v>200</v>
      </c>
      <c r="AM250" t="n">
        <v>400</v>
      </c>
      <c r="AN250" t="n">
        <v>0</v>
      </c>
      <c r="AO250" t="n">
        <v>3</v>
      </c>
      <c r="AP250" t="n">
        <v>0</v>
      </c>
      <c r="AQ250" t="n">
        <v>0</v>
      </c>
      <c r="AR250" t="n">
        <v>0</v>
      </c>
      <c r="AS250" t="n">
        <v>0</v>
      </c>
      <c r="AT250" t="n">
        <v>43</v>
      </c>
      <c r="AU250" t="n">
        <v>39</v>
      </c>
      <c r="AV250" t="n">
        <v>0</v>
      </c>
      <c r="AW250" t="n">
        <v>82</v>
      </c>
      <c r="AX250" t="n">
        <v>500</v>
      </c>
      <c r="AY250" t="n">
        <v>0</v>
      </c>
      <c r="AZ250" t="n">
        <v>0</v>
      </c>
      <c r="BA250" t="n">
        <v>518</v>
      </c>
      <c r="BB250" t="n">
        <v>400</v>
      </c>
      <c r="BC250" t="n">
        <v>230</v>
      </c>
      <c r="BD250" t="n">
        <v>0</v>
      </c>
      <c r="BE250" t="n">
        <v>84000</v>
      </c>
      <c r="BF250" t="n">
        <v>0</v>
      </c>
      <c r="BG250">
        <f>IF($F250=0,"0",MIN(
BH250/(30*$F250),
BI250/(61*$F250),
BJ250/(48*$F250),
(BK250+BL250)/(23*$F250),
(BM250+BN250)/(41*$F250),
BO250/(25*$F250),
BP250/(6.6*$F250),
BQ250/(40*$F250),
BS250/(16*$F250)
)*100)</f>
        <v/>
      </c>
      <c r="BH250" t="n">
        <v>249</v>
      </c>
      <c r="BI250" t="n">
        <v>826</v>
      </c>
      <c r="BJ250" t="n">
        <v>172</v>
      </c>
      <c r="BK250" t="n">
        <v>128</v>
      </c>
      <c r="BL250" t="n">
        <v>214</v>
      </c>
      <c r="BM250" t="n">
        <v>316</v>
      </c>
      <c r="BN250" t="n">
        <v>270</v>
      </c>
      <c r="BO250" t="n">
        <v>228</v>
      </c>
      <c r="BP250" t="n">
        <v>53</v>
      </c>
      <c r="BQ250" t="n">
        <v>312</v>
      </c>
      <c r="BR250" t="n">
        <v>303</v>
      </c>
      <c r="BS250" t="n">
        <v>163</v>
      </c>
      <c r="BT250" t="n">
        <v>3233</v>
      </c>
      <c r="BU250" t="n">
        <v>511</v>
      </c>
      <c r="BV250" t="n">
        <v>417</v>
      </c>
      <c r="BW250" t="n">
        <v>1200</v>
      </c>
      <c r="BX250" t="n">
        <v>238</v>
      </c>
      <c r="BY250" t="n">
        <v>598</v>
      </c>
      <c r="BZ250" t="n">
        <v>304</v>
      </c>
      <c r="CA250" t="n">
        <v>3267</v>
      </c>
      <c r="CB250" t="n">
        <v>60</v>
      </c>
      <c r="CC250" t="n">
        <v>20</v>
      </c>
      <c r="CD250" t="n">
        <v>0</v>
      </c>
      <c r="CE250" t="n">
        <v>200</v>
      </c>
      <c r="CG250" t="n">
        <v>0</v>
      </c>
      <c r="CH250" t="n">
        <v>0</v>
      </c>
      <c r="CI250" t="n">
        <v>0</v>
      </c>
      <c r="CJ250" t="n">
        <v>0</v>
      </c>
      <c r="CK250" t="n">
        <v>0</v>
      </c>
      <c r="CL250" t="n">
        <v>0</v>
      </c>
      <c r="CM250" t="n">
        <v>0</v>
      </c>
      <c r="CN250" t="n">
        <v>74</v>
      </c>
      <c r="CO250" t="n">
        <v>0</v>
      </c>
      <c r="CP250" t="n">
        <v>14</v>
      </c>
      <c r="CQ250" t="n">
        <v>12</v>
      </c>
      <c r="CR250" t="n">
        <v>0</v>
      </c>
      <c r="CS250" t="n">
        <v>0</v>
      </c>
      <c r="CT250" t="n">
        <v>100</v>
      </c>
      <c r="CU250" t="n">
        <v>0</v>
      </c>
      <c r="CV250" t="n">
        <v>0</v>
      </c>
      <c r="CW250" t="n">
        <v>4</v>
      </c>
      <c r="CX250" t="n">
        <v>0</v>
      </c>
      <c r="CY250" t="n">
        <v>132</v>
      </c>
      <c r="CZ250" t="n">
        <v>0</v>
      </c>
      <c r="DA250" t="n">
        <v>0</v>
      </c>
      <c r="DB250" t="n">
        <v>0</v>
      </c>
      <c r="DC250" t="n">
        <v>100</v>
      </c>
      <c r="DD250" t="n">
        <v>0</v>
      </c>
      <c r="DE250" t="n">
        <v>0</v>
      </c>
      <c r="DF250" t="n">
        <v>200</v>
      </c>
      <c r="DG250" t="n">
        <v>0</v>
      </c>
      <c r="DH250" t="n">
        <v>0</v>
      </c>
      <c r="DI250" t="n">
        <v>0</v>
      </c>
      <c r="DJ250" t="n">
        <v>0</v>
      </c>
      <c r="DK250" t="n">
        <v>0</v>
      </c>
      <c r="DL250" t="n">
        <v>0</v>
      </c>
      <c r="DM250" t="n">
        <v>0</v>
      </c>
      <c r="DN250" t="n">
        <v>0</v>
      </c>
      <c r="DO250" t="n">
        <v>0</v>
      </c>
      <c r="DP250" t="n">
        <v>0</v>
      </c>
      <c r="DQ250" t="n">
        <v>0</v>
      </c>
      <c r="DR250" t="n">
        <v>0</v>
      </c>
      <c r="DS250" t="n">
        <v>200</v>
      </c>
      <c r="DT250" t="n">
        <v>436</v>
      </c>
      <c r="DU250" t="n">
        <v>64</v>
      </c>
      <c r="DV250" t="n">
        <v>0</v>
      </c>
      <c r="DW250" t="n">
        <v>0</v>
      </c>
      <c r="DX250" t="n">
        <v>0</v>
      </c>
      <c r="DY250" t="n">
        <v>567</v>
      </c>
      <c r="DZ250" t="n">
        <v>850</v>
      </c>
      <c r="EA250" t="n">
        <v>227</v>
      </c>
      <c r="EB250" t="n">
        <v>809</v>
      </c>
      <c r="EC250" t="n">
        <v>85</v>
      </c>
      <c r="ED250" t="n">
        <v>379</v>
      </c>
      <c r="EE250" t="n">
        <v>2821</v>
      </c>
      <c r="EF250" t="n">
        <v>0</v>
      </c>
      <c r="EG250" t="n">
        <v>0</v>
      </c>
      <c r="EH250" t="n">
        <v>0.7</v>
      </c>
      <c r="EI250" t="n">
        <v>2.8</v>
      </c>
      <c r="EJ250" t="n">
        <v>0.5</v>
      </c>
      <c r="EK250" t="n">
        <v>6.7</v>
      </c>
    </row>
    <row r="251">
      <c r="A251">
        <f>[1]ingredient!B251</f>
        <v/>
      </c>
      <c r="B251" t="inlineStr">
        <is>
          <t>https://www.naehrwertrechner.de/naehrwerte/K700111/Pilze+frisch/?menge=100</t>
        </is>
      </c>
      <c r="C251" s="7">
        <f>_xlfn.XLOOKUP(A251,[1]ingredient!$B$2:$B$521,[1]ingredient!$A$2:$A$521)</f>
        <v/>
      </c>
      <c r="D251" t="n">
        <v>15</v>
      </c>
      <c r="E251" t="n">
        <v>0.24</v>
      </c>
      <c r="F251" t="n">
        <v>3</v>
      </c>
      <c r="G251" t="n">
        <v>1</v>
      </c>
      <c r="H251" t="n">
        <v>2</v>
      </c>
      <c r="I251" t="n">
        <v>0.11</v>
      </c>
      <c r="J251" t="n">
        <v>0.08</v>
      </c>
      <c r="K251" t="n">
        <v>93</v>
      </c>
      <c r="L251" t="n">
        <v>2</v>
      </c>
      <c r="M251" t="n">
        <v>1</v>
      </c>
      <c r="N251" t="n">
        <v>0</v>
      </c>
      <c r="O251" t="n">
        <v>10</v>
      </c>
      <c r="P251" t="n">
        <v>100</v>
      </c>
      <c r="Q251" t="n">
        <v>440</v>
      </c>
      <c r="R251" t="n">
        <v>5200</v>
      </c>
      <c r="S251" t="n">
        <v>5567</v>
      </c>
      <c r="T251" t="n">
        <v>2100</v>
      </c>
      <c r="U251" t="n">
        <v>65</v>
      </c>
      <c r="V251" t="n">
        <v>16</v>
      </c>
      <c r="W251" t="n">
        <v>25</v>
      </c>
      <c r="X251" t="n">
        <v>0</v>
      </c>
      <c r="Y251" t="n">
        <v>4900</v>
      </c>
      <c r="Z251" t="n">
        <v>2</v>
      </c>
      <c r="AA251" t="n">
        <v>116</v>
      </c>
      <c r="AB251" t="n">
        <v>14</v>
      </c>
      <c r="AC251" t="n">
        <v>8</v>
      </c>
      <c r="AD251" t="n">
        <v>422</v>
      </c>
      <c r="AE251" t="n">
        <v>11</v>
      </c>
      <c r="AF251" t="n">
        <v>13</v>
      </c>
      <c r="AG251" t="n">
        <v>123</v>
      </c>
      <c r="AH251" t="n">
        <v>34</v>
      </c>
      <c r="AI251" t="n">
        <v>67</v>
      </c>
      <c r="AJ251" t="n">
        <v>1186</v>
      </c>
      <c r="AK251" t="n">
        <v>540</v>
      </c>
      <c r="AL251" t="n">
        <v>400</v>
      </c>
      <c r="AM251" t="n">
        <v>89</v>
      </c>
      <c r="AN251" t="n">
        <v>31</v>
      </c>
      <c r="AO251" t="n">
        <v>18</v>
      </c>
      <c r="AP251" t="n">
        <v>448</v>
      </c>
      <c r="AQ251" t="n">
        <v>0</v>
      </c>
      <c r="AR251" t="n">
        <v>0</v>
      </c>
      <c r="AS251" t="n">
        <v>448</v>
      </c>
      <c r="AT251" t="n">
        <v>67</v>
      </c>
      <c r="AU251" t="n">
        <v>28</v>
      </c>
      <c r="AV251" t="n">
        <v>0</v>
      </c>
      <c r="AW251" t="n">
        <v>95</v>
      </c>
      <c r="AX251" t="n">
        <v>17</v>
      </c>
      <c r="AY251" t="n">
        <v>0</v>
      </c>
      <c r="AZ251" t="n">
        <v>0</v>
      </c>
      <c r="BA251" t="n">
        <v>17</v>
      </c>
      <c r="BB251" t="n">
        <v>0</v>
      </c>
      <c r="BC251" t="n">
        <v>0</v>
      </c>
      <c r="BD251" t="n">
        <v>0</v>
      </c>
      <c r="BE251" t="n">
        <v>0</v>
      </c>
      <c r="BF251" t="n">
        <v>0</v>
      </c>
      <c r="BG251">
        <f>IF($F251=0,"0",MIN(
BH251/(30*$F251),
BI251/(61*$F251),
BJ251/(48*$F251),
(BK251+BL251)/(23*$F251),
(BM251+BN251)/(41*$F251),
BO251/(25*$F251),
BP251/(6.6*$F251),
BQ251/(40*$F251),
BS251/(16*$F251)
)*100)</f>
        <v/>
      </c>
      <c r="BH251" t="n">
        <v>110</v>
      </c>
      <c r="BI251" t="n">
        <v>118</v>
      </c>
      <c r="BJ251" t="n">
        <v>170</v>
      </c>
      <c r="BK251" t="n">
        <v>25</v>
      </c>
      <c r="BL251" t="n">
        <v>16</v>
      </c>
      <c r="BM251" t="n">
        <v>74</v>
      </c>
      <c r="BN251" t="n">
        <v>66</v>
      </c>
      <c r="BO251" t="n">
        <v>85</v>
      </c>
      <c r="BP251" t="n">
        <v>22</v>
      </c>
      <c r="BQ251" t="n">
        <v>88</v>
      </c>
      <c r="BR251" t="n">
        <v>190</v>
      </c>
      <c r="BS251" t="n">
        <v>55</v>
      </c>
      <c r="BT251" t="n">
        <v>1019</v>
      </c>
      <c r="BU251" t="n">
        <v>137</v>
      </c>
      <c r="BV251" t="n">
        <v>126</v>
      </c>
      <c r="BW251" t="n">
        <v>192</v>
      </c>
      <c r="BX251" t="n">
        <v>74</v>
      </c>
      <c r="BY251" t="n">
        <v>151</v>
      </c>
      <c r="BZ251" t="n">
        <v>82</v>
      </c>
      <c r="CA251" t="n">
        <v>762</v>
      </c>
      <c r="CB251" t="n">
        <v>60</v>
      </c>
      <c r="CC251" t="n">
        <v>25</v>
      </c>
      <c r="CD251" t="n">
        <v>106</v>
      </c>
      <c r="CE251" t="n">
        <v>25</v>
      </c>
      <c r="CF251" t="n">
        <v>0.24</v>
      </c>
      <c r="CG251" t="n">
        <v>0</v>
      </c>
      <c r="CH251" t="n">
        <v>0</v>
      </c>
      <c r="CI251" t="n">
        <v>0</v>
      </c>
      <c r="CJ251" t="n">
        <v>0</v>
      </c>
      <c r="CK251" t="n">
        <v>0</v>
      </c>
      <c r="CL251" t="n">
        <v>1</v>
      </c>
      <c r="CM251" t="n">
        <v>0</v>
      </c>
      <c r="CN251" t="n">
        <v>53</v>
      </c>
      <c r="CO251" t="n">
        <v>0</v>
      </c>
      <c r="CP251" t="n">
        <v>4</v>
      </c>
      <c r="CQ251" t="n">
        <v>0</v>
      </c>
      <c r="CR251" t="n">
        <v>0</v>
      </c>
      <c r="CS251" t="n">
        <v>0</v>
      </c>
      <c r="CT251" t="n">
        <v>58</v>
      </c>
      <c r="CU251" t="n">
        <v>0</v>
      </c>
      <c r="CV251" t="n">
        <v>0</v>
      </c>
      <c r="CW251" t="n">
        <v>1</v>
      </c>
      <c r="CX251" t="n">
        <v>0</v>
      </c>
      <c r="CY251" t="n">
        <v>2</v>
      </c>
      <c r="CZ251" t="n">
        <v>0</v>
      </c>
      <c r="DA251" t="n">
        <v>0</v>
      </c>
      <c r="DB251" t="n">
        <v>0</v>
      </c>
      <c r="DC251" t="n">
        <v>3</v>
      </c>
      <c r="DD251" t="n">
        <v>0</v>
      </c>
      <c r="DE251" t="n">
        <v>0</v>
      </c>
      <c r="DF251" t="n">
        <v>25</v>
      </c>
      <c r="DG251" t="n">
        <v>106</v>
      </c>
      <c r="DH251" t="n">
        <v>0</v>
      </c>
      <c r="DI251" t="n">
        <v>0</v>
      </c>
      <c r="DJ251" t="n">
        <v>0</v>
      </c>
      <c r="DK251" t="n">
        <v>0</v>
      </c>
      <c r="DL251" t="n">
        <v>0</v>
      </c>
      <c r="DM251" t="n">
        <v>0</v>
      </c>
      <c r="DN251" t="n">
        <v>0</v>
      </c>
      <c r="DO251" t="n">
        <v>0</v>
      </c>
      <c r="DP251" t="n">
        <v>0</v>
      </c>
      <c r="DQ251" t="n">
        <v>0</v>
      </c>
      <c r="DR251" t="n">
        <v>0</v>
      </c>
      <c r="DS251" t="n">
        <v>131</v>
      </c>
      <c r="DT251" t="n">
        <v>192</v>
      </c>
      <c r="DU251" t="n">
        <v>48</v>
      </c>
      <c r="DV251" t="n">
        <v>0</v>
      </c>
      <c r="DW251" t="n">
        <v>0</v>
      </c>
      <c r="DX251" t="n">
        <v>0</v>
      </c>
      <c r="DY251" t="n">
        <v>0</v>
      </c>
      <c r="DZ251" t="n">
        <v>832</v>
      </c>
      <c r="EA251" t="n">
        <v>20</v>
      </c>
      <c r="EB251" t="n">
        <v>1158</v>
      </c>
      <c r="EC251" t="n">
        <v>20</v>
      </c>
      <c r="ED251" t="n">
        <v>386</v>
      </c>
      <c r="EE251" t="n">
        <v>1644</v>
      </c>
      <c r="EF251" t="n">
        <v>0</v>
      </c>
      <c r="EG251" t="n">
        <v>0.13</v>
      </c>
      <c r="EH251" t="n">
        <v>1</v>
      </c>
      <c r="EI251" t="n">
        <v>1.6</v>
      </c>
      <c r="EJ251" t="n">
        <v>0.2</v>
      </c>
      <c r="EK251" t="n">
        <v>2</v>
      </c>
    </row>
    <row r="252">
      <c r="A252">
        <f>[1]ingredient!B252</f>
        <v/>
      </c>
      <c r="B252" s="11" t="inlineStr">
        <is>
          <t>https://www.naehrwertrechner.de/naehrwerte/G074111/Majoran+frisch/?menge=100</t>
        </is>
      </c>
      <c r="C252" s="7">
        <f>_xlfn.XLOOKUP(A252,[1]ingredient!$B$2:$B$521,[1]ingredient!$A$2:$A$521)</f>
        <v/>
      </c>
      <c r="D252" t="n">
        <v>46</v>
      </c>
      <c r="E252" t="n">
        <v>1</v>
      </c>
      <c r="F252" t="n">
        <v>2</v>
      </c>
      <c r="G252" t="n">
        <v>7</v>
      </c>
      <c r="H252" t="n">
        <v>3</v>
      </c>
      <c r="I252" t="n">
        <v>7</v>
      </c>
      <c r="J252" t="n">
        <v>0.04</v>
      </c>
      <c r="K252" t="n">
        <v>85</v>
      </c>
      <c r="L252" t="n">
        <v>131</v>
      </c>
      <c r="M252" t="n">
        <v>65</v>
      </c>
      <c r="N252" t="n">
        <v>0</v>
      </c>
      <c r="O252" t="n">
        <v>783</v>
      </c>
      <c r="P252" t="n">
        <v>47</v>
      </c>
      <c r="Q252" t="n">
        <v>52</v>
      </c>
      <c r="R252" t="n">
        <v>663</v>
      </c>
      <c r="S252" t="n">
        <v>1013</v>
      </c>
      <c r="T252" t="n">
        <v>0</v>
      </c>
      <c r="U252" t="n">
        <v>0</v>
      </c>
      <c r="V252" t="n">
        <v>0</v>
      </c>
      <c r="W252" t="n">
        <v>0</v>
      </c>
      <c r="X252" t="n">
        <v>0</v>
      </c>
      <c r="Y252" t="n">
        <v>0</v>
      </c>
      <c r="Z252" t="n">
        <v>0</v>
      </c>
      <c r="AA252" t="n">
        <v>0</v>
      </c>
      <c r="AB252" t="n">
        <v>0</v>
      </c>
      <c r="AC252" t="n">
        <v>12</v>
      </c>
      <c r="AD252" t="n">
        <v>246</v>
      </c>
      <c r="AE252" t="n">
        <v>322</v>
      </c>
      <c r="AF252" t="n">
        <v>57</v>
      </c>
      <c r="AG252" t="n">
        <v>50</v>
      </c>
      <c r="AH252" t="n">
        <v>16</v>
      </c>
      <c r="AI252" t="n">
        <v>32</v>
      </c>
      <c r="AJ252" t="n">
        <v>13374</v>
      </c>
      <c r="AK252" t="n">
        <v>582</v>
      </c>
      <c r="AL252" t="n">
        <v>183</v>
      </c>
      <c r="AM252" t="n">
        <v>873</v>
      </c>
      <c r="AN252" t="n">
        <v>65</v>
      </c>
      <c r="AO252" t="n">
        <v>1</v>
      </c>
      <c r="AP252" t="n">
        <v>0</v>
      </c>
      <c r="AQ252" t="n">
        <v>0</v>
      </c>
      <c r="AR252" t="n">
        <v>0</v>
      </c>
      <c r="AS252" t="n">
        <v>0</v>
      </c>
      <c r="AT252" t="n">
        <v>2749</v>
      </c>
      <c r="AU252" t="n">
        <v>2749</v>
      </c>
      <c r="AV252" t="n">
        <v>0</v>
      </c>
      <c r="AW252" t="n">
        <v>5498</v>
      </c>
      <c r="AX252" t="n">
        <v>1306</v>
      </c>
      <c r="AY252" t="n">
        <v>0</v>
      </c>
      <c r="AZ252" t="n">
        <v>0</v>
      </c>
      <c r="BA252" t="n">
        <v>1306</v>
      </c>
      <c r="BB252" t="n">
        <v>0</v>
      </c>
      <c r="BC252" t="n">
        <v>0</v>
      </c>
      <c r="BD252" t="n">
        <v>0</v>
      </c>
      <c r="BE252" t="n">
        <v>69</v>
      </c>
      <c r="BF252" t="n">
        <v>69</v>
      </c>
      <c r="BG252">
        <f>IF($F252=0,"0",MIN(
BH252/(30*$F252),
BI252/(61*$F252),
BJ252/(48*$F252),
(BK252+BL252)/(23*$F252),
(BM252+BN252)/(41*$F252),
BO252/(25*$F252),
BP252/(6.6*$F252),
BQ252/(40*$F252),
BS252/(16*$F252)
)*100)</f>
        <v/>
      </c>
      <c r="BH252" t="n">
        <v>82</v>
      </c>
      <c r="BI252" t="n">
        <v>132</v>
      </c>
      <c r="BJ252" t="n">
        <v>103</v>
      </c>
      <c r="BK252" t="n">
        <v>25</v>
      </c>
      <c r="BL252" t="n">
        <v>21</v>
      </c>
      <c r="BM252" t="n">
        <v>62</v>
      </c>
      <c r="BN252" t="n">
        <v>41</v>
      </c>
      <c r="BO252" t="n">
        <v>72</v>
      </c>
      <c r="BP252" t="n">
        <v>21</v>
      </c>
      <c r="BQ252" t="n">
        <v>82</v>
      </c>
      <c r="BR252" t="n">
        <v>82</v>
      </c>
      <c r="BS252" t="n">
        <v>31</v>
      </c>
      <c r="BT252" t="n">
        <v>745</v>
      </c>
      <c r="BU252" t="n">
        <v>103</v>
      </c>
      <c r="BV252" t="n">
        <v>205</v>
      </c>
      <c r="BW252" t="n">
        <v>306</v>
      </c>
      <c r="BX252" t="n">
        <v>58</v>
      </c>
      <c r="BY252" t="n">
        <v>82</v>
      </c>
      <c r="BZ252" t="n">
        <v>62</v>
      </c>
      <c r="CA252" t="n">
        <v>816</v>
      </c>
      <c r="CB252" t="n">
        <v>31</v>
      </c>
      <c r="CC252" t="n">
        <v>13</v>
      </c>
      <c r="CD252" t="n">
        <v>272</v>
      </c>
      <c r="CE252" t="n">
        <v>362</v>
      </c>
      <c r="CF252" t="n">
        <v>1.33</v>
      </c>
      <c r="CG252" t="n">
        <v>0</v>
      </c>
      <c r="CH252" t="n">
        <v>0</v>
      </c>
      <c r="CI252" t="n">
        <v>0</v>
      </c>
      <c r="CJ252" t="n">
        <v>0</v>
      </c>
      <c r="CK252" t="n">
        <v>0</v>
      </c>
      <c r="CL252" t="n">
        <v>5</v>
      </c>
      <c r="CM252" t="n">
        <v>0</v>
      </c>
      <c r="CN252" t="n">
        <v>177</v>
      </c>
      <c r="CO252" t="n">
        <v>0</v>
      </c>
      <c r="CP252" t="n">
        <v>27</v>
      </c>
      <c r="CQ252" t="n">
        <v>0</v>
      </c>
      <c r="CR252" t="n">
        <v>0</v>
      </c>
      <c r="CS252" t="n">
        <v>0</v>
      </c>
      <c r="CT252" t="n">
        <v>209</v>
      </c>
      <c r="CU252" t="n">
        <v>0</v>
      </c>
      <c r="CV252" t="n">
        <v>0</v>
      </c>
      <c r="CW252" t="n">
        <v>9</v>
      </c>
      <c r="CX252" t="n">
        <v>0</v>
      </c>
      <c r="CY252" t="n">
        <v>54</v>
      </c>
      <c r="CZ252" t="n">
        <v>0</v>
      </c>
      <c r="DA252" t="n">
        <v>0</v>
      </c>
      <c r="DB252" t="n">
        <v>0</v>
      </c>
      <c r="DC252" t="n">
        <v>63</v>
      </c>
      <c r="DD252" t="n">
        <v>0</v>
      </c>
      <c r="DE252" t="n">
        <v>0</v>
      </c>
      <c r="DF252" t="n">
        <v>362</v>
      </c>
      <c r="DG252" t="n">
        <v>272</v>
      </c>
      <c r="DH252" t="n">
        <v>0</v>
      </c>
      <c r="DI252" t="n">
        <v>0</v>
      </c>
      <c r="DJ252" t="n">
        <v>0</v>
      </c>
      <c r="DK252" t="n">
        <v>0</v>
      </c>
      <c r="DL252" t="n">
        <v>0</v>
      </c>
      <c r="DM252" t="n">
        <v>0</v>
      </c>
      <c r="DN252" t="n">
        <v>0</v>
      </c>
      <c r="DO252" t="n">
        <v>0</v>
      </c>
      <c r="DP252" t="n">
        <v>0</v>
      </c>
      <c r="DQ252" t="n">
        <v>0</v>
      </c>
      <c r="DR252" t="n">
        <v>0</v>
      </c>
      <c r="DS252" t="n">
        <v>634</v>
      </c>
      <c r="DT252" t="n">
        <v>906</v>
      </c>
      <c r="DU252" t="n">
        <v>226</v>
      </c>
      <c r="DV252" t="n">
        <v>0</v>
      </c>
      <c r="DW252" t="n">
        <v>0</v>
      </c>
      <c r="DX252" t="n">
        <v>0</v>
      </c>
      <c r="DY252" t="n">
        <v>439</v>
      </c>
      <c r="DZ252" t="n">
        <v>586</v>
      </c>
      <c r="EA252" t="n">
        <v>791</v>
      </c>
      <c r="EB252" t="n">
        <v>1025</v>
      </c>
      <c r="EC252" t="n">
        <v>88</v>
      </c>
      <c r="ED252" t="n">
        <v>879</v>
      </c>
      <c r="EE252" t="n">
        <v>2050</v>
      </c>
      <c r="EF252" t="n">
        <v>0</v>
      </c>
      <c r="EG252" t="n">
        <v>0.05</v>
      </c>
      <c r="EH252" t="n">
        <v>2</v>
      </c>
      <c r="EI252" t="n">
        <v>2.1</v>
      </c>
      <c r="EJ252" t="n">
        <v>1.1</v>
      </c>
      <c r="EK252" t="n">
        <v>1.7</v>
      </c>
    </row>
    <row r="253">
      <c r="A253">
        <f>[1]ingredient!B253</f>
        <v/>
      </c>
      <c r="B253" t="inlineStr">
        <is>
          <t>https://www.naehrwertrechner.de/naehrwerte/R239011/Majoran+Gew%C3%BCrz/?menge=100</t>
        </is>
      </c>
      <c r="C253" s="7">
        <f>_xlfn.XLOOKUP(A253,[1]ingredient!$B$2:$B$521,[1]ingredient!$A$2:$A$521)</f>
        <v/>
      </c>
      <c r="D253" t="n">
        <v>287</v>
      </c>
      <c r="E253" t="n">
        <v>7</v>
      </c>
      <c r="F253" t="n">
        <v>13</v>
      </c>
      <c r="G253" t="n">
        <v>43</v>
      </c>
      <c r="H253" t="n">
        <v>18</v>
      </c>
      <c r="I253" t="n">
        <v>42</v>
      </c>
      <c r="J253" t="n">
        <v>0.28</v>
      </c>
      <c r="K253" t="n">
        <v>7</v>
      </c>
      <c r="L253" t="n">
        <v>807</v>
      </c>
      <c r="M253" t="n">
        <v>403</v>
      </c>
      <c r="N253" t="n">
        <v>0</v>
      </c>
      <c r="O253" t="n">
        <v>4840</v>
      </c>
      <c r="P253" t="n">
        <v>290</v>
      </c>
      <c r="Q253" t="n">
        <v>320</v>
      </c>
      <c r="R253" t="n">
        <v>4100</v>
      </c>
      <c r="S253" t="n">
        <v>6217</v>
      </c>
      <c r="T253" t="n">
        <v>0</v>
      </c>
      <c r="U253" t="n">
        <v>0</v>
      </c>
      <c r="V253" t="n">
        <v>0</v>
      </c>
      <c r="W253" t="n">
        <v>0</v>
      </c>
      <c r="X253" t="n">
        <v>0</v>
      </c>
      <c r="Y253" t="n">
        <v>0</v>
      </c>
      <c r="Z253" t="n">
        <v>0</v>
      </c>
      <c r="AA253" t="n">
        <v>0</v>
      </c>
      <c r="AB253" t="n">
        <v>0</v>
      </c>
      <c r="AC253" t="n">
        <v>77</v>
      </c>
      <c r="AD253" t="n">
        <v>1520</v>
      </c>
      <c r="AE253" t="n">
        <v>1990</v>
      </c>
      <c r="AF253" t="n">
        <v>350</v>
      </c>
      <c r="AG253" t="n">
        <v>310</v>
      </c>
      <c r="AH253" t="n">
        <v>100</v>
      </c>
      <c r="AI253" t="n">
        <v>200</v>
      </c>
      <c r="AJ253" t="n">
        <v>82700</v>
      </c>
      <c r="AK253" t="n">
        <v>3600</v>
      </c>
      <c r="AL253" t="n">
        <v>1130</v>
      </c>
      <c r="AM253" t="n">
        <v>5400</v>
      </c>
      <c r="AN253" t="n">
        <v>400</v>
      </c>
      <c r="AO253" t="n">
        <v>5</v>
      </c>
      <c r="AP253" t="n">
        <v>0</v>
      </c>
      <c r="AQ253" t="n">
        <v>0</v>
      </c>
      <c r="AR253" t="n">
        <v>0</v>
      </c>
      <c r="AS253" t="n">
        <v>0</v>
      </c>
      <c r="AT253" t="n">
        <v>17000</v>
      </c>
      <c r="AU253" t="n">
        <v>17000</v>
      </c>
      <c r="AV253" t="n">
        <v>0</v>
      </c>
      <c r="AW253" t="n">
        <v>34000</v>
      </c>
      <c r="AX253" t="n">
        <v>8075</v>
      </c>
      <c r="AY253" t="n">
        <v>0</v>
      </c>
      <c r="AZ253" t="n">
        <v>0</v>
      </c>
      <c r="BA253" t="n">
        <v>8075</v>
      </c>
      <c r="BB253" t="n">
        <v>0</v>
      </c>
      <c r="BC253" t="n">
        <v>0</v>
      </c>
      <c r="BD253" t="n">
        <v>0</v>
      </c>
      <c r="BE253" t="n">
        <v>425</v>
      </c>
      <c r="BF253" t="n">
        <v>425</v>
      </c>
      <c r="BG253">
        <f>IF($F253=0,"0",MIN(
BH253/(30*$F253),
BI253/(61*$F253),
BJ253/(48*$F253),
(BK253+BL253)/(23*$F253),
(BM253+BN253)/(41*$F253),
BO253/(25*$F253),
BP253/(6.6*$F253),
BQ253/(40*$F253),
BS253/(16*$F253)
)*100)</f>
        <v/>
      </c>
      <c r="BH253" t="n">
        <v>508</v>
      </c>
      <c r="BI253" t="n">
        <v>762</v>
      </c>
      <c r="BJ253" t="n">
        <v>635</v>
      </c>
      <c r="BK253" t="n">
        <v>152</v>
      </c>
      <c r="BL253" t="n">
        <v>127</v>
      </c>
      <c r="BM253" t="n">
        <v>381</v>
      </c>
      <c r="BN253" t="n">
        <v>254</v>
      </c>
      <c r="BO253" t="n">
        <v>445</v>
      </c>
      <c r="BP253" t="n">
        <v>127</v>
      </c>
      <c r="BQ253" t="n">
        <v>508</v>
      </c>
      <c r="BR253" t="n">
        <v>508</v>
      </c>
      <c r="BS253" t="n">
        <v>191</v>
      </c>
      <c r="BT253" t="n">
        <v>4598</v>
      </c>
      <c r="BU253" t="n">
        <v>635</v>
      </c>
      <c r="BV253" t="n">
        <v>1270</v>
      </c>
      <c r="BW253" t="n">
        <v>1904</v>
      </c>
      <c r="BX253" t="n">
        <v>356</v>
      </c>
      <c r="BY253" t="n">
        <v>508</v>
      </c>
      <c r="BZ253" t="n">
        <v>381</v>
      </c>
      <c r="CA253" t="n">
        <v>5054</v>
      </c>
      <c r="CB253" t="n">
        <v>194</v>
      </c>
      <c r="CC253" t="n">
        <v>81</v>
      </c>
      <c r="CD253" t="n">
        <v>1680</v>
      </c>
      <c r="CE253" t="n">
        <v>2240</v>
      </c>
      <c r="CF253" t="n">
        <v>1.33</v>
      </c>
      <c r="CG253" t="n">
        <v>0</v>
      </c>
      <c r="CH253" t="n">
        <v>0</v>
      </c>
      <c r="CI253" t="n">
        <v>0</v>
      </c>
      <c r="CJ253" t="n">
        <v>0</v>
      </c>
      <c r="CK253" t="n">
        <v>0</v>
      </c>
      <c r="CL253" t="n">
        <v>28</v>
      </c>
      <c r="CM253" t="n">
        <v>0</v>
      </c>
      <c r="CN253" t="n">
        <v>1092</v>
      </c>
      <c r="CO253" t="n">
        <v>0</v>
      </c>
      <c r="CP253" t="n">
        <v>168</v>
      </c>
      <c r="CQ253" t="n">
        <v>0</v>
      </c>
      <c r="CR253" t="n">
        <v>0</v>
      </c>
      <c r="CS253" t="n">
        <v>0</v>
      </c>
      <c r="CT253" t="n">
        <v>1288</v>
      </c>
      <c r="CU253" t="n">
        <v>0</v>
      </c>
      <c r="CV253" t="n">
        <v>0</v>
      </c>
      <c r="CW253" t="n">
        <v>56</v>
      </c>
      <c r="CX253" t="n">
        <v>0</v>
      </c>
      <c r="CY253" t="n">
        <v>336</v>
      </c>
      <c r="CZ253" t="n">
        <v>0</v>
      </c>
      <c r="DA253" t="n">
        <v>0</v>
      </c>
      <c r="DB253" t="n">
        <v>0</v>
      </c>
      <c r="DC253" t="n">
        <v>392</v>
      </c>
      <c r="DD253" t="n">
        <v>0</v>
      </c>
      <c r="DE253" t="n">
        <v>0</v>
      </c>
      <c r="DF253" t="n">
        <v>2240</v>
      </c>
      <c r="DG253" t="n">
        <v>1680</v>
      </c>
      <c r="DH253" t="n">
        <v>0</v>
      </c>
      <c r="DI253" t="n">
        <v>0</v>
      </c>
      <c r="DJ253" t="n">
        <v>0</v>
      </c>
      <c r="DK253" t="n">
        <v>0</v>
      </c>
      <c r="DL253" t="n">
        <v>0</v>
      </c>
      <c r="DM253" t="n">
        <v>0</v>
      </c>
      <c r="DN253" t="n">
        <v>0</v>
      </c>
      <c r="DO253" t="n">
        <v>0</v>
      </c>
      <c r="DP253" t="n">
        <v>0</v>
      </c>
      <c r="DQ253" t="n">
        <v>0</v>
      </c>
      <c r="DR253" t="n">
        <v>0</v>
      </c>
      <c r="DS253" t="n">
        <v>3920</v>
      </c>
      <c r="DT253" t="n">
        <v>5600</v>
      </c>
      <c r="DU253" t="n">
        <v>1400</v>
      </c>
      <c r="DV253" t="n">
        <v>0</v>
      </c>
      <c r="DW253" t="n">
        <v>0</v>
      </c>
      <c r="DX253" t="n">
        <v>0</v>
      </c>
      <c r="DY253" t="n">
        <v>2717</v>
      </c>
      <c r="DZ253" t="n">
        <v>3622</v>
      </c>
      <c r="EA253" t="n">
        <v>4890</v>
      </c>
      <c r="EB253" t="n">
        <v>6338</v>
      </c>
      <c r="EC253" t="n">
        <v>543</v>
      </c>
      <c r="ED253" t="n">
        <v>5433</v>
      </c>
      <c r="EE253" t="n">
        <v>12677</v>
      </c>
      <c r="EF253" t="n">
        <v>0</v>
      </c>
      <c r="EG253" t="n">
        <v>0.33</v>
      </c>
      <c r="EH253" t="n">
        <v>12.1</v>
      </c>
      <c r="EI253" t="n">
        <v>12.7</v>
      </c>
      <c r="EJ253" t="n">
        <v>7</v>
      </c>
      <c r="EK253" t="n">
        <v>10.3</v>
      </c>
    </row>
    <row r="254">
      <c r="A254">
        <f>[1]ingredient!B254</f>
        <v/>
      </c>
      <c r="B254" t="inlineStr">
        <is>
          <t>https://www.naehrwertrechner.de/naehrwerte/F606111/Mandarine+frisch/?menge=100</t>
        </is>
      </c>
      <c r="C254" s="7">
        <f>_xlfn.XLOOKUP(A254,[1]ingredient!$B$2:$B$521,[1]ingredient!$A$2:$A$521)</f>
        <v/>
      </c>
      <c r="D254" t="n">
        <v>50</v>
      </c>
      <c r="E254" t="n">
        <v>0.3</v>
      </c>
      <c r="F254" t="n">
        <v>1</v>
      </c>
      <c r="G254" t="n">
        <v>10</v>
      </c>
      <c r="H254" t="n">
        <v>2</v>
      </c>
      <c r="I254" t="n">
        <v>10</v>
      </c>
      <c r="J254" t="n">
        <v>0.01</v>
      </c>
      <c r="K254" t="n">
        <v>85</v>
      </c>
      <c r="L254" t="n">
        <v>57</v>
      </c>
      <c r="M254" t="n">
        <v>28</v>
      </c>
      <c r="N254" t="n">
        <v>0</v>
      </c>
      <c r="O254" t="n">
        <v>340</v>
      </c>
      <c r="P254" t="n">
        <v>60</v>
      </c>
      <c r="Q254" t="n">
        <v>30</v>
      </c>
      <c r="R254" t="n">
        <v>200</v>
      </c>
      <c r="S254" t="n">
        <v>317</v>
      </c>
      <c r="T254" t="n">
        <v>200</v>
      </c>
      <c r="U254" t="n">
        <v>23</v>
      </c>
      <c r="V254" t="n">
        <v>1</v>
      </c>
      <c r="W254" t="n">
        <v>7</v>
      </c>
      <c r="X254" t="n">
        <v>0</v>
      </c>
      <c r="Y254" t="n">
        <v>30000</v>
      </c>
      <c r="Z254" t="n">
        <v>0</v>
      </c>
      <c r="AA254" t="n">
        <v>300</v>
      </c>
      <c r="AB254" t="n">
        <v>3</v>
      </c>
      <c r="AC254" t="n">
        <v>1</v>
      </c>
      <c r="AD254" t="n">
        <v>210</v>
      </c>
      <c r="AE254" t="n">
        <v>33</v>
      </c>
      <c r="AF254" t="n">
        <v>11</v>
      </c>
      <c r="AG254" t="n">
        <v>20</v>
      </c>
      <c r="AH254" t="n">
        <v>10</v>
      </c>
      <c r="AI254" t="n">
        <v>4</v>
      </c>
      <c r="AJ254" t="n">
        <v>300</v>
      </c>
      <c r="AK254" t="n">
        <v>80</v>
      </c>
      <c r="AL254" t="n">
        <v>90</v>
      </c>
      <c r="AM254" t="n">
        <v>40</v>
      </c>
      <c r="AN254" t="n">
        <v>10</v>
      </c>
      <c r="AO254" t="n">
        <v>1</v>
      </c>
      <c r="AP254" t="n">
        <v>0</v>
      </c>
      <c r="AQ254" t="n">
        <v>0</v>
      </c>
      <c r="AR254" t="n">
        <v>0</v>
      </c>
      <c r="AS254" t="n">
        <v>0</v>
      </c>
      <c r="AT254" t="n">
        <v>1697</v>
      </c>
      <c r="AU254" t="n">
        <v>1303</v>
      </c>
      <c r="AV254" t="n">
        <v>0</v>
      </c>
      <c r="AW254" t="n">
        <v>3000</v>
      </c>
      <c r="AX254" t="n">
        <v>7100</v>
      </c>
      <c r="AY254" t="n">
        <v>0</v>
      </c>
      <c r="AZ254" t="n">
        <v>0</v>
      </c>
      <c r="BA254" t="n">
        <v>7100</v>
      </c>
      <c r="BB254" t="n">
        <v>0</v>
      </c>
      <c r="BC254" t="n">
        <v>0</v>
      </c>
      <c r="BD254" t="n">
        <v>0</v>
      </c>
      <c r="BE254" t="n">
        <v>0</v>
      </c>
      <c r="BF254" t="n">
        <v>0</v>
      </c>
      <c r="BG254">
        <f>IF($F254=0,"0",MIN(
BH254/(30*$F254),
BI254/(61*$F254),
BJ254/(48*$F254),
(BK254+BL254)/(23*$F254),
(BM254+BN254)/(41*$F254),
BO254/(25*$F254),
BP254/(6.6*$F254),
BQ254/(40*$F254),
BS254/(16*$F254)
)*100)</f>
        <v/>
      </c>
      <c r="BH254" t="n">
        <v>18</v>
      </c>
      <c r="BI254" t="n">
        <v>18</v>
      </c>
      <c r="BJ254" t="n">
        <v>32</v>
      </c>
      <c r="BK254" t="n">
        <v>11</v>
      </c>
      <c r="BL254" t="n">
        <v>7</v>
      </c>
      <c r="BM254" t="n">
        <v>21</v>
      </c>
      <c r="BN254" t="n">
        <v>11</v>
      </c>
      <c r="BO254" t="n">
        <v>11</v>
      </c>
      <c r="BP254" t="n">
        <v>7</v>
      </c>
      <c r="BQ254" t="n">
        <v>25</v>
      </c>
      <c r="BR254" t="n">
        <v>46</v>
      </c>
      <c r="BS254" t="n">
        <v>11</v>
      </c>
      <c r="BT254" t="n">
        <v>218</v>
      </c>
      <c r="BU254" t="n">
        <v>35</v>
      </c>
      <c r="BV254" t="n">
        <v>92</v>
      </c>
      <c r="BW254" t="n">
        <v>70</v>
      </c>
      <c r="BX254" t="n">
        <v>56</v>
      </c>
      <c r="BY254" t="n">
        <v>39</v>
      </c>
      <c r="BZ254" t="n">
        <v>25</v>
      </c>
      <c r="CA254" t="n">
        <v>317</v>
      </c>
      <c r="CB254" t="n">
        <v>20</v>
      </c>
      <c r="CC254" t="n">
        <v>8</v>
      </c>
      <c r="CD254" t="n">
        <v>36</v>
      </c>
      <c r="CE254" t="n">
        <v>87</v>
      </c>
      <c r="CF254" t="n">
        <v>2.42</v>
      </c>
      <c r="CG254" t="n">
        <v>0</v>
      </c>
      <c r="CH254" t="n">
        <v>0</v>
      </c>
      <c r="CI254" t="n">
        <v>0</v>
      </c>
      <c r="CJ254" t="n">
        <v>0</v>
      </c>
      <c r="CK254" t="n">
        <v>0</v>
      </c>
      <c r="CL254" t="n">
        <v>2</v>
      </c>
      <c r="CM254" t="n">
        <v>0</v>
      </c>
      <c r="CN254" t="n">
        <v>58</v>
      </c>
      <c r="CO254" t="n">
        <v>0</v>
      </c>
      <c r="CP254" t="n">
        <v>2</v>
      </c>
      <c r="CQ254" t="n">
        <v>0</v>
      </c>
      <c r="CR254" t="n">
        <v>0</v>
      </c>
      <c r="CS254" t="n">
        <v>0</v>
      </c>
      <c r="CT254" t="n">
        <v>62</v>
      </c>
      <c r="CU254" t="n">
        <v>0</v>
      </c>
      <c r="CV254" t="n">
        <v>0</v>
      </c>
      <c r="CW254" t="n">
        <v>7</v>
      </c>
      <c r="CX254" t="n">
        <v>0</v>
      </c>
      <c r="CY254" t="n">
        <v>48</v>
      </c>
      <c r="CZ254" t="n">
        <v>0</v>
      </c>
      <c r="DA254" t="n">
        <v>0</v>
      </c>
      <c r="DB254" t="n">
        <v>0</v>
      </c>
      <c r="DC254" t="n">
        <v>55</v>
      </c>
      <c r="DD254" t="n">
        <v>0</v>
      </c>
      <c r="DE254" t="n">
        <v>0</v>
      </c>
      <c r="DF254" t="n">
        <v>87</v>
      </c>
      <c r="DG254" t="n">
        <v>36</v>
      </c>
      <c r="DH254" t="n">
        <v>0</v>
      </c>
      <c r="DI254" t="n">
        <v>0</v>
      </c>
      <c r="DJ254" t="n">
        <v>0</v>
      </c>
      <c r="DK254" t="n">
        <v>0</v>
      </c>
      <c r="DL254" t="n">
        <v>0</v>
      </c>
      <c r="DM254" t="n">
        <v>0</v>
      </c>
      <c r="DN254" t="n">
        <v>0</v>
      </c>
      <c r="DO254" t="n">
        <v>0</v>
      </c>
      <c r="DP254" t="n">
        <v>0</v>
      </c>
      <c r="DQ254" t="n">
        <v>0</v>
      </c>
      <c r="DR254" t="n">
        <v>0</v>
      </c>
      <c r="DS254" t="n">
        <v>123</v>
      </c>
      <c r="DT254" t="n">
        <v>240</v>
      </c>
      <c r="DU254" t="n">
        <v>60</v>
      </c>
      <c r="DV254" t="n">
        <v>0</v>
      </c>
      <c r="DW254" t="n">
        <v>0</v>
      </c>
      <c r="DX254" t="n">
        <v>0</v>
      </c>
      <c r="DY254" t="n">
        <v>340</v>
      </c>
      <c r="DZ254" t="n">
        <v>255</v>
      </c>
      <c r="EA254" t="n">
        <v>510</v>
      </c>
      <c r="EB254" t="n">
        <v>340</v>
      </c>
      <c r="EC254" t="n">
        <v>255</v>
      </c>
      <c r="ED254" t="n">
        <v>670</v>
      </c>
      <c r="EE254" t="n">
        <v>1030</v>
      </c>
      <c r="EF254" t="n">
        <v>0</v>
      </c>
      <c r="EG254" t="n">
        <v>1</v>
      </c>
      <c r="EH254" t="n">
        <v>0.7</v>
      </c>
      <c r="EI254" t="n">
        <v>1</v>
      </c>
      <c r="EJ254" t="n">
        <v>0.3</v>
      </c>
      <c r="EK254" t="n">
        <v>0.6</v>
      </c>
    </row>
    <row r="255">
      <c r="A255">
        <f>[1]ingredient!B255</f>
        <v/>
      </c>
      <c r="C255" s="7">
        <f>_xlfn.XLOOKUP(A255,[1]ingredient!$B$2:$B$521,[1]ingredient!$A$2:$A$521)</f>
        <v/>
      </c>
      <c r="D255" t="n">
        <v>57</v>
      </c>
      <c r="E255" t="n">
        <v>3.1</v>
      </c>
      <c r="F255" t="n">
        <v>1.3</v>
      </c>
      <c r="G255" t="n">
        <v>5.4</v>
      </c>
      <c r="H255" t="n">
        <v>0</v>
      </c>
      <c r="I255" t="n">
        <v>0.5</v>
      </c>
      <c r="J255" t="n">
        <v>0.3</v>
      </c>
      <c r="K255" t="n">
        <v>85</v>
      </c>
      <c r="BG255">
        <f>IF($F255=0,"0",MIN(
BH255/(30*$F255),
BI255/(61*$F255),
BJ255/(48*$F255),
(BK255+BL255)/(23*$F255),
(BM255+BN255)/(41*$F255),
BO255/(25*$F255),
BP255/(6.6*$F255),
BQ255/(40*$F255),
BS255/(16*$F255)
)*100)</f>
        <v/>
      </c>
      <c r="CT255" t="n">
        <v>0.2</v>
      </c>
    </row>
    <row r="256">
      <c r="A256">
        <f>[1]ingredient!B256</f>
        <v/>
      </c>
      <c r="B256" t="inlineStr">
        <is>
          <t>https://www.naehrwertrechner.de/naehrwerte/H821100/Mandeldrink+unges%C3%BC%C3%9Ft/?menge=100</t>
        </is>
      </c>
      <c r="C256" s="7">
        <f>_xlfn.XLOOKUP(A256,[1]ingredient!$B$2:$B$521,[1]ingredient!$A$2:$A$521)</f>
        <v/>
      </c>
      <c r="D256" t="n">
        <v>13</v>
      </c>
      <c r="E256" t="n">
        <v>1</v>
      </c>
      <c r="F256" t="n">
        <v>0.4</v>
      </c>
      <c r="G256" t="n">
        <v>0</v>
      </c>
      <c r="H256" t="n">
        <v>0.3</v>
      </c>
      <c r="I256" t="n">
        <v>0.02</v>
      </c>
      <c r="J256" t="n">
        <v>0.18</v>
      </c>
      <c r="K256" t="n">
        <v>97</v>
      </c>
      <c r="L256" t="n">
        <v>0</v>
      </c>
      <c r="M256" t="n">
        <v>0</v>
      </c>
      <c r="N256" t="n">
        <v>0</v>
      </c>
      <c r="O256" t="n">
        <v>0</v>
      </c>
      <c r="P256" t="n">
        <v>0</v>
      </c>
      <c r="Q256" t="n">
        <v>200</v>
      </c>
      <c r="R256" t="n">
        <v>100</v>
      </c>
      <c r="S256" t="n">
        <v>100</v>
      </c>
      <c r="T256" t="n">
        <v>0</v>
      </c>
      <c r="U256" t="n">
        <v>0</v>
      </c>
      <c r="V256" t="n">
        <v>0</v>
      </c>
      <c r="W256" t="n">
        <v>1</v>
      </c>
      <c r="X256" t="n">
        <v>0.4</v>
      </c>
      <c r="Y256" t="n">
        <v>0</v>
      </c>
      <c r="Z256" t="n">
        <v>1</v>
      </c>
      <c r="AA256" t="n">
        <v>0</v>
      </c>
      <c r="AB256" t="n">
        <v>0</v>
      </c>
      <c r="AC256" t="n">
        <v>56</v>
      </c>
      <c r="AD256" t="n">
        <v>15</v>
      </c>
      <c r="AE256" t="n">
        <v>120</v>
      </c>
      <c r="AF256" t="n">
        <v>6</v>
      </c>
      <c r="AG256" t="n">
        <v>207</v>
      </c>
      <c r="AH256" t="n">
        <v>4</v>
      </c>
      <c r="AI256" t="n">
        <v>124</v>
      </c>
      <c r="AJ256" t="n">
        <v>100</v>
      </c>
      <c r="AK256" t="n">
        <v>100</v>
      </c>
      <c r="AL256" t="n">
        <v>0</v>
      </c>
      <c r="AM256" t="n">
        <v>0</v>
      </c>
      <c r="AN256" t="n">
        <v>0</v>
      </c>
      <c r="AO256" t="n">
        <v>4</v>
      </c>
      <c r="AP256" t="n">
        <v>0</v>
      </c>
      <c r="AQ256" t="n">
        <v>0</v>
      </c>
      <c r="AR256" t="n">
        <v>0</v>
      </c>
      <c r="AS256" t="n">
        <v>0</v>
      </c>
      <c r="AT256" t="n">
        <v>2</v>
      </c>
      <c r="AU256" t="n">
        <v>2</v>
      </c>
      <c r="AV256" t="n">
        <v>0</v>
      </c>
      <c r="AW256" t="n">
        <v>4</v>
      </c>
      <c r="AX256" t="n">
        <v>0</v>
      </c>
      <c r="AY256" t="n">
        <v>0</v>
      </c>
      <c r="AZ256" t="n">
        <v>0</v>
      </c>
      <c r="BA256" t="n">
        <v>16</v>
      </c>
      <c r="BB256" t="n">
        <v>0</v>
      </c>
      <c r="BC256" t="n">
        <v>0</v>
      </c>
      <c r="BD256" t="n">
        <v>0</v>
      </c>
      <c r="BE256" t="n">
        <v>20</v>
      </c>
      <c r="BF256" t="n">
        <v>0</v>
      </c>
      <c r="BG256">
        <f>IF($F256=0,"0",MIN(
BH256/(30*$F256),
BI256/(61*$F256),
BJ256/(48*$F256),
(BK256+BL256)/(23*$F256),
(BM256+BN256)/(41*$F256),
BO256/(25*$F256),
BP256/(6.6*$F256),
BQ256/(40*$F256),
BS256/(16*$F256)
)*100)</f>
        <v/>
      </c>
      <c r="BH256" t="n">
        <v>15</v>
      </c>
      <c r="BI256" t="n">
        <v>25</v>
      </c>
      <c r="BJ256" t="n">
        <v>11</v>
      </c>
      <c r="BK256" t="n">
        <v>5</v>
      </c>
      <c r="BL256" t="n">
        <v>7</v>
      </c>
      <c r="BM256" t="n">
        <v>20</v>
      </c>
      <c r="BN256" t="n">
        <v>11</v>
      </c>
      <c r="BO256" t="n">
        <v>11</v>
      </c>
      <c r="BP256" t="n">
        <v>3</v>
      </c>
      <c r="BQ256" t="n">
        <v>20</v>
      </c>
      <c r="BR256" t="n">
        <v>48</v>
      </c>
      <c r="BS256" t="n">
        <v>9</v>
      </c>
      <c r="BT256" t="n">
        <v>182</v>
      </c>
      <c r="BU256" t="n">
        <v>17</v>
      </c>
      <c r="BV256" t="n">
        <v>41</v>
      </c>
      <c r="BW256" t="n">
        <v>102</v>
      </c>
      <c r="BX256" t="n">
        <v>22</v>
      </c>
      <c r="BY256" t="n">
        <v>21</v>
      </c>
      <c r="BZ256" t="n">
        <v>16</v>
      </c>
      <c r="CA256" t="n">
        <v>218</v>
      </c>
      <c r="CB256" t="n">
        <v>1</v>
      </c>
      <c r="CC256" t="n">
        <v>0</v>
      </c>
      <c r="CD256" t="n">
        <v>0</v>
      </c>
      <c r="CE256" t="n">
        <v>0.3</v>
      </c>
      <c r="CG256" t="n">
        <v>0</v>
      </c>
      <c r="CH256" t="n">
        <v>0</v>
      </c>
      <c r="CI256" t="n">
        <v>0</v>
      </c>
      <c r="CJ256" t="n">
        <v>0</v>
      </c>
      <c r="CK256" t="n">
        <v>0.1</v>
      </c>
      <c r="CL256" t="n">
        <v>0.3</v>
      </c>
      <c r="CM256" t="n">
        <v>0</v>
      </c>
      <c r="CN256" t="n">
        <v>78</v>
      </c>
      <c r="CO256" t="n">
        <v>0.1</v>
      </c>
      <c r="CP256" t="n">
        <v>20</v>
      </c>
      <c r="CQ256" t="n">
        <v>1</v>
      </c>
      <c r="CR256" t="n">
        <v>0.2</v>
      </c>
      <c r="CS256" t="n">
        <v>0.1</v>
      </c>
      <c r="CT256" t="n">
        <v>100</v>
      </c>
      <c r="CU256" t="n">
        <v>0</v>
      </c>
      <c r="CV256" t="n">
        <v>0</v>
      </c>
      <c r="CW256" t="n">
        <v>6</v>
      </c>
      <c r="CX256" t="n">
        <v>0</v>
      </c>
      <c r="CY256" t="n">
        <v>693</v>
      </c>
      <c r="CZ256" t="n">
        <v>1</v>
      </c>
      <c r="DA256" t="n">
        <v>0.1</v>
      </c>
      <c r="DB256" t="n">
        <v>0</v>
      </c>
      <c r="DC256" t="n">
        <v>700</v>
      </c>
      <c r="DD256" t="n">
        <v>0</v>
      </c>
      <c r="DE256" t="n">
        <v>0</v>
      </c>
      <c r="DF256" t="n">
        <v>0.3</v>
      </c>
      <c r="DG256" t="n">
        <v>0</v>
      </c>
      <c r="DH256" t="n">
        <v>0</v>
      </c>
      <c r="DI256" t="n">
        <v>0</v>
      </c>
      <c r="DJ256" t="n">
        <v>0</v>
      </c>
      <c r="DK256" t="n">
        <v>0</v>
      </c>
      <c r="DL256" t="n">
        <v>0</v>
      </c>
      <c r="DM256" t="n">
        <v>0</v>
      </c>
      <c r="DN256" t="n">
        <v>0</v>
      </c>
      <c r="DO256" t="n">
        <v>0</v>
      </c>
      <c r="DP256" t="n">
        <v>0</v>
      </c>
      <c r="DQ256" t="n">
        <v>0</v>
      </c>
      <c r="DR256" t="n">
        <v>0</v>
      </c>
      <c r="DS256" t="n">
        <v>0.3</v>
      </c>
      <c r="DT256" t="n">
        <v>1100</v>
      </c>
      <c r="DU256" t="n">
        <v>0</v>
      </c>
      <c r="DV256" t="n">
        <v>0</v>
      </c>
      <c r="DW256" t="n">
        <v>0</v>
      </c>
      <c r="DX256" t="n">
        <v>0</v>
      </c>
      <c r="DY256" t="n">
        <v>28</v>
      </c>
      <c r="DZ256" t="n">
        <v>89</v>
      </c>
      <c r="EA256" t="n">
        <v>177</v>
      </c>
      <c r="EB256" t="n">
        <v>20</v>
      </c>
      <c r="EC256" t="n">
        <v>2</v>
      </c>
      <c r="ED256" t="n">
        <v>37</v>
      </c>
      <c r="EE256" t="n">
        <v>263</v>
      </c>
      <c r="EF256" t="n">
        <v>0</v>
      </c>
      <c r="EG256" t="n">
        <v>250</v>
      </c>
      <c r="EH256" t="n">
        <v>0.5</v>
      </c>
      <c r="EI256" t="n">
        <v>0.3</v>
      </c>
      <c r="EJ256" t="n">
        <v>1.1</v>
      </c>
      <c r="EK256" t="n">
        <v>0.4</v>
      </c>
    </row>
    <row r="257">
      <c r="A257">
        <f>[1]ingredient!B257</f>
        <v/>
      </c>
      <c r="B257" t="inlineStr">
        <is>
          <t>https://www.naehrwertrechner.de/naehrwerte/J584111/Mandelmus+pur/?menge=100</t>
        </is>
      </c>
      <c r="C257" s="7">
        <f>_xlfn.XLOOKUP(A257,[1]ingredient!$B$2:$B$521,[1]ingredient!$A$2:$A$521)</f>
        <v/>
      </c>
      <c r="D257" t="n">
        <v>664</v>
      </c>
      <c r="E257" t="n">
        <v>59</v>
      </c>
      <c r="F257" t="n">
        <v>15</v>
      </c>
      <c r="G257" t="n">
        <v>20</v>
      </c>
      <c r="H257" t="n">
        <v>2</v>
      </c>
      <c r="I257" t="n">
        <v>20</v>
      </c>
      <c r="J257" t="n">
        <v>0.01</v>
      </c>
      <c r="K257" t="n">
        <v>1</v>
      </c>
      <c r="L257" t="n">
        <v>0</v>
      </c>
      <c r="M257" t="n">
        <v>0</v>
      </c>
      <c r="N257" t="n">
        <v>0</v>
      </c>
      <c r="O257" t="n">
        <v>0</v>
      </c>
      <c r="P257" t="n">
        <v>130</v>
      </c>
      <c r="Q257" t="n">
        <v>610</v>
      </c>
      <c r="R257" t="n">
        <v>2875</v>
      </c>
      <c r="S257" t="n">
        <v>4892</v>
      </c>
      <c r="T257" t="n">
        <v>260</v>
      </c>
      <c r="U257" t="n">
        <v>76</v>
      </c>
      <c r="V257" t="n">
        <v>0.3</v>
      </c>
      <c r="W257" t="n">
        <v>65</v>
      </c>
      <c r="X257" t="n">
        <v>0</v>
      </c>
      <c r="Y257" t="n">
        <v>500</v>
      </c>
      <c r="Z257" t="n">
        <v>0</v>
      </c>
      <c r="AA257" t="n">
        <v>5000</v>
      </c>
      <c r="AB257" t="n">
        <v>0</v>
      </c>
      <c r="AC257" t="n">
        <v>6</v>
      </c>
      <c r="AD257" t="n">
        <v>758</v>
      </c>
      <c r="AE257" t="n">
        <v>270</v>
      </c>
      <c r="AF257" t="n">
        <v>300</v>
      </c>
      <c r="AG257" t="n">
        <v>450</v>
      </c>
      <c r="AH257" t="n">
        <v>140</v>
      </c>
      <c r="AI257" t="n">
        <v>4</v>
      </c>
      <c r="AJ257" t="n">
        <v>3700</v>
      </c>
      <c r="AK257" t="n">
        <v>2400</v>
      </c>
      <c r="AL257" t="n">
        <v>800</v>
      </c>
      <c r="AM257" t="n">
        <v>1900</v>
      </c>
      <c r="AN257" t="n">
        <v>85</v>
      </c>
      <c r="AO257" t="n">
        <v>1</v>
      </c>
      <c r="AP257" t="n">
        <v>0</v>
      </c>
      <c r="AQ257" t="n">
        <v>0</v>
      </c>
      <c r="AR257" t="n">
        <v>0</v>
      </c>
      <c r="AS257" t="n">
        <v>0</v>
      </c>
      <c r="AT257" t="n">
        <v>0</v>
      </c>
      <c r="AU257" t="n">
        <v>0</v>
      </c>
      <c r="AV257" t="n">
        <v>0</v>
      </c>
      <c r="AW257" t="n">
        <v>0</v>
      </c>
      <c r="AX257" t="n">
        <v>19700</v>
      </c>
      <c r="AY257" t="n">
        <v>0</v>
      </c>
      <c r="AZ257" t="n">
        <v>0</v>
      </c>
      <c r="BA257" t="n">
        <v>19700</v>
      </c>
      <c r="BB257" t="n">
        <v>0</v>
      </c>
      <c r="BC257" t="n">
        <v>0</v>
      </c>
      <c r="BD257" t="n">
        <v>0</v>
      </c>
      <c r="BE257" t="n">
        <v>0</v>
      </c>
      <c r="BF257" t="n">
        <v>0</v>
      </c>
      <c r="BG257">
        <f>IF($F257=0,"0",MIN(
BH257/(30*$F257),
BI257/(61*$F257),
BJ257/(48*$F257),
(BK257+BL257)/(23*$F257),
(BM257+BN257)/(41*$F257),
BO257/(25*$F257),
BP257/(6.6*$F257),
BQ257/(40*$F257),
BS257/(16*$F257)
)*100)</f>
        <v/>
      </c>
      <c r="BH257" t="n">
        <v>573</v>
      </c>
      <c r="BI257" t="n">
        <v>1010</v>
      </c>
      <c r="BJ257" t="n">
        <v>407</v>
      </c>
      <c r="BK257" t="n">
        <v>181</v>
      </c>
      <c r="BL257" t="n">
        <v>241</v>
      </c>
      <c r="BM257" t="n">
        <v>784</v>
      </c>
      <c r="BN257" t="n">
        <v>437</v>
      </c>
      <c r="BO257" t="n">
        <v>422</v>
      </c>
      <c r="BP257" t="n">
        <v>121</v>
      </c>
      <c r="BQ257" t="n">
        <v>769</v>
      </c>
      <c r="BR257" t="n">
        <v>1795</v>
      </c>
      <c r="BS257" t="n">
        <v>347</v>
      </c>
      <c r="BT257" t="n">
        <v>7087</v>
      </c>
      <c r="BU257" t="n">
        <v>603</v>
      </c>
      <c r="BV257" t="n">
        <v>1508</v>
      </c>
      <c r="BW257" t="n">
        <v>3681</v>
      </c>
      <c r="BX257" t="n">
        <v>799</v>
      </c>
      <c r="BY257" t="n">
        <v>769</v>
      </c>
      <c r="BZ257" t="n">
        <v>558</v>
      </c>
      <c r="CA257" t="n">
        <v>7918</v>
      </c>
      <c r="CB257" t="n">
        <v>40</v>
      </c>
      <c r="CC257" t="n">
        <v>17</v>
      </c>
      <c r="CD257" t="n">
        <v>338</v>
      </c>
      <c r="CE257" t="n">
        <v>10882</v>
      </c>
      <c r="CF257" t="n">
        <v>32.2</v>
      </c>
      <c r="CG257" t="n">
        <v>0</v>
      </c>
      <c r="CH257" t="n">
        <v>0</v>
      </c>
      <c r="CI257" t="n">
        <v>0</v>
      </c>
      <c r="CJ257" t="n">
        <v>0</v>
      </c>
      <c r="CK257" t="n">
        <v>0</v>
      </c>
      <c r="CL257" t="n">
        <v>113</v>
      </c>
      <c r="CM257" t="n">
        <v>0</v>
      </c>
      <c r="CN257" t="n">
        <v>3721</v>
      </c>
      <c r="CO257" t="n">
        <v>0</v>
      </c>
      <c r="CP257" t="n">
        <v>1015</v>
      </c>
      <c r="CQ257" t="n">
        <v>113</v>
      </c>
      <c r="CR257" t="n">
        <v>0</v>
      </c>
      <c r="CS257" t="n">
        <v>0</v>
      </c>
      <c r="CT257" t="n">
        <v>4962</v>
      </c>
      <c r="CU257" t="n">
        <v>0</v>
      </c>
      <c r="CV257" t="n">
        <v>0</v>
      </c>
      <c r="CW257" t="n">
        <v>395</v>
      </c>
      <c r="CX257" t="n">
        <v>0</v>
      </c>
      <c r="CY257" t="n">
        <v>39748</v>
      </c>
      <c r="CZ257" t="n">
        <v>56</v>
      </c>
      <c r="DA257" t="n">
        <v>0</v>
      </c>
      <c r="DB257" t="n">
        <v>0</v>
      </c>
      <c r="DC257" t="n">
        <v>40199</v>
      </c>
      <c r="DD257" t="n">
        <v>0</v>
      </c>
      <c r="DE257" t="n">
        <v>0</v>
      </c>
      <c r="DF257" t="n">
        <v>10882</v>
      </c>
      <c r="DG257" t="n">
        <v>338</v>
      </c>
      <c r="DH257" t="n">
        <v>0</v>
      </c>
      <c r="DI257" t="n">
        <v>0</v>
      </c>
      <c r="DJ257" t="n">
        <v>0</v>
      </c>
      <c r="DK257" t="n">
        <v>0</v>
      </c>
      <c r="DL257" t="n">
        <v>0</v>
      </c>
      <c r="DM257" t="n">
        <v>0</v>
      </c>
      <c r="DN257" t="n">
        <v>0</v>
      </c>
      <c r="DO257" t="n">
        <v>0</v>
      </c>
      <c r="DP257" t="n">
        <v>0</v>
      </c>
      <c r="DQ257" t="n">
        <v>0</v>
      </c>
      <c r="DR257" t="n">
        <v>0</v>
      </c>
      <c r="DS257" t="n">
        <v>11220</v>
      </c>
      <c r="DT257" t="n">
        <v>56381</v>
      </c>
      <c r="DU257" t="n">
        <v>2719</v>
      </c>
      <c r="DV257" t="n">
        <v>0</v>
      </c>
      <c r="DW257" t="n">
        <v>0</v>
      </c>
      <c r="DX257" t="n">
        <v>0</v>
      </c>
      <c r="DY257" t="n">
        <v>225</v>
      </c>
      <c r="DZ257" t="n">
        <v>990</v>
      </c>
      <c r="EA257" t="n">
        <v>30</v>
      </c>
      <c r="EB257" t="n">
        <v>225</v>
      </c>
      <c r="EC257" t="n">
        <v>30</v>
      </c>
      <c r="ED257" t="n">
        <v>600</v>
      </c>
      <c r="EE257" t="n">
        <v>900</v>
      </c>
      <c r="EF257" t="n">
        <v>0</v>
      </c>
      <c r="EG257" t="n">
        <v>0</v>
      </c>
      <c r="EH257" t="n">
        <v>3.6</v>
      </c>
      <c r="EI257" t="n">
        <v>0.9</v>
      </c>
      <c r="EJ257" t="n">
        <v>59.1</v>
      </c>
      <c r="EK257" t="n">
        <v>15.1</v>
      </c>
    </row>
    <row r="258">
      <c r="A258">
        <f>[1]ingredient!B258</f>
        <v/>
      </c>
      <c r="B258" t="inlineStr">
        <is>
          <t>https://www.naehrwertrechner.de/naehrwerte/J584111/Mandelmus+pur/?menge=100</t>
        </is>
      </c>
      <c r="C258" s="7">
        <f>_xlfn.XLOOKUP(A258,[1]ingredient!$B$2:$B$521,[1]ingredient!$A$2:$A$521)</f>
        <v/>
      </c>
      <c r="D258" t="n">
        <v>664</v>
      </c>
      <c r="E258" t="n">
        <v>59</v>
      </c>
      <c r="F258" t="n">
        <v>15</v>
      </c>
      <c r="G258" t="n">
        <v>20</v>
      </c>
      <c r="H258" t="n">
        <v>2</v>
      </c>
      <c r="I258" t="n">
        <v>20</v>
      </c>
      <c r="J258" t="n">
        <v>0.01</v>
      </c>
      <c r="K258" t="n">
        <v>1</v>
      </c>
      <c r="L258" t="n">
        <v>0</v>
      </c>
      <c r="M258" t="n">
        <v>0</v>
      </c>
      <c r="N258" t="n">
        <v>0</v>
      </c>
      <c r="O258" t="n">
        <v>0</v>
      </c>
      <c r="P258" t="n">
        <v>130</v>
      </c>
      <c r="Q258" t="n">
        <v>610</v>
      </c>
      <c r="R258" t="n">
        <v>2875</v>
      </c>
      <c r="S258" t="n">
        <v>4892</v>
      </c>
      <c r="T258" t="n">
        <v>260</v>
      </c>
      <c r="U258" t="n">
        <v>76</v>
      </c>
      <c r="V258" t="n">
        <v>0.3</v>
      </c>
      <c r="W258" t="n">
        <v>65</v>
      </c>
      <c r="X258" t="n">
        <v>0</v>
      </c>
      <c r="Y258" t="n">
        <v>500</v>
      </c>
      <c r="Z258" t="n">
        <v>0</v>
      </c>
      <c r="AA258" t="n">
        <v>5000</v>
      </c>
      <c r="AB258" t="n">
        <v>0</v>
      </c>
      <c r="AC258" t="n">
        <v>6</v>
      </c>
      <c r="AD258" t="n">
        <v>758</v>
      </c>
      <c r="AE258" t="n">
        <v>270</v>
      </c>
      <c r="AF258" t="n">
        <v>300</v>
      </c>
      <c r="AG258" t="n">
        <v>450</v>
      </c>
      <c r="AH258" t="n">
        <v>140</v>
      </c>
      <c r="AI258" t="n">
        <v>4</v>
      </c>
      <c r="AJ258" t="n">
        <v>3700</v>
      </c>
      <c r="AK258" t="n">
        <v>2400</v>
      </c>
      <c r="AL258" t="n">
        <v>800</v>
      </c>
      <c r="AM258" t="n">
        <v>1900</v>
      </c>
      <c r="AN258" t="n">
        <v>85</v>
      </c>
      <c r="AO258" t="n">
        <v>1</v>
      </c>
      <c r="AP258" t="n">
        <v>0</v>
      </c>
      <c r="AQ258" t="n">
        <v>0</v>
      </c>
      <c r="AR258" t="n">
        <v>0</v>
      </c>
      <c r="AS258" t="n">
        <v>0</v>
      </c>
      <c r="AT258" t="n">
        <v>0</v>
      </c>
      <c r="AU258" t="n">
        <v>0</v>
      </c>
      <c r="AV258" t="n">
        <v>0</v>
      </c>
      <c r="AW258" t="n">
        <v>0</v>
      </c>
      <c r="AX258" t="n">
        <v>19700</v>
      </c>
      <c r="AY258" t="n">
        <v>0</v>
      </c>
      <c r="AZ258" t="n">
        <v>0</v>
      </c>
      <c r="BA258" t="n">
        <v>19700</v>
      </c>
      <c r="BB258" t="n">
        <v>0</v>
      </c>
      <c r="BC258" t="n">
        <v>0</v>
      </c>
      <c r="BD258" t="n">
        <v>0</v>
      </c>
      <c r="BE258" t="n">
        <v>0</v>
      </c>
      <c r="BF258" t="n">
        <v>0</v>
      </c>
      <c r="BG258">
        <f>IF($F258=0,"0",MIN(
BH258/(30*$F258),
BI258/(61*$F258),
BJ258/(48*$F258),
(BK258+BL258)/(23*$F258),
(BM258+BN258)/(41*$F258),
BO258/(25*$F258),
BP258/(6.6*$F258),
BQ258/(40*$F258),
BS258/(16*$F258)
)*100)</f>
        <v/>
      </c>
      <c r="BH258" t="n">
        <v>573</v>
      </c>
      <c r="BI258" t="n">
        <v>1010</v>
      </c>
      <c r="BJ258" t="n">
        <v>407</v>
      </c>
      <c r="BK258" t="n">
        <v>181</v>
      </c>
      <c r="BL258" t="n">
        <v>241</v>
      </c>
      <c r="BM258" t="n">
        <v>784</v>
      </c>
      <c r="BN258" t="n">
        <v>437</v>
      </c>
      <c r="BO258" t="n">
        <v>422</v>
      </c>
      <c r="BP258" t="n">
        <v>121</v>
      </c>
      <c r="BQ258" t="n">
        <v>769</v>
      </c>
      <c r="BR258" t="n">
        <v>1795</v>
      </c>
      <c r="BS258" t="n">
        <v>347</v>
      </c>
      <c r="BT258" t="n">
        <v>7087</v>
      </c>
      <c r="BU258" t="n">
        <v>603</v>
      </c>
      <c r="BV258" t="n">
        <v>1508</v>
      </c>
      <c r="BW258" t="n">
        <v>3681</v>
      </c>
      <c r="BX258" t="n">
        <v>799</v>
      </c>
      <c r="BY258" t="n">
        <v>769</v>
      </c>
      <c r="BZ258" t="n">
        <v>558</v>
      </c>
      <c r="CA258" t="n">
        <v>7918</v>
      </c>
      <c r="CB258" t="n">
        <v>40</v>
      </c>
      <c r="CC258" t="n">
        <v>17</v>
      </c>
      <c r="CD258" t="n">
        <v>338</v>
      </c>
      <c r="CE258" t="n">
        <v>10882</v>
      </c>
      <c r="CF258" t="n">
        <v>32.2</v>
      </c>
      <c r="CG258" t="n">
        <v>0</v>
      </c>
      <c r="CH258" t="n">
        <v>0</v>
      </c>
      <c r="CI258" t="n">
        <v>0</v>
      </c>
      <c r="CJ258" t="n">
        <v>0</v>
      </c>
      <c r="CK258" t="n">
        <v>0</v>
      </c>
      <c r="CL258" t="n">
        <v>113</v>
      </c>
      <c r="CM258" t="n">
        <v>0</v>
      </c>
      <c r="CN258" t="n">
        <v>3721</v>
      </c>
      <c r="CO258" t="n">
        <v>0</v>
      </c>
      <c r="CP258" t="n">
        <v>1015</v>
      </c>
      <c r="CQ258" t="n">
        <v>113</v>
      </c>
      <c r="CR258" t="n">
        <v>0</v>
      </c>
      <c r="CS258" t="n">
        <v>0</v>
      </c>
      <c r="CT258" t="n">
        <v>4962</v>
      </c>
      <c r="CU258" t="n">
        <v>0</v>
      </c>
      <c r="CV258" t="n">
        <v>0</v>
      </c>
      <c r="CW258" t="n">
        <v>395</v>
      </c>
      <c r="CX258" t="n">
        <v>0</v>
      </c>
      <c r="CY258" t="n">
        <v>39748</v>
      </c>
      <c r="CZ258" t="n">
        <v>56</v>
      </c>
      <c r="DA258" t="n">
        <v>0</v>
      </c>
      <c r="DB258" t="n">
        <v>0</v>
      </c>
      <c r="DC258" t="n">
        <v>40199</v>
      </c>
      <c r="DD258" t="n">
        <v>0</v>
      </c>
      <c r="DE258" t="n">
        <v>0</v>
      </c>
      <c r="DF258" t="n">
        <v>10882</v>
      </c>
      <c r="DG258" t="n">
        <v>338</v>
      </c>
      <c r="DH258" t="n">
        <v>0</v>
      </c>
      <c r="DI258" t="n">
        <v>0</v>
      </c>
      <c r="DJ258" t="n">
        <v>0</v>
      </c>
      <c r="DK258" t="n">
        <v>0</v>
      </c>
      <c r="DL258" t="n">
        <v>0</v>
      </c>
      <c r="DM258" t="n">
        <v>0</v>
      </c>
      <c r="DN258" t="n">
        <v>0</v>
      </c>
      <c r="DO258" t="n">
        <v>0</v>
      </c>
      <c r="DP258" t="n">
        <v>0</v>
      </c>
      <c r="DQ258" t="n">
        <v>0</v>
      </c>
      <c r="DR258" t="n">
        <v>0</v>
      </c>
      <c r="DS258" t="n">
        <v>11220</v>
      </c>
      <c r="DT258" t="n">
        <v>56381</v>
      </c>
      <c r="DU258" t="n">
        <v>2719</v>
      </c>
      <c r="DV258" t="n">
        <v>0</v>
      </c>
      <c r="DW258" t="n">
        <v>0</v>
      </c>
      <c r="DX258" t="n">
        <v>0</v>
      </c>
      <c r="DY258" t="n">
        <v>225</v>
      </c>
      <c r="DZ258" t="n">
        <v>990</v>
      </c>
      <c r="EA258" t="n">
        <v>30</v>
      </c>
      <c r="EB258" t="n">
        <v>225</v>
      </c>
      <c r="EC258" t="n">
        <v>30</v>
      </c>
      <c r="ED258" t="n">
        <v>600</v>
      </c>
      <c r="EE258" t="n">
        <v>900</v>
      </c>
      <c r="EF258" t="n">
        <v>0</v>
      </c>
      <c r="EG258" t="n">
        <v>0</v>
      </c>
      <c r="EH258" t="n">
        <v>3.6</v>
      </c>
      <c r="EI258" t="n">
        <v>0.9</v>
      </c>
      <c r="EJ258" t="n">
        <v>59.1</v>
      </c>
      <c r="EK258" t="n">
        <v>15.1</v>
      </c>
    </row>
    <row r="259">
      <c r="A259">
        <f>[1]ingredient!B259</f>
        <v/>
      </c>
      <c r="B259" t="inlineStr">
        <is>
          <t>https://www.naehrwertrechner.de/naehrwerte/H210100/Mandel+s%C3%BC%C3%9F+roh/?menge=100</t>
        </is>
      </c>
      <c r="C259" s="7">
        <f>_xlfn.XLOOKUP(A259,[1]ingredient!$B$2:$B$521,[1]ingredient!$A$2:$A$521)</f>
        <v/>
      </c>
      <c r="D259" t="n">
        <v>589</v>
      </c>
      <c r="E259" t="n">
        <v>53</v>
      </c>
      <c r="F259" t="n">
        <v>24</v>
      </c>
      <c r="G259" t="n">
        <v>6</v>
      </c>
      <c r="H259" t="n">
        <v>11</v>
      </c>
      <c r="I259" t="n">
        <v>3</v>
      </c>
      <c r="J259" t="n">
        <v>0.04</v>
      </c>
      <c r="K259" t="n">
        <v>5</v>
      </c>
      <c r="L259" t="n">
        <v>20</v>
      </c>
      <c r="M259" t="n">
        <v>10</v>
      </c>
      <c r="N259" t="n">
        <v>0</v>
      </c>
      <c r="O259" t="n">
        <v>120</v>
      </c>
      <c r="P259" t="n">
        <v>220</v>
      </c>
      <c r="Q259" t="n">
        <v>169</v>
      </c>
      <c r="R259" t="n">
        <v>4180</v>
      </c>
      <c r="S259" t="n">
        <v>7013</v>
      </c>
      <c r="T259" t="n">
        <v>580</v>
      </c>
      <c r="U259" t="n">
        <v>24</v>
      </c>
      <c r="V259" t="n">
        <v>0</v>
      </c>
      <c r="W259" t="n">
        <v>45</v>
      </c>
      <c r="X259" t="n">
        <v>0</v>
      </c>
      <c r="Y259" t="n">
        <v>0</v>
      </c>
      <c r="Z259" t="n">
        <v>0</v>
      </c>
      <c r="AA259" t="n">
        <v>25893</v>
      </c>
      <c r="AB259" t="n">
        <v>0</v>
      </c>
      <c r="AC259" t="n">
        <v>2</v>
      </c>
      <c r="AD259" t="n">
        <v>676</v>
      </c>
      <c r="AE259" t="n">
        <v>85</v>
      </c>
      <c r="AF259" t="n">
        <v>218</v>
      </c>
      <c r="AG259" t="n">
        <v>347</v>
      </c>
      <c r="AH259" t="n">
        <v>150</v>
      </c>
      <c r="AI259" t="n">
        <v>40</v>
      </c>
      <c r="AJ259" t="n">
        <v>3110</v>
      </c>
      <c r="AK259" t="n">
        <v>3156</v>
      </c>
      <c r="AL259" t="n">
        <v>902</v>
      </c>
      <c r="AM259" t="n">
        <v>1814</v>
      </c>
      <c r="AN259" t="n">
        <v>90</v>
      </c>
      <c r="AO259" t="n">
        <v>1</v>
      </c>
      <c r="AP259" t="n">
        <v>0</v>
      </c>
      <c r="AQ259" t="n">
        <v>0</v>
      </c>
      <c r="AR259" t="n">
        <v>0</v>
      </c>
      <c r="AS259" t="n">
        <v>0</v>
      </c>
      <c r="AT259" t="n">
        <v>350</v>
      </c>
      <c r="AU259" t="n">
        <v>310</v>
      </c>
      <c r="AV259" t="n">
        <v>0</v>
      </c>
      <c r="AW259" t="n">
        <v>660</v>
      </c>
      <c r="AX259" t="n">
        <v>2780</v>
      </c>
      <c r="AY259" t="n">
        <v>0</v>
      </c>
      <c r="AZ259" t="n">
        <v>0</v>
      </c>
      <c r="BA259" t="n">
        <v>2780</v>
      </c>
      <c r="BB259" t="n">
        <v>0</v>
      </c>
      <c r="BC259" t="n">
        <v>0</v>
      </c>
      <c r="BD259" t="n">
        <v>0</v>
      </c>
      <c r="BE259" t="n">
        <v>0</v>
      </c>
      <c r="BF259" t="n">
        <v>0</v>
      </c>
      <c r="BG259">
        <f>IF($F259=0,"0",MIN(
BH259/(30*$F259),
BI259/(61*$F259),
BJ259/(48*$F259),
(BK259+BL259)/(23*$F259),
(BM259+BN259)/(41*$F259),
BO259/(25*$F259),
BP259/(6.6*$F259),
BQ259/(40*$F259),
BS259/(16*$F259)
)*100)</f>
        <v/>
      </c>
      <c r="BH259" t="n">
        <v>880</v>
      </c>
      <c r="BI259" t="n">
        <v>1460</v>
      </c>
      <c r="BJ259" t="n">
        <v>580</v>
      </c>
      <c r="BK259" t="n">
        <v>270</v>
      </c>
      <c r="BL259" t="n">
        <v>380</v>
      </c>
      <c r="BM259" t="n">
        <v>1160</v>
      </c>
      <c r="BN259" t="n">
        <v>620</v>
      </c>
      <c r="BO259" t="n">
        <v>610</v>
      </c>
      <c r="BP259" t="n">
        <v>170</v>
      </c>
      <c r="BQ259" t="n">
        <v>1140</v>
      </c>
      <c r="BR259" t="n">
        <v>2750</v>
      </c>
      <c r="BS259" t="n">
        <v>520</v>
      </c>
      <c r="BT259" t="n">
        <v>10540</v>
      </c>
      <c r="BU259" t="n">
        <v>966</v>
      </c>
      <c r="BV259" t="n">
        <v>2414</v>
      </c>
      <c r="BW259" t="n">
        <v>5890</v>
      </c>
      <c r="BX259" t="n">
        <v>1279</v>
      </c>
      <c r="BY259" t="n">
        <v>1231</v>
      </c>
      <c r="BZ259" t="n">
        <v>893</v>
      </c>
      <c r="CA259" t="n">
        <v>12673</v>
      </c>
      <c r="CB259" t="n">
        <v>41</v>
      </c>
      <c r="CC259" t="n">
        <v>17</v>
      </c>
      <c r="CD259" t="n">
        <v>40</v>
      </c>
      <c r="CE259" t="n">
        <v>10278</v>
      </c>
      <c r="CF259" t="n">
        <v>256.95</v>
      </c>
      <c r="CG259" t="n">
        <v>0</v>
      </c>
      <c r="CH259" t="n">
        <v>0</v>
      </c>
      <c r="CI259" t="n">
        <v>0</v>
      </c>
      <c r="CJ259" t="n">
        <v>0</v>
      </c>
      <c r="CK259" t="n">
        <v>0</v>
      </c>
      <c r="CL259" t="n">
        <v>0</v>
      </c>
      <c r="CM259" t="n">
        <v>0</v>
      </c>
      <c r="CN259" t="n">
        <v>3170</v>
      </c>
      <c r="CO259" t="n">
        <v>0</v>
      </c>
      <c r="CP259" t="n">
        <v>847</v>
      </c>
      <c r="CQ259" t="n">
        <v>39</v>
      </c>
      <c r="CR259" t="n">
        <v>0</v>
      </c>
      <c r="CS259" t="n">
        <v>0</v>
      </c>
      <c r="CT259" t="n">
        <v>4055</v>
      </c>
      <c r="CU259" t="n">
        <v>0</v>
      </c>
      <c r="CV259" t="n">
        <v>0</v>
      </c>
      <c r="CW259" t="n">
        <v>246</v>
      </c>
      <c r="CX259" t="n">
        <v>0</v>
      </c>
      <c r="CY259" t="n">
        <v>30222</v>
      </c>
      <c r="CZ259" t="n">
        <v>35</v>
      </c>
      <c r="DA259" t="n">
        <v>0</v>
      </c>
      <c r="DB259" t="n">
        <v>0</v>
      </c>
      <c r="DC259" t="n">
        <v>30503</v>
      </c>
      <c r="DD259" t="n">
        <v>0</v>
      </c>
      <c r="DE259" t="n">
        <v>0</v>
      </c>
      <c r="DF259" t="n">
        <v>10278</v>
      </c>
      <c r="DG259" t="n">
        <v>40</v>
      </c>
      <c r="DH259" t="n">
        <v>0</v>
      </c>
      <c r="DI259" t="n">
        <v>0</v>
      </c>
      <c r="DJ259" t="n">
        <v>0</v>
      </c>
      <c r="DK259" t="n">
        <v>0</v>
      </c>
      <c r="DL259" t="n">
        <v>0</v>
      </c>
      <c r="DM259" t="n">
        <v>0</v>
      </c>
      <c r="DN259" t="n">
        <v>0</v>
      </c>
      <c r="DO259" t="n">
        <v>0</v>
      </c>
      <c r="DP259" t="n">
        <v>0</v>
      </c>
      <c r="DQ259" t="n">
        <v>0</v>
      </c>
      <c r="DR259" t="n">
        <v>0</v>
      </c>
      <c r="DS259" t="n">
        <v>10318</v>
      </c>
      <c r="DT259" t="n">
        <v>44876</v>
      </c>
      <c r="DU259" t="n">
        <v>2439</v>
      </c>
      <c r="DV259" t="n">
        <v>0</v>
      </c>
      <c r="DW259" t="n">
        <v>0</v>
      </c>
      <c r="DX259" t="n">
        <v>0</v>
      </c>
      <c r="DY259" t="n">
        <v>1704</v>
      </c>
      <c r="DZ259" t="n">
        <v>7498</v>
      </c>
      <c r="EA259" t="n">
        <v>227</v>
      </c>
      <c r="EB259" t="n">
        <v>1704</v>
      </c>
      <c r="EC259" t="n">
        <v>227</v>
      </c>
      <c r="ED259" t="n">
        <v>3300</v>
      </c>
      <c r="EE259" t="n">
        <v>6500</v>
      </c>
      <c r="EF259" t="n">
        <v>0</v>
      </c>
      <c r="EG259" t="n">
        <v>0</v>
      </c>
      <c r="EH259" t="n">
        <v>1.3</v>
      </c>
      <c r="EI259" t="n">
        <v>6.5</v>
      </c>
      <c r="EJ259" t="n">
        <v>53</v>
      </c>
      <c r="EK259" t="n">
        <v>23.3</v>
      </c>
    </row>
    <row r="260">
      <c r="A260">
        <f>[1]ingredient!B260</f>
        <v/>
      </c>
      <c r="B260" t="inlineStr">
        <is>
          <t>https://www.naehrwertrechner.de/naehrwerte/F516111/Mango+frisch/?menge=100</t>
        </is>
      </c>
      <c r="C260" s="7">
        <f>_xlfn.XLOOKUP(A260,[1]ingredient!$B$2:$B$521,[1]ingredient!$A$2:$A$521)</f>
        <v/>
      </c>
      <c r="D260" t="n">
        <v>60</v>
      </c>
      <c r="E260" t="n">
        <v>0.45</v>
      </c>
      <c r="F260" t="n">
        <v>1</v>
      </c>
      <c r="G260" t="n">
        <v>13</v>
      </c>
      <c r="H260" t="n">
        <v>2</v>
      </c>
      <c r="I260" t="n">
        <v>13</v>
      </c>
      <c r="J260" t="n">
        <v>0.01</v>
      </c>
      <c r="K260" t="n">
        <v>83</v>
      </c>
      <c r="L260" t="n">
        <v>462</v>
      </c>
      <c r="M260" t="n">
        <v>231</v>
      </c>
      <c r="N260" t="n">
        <v>0</v>
      </c>
      <c r="O260" t="n">
        <v>2770</v>
      </c>
      <c r="P260" t="n">
        <v>45</v>
      </c>
      <c r="Q260" t="n">
        <v>50</v>
      </c>
      <c r="R260" t="n">
        <v>700</v>
      </c>
      <c r="S260" t="n">
        <v>867</v>
      </c>
      <c r="T260" t="n">
        <v>160</v>
      </c>
      <c r="U260" t="n">
        <v>130</v>
      </c>
      <c r="V260" t="n">
        <v>2</v>
      </c>
      <c r="W260" t="n">
        <v>36</v>
      </c>
      <c r="X260" t="n">
        <v>0</v>
      </c>
      <c r="Y260" t="n">
        <v>38700</v>
      </c>
      <c r="Z260" t="n">
        <v>0</v>
      </c>
      <c r="AA260" t="n">
        <v>1000</v>
      </c>
      <c r="AB260" t="n">
        <v>10</v>
      </c>
      <c r="AC260" t="n">
        <v>5</v>
      </c>
      <c r="AD260" t="n">
        <v>190</v>
      </c>
      <c r="AE260" t="n">
        <v>12</v>
      </c>
      <c r="AF260" t="n">
        <v>18</v>
      </c>
      <c r="AG260" t="n">
        <v>13</v>
      </c>
      <c r="AH260" t="n">
        <v>13</v>
      </c>
      <c r="AI260" t="n">
        <v>5</v>
      </c>
      <c r="AJ260" t="n">
        <v>400</v>
      </c>
      <c r="AK260" t="n">
        <v>40</v>
      </c>
      <c r="AL260" t="n">
        <v>120</v>
      </c>
      <c r="AM260" t="n">
        <v>30</v>
      </c>
      <c r="AN260" t="n">
        <v>10</v>
      </c>
      <c r="AO260" t="n">
        <v>2</v>
      </c>
      <c r="AP260" t="n">
        <v>0</v>
      </c>
      <c r="AQ260" t="n">
        <v>0</v>
      </c>
      <c r="AR260" t="n">
        <v>0</v>
      </c>
      <c r="AS260" t="n">
        <v>0</v>
      </c>
      <c r="AT260" t="n">
        <v>640</v>
      </c>
      <c r="AU260" t="n">
        <v>2726</v>
      </c>
      <c r="AV260" t="n">
        <v>0</v>
      </c>
      <c r="AW260" t="n">
        <v>3366</v>
      </c>
      <c r="AX260" t="n">
        <v>9165</v>
      </c>
      <c r="AY260" t="n">
        <v>0</v>
      </c>
      <c r="AZ260" t="n">
        <v>0</v>
      </c>
      <c r="BA260" t="n">
        <v>9165</v>
      </c>
      <c r="BB260" t="n">
        <v>0</v>
      </c>
      <c r="BC260" t="n">
        <v>0</v>
      </c>
      <c r="BD260" t="n">
        <v>0</v>
      </c>
      <c r="BE260" t="n">
        <v>269</v>
      </c>
      <c r="BF260" t="n">
        <v>269</v>
      </c>
      <c r="BG260">
        <f>IF($F260=0,"0",MIN(
BH260/(30*$F260),
BI260/(61*$F260),
BJ260/(48*$F260),
(BK260+BL260)/(23*$F260),
(BM260+BN260)/(41*$F260),
BO260/(25*$F260),
BP260/(6.6*$F260),
BQ260/(40*$F260),
BS260/(16*$F260)
)*100)</f>
        <v/>
      </c>
      <c r="BH260" t="n">
        <v>21</v>
      </c>
      <c r="BI260" t="n">
        <v>37</v>
      </c>
      <c r="BJ260" t="n">
        <v>48</v>
      </c>
      <c r="BK260" t="n">
        <v>6</v>
      </c>
      <c r="BL260" t="n">
        <v>0</v>
      </c>
      <c r="BM260" t="n">
        <v>20</v>
      </c>
      <c r="BN260" t="n">
        <v>12</v>
      </c>
      <c r="BO260" t="n">
        <v>22</v>
      </c>
      <c r="BP260" t="n">
        <v>10</v>
      </c>
      <c r="BQ260" t="n">
        <v>31</v>
      </c>
      <c r="BR260" t="n">
        <v>22</v>
      </c>
      <c r="BS260" t="n">
        <v>14</v>
      </c>
      <c r="BT260" t="n">
        <v>243</v>
      </c>
      <c r="BU260" t="n">
        <v>60</v>
      </c>
      <c r="BV260" t="n">
        <v>49</v>
      </c>
      <c r="BW260" t="n">
        <v>70</v>
      </c>
      <c r="BX260" t="n">
        <v>25</v>
      </c>
      <c r="BY260" t="n">
        <v>21</v>
      </c>
      <c r="BZ260" t="n">
        <v>26</v>
      </c>
      <c r="CA260" t="n">
        <v>251</v>
      </c>
      <c r="CB260" t="n">
        <v>15</v>
      </c>
      <c r="CC260" t="n">
        <v>6</v>
      </c>
      <c r="CD260" t="n">
        <v>61</v>
      </c>
      <c r="CE260" t="n">
        <v>23</v>
      </c>
      <c r="CF260" t="n">
        <v>0.38</v>
      </c>
      <c r="CG260" t="n">
        <v>0</v>
      </c>
      <c r="CH260" t="n">
        <v>0</v>
      </c>
      <c r="CI260" t="n">
        <v>0</v>
      </c>
      <c r="CJ260" t="n">
        <v>0</v>
      </c>
      <c r="CK260" t="n">
        <v>1</v>
      </c>
      <c r="CL260" t="n">
        <v>15</v>
      </c>
      <c r="CM260" t="n">
        <v>0</v>
      </c>
      <c r="CN260" t="n">
        <v>86</v>
      </c>
      <c r="CO260" t="n">
        <v>0</v>
      </c>
      <c r="CP260" t="n">
        <v>5</v>
      </c>
      <c r="CQ260" t="n">
        <v>0</v>
      </c>
      <c r="CR260" t="n">
        <v>0</v>
      </c>
      <c r="CS260" t="n">
        <v>0</v>
      </c>
      <c r="CT260" t="n">
        <v>107</v>
      </c>
      <c r="CU260" t="n">
        <v>0</v>
      </c>
      <c r="CV260" t="n">
        <v>0</v>
      </c>
      <c r="CW260" t="n">
        <v>80</v>
      </c>
      <c r="CX260" t="n">
        <v>0</v>
      </c>
      <c r="CY260" t="n">
        <v>89</v>
      </c>
      <c r="CZ260" t="n">
        <v>0</v>
      </c>
      <c r="DA260" t="n">
        <v>0</v>
      </c>
      <c r="DB260" t="n">
        <v>0</v>
      </c>
      <c r="DC260" t="n">
        <v>169</v>
      </c>
      <c r="DD260" t="n">
        <v>0</v>
      </c>
      <c r="DE260" t="n">
        <v>0</v>
      </c>
      <c r="DF260" t="n">
        <v>23</v>
      </c>
      <c r="DG260" t="n">
        <v>61</v>
      </c>
      <c r="DH260" t="n">
        <v>0</v>
      </c>
      <c r="DI260" t="n">
        <v>0</v>
      </c>
      <c r="DJ260" t="n">
        <v>0</v>
      </c>
      <c r="DK260" t="n">
        <v>0</v>
      </c>
      <c r="DL260" t="n">
        <v>0</v>
      </c>
      <c r="DM260" t="n">
        <v>0</v>
      </c>
      <c r="DN260" t="n">
        <v>0</v>
      </c>
      <c r="DO260" t="n">
        <v>0</v>
      </c>
      <c r="DP260" t="n">
        <v>0</v>
      </c>
      <c r="DQ260" t="n">
        <v>0</v>
      </c>
      <c r="DR260" t="n">
        <v>0</v>
      </c>
      <c r="DS260" t="n">
        <v>84</v>
      </c>
      <c r="DT260" t="n">
        <v>360</v>
      </c>
      <c r="DU260" t="n">
        <v>90</v>
      </c>
      <c r="DV260" t="n">
        <v>0</v>
      </c>
      <c r="DW260" t="n">
        <v>0</v>
      </c>
      <c r="DX260" t="n">
        <v>0</v>
      </c>
      <c r="DY260" t="n">
        <v>374</v>
      </c>
      <c r="DZ260" t="n">
        <v>289</v>
      </c>
      <c r="EA260" t="n">
        <v>374</v>
      </c>
      <c r="EB260" t="n">
        <v>357</v>
      </c>
      <c r="EC260" t="n">
        <v>306</v>
      </c>
      <c r="ED260" t="n">
        <v>629</v>
      </c>
      <c r="EE260" t="n">
        <v>1071</v>
      </c>
      <c r="EF260" t="n">
        <v>0</v>
      </c>
      <c r="EG260" t="n">
        <v>1</v>
      </c>
      <c r="EH260" t="n">
        <v>0.5</v>
      </c>
      <c r="EI260" t="n">
        <v>1.1</v>
      </c>
      <c r="EJ260" t="n">
        <v>0.5</v>
      </c>
      <c r="EK260" t="n">
        <v>0.5</v>
      </c>
    </row>
    <row r="261">
      <c r="A261">
        <f>[1]ingredient!B261</f>
        <v/>
      </c>
      <c r="B261" t="inlineStr">
        <is>
          <t>https://www.naehrwertrechner.de/naehrwerte/F516211/Mango+tiefgefroren/?menge=100</t>
        </is>
      </c>
      <c r="C261" s="7">
        <f>_xlfn.XLOOKUP(A261,[1]ingredient!$B$2:$B$521,[1]ingredient!$A$2:$A$521)</f>
        <v/>
      </c>
      <c r="D261" t="n">
        <v>63</v>
      </c>
      <c r="E261" t="n">
        <v>0.47</v>
      </c>
      <c r="F261" t="n">
        <v>1</v>
      </c>
      <c r="G261" t="n">
        <v>13</v>
      </c>
      <c r="H261" t="n">
        <v>2</v>
      </c>
      <c r="I261" t="n">
        <v>13</v>
      </c>
      <c r="J261" t="n">
        <v>0.01</v>
      </c>
      <c r="K261" t="n">
        <v>83</v>
      </c>
      <c r="L261" t="n">
        <v>434</v>
      </c>
      <c r="M261" t="n">
        <v>217</v>
      </c>
      <c r="N261" t="n">
        <v>0</v>
      </c>
      <c r="O261" t="n">
        <v>2601</v>
      </c>
      <c r="P261" t="n">
        <v>42</v>
      </c>
      <c r="Q261" t="n">
        <v>47</v>
      </c>
      <c r="R261" t="n">
        <v>657</v>
      </c>
      <c r="S261" t="n">
        <v>824</v>
      </c>
      <c r="T261" t="n">
        <v>150</v>
      </c>
      <c r="U261" t="n">
        <v>122</v>
      </c>
      <c r="V261" t="n">
        <v>2</v>
      </c>
      <c r="W261" t="n">
        <v>34</v>
      </c>
      <c r="X261" t="n">
        <v>0</v>
      </c>
      <c r="Y261" t="n">
        <v>32307</v>
      </c>
      <c r="Z261" t="n">
        <v>0</v>
      </c>
      <c r="AA261" t="n">
        <v>939</v>
      </c>
      <c r="AB261" t="n">
        <v>9</v>
      </c>
      <c r="AC261" t="n">
        <v>5</v>
      </c>
      <c r="AD261" t="n">
        <v>198</v>
      </c>
      <c r="AE261" t="n">
        <v>13</v>
      </c>
      <c r="AF261" t="n">
        <v>19</v>
      </c>
      <c r="AG261" t="n">
        <v>14</v>
      </c>
      <c r="AH261" t="n">
        <v>14</v>
      </c>
      <c r="AI261" t="n">
        <v>5</v>
      </c>
      <c r="AJ261" t="n">
        <v>417</v>
      </c>
      <c r="AK261" t="n">
        <v>42</v>
      </c>
      <c r="AL261" t="n">
        <v>125</v>
      </c>
      <c r="AM261" t="n">
        <v>31</v>
      </c>
      <c r="AN261" t="n">
        <v>10</v>
      </c>
      <c r="AO261" t="n">
        <v>2</v>
      </c>
      <c r="AP261" t="n">
        <v>0</v>
      </c>
      <c r="AQ261" t="n">
        <v>0</v>
      </c>
      <c r="AR261" t="n">
        <v>0</v>
      </c>
      <c r="AS261" t="n">
        <v>0</v>
      </c>
      <c r="AT261" t="n">
        <v>668</v>
      </c>
      <c r="AU261" t="n">
        <v>2845</v>
      </c>
      <c r="AV261" t="n">
        <v>0</v>
      </c>
      <c r="AW261" t="n">
        <v>3513</v>
      </c>
      <c r="AX261" t="n">
        <v>9563</v>
      </c>
      <c r="AY261" t="n">
        <v>0</v>
      </c>
      <c r="AZ261" t="n">
        <v>0</v>
      </c>
      <c r="BA261" t="n">
        <v>9563</v>
      </c>
      <c r="BB261" t="n">
        <v>0</v>
      </c>
      <c r="BC261" t="n">
        <v>0</v>
      </c>
      <c r="BD261" t="n">
        <v>0</v>
      </c>
      <c r="BE261" t="n">
        <v>281</v>
      </c>
      <c r="BF261" t="n">
        <v>281</v>
      </c>
      <c r="BG261">
        <f>IF($F261=0,"0",MIN(
BH261/(30*$F261),
BI261/(61*$F261),
BJ261/(48*$F261),
(BK261+BL261)/(23*$F261),
(BM261+BN261)/(41*$F261),
BO261/(25*$F261),
BP261/(6.6*$F261),
BQ261/(40*$F261),
BS261/(16*$F261)
)*100)</f>
        <v/>
      </c>
      <c r="BH261" t="n">
        <v>22</v>
      </c>
      <c r="BI261" t="n">
        <v>39</v>
      </c>
      <c r="BJ261" t="n">
        <v>50</v>
      </c>
      <c r="BK261" t="n">
        <v>6</v>
      </c>
      <c r="BL261" t="n">
        <v>0</v>
      </c>
      <c r="BM261" t="n">
        <v>21</v>
      </c>
      <c r="BN261" t="n">
        <v>13</v>
      </c>
      <c r="BO261" t="n">
        <v>23</v>
      </c>
      <c r="BP261" t="n">
        <v>10</v>
      </c>
      <c r="BQ261" t="n">
        <v>32</v>
      </c>
      <c r="BR261" t="n">
        <v>23</v>
      </c>
      <c r="BS261" t="n">
        <v>15</v>
      </c>
      <c r="BT261" t="n">
        <v>254</v>
      </c>
      <c r="BU261" t="n">
        <v>63</v>
      </c>
      <c r="BV261" t="n">
        <v>51</v>
      </c>
      <c r="BW261" t="n">
        <v>72</v>
      </c>
      <c r="BX261" t="n">
        <v>26</v>
      </c>
      <c r="BY261" t="n">
        <v>22</v>
      </c>
      <c r="BZ261" t="n">
        <v>27</v>
      </c>
      <c r="CA261" t="n">
        <v>261</v>
      </c>
      <c r="CB261" t="n">
        <v>16</v>
      </c>
      <c r="CC261" t="n">
        <v>7</v>
      </c>
      <c r="CD261" t="n">
        <v>64</v>
      </c>
      <c r="CE261" t="n">
        <v>24</v>
      </c>
      <c r="CF261" t="n">
        <v>0.38</v>
      </c>
      <c r="CG261" t="n">
        <v>0</v>
      </c>
      <c r="CH261" t="n">
        <v>0</v>
      </c>
      <c r="CI261" t="n">
        <v>0</v>
      </c>
      <c r="CJ261" t="n">
        <v>0</v>
      </c>
      <c r="CK261" t="n">
        <v>1</v>
      </c>
      <c r="CL261" t="n">
        <v>16</v>
      </c>
      <c r="CM261" t="n">
        <v>0</v>
      </c>
      <c r="CN261" t="n">
        <v>90</v>
      </c>
      <c r="CO261" t="n">
        <v>0</v>
      </c>
      <c r="CP261" t="n">
        <v>5</v>
      </c>
      <c r="CQ261" t="n">
        <v>0</v>
      </c>
      <c r="CR261" t="n">
        <v>0</v>
      </c>
      <c r="CS261" t="n">
        <v>0</v>
      </c>
      <c r="CT261" t="n">
        <v>112</v>
      </c>
      <c r="CU261" t="n">
        <v>0</v>
      </c>
      <c r="CV261" t="n">
        <v>0</v>
      </c>
      <c r="CW261" t="n">
        <v>83</v>
      </c>
      <c r="CX261" t="n">
        <v>0</v>
      </c>
      <c r="CY261" t="n">
        <v>93</v>
      </c>
      <c r="CZ261" t="n">
        <v>0</v>
      </c>
      <c r="DA261" t="n">
        <v>0</v>
      </c>
      <c r="DB261" t="n">
        <v>0</v>
      </c>
      <c r="DC261" t="n">
        <v>176</v>
      </c>
      <c r="DD261" t="n">
        <v>0</v>
      </c>
      <c r="DE261" t="n">
        <v>0</v>
      </c>
      <c r="DF261" t="n">
        <v>24</v>
      </c>
      <c r="DG261" t="n">
        <v>64</v>
      </c>
      <c r="DH261" t="n">
        <v>0</v>
      </c>
      <c r="DI261" t="n">
        <v>0</v>
      </c>
      <c r="DJ261" t="n">
        <v>0</v>
      </c>
      <c r="DK261" t="n">
        <v>0</v>
      </c>
      <c r="DL261" t="n">
        <v>0</v>
      </c>
      <c r="DM261" t="n">
        <v>0</v>
      </c>
      <c r="DN261" t="n">
        <v>0</v>
      </c>
      <c r="DO261" t="n">
        <v>0</v>
      </c>
      <c r="DP261" t="n">
        <v>0</v>
      </c>
      <c r="DQ261" t="n">
        <v>0</v>
      </c>
      <c r="DR261" t="n">
        <v>0</v>
      </c>
      <c r="DS261" t="n">
        <v>88</v>
      </c>
      <c r="DT261" t="n">
        <v>376</v>
      </c>
      <c r="DU261" t="n">
        <v>94</v>
      </c>
      <c r="DV261" t="n">
        <v>0</v>
      </c>
      <c r="DW261" t="n">
        <v>0</v>
      </c>
      <c r="DX261" t="n">
        <v>0</v>
      </c>
      <c r="DY261" t="n">
        <v>390</v>
      </c>
      <c r="DZ261" t="n">
        <v>302</v>
      </c>
      <c r="EA261" t="n">
        <v>390</v>
      </c>
      <c r="EB261" t="n">
        <v>373</v>
      </c>
      <c r="EC261" t="n">
        <v>319</v>
      </c>
      <c r="ED261" t="n">
        <v>656</v>
      </c>
      <c r="EE261" t="n">
        <v>1118</v>
      </c>
      <c r="EF261" t="n">
        <v>0</v>
      </c>
      <c r="EG261" t="n">
        <v>1</v>
      </c>
      <c r="EH261" t="n">
        <v>0.5</v>
      </c>
      <c r="EI261" t="n">
        <v>1.1</v>
      </c>
      <c r="EJ261" t="n">
        <v>0.5</v>
      </c>
      <c r="EK261" t="n">
        <v>0.6</v>
      </c>
    </row>
    <row r="262">
      <c r="A262">
        <f>[1]ingredient!B262</f>
        <v/>
      </c>
      <c r="B262" t="inlineStr">
        <is>
          <t>https://www.naehrwertrechner.de/naehrwerte/F516411/Mango+getrocknet/?menge=100</t>
        </is>
      </c>
      <c r="C262" s="7">
        <f>_xlfn.XLOOKUP(A262,[1]ingredient!$B$2:$B$521,[1]ingredient!$A$2:$A$521)</f>
        <v/>
      </c>
      <c r="D262" t="n">
        <v>289</v>
      </c>
      <c r="E262" t="n">
        <v>2</v>
      </c>
      <c r="F262" t="n">
        <v>3</v>
      </c>
      <c r="G262" t="n">
        <v>62</v>
      </c>
      <c r="H262" t="n">
        <v>8</v>
      </c>
      <c r="I262" t="n">
        <v>60</v>
      </c>
      <c r="J262" t="n">
        <v>0.05</v>
      </c>
      <c r="K262" t="n">
        <v>20</v>
      </c>
      <c r="L262" t="n">
        <v>2000</v>
      </c>
      <c r="M262" t="n">
        <v>999</v>
      </c>
      <c r="N262" t="n">
        <v>0</v>
      </c>
      <c r="O262" t="n">
        <v>11987</v>
      </c>
      <c r="P262" t="n">
        <v>173</v>
      </c>
      <c r="Q262" t="n">
        <v>192</v>
      </c>
      <c r="R262" t="n">
        <v>2693</v>
      </c>
      <c r="S262" t="n">
        <v>3493</v>
      </c>
      <c r="T262" t="n">
        <v>615</v>
      </c>
      <c r="U262" t="n">
        <v>500</v>
      </c>
      <c r="V262" t="n">
        <v>10</v>
      </c>
      <c r="W262" t="n">
        <v>139</v>
      </c>
      <c r="X262" t="n">
        <v>0</v>
      </c>
      <c r="Y262" t="n">
        <v>148864</v>
      </c>
      <c r="Z262" t="n">
        <v>0</v>
      </c>
      <c r="AA262" t="n">
        <v>4327</v>
      </c>
      <c r="AB262" t="n">
        <v>43</v>
      </c>
      <c r="AC262" t="n">
        <v>24</v>
      </c>
      <c r="AD262" t="n">
        <v>914</v>
      </c>
      <c r="AE262" t="n">
        <v>58</v>
      </c>
      <c r="AF262" t="n">
        <v>87</v>
      </c>
      <c r="AG262" t="n">
        <v>63</v>
      </c>
      <c r="AH262" t="n">
        <v>63</v>
      </c>
      <c r="AI262" t="n">
        <v>24</v>
      </c>
      <c r="AJ262" t="n">
        <v>1923</v>
      </c>
      <c r="AK262" t="n">
        <v>192</v>
      </c>
      <c r="AL262" t="n">
        <v>577</v>
      </c>
      <c r="AM262" t="n">
        <v>144</v>
      </c>
      <c r="AN262" t="n">
        <v>48</v>
      </c>
      <c r="AO262" t="n">
        <v>10</v>
      </c>
      <c r="AP262" t="n">
        <v>0</v>
      </c>
      <c r="AQ262" t="n">
        <v>0</v>
      </c>
      <c r="AR262" t="n">
        <v>0</v>
      </c>
      <c r="AS262" t="n">
        <v>0</v>
      </c>
      <c r="AT262" t="n">
        <v>3077</v>
      </c>
      <c r="AU262" t="n">
        <v>13107</v>
      </c>
      <c r="AV262" t="n">
        <v>0</v>
      </c>
      <c r="AW262" t="n">
        <v>16184</v>
      </c>
      <c r="AX262" t="n">
        <v>44069</v>
      </c>
      <c r="AY262" t="n">
        <v>0</v>
      </c>
      <c r="AZ262" t="n">
        <v>0</v>
      </c>
      <c r="BA262" t="n">
        <v>44069</v>
      </c>
      <c r="BB262" t="n">
        <v>0</v>
      </c>
      <c r="BC262" t="n">
        <v>0</v>
      </c>
      <c r="BD262" t="n">
        <v>0</v>
      </c>
      <c r="BE262" t="n">
        <v>1293</v>
      </c>
      <c r="BF262" t="n">
        <v>1293</v>
      </c>
      <c r="BG262">
        <f>IF($F262=0,"0",MIN(
BH262/(30*$F262),
BI262/(61*$F262),
BJ262/(48*$F262),
(BK262+BL262)/(23*$F262),
(BM262+BN262)/(41*$F262),
BO262/(25*$F262),
BP262/(6.6*$F262),
BQ262/(40*$F262),
BS262/(16*$F262)
)*100)</f>
        <v/>
      </c>
      <c r="BH262" t="n">
        <v>101</v>
      </c>
      <c r="BI262" t="n">
        <v>178</v>
      </c>
      <c r="BJ262" t="n">
        <v>231</v>
      </c>
      <c r="BK262" t="n">
        <v>29</v>
      </c>
      <c r="BL262" t="n">
        <v>0</v>
      </c>
      <c r="BM262" t="n">
        <v>96</v>
      </c>
      <c r="BN262" t="n">
        <v>58</v>
      </c>
      <c r="BO262" t="n">
        <v>106</v>
      </c>
      <c r="BP262" t="n">
        <v>48</v>
      </c>
      <c r="BQ262" t="n">
        <v>149</v>
      </c>
      <c r="BR262" t="n">
        <v>106</v>
      </c>
      <c r="BS262" t="n">
        <v>67</v>
      </c>
      <c r="BT262" t="n">
        <v>1169</v>
      </c>
      <c r="BU262" t="n">
        <v>288</v>
      </c>
      <c r="BV262" t="n">
        <v>236</v>
      </c>
      <c r="BW262" t="n">
        <v>336</v>
      </c>
      <c r="BX262" t="n">
        <v>120</v>
      </c>
      <c r="BY262" t="n">
        <v>101</v>
      </c>
      <c r="BZ262" t="n">
        <v>125</v>
      </c>
      <c r="CA262" t="n">
        <v>1206</v>
      </c>
      <c r="CB262" t="n">
        <v>72</v>
      </c>
      <c r="CC262" t="n">
        <v>30</v>
      </c>
      <c r="CD262" t="n">
        <v>293</v>
      </c>
      <c r="CE262" t="n">
        <v>111</v>
      </c>
      <c r="CF262" t="n">
        <v>0.38</v>
      </c>
      <c r="CG262" t="n">
        <v>0</v>
      </c>
      <c r="CH262" t="n">
        <v>0</v>
      </c>
      <c r="CI262" t="n">
        <v>0</v>
      </c>
      <c r="CJ262" t="n">
        <v>0</v>
      </c>
      <c r="CK262" t="n">
        <v>5</v>
      </c>
      <c r="CL262" t="n">
        <v>72</v>
      </c>
      <c r="CM262" t="n">
        <v>0</v>
      </c>
      <c r="CN262" t="n">
        <v>414</v>
      </c>
      <c r="CO262" t="n">
        <v>0</v>
      </c>
      <c r="CP262" t="n">
        <v>24</v>
      </c>
      <c r="CQ262" t="n">
        <v>0</v>
      </c>
      <c r="CR262" t="n">
        <v>0</v>
      </c>
      <c r="CS262" t="n">
        <v>0</v>
      </c>
      <c r="CT262" t="n">
        <v>515</v>
      </c>
      <c r="CU262" t="n">
        <v>0</v>
      </c>
      <c r="CV262" t="n">
        <v>0</v>
      </c>
      <c r="CW262" t="n">
        <v>385</v>
      </c>
      <c r="CX262" t="n">
        <v>0</v>
      </c>
      <c r="CY262" t="n">
        <v>427</v>
      </c>
      <c r="CZ262" t="n">
        <v>0</v>
      </c>
      <c r="DA262" t="n">
        <v>0</v>
      </c>
      <c r="DB262" t="n">
        <v>0</v>
      </c>
      <c r="DC262" t="n">
        <v>812</v>
      </c>
      <c r="DD262" t="n">
        <v>0</v>
      </c>
      <c r="DE262" t="n">
        <v>0</v>
      </c>
      <c r="DF262" t="n">
        <v>111</v>
      </c>
      <c r="DG262" t="n">
        <v>293</v>
      </c>
      <c r="DH262" t="n">
        <v>0</v>
      </c>
      <c r="DI262" t="n">
        <v>0</v>
      </c>
      <c r="DJ262" t="n">
        <v>0</v>
      </c>
      <c r="DK262" t="n">
        <v>0</v>
      </c>
      <c r="DL262" t="n">
        <v>0</v>
      </c>
      <c r="DM262" t="n">
        <v>0</v>
      </c>
      <c r="DN262" t="n">
        <v>0</v>
      </c>
      <c r="DO262" t="n">
        <v>0</v>
      </c>
      <c r="DP262" t="n">
        <v>0</v>
      </c>
      <c r="DQ262" t="n">
        <v>0</v>
      </c>
      <c r="DR262" t="n">
        <v>0</v>
      </c>
      <c r="DS262" t="n">
        <v>404</v>
      </c>
      <c r="DT262" t="n">
        <v>1731</v>
      </c>
      <c r="DU262" t="n">
        <v>433</v>
      </c>
      <c r="DV262" t="n">
        <v>0</v>
      </c>
      <c r="DW262" t="n">
        <v>0</v>
      </c>
      <c r="DX262" t="n">
        <v>0</v>
      </c>
      <c r="DY262" t="n">
        <v>1798</v>
      </c>
      <c r="DZ262" t="n">
        <v>1390</v>
      </c>
      <c r="EA262" t="n">
        <v>1798</v>
      </c>
      <c r="EB262" t="n">
        <v>1717</v>
      </c>
      <c r="EC262" t="n">
        <v>1471</v>
      </c>
      <c r="ED262" t="n">
        <v>3024</v>
      </c>
      <c r="EE262" t="n">
        <v>5150</v>
      </c>
      <c r="EF262" t="n">
        <v>0</v>
      </c>
      <c r="EG262" t="n">
        <v>3</v>
      </c>
      <c r="EH262" t="n">
        <v>2.4</v>
      </c>
      <c r="EI262" t="n">
        <v>5.2</v>
      </c>
      <c r="EJ262" t="n">
        <v>2.2</v>
      </c>
      <c r="EK262" t="n">
        <v>2.6</v>
      </c>
    </row>
    <row r="263">
      <c r="A263">
        <f>[1]ingredient!B263</f>
        <v/>
      </c>
      <c r="B263" t="inlineStr">
        <is>
          <t>https://www.naehrwertrechner.de/naehrwerte/G230111/Mangold+frisch/?menge=100</t>
        </is>
      </c>
      <c r="C263" s="7">
        <f>_xlfn.XLOOKUP(A263,[1]ingredient!$B$2:$B$521,[1]ingredient!$A$2:$A$521)</f>
        <v/>
      </c>
      <c r="D263" t="n">
        <v>25</v>
      </c>
      <c r="E263" t="n">
        <v>0.3</v>
      </c>
      <c r="F263" t="n">
        <v>2</v>
      </c>
      <c r="G263" t="n">
        <v>3</v>
      </c>
      <c r="H263" t="n">
        <v>3</v>
      </c>
      <c r="I263" t="n">
        <v>2</v>
      </c>
      <c r="J263" t="n">
        <v>0.19</v>
      </c>
      <c r="K263" t="n">
        <v>90</v>
      </c>
      <c r="L263" t="n">
        <v>588</v>
      </c>
      <c r="M263" t="n">
        <v>294</v>
      </c>
      <c r="N263" t="n">
        <v>0</v>
      </c>
      <c r="O263" t="n">
        <v>3530</v>
      </c>
      <c r="P263" t="n">
        <v>98</v>
      </c>
      <c r="Q263" t="n">
        <v>160</v>
      </c>
      <c r="R263" t="n">
        <v>650</v>
      </c>
      <c r="S263" t="n">
        <v>1183</v>
      </c>
      <c r="T263" t="n">
        <v>170</v>
      </c>
      <c r="U263" t="n">
        <v>90</v>
      </c>
      <c r="V263" t="n">
        <v>1</v>
      </c>
      <c r="W263" t="n">
        <v>30</v>
      </c>
      <c r="X263" t="n">
        <v>0</v>
      </c>
      <c r="Y263" t="n">
        <v>39000</v>
      </c>
      <c r="Z263" t="n">
        <v>0</v>
      </c>
      <c r="AA263" t="n">
        <v>1500</v>
      </c>
      <c r="AB263" t="n">
        <v>400</v>
      </c>
      <c r="AC263" t="n">
        <v>90</v>
      </c>
      <c r="AD263" t="n">
        <v>376</v>
      </c>
      <c r="AE263" t="n">
        <v>103</v>
      </c>
      <c r="AF263" t="n">
        <v>81</v>
      </c>
      <c r="AG263" t="n">
        <v>39</v>
      </c>
      <c r="AH263" t="n">
        <v>20</v>
      </c>
      <c r="AI263" t="n">
        <v>100</v>
      </c>
      <c r="AJ263" t="n">
        <v>2700</v>
      </c>
      <c r="AK263" t="n">
        <v>343</v>
      </c>
      <c r="AL263" t="n">
        <v>77</v>
      </c>
      <c r="AM263" t="n">
        <v>300</v>
      </c>
      <c r="AN263" t="n">
        <v>60</v>
      </c>
      <c r="AO263" t="n">
        <v>1</v>
      </c>
      <c r="AP263" t="n">
        <v>0</v>
      </c>
      <c r="AQ263" t="n">
        <v>0</v>
      </c>
      <c r="AR263" t="n">
        <v>0</v>
      </c>
      <c r="AS263" t="n">
        <v>0</v>
      </c>
      <c r="AT263" t="n">
        <v>1537</v>
      </c>
      <c r="AU263" t="n">
        <v>638</v>
      </c>
      <c r="AV263" t="n">
        <v>0</v>
      </c>
      <c r="AW263" t="n">
        <v>2175</v>
      </c>
      <c r="AX263" t="n">
        <v>290</v>
      </c>
      <c r="AY263" t="n">
        <v>0</v>
      </c>
      <c r="AZ263" t="n">
        <v>0</v>
      </c>
      <c r="BA263" t="n">
        <v>290</v>
      </c>
      <c r="BB263" t="n">
        <v>0</v>
      </c>
      <c r="BC263" t="n">
        <v>0</v>
      </c>
      <c r="BD263" t="n">
        <v>0</v>
      </c>
      <c r="BE263" t="n">
        <v>435</v>
      </c>
      <c r="BF263" t="n">
        <v>435</v>
      </c>
      <c r="BG263">
        <f>IF($F263=0,"0",MIN(
BH263/(30*$F263),
BI263/(61*$F263),
BJ263/(48*$F263),
(BK263+BL263)/(23*$F263),
(BM263+BN263)/(41*$F263),
BO263/(25*$F263),
BP263/(6.6*$F263),
BQ263/(40*$F263),
BS263/(16*$F263)
)*100)</f>
        <v/>
      </c>
      <c r="BH263" t="n">
        <v>85</v>
      </c>
      <c r="BI263" t="n">
        <v>158</v>
      </c>
      <c r="BJ263" t="n">
        <v>128</v>
      </c>
      <c r="BK263" t="n">
        <v>32</v>
      </c>
      <c r="BL263" t="n">
        <v>21</v>
      </c>
      <c r="BM263" t="n">
        <v>107</v>
      </c>
      <c r="BN263" t="n">
        <v>64</v>
      </c>
      <c r="BO263" t="n">
        <v>96</v>
      </c>
      <c r="BP263" t="n">
        <v>32</v>
      </c>
      <c r="BQ263" t="n">
        <v>128</v>
      </c>
      <c r="BR263" t="n">
        <v>85</v>
      </c>
      <c r="BS263" t="n">
        <v>43</v>
      </c>
      <c r="BT263" t="n">
        <v>979</v>
      </c>
      <c r="BU263" t="n">
        <v>117</v>
      </c>
      <c r="BV263" t="n">
        <v>192</v>
      </c>
      <c r="BW263" t="n">
        <v>213</v>
      </c>
      <c r="BX263" t="n">
        <v>107</v>
      </c>
      <c r="BY263" t="n">
        <v>96</v>
      </c>
      <c r="BZ263" t="n">
        <v>85</v>
      </c>
      <c r="CA263" t="n">
        <v>810</v>
      </c>
      <c r="CB263" t="n">
        <v>57</v>
      </c>
      <c r="CC263" t="n">
        <v>24</v>
      </c>
      <c r="CD263" t="n">
        <v>122</v>
      </c>
      <c r="CE263" t="n">
        <v>41</v>
      </c>
      <c r="CF263" t="n">
        <v>0.34</v>
      </c>
      <c r="CG263" t="n">
        <v>0</v>
      </c>
      <c r="CH263" t="n">
        <v>0</v>
      </c>
      <c r="CI263" t="n">
        <v>0</v>
      </c>
      <c r="CJ263" t="n">
        <v>0</v>
      </c>
      <c r="CK263" t="n">
        <v>0</v>
      </c>
      <c r="CL263" t="n">
        <v>5</v>
      </c>
      <c r="CM263" t="n">
        <v>0</v>
      </c>
      <c r="CN263" t="n">
        <v>43</v>
      </c>
      <c r="CO263" t="n">
        <v>0</v>
      </c>
      <c r="CP263" t="n">
        <v>5</v>
      </c>
      <c r="CQ263" t="n">
        <v>0</v>
      </c>
      <c r="CR263" t="n">
        <v>0</v>
      </c>
      <c r="CS263" t="n">
        <v>0</v>
      </c>
      <c r="CT263" t="n">
        <v>53</v>
      </c>
      <c r="CU263" t="n">
        <v>0</v>
      </c>
      <c r="CV263" t="n">
        <v>0</v>
      </c>
      <c r="CW263" t="n">
        <v>6</v>
      </c>
      <c r="CX263" t="n">
        <v>0</v>
      </c>
      <c r="CY263" t="n">
        <v>18</v>
      </c>
      <c r="CZ263" t="n">
        <v>0</v>
      </c>
      <c r="DA263" t="n">
        <v>0</v>
      </c>
      <c r="DB263" t="n">
        <v>0</v>
      </c>
      <c r="DC263" t="n">
        <v>24</v>
      </c>
      <c r="DD263" t="n">
        <v>0</v>
      </c>
      <c r="DE263" t="n">
        <v>0</v>
      </c>
      <c r="DF263" t="n">
        <v>41</v>
      </c>
      <c r="DG263" t="n">
        <v>122</v>
      </c>
      <c r="DH263" t="n">
        <v>0</v>
      </c>
      <c r="DI263" t="n">
        <v>0</v>
      </c>
      <c r="DJ263" t="n">
        <v>0</v>
      </c>
      <c r="DK263" t="n">
        <v>0</v>
      </c>
      <c r="DL263" t="n">
        <v>0</v>
      </c>
      <c r="DM263" t="n">
        <v>0</v>
      </c>
      <c r="DN263" t="n">
        <v>0</v>
      </c>
      <c r="DO263" t="n">
        <v>0</v>
      </c>
      <c r="DP263" t="n">
        <v>0</v>
      </c>
      <c r="DQ263" t="n">
        <v>0</v>
      </c>
      <c r="DR263" t="n">
        <v>0</v>
      </c>
      <c r="DS263" t="n">
        <v>163</v>
      </c>
      <c r="DT263" t="n">
        <v>240</v>
      </c>
      <c r="DU263" t="n">
        <v>60</v>
      </c>
      <c r="DV263" t="n">
        <v>0</v>
      </c>
      <c r="DW263" t="n">
        <v>0</v>
      </c>
      <c r="DX263" t="n">
        <v>0</v>
      </c>
      <c r="DY263" t="n">
        <v>335</v>
      </c>
      <c r="DZ263" t="n">
        <v>361</v>
      </c>
      <c r="EA263" t="n">
        <v>619</v>
      </c>
      <c r="EB263" t="n">
        <v>1162</v>
      </c>
      <c r="EC263" t="n">
        <v>103</v>
      </c>
      <c r="ED263" t="n">
        <v>645</v>
      </c>
      <c r="EE263" t="n">
        <v>1935</v>
      </c>
      <c r="EF263" t="n">
        <v>0</v>
      </c>
      <c r="EG263" t="n">
        <v>1</v>
      </c>
      <c r="EH263" t="n">
        <v>1.7</v>
      </c>
      <c r="EI263" t="n">
        <v>1.9</v>
      </c>
      <c r="EJ263" t="n">
        <v>0.3</v>
      </c>
      <c r="EK263" t="n">
        <v>2</v>
      </c>
    </row>
    <row r="264">
      <c r="A264">
        <f>[1]ingredient!B264</f>
        <v/>
      </c>
      <c r="B264" t="inlineStr">
        <is>
          <t>https://www.naehrwertrechner.de/naehrwerte/H230101/Edelkastanie+%28Marone%29+roh/?menge=100</t>
        </is>
      </c>
      <c r="C264" s="7">
        <f>_xlfn.XLOOKUP(A264,[1]ingredient!$B$2:$B$521,[1]ingredient!$A$2:$A$521)</f>
        <v/>
      </c>
      <c r="D264" t="n">
        <v>196</v>
      </c>
      <c r="E264" t="n">
        <v>2</v>
      </c>
      <c r="F264" t="n">
        <v>3</v>
      </c>
      <c r="G264" t="n">
        <v>41</v>
      </c>
      <c r="H264" t="n">
        <v>8</v>
      </c>
      <c r="I264" t="n">
        <v>14</v>
      </c>
      <c r="J264" t="n">
        <v>0.02</v>
      </c>
      <c r="K264" t="n">
        <v>44</v>
      </c>
      <c r="L264" t="n">
        <v>4</v>
      </c>
      <c r="M264" t="n">
        <v>2</v>
      </c>
      <c r="N264" t="n">
        <v>0</v>
      </c>
      <c r="O264" t="n">
        <v>24</v>
      </c>
      <c r="P264" t="n">
        <v>200</v>
      </c>
      <c r="Q264" t="n">
        <v>210</v>
      </c>
      <c r="R264" t="n">
        <v>870</v>
      </c>
      <c r="S264" t="n">
        <v>1370</v>
      </c>
      <c r="T264" t="n">
        <v>500</v>
      </c>
      <c r="U264" t="n">
        <v>350</v>
      </c>
      <c r="V264" t="n">
        <v>2</v>
      </c>
      <c r="W264" t="n">
        <v>62</v>
      </c>
      <c r="X264" t="n">
        <v>0</v>
      </c>
      <c r="Y264" t="n">
        <v>27000</v>
      </c>
      <c r="Z264" t="n">
        <v>0</v>
      </c>
      <c r="AA264" t="n">
        <v>500</v>
      </c>
      <c r="AB264" t="n">
        <v>0</v>
      </c>
      <c r="AC264" t="n">
        <v>2</v>
      </c>
      <c r="AD264" t="n">
        <v>707</v>
      </c>
      <c r="AE264" t="n">
        <v>33</v>
      </c>
      <c r="AF264" t="n">
        <v>45</v>
      </c>
      <c r="AG264" t="n">
        <v>87</v>
      </c>
      <c r="AH264" t="n">
        <v>29</v>
      </c>
      <c r="AI264" t="n">
        <v>13</v>
      </c>
      <c r="AJ264" t="n">
        <v>1320</v>
      </c>
      <c r="AK264" t="n">
        <v>500</v>
      </c>
      <c r="AL264" t="n">
        <v>230</v>
      </c>
      <c r="AM264" t="n">
        <v>750</v>
      </c>
      <c r="AN264" t="n">
        <v>10</v>
      </c>
      <c r="AO264" t="n">
        <v>0.1</v>
      </c>
      <c r="AP264" t="n">
        <v>0</v>
      </c>
      <c r="AQ264" t="n">
        <v>0</v>
      </c>
      <c r="AR264" t="n">
        <v>0</v>
      </c>
      <c r="AS264" t="n">
        <v>0</v>
      </c>
      <c r="AT264" t="n">
        <v>0</v>
      </c>
      <c r="AU264" t="n">
        <v>0</v>
      </c>
      <c r="AV264" t="n">
        <v>0</v>
      </c>
      <c r="AW264" t="n">
        <v>0</v>
      </c>
      <c r="AX264" t="n">
        <v>13900</v>
      </c>
      <c r="AY264" t="n">
        <v>0</v>
      </c>
      <c r="AZ264" t="n">
        <v>0</v>
      </c>
      <c r="BA264" t="n">
        <v>13900</v>
      </c>
      <c r="BB264" t="n">
        <v>0</v>
      </c>
      <c r="BC264" t="n">
        <v>0</v>
      </c>
      <c r="BD264" t="n">
        <v>0</v>
      </c>
      <c r="BE264" t="n">
        <v>27300</v>
      </c>
      <c r="BF264" t="n">
        <v>27300</v>
      </c>
      <c r="BG264">
        <f>IF($F264=0,"0",MIN(
BH264/(30*$F264),
BI264/(61*$F264),
BJ264/(48*$F264),
(BK264+BL264)/(23*$F264),
(BM264+BN264)/(41*$F264),
BO264/(25*$F264),
BP264/(6.6*$F264),
BQ264/(40*$F264),
BS264/(16*$F264)
)*100)</f>
        <v/>
      </c>
      <c r="BH264" t="n">
        <v>112</v>
      </c>
      <c r="BI264" t="n">
        <v>168</v>
      </c>
      <c r="BJ264" t="n">
        <v>150</v>
      </c>
      <c r="BK264" t="n">
        <v>40</v>
      </c>
      <c r="BL264" t="n">
        <v>30</v>
      </c>
      <c r="BM264" t="n">
        <v>110</v>
      </c>
      <c r="BN264" t="n">
        <v>140</v>
      </c>
      <c r="BO264" t="n">
        <v>140</v>
      </c>
      <c r="BP264" t="n">
        <v>30</v>
      </c>
      <c r="BQ264" t="n">
        <v>160</v>
      </c>
      <c r="BR264" t="n">
        <v>200</v>
      </c>
      <c r="BS264" t="n">
        <v>80</v>
      </c>
      <c r="BT264" t="n">
        <v>1360</v>
      </c>
      <c r="BU264" t="n">
        <v>191</v>
      </c>
      <c r="BV264" t="n">
        <v>493</v>
      </c>
      <c r="BW264" t="n">
        <v>368</v>
      </c>
      <c r="BX264" t="n">
        <v>147</v>
      </c>
      <c r="BY264" t="n">
        <v>150</v>
      </c>
      <c r="BZ264" t="n">
        <v>144</v>
      </c>
      <c r="CA264" t="n">
        <v>1493</v>
      </c>
      <c r="CB264" t="n">
        <v>0</v>
      </c>
      <c r="CC264" t="n">
        <v>0</v>
      </c>
      <c r="CD264" t="n">
        <v>49</v>
      </c>
      <c r="CE264" t="n">
        <v>452</v>
      </c>
      <c r="CF264" t="n">
        <v>9.220000000000001</v>
      </c>
      <c r="CG264" t="n">
        <v>0</v>
      </c>
      <c r="CH264" t="n">
        <v>0</v>
      </c>
      <c r="CI264" t="n">
        <v>0</v>
      </c>
      <c r="CJ264" t="n">
        <v>0</v>
      </c>
      <c r="CK264" t="n">
        <v>0</v>
      </c>
      <c r="CL264" t="n">
        <v>7</v>
      </c>
      <c r="CM264" t="n">
        <v>0</v>
      </c>
      <c r="CN264" t="n">
        <v>265</v>
      </c>
      <c r="CO264" t="n">
        <v>0</v>
      </c>
      <c r="CP264" t="n">
        <v>20</v>
      </c>
      <c r="CQ264" t="n">
        <v>9</v>
      </c>
      <c r="CR264" t="n">
        <v>0</v>
      </c>
      <c r="CS264" t="n">
        <v>0</v>
      </c>
      <c r="CT264" t="n">
        <v>301</v>
      </c>
      <c r="CU264" t="n">
        <v>0</v>
      </c>
      <c r="CV264" t="n">
        <v>0</v>
      </c>
      <c r="CW264" t="n">
        <v>13</v>
      </c>
      <c r="CX264" t="n">
        <v>0</v>
      </c>
      <c r="CY264" t="n">
        <v>981</v>
      </c>
      <c r="CZ264" t="n">
        <v>18</v>
      </c>
      <c r="DA264" t="n">
        <v>0</v>
      </c>
      <c r="DB264" t="n">
        <v>0</v>
      </c>
      <c r="DC264" t="n">
        <v>1012</v>
      </c>
      <c r="DD264" t="n">
        <v>0</v>
      </c>
      <c r="DE264" t="n">
        <v>0</v>
      </c>
      <c r="DF264" t="n">
        <v>452</v>
      </c>
      <c r="DG264" t="n">
        <v>49</v>
      </c>
      <c r="DH264" t="n">
        <v>0</v>
      </c>
      <c r="DI264" t="n">
        <v>0</v>
      </c>
      <c r="DJ264" t="n">
        <v>0</v>
      </c>
      <c r="DK264" t="n">
        <v>0</v>
      </c>
      <c r="DL264" t="n">
        <v>0</v>
      </c>
      <c r="DM264" t="n">
        <v>0</v>
      </c>
      <c r="DN264" t="n">
        <v>0</v>
      </c>
      <c r="DO264" t="n">
        <v>0</v>
      </c>
      <c r="DP264" t="n">
        <v>0</v>
      </c>
      <c r="DQ264" t="n">
        <v>0</v>
      </c>
      <c r="DR264" t="n">
        <v>0</v>
      </c>
      <c r="DS264" t="n">
        <v>501</v>
      </c>
      <c r="DT264" t="n">
        <v>1814</v>
      </c>
      <c r="DU264" t="n">
        <v>137</v>
      </c>
      <c r="DV264" t="n">
        <v>0</v>
      </c>
      <c r="DW264" t="n">
        <v>0</v>
      </c>
      <c r="DX264" t="n">
        <v>0</v>
      </c>
      <c r="DY264" t="n">
        <v>1256</v>
      </c>
      <c r="DZ264" t="n">
        <v>5524</v>
      </c>
      <c r="EA264" t="n">
        <v>167</v>
      </c>
      <c r="EB264" t="n">
        <v>1256</v>
      </c>
      <c r="EC264" t="n">
        <v>167</v>
      </c>
      <c r="ED264" t="n">
        <v>360</v>
      </c>
      <c r="EE264" t="n">
        <v>8010</v>
      </c>
      <c r="EF264" t="n">
        <v>0</v>
      </c>
      <c r="EG264" t="n">
        <v>0</v>
      </c>
      <c r="EH264" t="n">
        <v>1.2</v>
      </c>
      <c r="EI264" t="n">
        <v>8</v>
      </c>
      <c r="EJ264" t="n">
        <v>1.9</v>
      </c>
      <c r="EK264" t="n">
        <v>2.9</v>
      </c>
    </row>
    <row r="265">
      <c r="A265">
        <f>[1]ingredient!B265</f>
        <v/>
      </c>
      <c r="B265" t="inlineStr">
        <is>
          <t>https://www.naehrwertrechner.de/naehrwerte/F330000/Maulbeere/?menge=100</t>
        </is>
      </c>
      <c r="C265" s="7">
        <f>_xlfn.XLOOKUP(A265,[1]ingredient!$B$2:$B$521,[1]ingredient!$A$2:$A$521)</f>
        <v/>
      </c>
      <c r="D265" t="n">
        <v>44</v>
      </c>
      <c r="E265" t="n">
        <v>0</v>
      </c>
      <c r="F265" t="n">
        <v>1</v>
      </c>
      <c r="G265" t="n">
        <v>8</v>
      </c>
      <c r="H265" t="n">
        <v>2</v>
      </c>
      <c r="I265" t="n">
        <v>8</v>
      </c>
      <c r="J265" t="n">
        <v>0.01</v>
      </c>
      <c r="K265" t="n">
        <v>87</v>
      </c>
      <c r="L265" t="n">
        <v>2</v>
      </c>
      <c r="M265" t="n">
        <v>1</v>
      </c>
      <c r="N265" t="n">
        <v>0</v>
      </c>
      <c r="O265" t="n">
        <v>14</v>
      </c>
      <c r="P265" t="n">
        <v>40</v>
      </c>
      <c r="Q265" t="n">
        <v>40</v>
      </c>
      <c r="R265" t="n">
        <v>400</v>
      </c>
      <c r="S265" t="n">
        <v>617</v>
      </c>
      <c r="T265" t="n">
        <v>250</v>
      </c>
      <c r="U265" t="n">
        <v>50</v>
      </c>
      <c r="V265" t="n">
        <v>0.4</v>
      </c>
      <c r="W265" t="n">
        <v>6</v>
      </c>
      <c r="X265" t="n">
        <v>0</v>
      </c>
      <c r="Y265" t="n">
        <v>10000</v>
      </c>
      <c r="Z265" t="n">
        <v>0</v>
      </c>
      <c r="AA265" t="n">
        <v>500</v>
      </c>
      <c r="AB265" t="n">
        <v>10</v>
      </c>
      <c r="AC265" t="n">
        <v>2</v>
      </c>
      <c r="AD265" t="n">
        <v>260</v>
      </c>
      <c r="AE265" t="n">
        <v>36</v>
      </c>
      <c r="AF265" t="n">
        <v>15</v>
      </c>
      <c r="AG265" t="n">
        <v>48</v>
      </c>
      <c r="AH265" t="n">
        <v>9</v>
      </c>
      <c r="AI265" t="n">
        <v>4</v>
      </c>
      <c r="AJ265" t="n">
        <v>1600</v>
      </c>
      <c r="AK265" t="n">
        <v>200</v>
      </c>
      <c r="AL265" t="n">
        <v>60</v>
      </c>
      <c r="AM265" t="n">
        <v>900</v>
      </c>
      <c r="AN265" t="n">
        <v>20</v>
      </c>
      <c r="AO265" t="n">
        <v>1</v>
      </c>
      <c r="AP265" t="n">
        <v>0</v>
      </c>
      <c r="AQ265" t="n">
        <v>0</v>
      </c>
      <c r="AR265" t="n">
        <v>0</v>
      </c>
      <c r="AS265" t="n">
        <v>0</v>
      </c>
      <c r="AT265" t="n">
        <v>3791</v>
      </c>
      <c r="AU265" t="n">
        <v>4301</v>
      </c>
      <c r="AV265" t="n">
        <v>0</v>
      </c>
      <c r="AW265" t="n">
        <v>8092</v>
      </c>
      <c r="AX265" t="n">
        <v>8</v>
      </c>
      <c r="AY265" t="n">
        <v>0</v>
      </c>
      <c r="AZ265" t="n">
        <v>0</v>
      </c>
      <c r="BA265" t="n">
        <v>8</v>
      </c>
      <c r="BB265" t="n">
        <v>0</v>
      </c>
      <c r="BC265" t="n">
        <v>0</v>
      </c>
      <c r="BD265" t="n">
        <v>0</v>
      </c>
      <c r="BE265" t="n">
        <v>0</v>
      </c>
      <c r="BF265" t="n">
        <v>0</v>
      </c>
      <c r="BG265">
        <f>IF($F265=0,"0",MIN(
BH265/(30*$F265),
BI265/(61*$F265),
BJ265/(48*$F265),
(BK265+BL265)/(23*$F265),
(BM265+BN265)/(41*$F265),
BO265/(25*$F265),
BP265/(6.6*$F265),
BQ265/(40*$F265),
BS265/(16*$F265)
)*100)</f>
        <v/>
      </c>
      <c r="BH265" t="n">
        <v>26</v>
      </c>
      <c r="BI265" t="n">
        <v>59</v>
      </c>
      <c r="BJ265" t="n">
        <v>33</v>
      </c>
      <c r="BK265" t="n">
        <v>20</v>
      </c>
      <c r="BL265" t="n">
        <v>13</v>
      </c>
      <c r="BM265" t="n">
        <v>39</v>
      </c>
      <c r="BN265" t="n">
        <v>26</v>
      </c>
      <c r="BO265" t="n">
        <v>39</v>
      </c>
      <c r="BP265" t="n">
        <v>13</v>
      </c>
      <c r="BQ265" t="n">
        <v>46</v>
      </c>
      <c r="BR265" t="n">
        <v>72</v>
      </c>
      <c r="BS265" t="n">
        <v>33</v>
      </c>
      <c r="BT265" t="n">
        <v>419</v>
      </c>
      <c r="BU265" t="n">
        <v>59</v>
      </c>
      <c r="BV265" t="n">
        <v>189</v>
      </c>
      <c r="BW265" t="n">
        <v>203</v>
      </c>
      <c r="BX265" t="n">
        <v>52</v>
      </c>
      <c r="BY265" t="n">
        <v>46</v>
      </c>
      <c r="BZ265" t="n">
        <v>52</v>
      </c>
      <c r="CA265" t="n">
        <v>601</v>
      </c>
      <c r="CB265" t="n">
        <v>15</v>
      </c>
      <c r="CC265" t="n">
        <v>6</v>
      </c>
      <c r="CD265" t="n">
        <v>0</v>
      </c>
      <c r="CE265" t="n">
        <v>0</v>
      </c>
      <c r="CF265" t="n">
        <v>1</v>
      </c>
      <c r="CG265" t="n">
        <v>0</v>
      </c>
      <c r="CH265" t="n">
        <v>0</v>
      </c>
      <c r="CI265" t="n">
        <v>0</v>
      </c>
      <c r="CJ265" t="n">
        <v>0</v>
      </c>
      <c r="CK265" t="n">
        <v>0</v>
      </c>
      <c r="CL265" t="n">
        <v>0</v>
      </c>
      <c r="CM265" t="n">
        <v>0</v>
      </c>
      <c r="CN265" t="n">
        <v>0</v>
      </c>
      <c r="CO265" t="n">
        <v>0</v>
      </c>
      <c r="CP265" t="n">
        <v>0</v>
      </c>
      <c r="CQ265" t="n">
        <v>0</v>
      </c>
      <c r="CR265" t="n">
        <v>0</v>
      </c>
      <c r="CS265" t="n">
        <v>0</v>
      </c>
      <c r="CT265" t="n">
        <v>0</v>
      </c>
      <c r="CU265" t="n">
        <v>0</v>
      </c>
      <c r="CV265" t="n">
        <v>0</v>
      </c>
      <c r="CW265" t="n">
        <v>0</v>
      </c>
      <c r="CX265" t="n">
        <v>0</v>
      </c>
      <c r="CY265" t="n">
        <v>0</v>
      </c>
      <c r="CZ265" t="n">
        <v>0</v>
      </c>
      <c r="DA265" t="n">
        <v>0</v>
      </c>
      <c r="DB265" t="n">
        <v>0</v>
      </c>
      <c r="DC265" t="n">
        <v>0</v>
      </c>
      <c r="DD265" t="n">
        <v>0</v>
      </c>
      <c r="DE265" t="n">
        <v>0</v>
      </c>
      <c r="DF265" t="n">
        <v>0</v>
      </c>
      <c r="DG265" t="n">
        <v>0</v>
      </c>
      <c r="DH265" t="n">
        <v>0</v>
      </c>
      <c r="DI265" t="n">
        <v>0</v>
      </c>
      <c r="DJ265" t="n">
        <v>0</v>
      </c>
      <c r="DK265" t="n">
        <v>0</v>
      </c>
      <c r="DL265" t="n">
        <v>0</v>
      </c>
      <c r="DM265" t="n">
        <v>0</v>
      </c>
      <c r="DN265" t="n">
        <v>0</v>
      </c>
      <c r="DO265" t="n">
        <v>0</v>
      </c>
      <c r="DP265" t="n">
        <v>0</v>
      </c>
      <c r="DQ265" t="n">
        <v>0</v>
      </c>
      <c r="DR265" t="n">
        <v>0</v>
      </c>
      <c r="DS265" t="n">
        <v>0</v>
      </c>
      <c r="DT265" t="n">
        <v>0</v>
      </c>
      <c r="DU265" t="n">
        <v>1</v>
      </c>
      <c r="DV265" t="n">
        <v>0</v>
      </c>
      <c r="DW265" t="n">
        <v>0</v>
      </c>
      <c r="DX265" t="n">
        <v>0</v>
      </c>
      <c r="DY265" t="n">
        <v>510</v>
      </c>
      <c r="DZ265" t="n">
        <v>369</v>
      </c>
      <c r="EA265" t="n">
        <v>228</v>
      </c>
      <c r="EB265" t="n">
        <v>273</v>
      </c>
      <c r="EC265" t="n">
        <v>120</v>
      </c>
      <c r="ED265" t="n">
        <v>456</v>
      </c>
      <c r="EE265" t="n">
        <v>1044</v>
      </c>
      <c r="EF265" t="n">
        <v>0</v>
      </c>
      <c r="EG265" t="n">
        <v>2</v>
      </c>
      <c r="EH265" t="n">
        <v>0.6</v>
      </c>
      <c r="EI265" t="n">
        <v>1</v>
      </c>
      <c r="EJ265" t="n">
        <v>0</v>
      </c>
      <c r="EK265" t="n">
        <v>1.1</v>
      </c>
    </row>
    <row r="266">
      <c r="A266">
        <f>[1]ingredient!B266</f>
        <v/>
      </c>
      <c r="B266" t="inlineStr">
        <is>
          <t>https://www.naehrwertrechner.de/naehrwerte/G036011/Pfefferminze/?menge=100</t>
        </is>
      </c>
      <c r="C266" s="7">
        <f>_xlfn.XLOOKUP(A266,[1]ingredient!$B$2:$B$521,[1]ingredient!$A$2:$A$521)</f>
        <v/>
      </c>
      <c r="D266" t="n">
        <v>44</v>
      </c>
      <c r="E266" t="n">
        <v>1</v>
      </c>
      <c r="F266" t="n">
        <v>4</v>
      </c>
      <c r="G266" t="n">
        <v>5</v>
      </c>
      <c r="H266" t="n">
        <v>3</v>
      </c>
      <c r="I266" t="n">
        <v>5</v>
      </c>
      <c r="J266" t="n">
        <v>0.05</v>
      </c>
      <c r="K266" t="n">
        <v>86</v>
      </c>
      <c r="L266" t="n">
        <v>123</v>
      </c>
      <c r="M266" t="n">
        <v>62</v>
      </c>
      <c r="N266" t="n">
        <v>0</v>
      </c>
      <c r="O266" t="n">
        <v>740</v>
      </c>
      <c r="P266" t="n">
        <v>120</v>
      </c>
      <c r="Q266" t="n">
        <v>330</v>
      </c>
      <c r="R266" t="n">
        <v>1100</v>
      </c>
      <c r="S266" t="n">
        <v>1733</v>
      </c>
      <c r="T266" t="n">
        <v>190</v>
      </c>
      <c r="U266" t="n">
        <v>50</v>
      </c>
      <c r="V266" t="n">
        <v>2</v>
      </c>
      <c r="W266" t="n">
        <v>110</v>
      </c>
      <c r="X266" t="n">
        <v>0</v>
      </c>
      <c r="Y266" t="n">
        <v>31000</v>
      </c>
      <c r="Z266" t="n">
        <v>0</v>
      </c>
      <c r="AA266" t="n">
        <v>5000</v>
      </c>
      <c r="AB266" t="n">
        <v>300</v>
      </c>
      <c r="AC266" t="n">
        <v>15</v>
      </c>
      <c r="AD266" t="n">
        <v>260</v>
      </c>
      <c r="AE266" t="n">
        <v>210</v>
      </c>
      <c r="AF266" t="n">
        <v>30</v>
      </c>
      <c r="AG266" t="n">
        <v>75</v>
      </c>
      <c r="AH266" t="n">
        <v>84</v>
      </c>
      <c r="AI266" t="n">
        <v>34</v>
      </c>
      <c r="AJ266" t="n">
        <v>9500</v>
      </c>
      <c r="AK266" t="n">
        <v>1200</v>
      </c>
      <c r="AL266" t="n">
        <v>120</v>
      </c>
      <c r="AM266" t="n">
        <v>1400</v>
      </c>
      <c r="AN266" t="n">
        <v>50</v>
      </c>
      <c r="AO266" t="n">
        <v>4</v>
      </c>
      <c r="AP266" t="n">
        <v>0</v>
      </c>
      <c r="AQ266" t="n">
        <v>0</v>
      </c>
      <c r="AR266" t="n">
        <v>0</v>
      </c>
      <c r="AS266" t="n">
        <v>0</v>
      </c>
      <c r="AT266" t="n">
        <v>2120</v>
      </c>
      <c r="AU266" t="n">
        <v>2120</v>
      </c>
      <c r="AV266" t="n">
        <v>0</v>
      </c>
      <c r="AW266" t="n">
        <v>4240</v>
      </c>
      <c r="AX266" t="n">
        <v>1007</v>
      </c>
      <c r="AY266" t="n">
        <v>0</v>
      </c>
      <c r="AZ266" t="n">
        <v>0</v>
      </c>
      <c r="BA266" t="n">
        <v>1007</v>
      </c>
      <c r="BB266" t="n">
        <v>0</v>
      </c>
      <c r="BC266" t="n">
        <v>0</v>
      </c>
      <c r="BD266" t="n">
        <v>0</v>
      </c>
      <c r="BE266" t="n">
        <v>53</v>
      </c>
      <c r="BF266" t="n">
        <v>53</v>
      </c>
      <c r="BG266">
        <f>IF($F266=0,"0",MIN(
BH266/(30*$F266),
BI266/(61*$F266),
BJ266/(48*$F266),
(BK266+BL266)/(23*$F266),
(BM266+BN266)/(41*$F266),
BO266/(25*$F266),
BP266/(6.6*$F266),
BQ266/(40*$F266),
BS266/(16*$F266)
)*100)</f>
        <v/>
      </c>
      <c r="BH266" t="n">
        <v>152</v>
      </c>
      <c r="BI266" t="n">
        <v>228</v>
      </c>
      <c r="BJ266" t="n">
        <v>190</v>
      </c>
      <c r="BK266" t="n">
        <v>46</v>
      </c>
      <c r="BL266" t="n">
        <v>38</v>
      </c>
      <c r="BM266" t="n">
        <v>114</v>
      </c>
      <c r="BN266" t="n">
        <v>76</v>
      </c>
      <c r="BO266" t="n">
        <v>133</v>
      </c>
      <c r="BP266" t="n">
        <v>38</v>
      </c>
      <c r="BQ266" t="n">
        <v>152</v>
      </c>
      <c r="BR266" t="n">
        <v>152</v>
      </c>
      <c r="BS266" t="n">
        <v>57</v>
      </c>
      <c r="BT266" t="n">
        <v>1376</v>
      </c>
      <c r="BU266" t="n">
        <v>190</v>
      </c>
      <c r="BV266" t="n">
        <v>380</v>
      </c>
      <c r="BW266" t="n">
        <v>570</v>
      </c>
      <c r="BX266" t="n">
        <v>106</v>
      </c>
      <c r="BY266" t="n">
        <v>152</v>
      </c>
      <c r="BZ266" t="n">
        <v>114</v>
      </c>
      <c r="CA266" t="n">
        <v>1512</v>
      </c>
      <c r="CB266" t="n">
        <v>15</v>
      </c>
      <c r="CC266" t="n">
        <v>6</v>
      </c>
      <c r="CD266" t="n">
        <v>168</v>
      </c>
      <c r="CE266" t="n">
        <v>223</v>
      </c>
      <c r="CF266" t="n">
        <v>1.33</v>
      </c>
      <c r="CG266" t="n">
        <v>0</v>
      </c>
      <c r="CH266" t="n">
        <v>0</v>
      </c>
      <c r="CI266" t="n">
        <v>0</v>
      </c>
      <c r="CJ266" t="n">
        <v>0</v>
      </c>
      <c r="CK266" t="n">
        <v>0</v>
      </c>
      <c r="CL266" t="n">
        <v>3</v>
      </c>
      <c r="CM266" t="n">
        <v>0</v>
      </c>
      <c r="CN266" t="n">
        <v>109</v>
      </c>
      <c r="CO266" t="n">
        <v>0</v>
      </c>
      <c r="CP266" t="n">
        <v>17</v>
      </c>
      <c r="CQ266" t="n">
        <v>0</v>
      </c>
      <c r="CR266" t="n">
        <v>0</v>
      </c>
      <c r="CS266" t="n">
        <v>0</v>
      </c>
      <c r="CT266" t="n">
        <v>129</v>
      </c>
      <c r="CU266" t="n">
        <v>0</v>
      </c>
      <c r="CV266" t="n">
        <v>0</v>
      </c>
      <c r="CW266" t="n">
        <v>6</v>
      </c>
      <c r="CX266" t="n">
        <v>0</v>
      </c>
      <c r="CY266" t="n">
        <v>34</v>
      </c>
      <c r="CZ266" t="n">
        <v>0</v>
      </c>
      <c r="DA266" t="n">
        <v>0</v>
      </c>
      <c r="DB266" t="n">
        <v>0</v>
      </c>
      <c r="DC266" t="n">
        <v>40</v>
      </c>
      <c r="DD266" t="n">
        <v>0</v>
      </c>
      <c r="DE266" t="n">
        <v>0</v>
      </c>
      <c r="DF266" t="n">
        <v>223</v>
      </c>
      <c r="DG266" t="n">
        <v>168</v>
      </c>
      <c r="DH266" t="n">
        <v>0</v>
      </c>
      <c r="DI266" t="n">
        <v>0</v>
      </c>
      <c r="DJ266" t="n">
        <v>0</v>
      </c>
      <c r="DK266" t="n">
        <v>0</v>
      </c>
      <c r="DL266" t="n">
        <v>0</v>
      </c>
      <c r="DM266" t="n">
        <v>0</v>
      </c>
      <c r="DN266" t="n">
        <v>0</v>
      </c>
      <c r="DO266" t="n">
        <v>0</v>
      </c>
      <c r="DP266" t="n">
        <v>0</v>
      </c>
      <c r="DQ266" t="n">
        <v>0</v>
      </c>
      <c r="DR266" t="n">
        <v>0</v>
      </c>
      <c r="DS266" t="n">
        <v>391</v>
      </c>
      <c r="DT266" t="n">
        <v>560</v>
      </c>
      <c r="DU266" t="n">
        <v>140</v>
      </c>
      <c r="DV266" t="n">
        <v>0</v>
      </c>
      <c r="DW266" t="n">
        <v>0</v>
      </c>
      <c r="DX266" t="n">
        <v>0</v>
      </c>
      <c r="DY266" t="n">
        <v>450</v>
      </c>
      <c r="DZ266" t="n">
        <v>600</v>
      </c>
      <c r="EA266" t="n">
        <v>810</v>
      </c>
      <c r="EB266" t="n">
        <v>1050</v>
      </c>
      <c r="EC266" t="n">
        <v>90</v>
      </c>
      <c r="ED266" t="n">
        <v>900</v>
      </c>
      <c r="EE266" t="n">
        <v>2100</v>
      </c>
      <c r="EF266" t="n">
        <v>0</v>
      </c>
      <c r="EG266" t="n">
        <v>0.25</v>
      </c>
      <c r="EH266" t="n">
        <v>0.8</v>
      </c>
      <c r="EI266" t="n">
        <v>2.1</v>
      </c>
      <c r="EJ266" t="n">
        <v>0.7</v>
      </c>
      <c r="EK266" t="n">
        <v>2.9</v>
      </c>
    </row>
    <row r="267">
      <c r="A267">
        <f>[1]ingredient!B267</f>
        <v/>
      </c>
      <c r="B267" t="inlineStr">
        <is>
          <t>https://www.naehrwertrechner.de/naehrwerte/F224111/Mirabelle+frisch/?menge=100</t>
        </is>
      </c>
      <c r="C267" s="7">
        <f>_xlfn.XLOOKUP(A267,[1]ingredient!$B$2:$B$521,[1]ingredient!$A$2:$A$521)</f>
        <v/>
      </c>
      <c r="D267" t="n">
        <v>64</v>
      </c>
      <c r="E267" t="n">
        <v>0.2</v>
      </c>
      <c r="F267" t="n">
        <v>1</v>
      </c>
      <c r="G267" t="n">
        <v>14</v>
      </c>
      <c r="H267" t="n">
        <v>1</v>
      </c>
      <c r="I267" t="n">
        <v>14</v>
      </c>
      <c r="J267" t="n">
        <v>0</v>
      </c>
      <c r="K267" t="n">
        <v>82</v>
      </c>
      <c r="L267" t="n">
        <v>35</v>
      </c>
      <c r="M267" t="n">
        <v>18</v>
      </c>
      <c r="N267" t="n">
        <v>0</v>
      </c>
      <c r="O267" t="n">
        <v>210</v>
      </c>
      <c r="P267" t="n">
        <v>60</v>
      </c>
      <c r="Q267" t="n">
        <v>40</v>
      </c>
      <c r="R267" t="n">
        <v>600</v>
      </c>
      <c r="S267" t="n">
        <v>600</v>
      </c>
      <c r="T267" t="n">
        <v>200</v>
      </c>
      <c r="U267" t="n">
        <v>50</v>
      </c>
      <c r="V267" t="n">
        <v>1</v>
      </c>
      <c r="W267" t="n">
        <v>3</v>
      </c>
      <c r="X267" t="n">
        <v>0</v>
      </c>
      <c r="Y267" t="n">
        <v>7000</v>
      </c>
      <c r="Z267" t="n">
        <v>0</v>
      </c>
      <c r="AA267" t="n">
        <v>500</v>
      </c>
      <c r="AB267" t="n">
        <v>10</v>
      </c>
      <c r="AC267" t="n">
        <v>0</v>
      </c>
      <c r="AD267" t="n">
        <v>230</v>
      </c>
      <c r="AE267" t="n">
        <v>12</v>
      </c>
      <c r="AF267" t="n">
        <v>15</v>
      </c>
      <c r="AG267" t="n">
        <v>33</v>
      </c>
      <c r="AH267" t="n">
        <v>10</v>
      </c>
      <c r="AI267" t="n">
        <v>3</v>
      </c>
      <c r="AJ267" t="n">
        <v>500</v>
      </c>
      <c r="AK267" t="n">
        <v>100</v>
      </c>
      <c r="AL267" t="n">
        <v>90</v>
      </c>
      <c r="AM267" t="n">
        <v>90</v>
      </c>
      <c r="AN267" t="n">
        <v>2</v>
      </c>
      <c r="AO267" t="n">
        <v>1</v>
      </c>
      <c r="AP267" t="n">
        <v>0</v>
      </c>
      <c r="AQ267" t="n">
        <v>0</v>
      </c>
      <c r="AR267" t="n">
        <v>0</v>
      </c>
      <c r="AS267" t="n">
        <v>0</v>
      </c>
      <c r="AT267" t="n">
        <v>5096</v>
      </c>
      <c r="AU267" t="n">
        <v>4298</v>
      </c>
      <c r="AV267" t="n">
        <v>0</v>
      </c>
      <c r="AW267" t="n">
        <v>9394</v>
      </c>
      <c r="AX267" t="n">
        <v>4606</v>
      </c>
      <c r="AY267" t="n">
        <v>0</v>
      </c>
      <c r="AZ267" t="n">
        <v>0</v>
      </c>
      <c r="BA267" t="n">
        <v>4606</v>
      </c>
      <c r="BB267" t="n">
        <v>0</v>
      </c>
      <c r="BC267" t="n">
        <v>0</v>
      </c>
      <c r="BD267" t="n">
        <v>0</v>
      </c>
      <c r="BE267" t="n">
        <v>0</v>
      </c>
      <c r="BF267" t="n">
        <v>0</v>
      </c>
      <c r="BG267">
        <f>IF($F267=0,"0",MIN(
BH267/(30*$F267),
BI267/(61*$F267),
BJ267/(48*$F267),
(BK267+BL267)/(23*$F267),
(BM267+BN267)/(41*$F267),
BO267/(25*$F267),
BP267/(6.6*$F267),
BQ267/(40*$F267),
BS267/(16*$F267)
)*100)</f>
        <v/>
      </c>
      <c r="BH267" t="n">
        <v>14</v>
      </c>
      <c r="BI267" t="n">
        <v>19</v>
      </c>
      <c r="BJ267" t="n">
        <v>15</v>
      </c>
      <c r="BK267" t="n">
        <v>6</v>
      </c>
      <c r="BL267" t="n">
        <v>4</v>
      </c>
      <c r="BM267" t="n">
        <v>15</v>
      </c>
      <c r="BN267" t="n">
        <v>6</v>
      </c>
      <c r="BO267" t="n">
        <v>14</v>
      </c>
      <c r="BP267" t="n">
        <v>0</v>
      </c>
      <c r="BQ267" t="n">
        <v>17</v>
      </c>
      <c r="BR267" t="n">
        <v>11</v>
      </c>
      <c r="BS267" t="n">
        <v>11</v>
      </c>
      <c r="BT267" t="n">
        <v>132</v>
      </c>
      <c r="BU267" t="n">
        <v>26</v>
      </c>
      <c r="BV267" t="n">
        <v>219</v>
      </c>
      <c r="BW267" t="n">
        <v>33</v>
      </c>
      <c r="BX267" t="n">
        <v>11</v>
      </c>
      <c r="BY267" t="n">
        <v>30</v>
      </c>
      <c r="BZ267" t="n">
        <v>18</v>
      </c>
      <c r="CA267" t="n">
        <v>337</v>
      </c>
      <c r="CB267" t="n">
        <v>20</v>
      </c>
      <c r="CC267" t="n">
        <v>8</v>
      </c>
      <c r="CD267" t="n">
        <v>35</v>
      </c>
      <c r="CE267" t="n">
        <v>64</v>
      </c>
      <c r="CF267" t="n">
        <v>1.83</v>
      </c>
      <c r="CG267" t="n">
        <v>0</v>
      </c>
      <c r="CH267" t="n">
        <v>0</v>
      </c>
      <c r="CI267" t="n">
        <v>0</v>
      </c>
      <c r="CJ267" t="n">
        <v>0</v>
      </c>
      <c r="CK267" t="n">
        <v>0</v>
      </c>
      <c r="CL267" t="n">
        <v>0</v>
      </c>
      <c r="CM267" t="n">
        <v>0</v>
      </c>
      <c r="CN267" t="n">
        <v>29</v>
      </c>
      <c r="CO267" t="n">
        <v>0</v>
      </c>
      <c r="CP267" t="n">
        <v>6</v>
      </c>
      <c r="CQ267" t="n">
        <v>0</v>
      </c>
      <c r="CR267" t="n">
        <v>0</v>
      </c>
      <c r="CS267" t="n">
        <v>0</v>
      </c>
      <c r="CT267" t="n">
        <v>35</v>
      </c>
      <c r="CU267" t="n">
        <v>0</v>
      </c>
      <c r="CV267" t="n">
        <v>0</v>
      </c>
      <c r="CW267" t="n">
        <v>2</v>
      </c>
      <c r="CX267" t="n">
        <v>0</v>
      </c>
      <c r="CY267" t="n">
        <v>24</v>
      </c>
      <c r="CZ267" t="n">
        <v>0</v>
      </c>
      <c r="DA267" t="n">
        <v>0</v>
      </c>
      <c r="DB267" t="n">
        <v>0</v>
      </c>
      <c r="DC267" t="n">
        <v>26</v>
      </c>
      <c r="DD267" t="n">
        <v>0</v>
      </c>
      <c r="DE267" t="n">
        <v>0</v>
      </c>
      <c r="DF267" t="n">
        <v>64</v>
      </c>
      <c r="DG267" t="n">
        <v>35</v>
      </c>
      <c r="DH267" t="n">
        <v>0</v>
      </c>
      <c r="DI267" t="n">
        <v>0</v>
      </c>
      <c r="DJ267" t="n">
        <v>0</v>
      </c>
      <c r="DK267" t="n">
        <v>0</v>
      </c>
      <c r="DL267" t="n">
        <v>0</v>
      </c>
      <c r="DM267" t="n">
        <v>0</v>
      </c>
      <c r="DN267" t="n">
        <v>0</v>
      </c>
      <c r="DO267" t="n">
        <v>0</v>
      </c>
      <c r="DP267" t="n">
        <v>0</v>
      </c>
      <c r="DQ267" t="n">
        <v>0</v>
      </c>
      <c r="DR267" t="n">
        <v>0</v>
      </c>
      <c r="DS267" t="n">
        <v>99</v>
      </c>
      <c r="DT267" t="n">
        <v>160</v>
      </c>
      <c r="DU267" t="n">
        <v>40</v>
      </c>
      <c r="DV267" t="n">
        <v>0</v>
      </c>
      <c r="DW267" t="n">
        <v>0</v>
      </c>
      <c r="DX267" t="n">
        <v>0</v>
      </c>
      <c r="DY267" t="n">
        <v>130</v>
      </c>
      <c r="DZ267" t="n">
        <v>108</v>
      </c>
      <c r="EA267" t="n">
        <v>625</v>
      </c>
      <c r="EB267" t="n">
        <v>190</v>
      </c>
      <c r="EC267" t="n">
        <v>247</v>
      </c>
      <c r="ED267" t="n">
        <v>551</v>
      </c>
      <c r="EE267" t="n">
        <v>749</v>
      </c>
      <c r="EF267" t="n">
        <v>0</v>
      </c>
      <c r="EG267" t="n">
        <v>1</v>
      </c>
      <c r="EH267" t="n">
        <v>0.5</v>
      </c>
      <c r="EI267" t="n">
        <v>0.7</v>
      </c>
      <c r="EJ267" t="n">
        <v>0.2</v>
      </c>
      <c r="EK267" t="n">
        <v>0.5</v>
      </c>
    </row>
    <row r="268">
      <c r="A268">
        <f>[1]ingredient!B268</f>
        <v/>
      </c>
      <c r="B268" t="inlineStr">
        <is>
          <t>https://www.naehrwertrechner.de/naehrwerte/G620100/Karotte+roh/?menge=100</t>
        </is>
      </c>
      <c r="C268" s="7">
        <f>_xlfn.XLOOKUP(A268,[1]ingredient!$B$2:$B$521,[1]ingredient!$A$2:$A$521)</f>
        <v/>
      </c>
      <c r="D268" t="n">
        <v>33</v>
      </c>
      <c r="E268" t="n">
        <v>0.18</v>
      </c>
      <c r="F268" t="n">
        <v>1</v>
      </c>
      <c r="G268" t="n">
        <v>7</v>
      </c>
      <c r="H268" t="n">
        <v>3</v>
      </c>
      <c r="I268" t="n">
        <v>6</v>
      </c>
      <c r="J268" t="n">
        <v>0.08</v>
      </c>
      <c r="K268" t="n">
        <v>88</v>
      </c>
      <c r="L268" t="n">
        <v>1637</v>
      </c>
      <c r="M268" t="n">
        <v>818</v>
      </c>
      <c r="N268" t="n">
        <v>0</v>
      </c>
      <c r="O268" t="n">
        <v>9820</v>
      </c>
      <c r="P268" t="n">
        <v>111</v>
      </c>
      <c r="Q268" t="n">
        <v>14</v>
      </c>
      <c r="R268" t="n">
        <v>580</v>
      </c>
      <c r="S268" t="n">
        <v>747</v>
      </c>
      <c r="T268" t="n">
        <v>270</v>
      </c>
      <c r="U268" t="n">
        <v>168</v>
      </c>
      <c r="V268" t="n">
        <v>5</v>
      </c>
      <c r="W268" t="n">
        <v>17</v>
      </c>
      <c r="X268" t="n">
        <v>0</v>
      </c>
      <c r="Y268" t="n">
        <v>3220</v>
      </c>
      <c r="Z268" t="n">
        <v>0</v>
      </c>
      <c r="AA268" t="n">
        <v>440</v>
      </c>
      <c r="AB268" t="n">
        <v>15</v>
      </c>
      <c r="AC268" t="n">
        <v>23</v>
      </c>
      <c r="AD268" t="n">
        <v>355</v>
      </c>
      <c r="AE268" t="n">
        <v>21</v>
      </c>
      <c r="AF268" t="n">
        <v>12</v>
      </c>
      <c r="AG268" t="n">
        <v>36</v>
      </c>
      <c r="AH268" t="n">
        <v>7</v>
      </c>
      <c r="AI268" t="n">
        <v>58</v>
      </c>
      <c r="AJ268" t="n">
        <v>355</v>
      </c>
      <c r="AK268" t="n">
        <v>256</v>
      </c>
      <c r="AL268" t="n">
        <v>55</v>
      </c>
      <c r="AM268" t="n">
        <v>97</v>
      </c>
      <c r="AN268" t="n">
        <v>19</v>
      </c>
      <c r="AO268" t="n">
        <v>3</v>
      </c>
      <c r="AP268" t="n">
        <v>205</v>
      </c>
      <c r="AQ268" t="n">
        <v>0</v>
      </c>
      <c r="AR268" t="n">
        <v>0</v>
      </c>
      <c r="AS268" t="n">
        <v>205</v>
      </c>
      <c r="AT268" t="n">
        <v>770</v>
      </c>
      <c r="AU268" t="n">
        <v>750</v>
      </c>
      <c r="AV268" t="n">
        <v>0</v>
      </c>
      <c r="AW268" t="n">
        <v>1520</v>
      </c>
      <c r="AX268" t="n">
        <v>4850</v>
      </c>
      <c r="AY268" t="n">
        <v>0</v>
      </c>
      <c r="AZ268" t="n">
        <v>0</v>
      </c>
      <c r="BA268" t="n">
        <v>4850</v>
      </c>
      <c r="BB268" t="n">
        <v>0</v>
      </c>
      <c r="BC268" t="n">
        <v>0</v>
      </c>
      <c r="BD268" t="n">
        <v>0</v>
      </c>
      <c r="BE268" t="n">
        <v>0</v>
      </c>
      <c r="BF268" t="n">
        <v>0</v>
      </c>
      <c r="BG268">
        <f>IF($F268=0,"0",MIN(
BH268/(30*$F268),
BI268/(61*$F268),
BJ268/(48*$F268),
(BK268+BL268)/(23*$F268),
(BM268+BN268)/(41*$F268),
BO268/(25*$F268),
BP268/(6.6*$F268),
BQ268/(40*$F268),
BS268/(16*$F268)
)*100)</f>
        <v/>
      </c>
      <c r="BH268" t="n">
        <v>43</v>
      </c>
      <c r="BI268" t="n">
        <v>42</v>
      </c>
      <c r="BJ268" t="n">
        <v>47</v>
      </c>
      <c r="BK268" t="n">
        <v>8</v>
      </c>
      <c r="BL268" t="n">
        <v>13</v>
      </c>
      <c r="BM268" t="n">
        <v>31</v>
      </c>
      <c r="BN268" t="n">
        <v>16</v>
      </c>
      <c r="BO268" t="n">
        <v>36</v>
      </c>
      <c r="BP268" t="n">
        <v>10</v>
      </c>
      <c r="BQ268" t="n">
        <v>40</v>
      </c>
      <c r="BR268" t="n">
        <v>41</v>
      </c>
      <c r="BS268" t="n">
        <v>15</v>
      </c>
      <c r="BT268" t="n">
        <v>342</v>
      </c>
      <c r="BU268" t="n">
        <v>54</v>
      </c>
      <c r="BV268" t="n">
        <v>124</v>
      </c>
      <c r="BW268" t="n">
        <v>208</v>
      </c>
      <c r="BX268" t="n">
        <v>31</v>
      </c>
      <c r="BY268" t="n">
        <v>31</v>
      </c>
      <c r="BZ268" t="n">
        <v>36</v>
      </c>
      <c r="CA268" t="n">
        <v>484</v>
      </c>
      <c r="CB268" t="n">
        <v>17</v>
      </c>
      <c r="CC268" t="n">
        <v>7</v>
      </c>
      <c r="CD268" t="n">
        <v>12</v>
      </c>
      <c r="CE268" t="n">
        <v>105</v>
      </c>
      <c r="CF268" t="n">
        <v>8.75</v>
      </c>
      <c r="CG268" t="n">
        <v>0</v>
      </c>
      <c r="CH268" t="n">
        <v>0</v>
      </c>
      <c r="CI268" t="n">
        <v>0</v>
      </c>
      <c r="CJ268" t="n">
        <v>0</v>
      </c>
      <c r="CK268" t="n">
        <v>2</v>
      </c>
      <c r="CL268" t="n">
        <v>0</v>
      </c>
      <c r="CM268" t="n">
        <v>0</v>
      </c>
      <c r="CN268" t="n">
        <v>35</v>
      </c>
      <c r="CO268" t="n">
        <v>0</v>
      </c>
      <c r="CP268" t="n">
        <v>3</v>
      </c>
      <c r="CQ268" t="n">
        <v>1</v>
      </c>
      <c r="CR268" t="n">
        <v>0</v>
      </c>
      <c r="CS268" t="n">
        <v>0</v>
      </c>
      <c r="CT268" t="n">
        <v>40</v>
      </c>
      <c r="CU268" t="n">
        <v>0</v>
      </c>
      <c r="CV268" t="n">
        <v>0</v>
      </c>
      <c r="CW268" t="n">
        <v>2</v>
      </c>
      <c r="CX268" t="n">
        <v>0</v>
      </c>
      <c r="CY268" t="n">
        <v>3</v>
      </c>
      <c r="CZ268" t="n">
        <v>1</v>
      </c>
      <c r="DA268" t="n">
        <v>0</v>
      </c>
      <c r="DB268" t="n">
        <v>0</v>
      </c>
      <c r="DC268" t="n">
        <v>6</v>
      </c>
      <c r="DD268" t="n">
        <v>0</v>
      </c>
      <c r="DE268" t="n">
        <v>0</v>
      </c>
      <c r="DF268" t="n">
        <v>105</v>
      </c>
      <c r="DG268" t="n">
        <v>12</v>
      </c>
      <c r="DH268" t="n">
        <v>0</v>
      </c>
      <c r="DI268" t="n">
        <v>0</v>
      </c>
      <c r="DJ268" t="n">
        <v>0</v>
      </c>
      <c r="DK268" t="n">
        <v>0</v>
      </c>
      <c r="DL268" t="n">
        <v>0</v>
      </c>
      <c r="DM268" t="n">
        <v>0</v>
      </c>
      <c r="DN268" t="n">
        <v>0</v>
      </c>
      <c r="DO268" t="n">
        <v>0</v>
      </c>
      <c r="DP268" t="n">
        <v>0</v>
      </c>
      <c r="DQ268" t="n">
        <v>0</v>
      </c>
      <c r="DR268" t="n">
        <v>0</v>
      </c>
      <c r="DS268" t="n">
        <v>117</v>
      </c>
      <c r="DT268" t="n">
        <v>163</v>
      </c>
      <c r="DU268" t="n">
        <v>36</v>
      </c>
      <c r="DV268" t="n">
        <v>0</v>
      </c>
      <c r="DW268" t="n">
        <v>0</v>
      </c>
      <c r="DX268" t="n">
        <v>0</v>
      </c>
      <c r="DY268" t="n">
        <v>428</v>
      </c>
      <c r="DZ268" t="n">
        <v>643</v>
      </c>
      <c r="EA268" t="n">
        <v>826</v>
      </c>
      <c r="EB268" t="n">
        <v>950</v>
      </c>
      <c r="EC268" t="n">
        <v>61</v>
      </c>
      <c r="ED268" t="n">
        <v>1742</v>
      </c>
      <c r="EE268" t="n">
        <v>1889</v>
      </c>
      <c r="EF268" t="n">
        <v>0</v>
      </c>
      <c r="EG268" t="n">
        <v>0.26</v>
      </c>
      <c r="EH268" t="n">
        <v>0.9</v>
      </c>
      <c r="EI268" t="n">
        <v>1.9</v>
      </c>
      <c r="EJ268" t="n">
        <v>0.2</v>
      </c>
      <c r="EK268" t="n">
        <v>0.9</v>
      </c>
    </row>
    <row r="269">
      <c r="A269">
        <f>[1]ingredient!B269</f>
        <v/>
      </c>
      <c r="B269" t="inlineStr">
        <is>
          <t>https://www.naehrwertrechner.de/naehrwerte/G620100/Karotte+roh/?menge=100</t>
        </is>
      </c>
      <c r="C269" s="7">
        <f>_xlfn.XLOOKUP(A269,[1]ingredient!$B$2:$B$521,[1]ingredient!$A$2:$A$521)</f>
        <v/>
      </c>
      <c r="D269" t="n">
        <v>33</v>
      </c>
      <c r="E269" t="n">
        <v>0.18</v>
      </c>
      <c r="F269" t="n">
        <v>1</v>
      </c>
      <c r="G269" t="n">
        <v>7</v>
      </c>
      <c r="H269" t="n">
        <v>3</v>
      </c>
      <c r="I269" t="n">
        <v>6</v>
      </c>
      <c r="J269" t="n">
        <v>0.08</v>
      </c>
      <c r="K269" t="n">
        <v>88</v>
      </c>
      <c r="L269" t="n">
        <v>1637</v>
      </c>
      <c r="M269" t="n">
        <v>818</v>
      </c>
      <c r="N269" t="n">
        <v>0</v>
      </c>
      <c r="O269" t="n">
        <v>9820</v>
      </c>
      <c r="P269" t="n">
        <v>111</v>
      </c>
      <c r="Q269" t="n">
        <v>14</v>
      </c>
      <c r="R269" t="n">
        <v>580</v>
      </c>
      <c r="S269" t="n">
        <v>747</v>
      </c>
      <c r="T269" t="n">
        <v>270</v>
      </c>
      <c r="U269" t="n">
        <v>168</v>
      </c>
      <c r="V269" t="n">
        <v>5</v>
      </c>
      <c r="W269" t="n">
        <v>17</v>
      </c>
      <c r="X269" t="n">
        <v>0</v>
      </c>
      <c r="Y269" t="n">
        <v>3220</v>
      </c>
      <c r="Z269" t="n">
        <v>0</v>
      </c>
      <c r="AA269" t="n">
        <v>440</v>
      </c>
      <c r="AB269" t="n">
        <v>15</v>
      </c>
      <c r="AC269" t="n">
        <v>23</v>
      </c>
      <c r="AD269" t="n">
        <v>355</v>
      </c>
      <c r="AE269" t="n">
        <v>21</v>
      </c>
      <c r="AF269" t="n">
        <v>12</v>
      </c>
      <c r="AG269" t="n">
        <v>36</v>
      </c>
      <c r="AH269" t="n">
        <v>7</v>
      </c>
      <c r="AI269" t="n">
        <v>58</v>
      </c>
      <c r="AJ269" t="n">
        <v>355</v>
      </c>
      <c r="AK269" t="n">
        <v>256</v>
      </c>
      <c r="AL269" t="n">
        <v>55</v>
      </c>
      <c r="AM269" t="n">
        <v>97</v>
      </c>
      <c r="AN269" t="n">
        <v>19</v>
      </c>
      <c r="AO269" t="n">
        <v>3</v>
      </c>
      <c r="AP269" t="n">
        <v>205</v>
      </c>
      <c r="AQ269" t="n">
        <v>0</v>
      </c>
      <c r="AR269" t="n">
        <v>0</v>
      </c>
      <c r="AS269" t="n">
        <v>205</v>
      </c>
      <c r="AT269" t="n">
        <v>770</v>
      </c>
      <c r="AU269" t="n">
        <v>750</v>
      </c>
      <c r="AV269" t="n">
        <v>0</v>
      </c>
      <c r="AW269" t="n">
        <v>1520</v>
      </c>
      <c r="AX269" t="n">
        <v>4850</v>
      </c>
      <c r="AY269" t="n">
        <v>0</v>
      </c>
      <c r="AZ269" t="n">
        <v>0</v>
      </c>
      <c r="BA269" t="n">
        <v>4850</v>
      </c>
      <c r="BB269" t="n">
        <v>0</v>
      </c>
      <c r="BC269" t="n">
        <v>0</v>
      </c>
      <c r="BD269" t="n">
        <v>0</v>
      </c>
      <c r="BE269" t="n">
        <v>0</v>
      </c>
      <c r="BF269" t="n">
        <v>0</v>
      </c>
      <c r="BG269">
        <f>IF($F269=0,"0",MIN(
BH269/(30*$F269),
BI269/(61*$F269),
BJ269/(48*$F269),
(BK269+BL269)/(23*$F269),
(BM269+BN269)/(41*$F269),
BO269/(25*$F269),
BP269/(6.6*$F269),
BQ269/(40*$F269),
BS269/(16*$F269)
)*100)</f>
        <v/>
      </c>
      <c r="BH269" t="n">
        <v>43</v>
      </c>
      <c r="BI269" t="n">
        <v>42</v>
      </c>
      <c r="BJ269" t="n">
        <v>47</v>
      </c>
      <c r="BK269" t="n">
        <v>8</v>
      </c>
      <c r="BL269" t="n">
        <v>13</v>
      </c>
      <c r="BM269" t="n">
        <v>31</v>
      </c>
      <c r="BN269" t="n">
        <v>16</v>
      </c>
      <c r="BO269" t="n">
        <v>36</v>
      </c>
      <c r="BP269" t="n">
        <v>10</v>
      </c>
      <c r="BQ269" t="n">
        <v>40</v>
      </c>
      <c r="BR269" t="n">
        <v>41</v>
      </c>
      <c r="BS269" t="n">
        <v>15</v>
      </c>
      <c r="BT269" t="n">
        <v>342</v>
      </c>
      <c r="BU269" t="n">
        <v>54</v>
      </c>
      <c r="BV269" t="n">
        <v>124</v>
      </c>
      <c r="BW269" t="n">
        <v>208</v>
      </c>
      <c r="BX269" t="n">
        <v>31</v>
      </c>
      <c r="BY269" t="n">
        <v>31</v>
      </c>
      <c r="BZ269" t="n">
        <v>36</v>
      </c>
      <c r="CA269" t="n">
        <v>484</v>
      </c>
      <c r="CB269" t="n">
        <v>17</v>
      </c>
      <c r="CC269" t="n">
        <v>7</v>
      </c>
      <c r="CD269" t="n">
        <v>12</v>
      </c>
      <c r="CE269" t="n">
        <v>105</v>
      </c>
      <c r="CF269" t="n">
        <v>8.75</v>
      </c>
      <c r="CG269" t="n">
        <v>0</v>
      </c>
      <c r="CH269" t="n">
        <v>0</v>
      </c>
      <c r="CI269" t="n">
        <v>0</v>
      </c>
      <c r="CJ269" t="n">
        <v>0</v>
      </c>
      <c r="CK269" t="n">
        <v>2</v>
      </c>
      <c r="CL269" t="n">
        <v>0</v>
      </c>
      <c r="CM269" t="n">
        <v>0</v>
      </c>
      <c r="CN269" t="n">
        <v>35</v>
      </c>
      <c r="CO269" t="n">
        <v>0</v>
      </c>
      <c r="CP269" t="n">
        <v>3</v>
      </c>
      <c r="CQ269" t="n">
        <v>1</v>
      </c>
      <c r="CR269" t="n">
        <v>0</v>
      </c>
      <c r="CS269" t="n">
        <v>0</v>
      </c>
      <c r="CT269" t="n">
        <v>40</v>
      </c>
      <c r="CU269" t="n">
        <v>0</v>
      </c>
      <c r="CV269" t="n">
        <v>0</v>
      </c>
      <c r="CW269" t="n">
        <v>2</v>
      </c>
      <c r="CX269" t="n">
        <v>0</v>
      </c>
      <c r="CY269" t="n">
        <v>3</v>
      </c>
      <c r="CZ269" t="n">
        <v>1</v>
      </c>
      <c r="DA269" t="n">
        <v>0</v>
      </c>
      <c r="DB269" t="n">
        <v>0</v>
      </c>
      <c r="DC269" t="n">
        <v>6</v>
      </c>
      <c r="DD269" t="n">
        <v>0</v>
      </c>
      <c r="DE269" t="n">
        <v>0</v>
      </c>
      <c r="DF269" t="n">
        <v>105</v>
      </c>
      <c r="DG269" t="n">
        <v>12</v>
      </c>
      <c r="DH269" t="n">
        <v>0</v>
      </c>
      <c r="DI269" t="n">
        <v>0</v>
      </c>
      <c r="DJ269" t="n">
        <v>0</v>
      </c>
      <c r="DK269" t="n">
        <v>0</v>
      </c>
      <c r="DL269" t="n">
        <v>0</v>
      </c>
      <c r="DM269" t="n">
        <v>0</v>
      </c>
      <c r="DN269" t="n">
        <v>0</v>
      </c>
      <c r="DO269" t="n">
        <v>0</v>
      </c>
      <c r="DP269" t="n">
        <v>0</v>
      </c>
      <c r="DQ269" t="n">
        <v>0</v>
      </c>
      <c r="DR269" t="n">
        <v>0</v>
      </c>
      <c r="DS269" t="n">
        <v>117</v>
      </c>
      <c r="DT269" t="n">
        <v>163</v>
      </c>
      <c r="DU269" t="n">
        <v>36</v>
      </c>
      <c r="DV269" t="n">
        <v>0</v>
      </c>
      <c r="DW269" t="n">
        <v>0</v>
      </c>
      <c r="DX269" t="n">
        <v>0</v>
      </c>
      <c r="DY269" t="n">
        <v>428</v>
      </c>
      <c r="DZ269" t="n">
        <v>643</v>
      </c>
      <c r="EA269" t="n">
        <v>826</v>
      </c>
      <c r="EB269" t="n">
        <v>950</v>
      </c>
      <c r="EC269" t="n">
        <v>61</v>
      </c>
      <c r="ED269" t="n">
        <v>1742</v>
      </c>
      <c r="EE269" t="n">
        <v>1889</v>
      </c>
      <c r="EF269" t="n">
        <v>0</v>
      </c>
      <c r="EG269" t="n">
        <v>0.26</v>
      </c>
      <c r="EH269" t="n">
        <v>0.9</v>
      </c>
      <c r="EI269" t="n">
        <v>1.9</v>
      </c>
      <c r="EJ269" t="n">
        <v>0.2</v>
      </c>
      <c r="EK269" t="n">
        <v>0.9</v>
      </c>
    </row>
    <row r="270">
      <c r="A270">
        <f>[1]ingredient!B270</f>
        <v/>
      </c>
      <c r="B270" t="inlineStr">
        <is>
          <t>https://www.naehrwertrechner.de/naehrwerte/G620100/Karotte+roh/?menge=100</t>
        </is>
      </c>
      <c r="C270" s="7">
        <f>_xlfn.XLOOKUP(A270,[1]ingredient!$B$2:$B$521,[1]ingredient!$A$2:$A$521)</f>
        <v/>
      </c>
      <c r="D270" t="n">
        <v>33</v>
      </c>
      <c r="E270" t="n">
        <v>0.18</v>
      </c>
      <c r="F270" t="n">
        <v>1</v>
      </c>
      <c r="G270" t="n">
        <v>7</v>
      </c>
      <c r="H270" t="n">
        <v>3</v>
      </c>
      <c r="I270" t="n">
        <v>6</v>
      </c>
      <c r="J270" t="n">
        <v>0.08</v>
      </c>
      <c r="K270" t="n">
        <v>88</v>
      </c>
      <c r="L270" t="n">
        <v>1637</v>
      </c>
      <c r="M270" t="n">
        <v>818</v>
      </c>
      <c r="N270" t="n">
        <v>0</v>
      </c>
      <c r="O270" t="n">
        <v>9820</v>
      </c>
      <c r="P270" t="n">
        <v>111</v>
      </c>
      <c r="Q270" t="n">
        <v>14</v>
      </c>
      <c r="R270" t="n">
        <v>580</v>
      </c>
      <c r="S270" t="n">
        <v>747</v>
      </c>
      <c r="T270" t="n">
        <v>270</v>
      </c>
      <c r="U270" t="n">
        <v>168</v>
      </c>
      <c r="V270" t="n">
        <v>5</v>
      </c>
      <c r="W270" t="n">
        <v>17</v>
      </c>
      <c r="X270" t="n">
        <v>0</v>
      </c>
      <c r="Y270" t="n">
        <v>3220</v>
      </c>
      <c r="Z270" t="n">
        <v>0</v>
      </c>
      <c r="AA270" t="n">
        <v>440</v>
      </c>
      <c r="AB270" t="n">
        <v>15</v>
      </c>
      <c r="AC270" t="n">
        <v>23</v>
      </c>
      <c r="AD270" t="n">
        <v>355</v>
      </c>
      <c r="AE270" t="n">
        <v>21</v>
      </c>
      <c r="AF270" t="n">
        <v>12</v>
      </c>
      <c r="AG270" t="n">
        <v>36</v>
      </c>
      <c r="AH270" t="n">
        <v>7</v>
      </c>
      <c r="AI270" t="n">
        <v>58</v>
      </c>
      <c r="AJ270" t="n">
        <v>355</v>
      </c>
      <c r="AK270" t="n">
        <v>256</v>
      </c>
      <c r="AL270" t="n">
        <v>55</v>
      </c>
      <c r="AM270" t="n">
        <v>97</v>
      </c>
      <c r="AN270" t="n">
        <v>19</v>
      </c>
      <c r="AO270" t="n">
        <v>3</v>
      </c>
      <c r="AP270" t="n">
        <v>205</v>
      </c>
      <c r="AQ270" t="n">
        <v>0</v>
      </c>
      <c r="AR270" t="n">
        <v>0</v>
      </c>
      <c r="AS270" t="n">
        <v>205</v>
      </c>
      <c r="AT270" t="n">
        <v>770</v>
      </c>
      <c r="AU270" t="n">
        <v>750</v>
      </c>
      <c r="AV270" t="n">
        <v>0</v>
      </c>
      <c r="AW270" t="n">
        <v>1520</v>
      </c>
      <c r="AX270" t="n">
        <v>4850</v>
      </c>
      <c r="AY270" t="n">
        <v>0</v>
      </c>
      <c r="AZ270" t="n">
        <v>0</v>
      </c>
      <c r="BA270" t="n">
        <v>4850</v>
      </c>
      <c r="BB270" t="n">
        <v>0</v>
      </c>
      <c r="BC270" t="n">
        <v>0</v>
      </c>
      <c r="BD270" t="n">
        <v>0</v>
      </c>
      <c r="BE270" t="n">
        <v>0</v>
      </c>
      <c r="BF270" t="n">
        <v>0</v>
      </c>
      <c r="BG270">
        <f>IF($F270=0,"0",MIN(
BH270/(30*$F270),
BI270/(61*$F270),
BJ270/(48*$F270),
(BK270+BL270)/(23*$F270),
(BM270+BN270)/(41*$F270),
BO270/(25*$F270),
BP270/(6.6*$F270),
BQ270/(40*$F270),
BS270/(16*$F270)
)*100)</f>
        <v/>
      </c>
      <c r="BH270" t="n">
        <v>43</v>
      </c>
      <c r="BI270" t="n">
        <v>42</v>
      </c>
      <c r="BJ270" t="n">
        <v>47</v>
      </c>
      <c r="BK270" t="n">
        <v>8</v>
      </c>
      <c r="BL270" t="n">
        <v>13</v>
      </c>
      <c r="BM270" t="n">
        <v>31</v>
      </c>
      <c r="BN270" t="n">
        <v>16</v>
      </c>
      <c r="BO270" t="n">
        <v>36</v>
      </c>
      <c r="BP270" t="n">
        <v>10</v>
      </c>
      <c r="BQ270" t="n">
        <v>40</v>
      </c>
      <c r="BR270" t="n">
        <v>41</v>
      </c>
      <c r="BS270" t="n">
        <v>15</v>
      </c>
      <c r="BT270" t="n">
        <v>342</v>
      </c>
      <c r="BU270" t="n">
        <v>54</v>
      </c>
      <c r="BV270" t="n">
        <v>124</v>
      </c>
      <c r="BW270" t="n">
        <v>208</v>
      </c>
      <c r="BX270" t="n">
        <v>31</v>
      </c>
      <c r="BY270" t="n">
        <v>31</v>
      </c>
      <c r="BZ270" t="n">
        <v>36</v>
      </c>
      <c r="CA270" t="n">
        <v>484</v>
      </c>
      <c r="CB270" t="n">
        <v>17</v>
      </c>
      <c r="CC270" t="n">
        <v>7</v>
      </c>
      <c r="CD270" t="n">
        <v>12</v>
      </c>
      <c r="CE270" t="n">
        <v>105</v>
      </c>
      <c r="CF270" t="n">
        <v>8.75</v>
      </c>
      <c r="CG270" t="n">
        <v>0</v>
      </c>
      <c r="CH270" t="n">
        <v>0</v>
      </c>
      <c r="CI270" t="n">
        <v>0</v>
      </c>
      <c r="CJ270" t="n">
        <v>0</v>
      </c>
      <c r="CK270" t="n">
        <v>2</v>
      </c>
      <c r="CL270" t="n">
        <v>0</v>
      </c>
      <c r="CM270" t="n">
        <v>0</v>
      </c>
      <c r="CN270" t="n">
        <v>35</v>
      </c>
      <c r="CO270" t="n">
        <v>0</v>
      </c>
      <c r="CP270" t="n">
        <v>3</v>
      </c>
      <c r="CQ270" t="n">
        <v>1</v>
      </c>
      <c r="CR270" t="n">
        <v>0</v>
      </c>
      <c r="CS270" t="n">
        <v>0</v>
      </c>
      <c r="CT270" t="n">
        <v>40</v>
      </c>
      <c r="CU270" t="n">
        <v>0</v>
      </c>
      <c r="CV270" t="n">
        <v>0</v>
      </c>
      <c r="CW270" t="n">
        <v>2</v>
      </c>
      <c r="CX270" t="n">
        <v>0</v>
      </c>
      <c r="CY270" t="n">
        <v>3</v>
      </c>
      <c r="CZ270" t="n">
        <v>1</v>
      </c>
      <c r="DA270" t="n">
        <v>0</v>
      </c>
      <c r="DB270" t="n">
        <v>0</v>
      </c>
      <c r="DC270" t="n">
        <v>6</v>
      </c>
      <c r="DD270" t="n">
        <v>0</v>
      </c>
      <c r="DE270" t="n">
        <v>0</v>
      </c>
      <c r="DF270" t="n">
        <v>105</v>
      </c>
      <c r="DG270" t="n">
        <v>12</v>
      </c>
      <c r="DH270" t="n">
        <v>0</v>
      </c>
      <c r="DI270" t="n">
        <v>0</v>
      </c>
      <c r="DJ270" t="n">
        <v>0</v>
      </c>
      <c r="DK270" t="n">
        <v>0</v>
      </c>
      <c r="DL270" t="n">
        <v>0</v>
      </c>
      <c r="DM270" t="n">
        <v>0</v>
      </c>
      <c r="DN270" t="n">
        <v>0</v>
      </c>
      <c r="DO270" t="n">
        <v>0</v>
      </c>
      <c r="DP270" t="n">
        <v>0</v>
      </c>
      <c r="DQ270" t="n">
        <v>0</v>
      </c>
      <c r="DR270" t="n">
        <v>0</v>
      </c>
      <c r="DS270" t="n">
        <v>117</v>
      </c>
      <c r="DT270" t="n">
        <v>163</v>
      </c>
      <c r="DU270" t="n">
        <v>36</v>
      </c>
      <c r="DV270" t="n">
        <v>0</v>
      </c>
      <c r="DW270" t="n">
        <v>0</v>
      </c>
      <c r="DX270" t="n">
        <v>0</v>
      </c>
      <c r="DY270" t="n">
        <v>428</v>
      </c>
      <c r="DZ270" t="n">
        <v>643</v>
      </c>
      <c r="EA270" t="n">
        <v>826</v>
      </c>
      <c r="EB270" t="n">
        <v>950</v>
      </c>
      <c r="EC270" t="n">
        <v>61</v>
      </c>
      <c r="ED270" t="n">
        <v>1742</v>
      </c>
      <c r="EE270" t="n">
        <v>1889</v>
      </c>
      <c r="EF270" t="n">
        <v>0</v>
      </c>
      <c r="EG270" t="n">
        <v>0.26</v>
      </c>
      <c r="EH270" t="n">
        <v>0.9</v>
      </c>
      <c r="EI270" t="n">
        <v>1.9</v>
      </c>
      <c r="EJ270" t="n">
        <v>0.2</v>
      </c>
      <c r="EK270" t="n">
        <v>0.9</v>
      </c>
    </row>
    <row r="271">
      <c r="A271">
        <f>[1]ingredient!B271</f>
        <v/>
      </c>
      <c r="B271" t="inlineStr">
        <is>
          <t>https://www.naehrwertrechner.de/naehrwerte/G620100/Karotte+roh/?menge=100</t>
        </is>
      </c>
      <c r="C271" s="7">
        <f>_xlfn.XLOOKUP(A271,[1]ingredient!$B$2:$B$521,[1]ingredient!$A$2:$A$521)</f>
        <v/>
      </c>
      <c r="D271" t="n">
        <v>33</v>
      </c>
      <c r="E271" t="n">
        <v>0.18</v>
      </c>
      <c r="F271" t="n">
        <v>1</v>
      </c>
      <c r="G271" t="n">
        <v>7</v>
      </c>
      <c r="H271" t="n">
        <v>3</v>
      </c>
      <c r="I271" t="n">
        <v>6</v>
      </c>
      <c r="J271" t="n">
        <v>0.08</v>
      </c>
      <c r="K271" t="n">
        <v>88</v>
      </c>
      <c r="L271" t="n">
        <v>1637</v>
      </c>
      <c r="M271" t="n">
        <v>818</v>
      </c>
      <c r="N271" t="n">
        <v>0</v>
      </c>
      <c r="O271" t="n">
        <v>9820</v>
      </c>
      <c r="P271" t="n">
        <v>111</v>
      </c>
      <c r="Q271" t="n">
        <v>14</v>
      </c>
      <c r="R271" t="n">
        <v>580</v>
      </c>
      <c r="S271" t="n">
        <v>747</v>
      </c>
      <c r="T271" t="n">
        <v>270</v>
      </c>
      <c r="U271" t="n">
        <v>168</v>
      </c>
      <c r="V271" t="n">
        <v>5</v>
      </c>
      <c r="W271" t="n">
        <v>17</v>
      </c>
      <c r="X271" t="n">
        <v>0</v>
      </c>
      <c r="Y271" t="n">
        <v>3220</v>
      </c>
      <c r="Z271" t="n">
        <v>0</v>
      </c>
      <c r="AA271" t="n">
        <v>440</v>
      </c>
      <c r="AB271" t="n">
        <v>15</v>
      </c>
      <c r="AC271" t="n">
        <v>23</v>
      </c>
      <c r="AD271" t="n">
        <v>355</v>
      </c>
      <c r="AE271" t="n">
        <v>21</v>
      </c>
      <c r="AF271" t="n">
        <v>12</v>
      </c>
      <c r="AG271" t="n">
        <v>36</v>
      </c>
      <c r="AH271" t="n">
        <v>7</v>
      </c>
      <c r="AI271" t="n">
        <v>58</v>
      </c>
      <c r="AJ271" t="n">
        <v>355</v>
      </c>
      <c r="AK271" t="n">
        <v>256</v>
      </c>
      <c r="AL271" t="n">
        <v>55</v>
      </c>
      <c r="AM271" t="n">
        <v>97</v>
      </c>
      <c r="AN271" t="n">
        <v>19</v>
      </c>
      <c r="AO271" t="n">
        <v>3</v>
      </c>
      <c r="AP271" t="n">
        <v>205</v>
      </c>
      <c r="AQ271" t="n">
        <v>0</v>
      </c>
      <c r="AR271" t="n">
        <v>0</v>
      </c>
      <c r="AS271" t="n">
        <v>205</v>
      </c>
      <c r="AT271" t="n">
        <v>770</v>
      </c>
      <c r="AU271" t="n">
        <v>750</v>
      </c>
      <c r="AV271" t="n">
        <v>0</v>
      </c>
      <c r="AW271" t="n">
        <v>1520</v>
      </c>
      <c r="AX271" t="n">
        <v>4850</v>
      </c>
      <c r="AY271" t="n">
        <v>0</v>
      </c>
      <c r="AZ271" t="n">
        <v>0</v>
      </c>
      <c r="BA271" t="n">
        <v>4850</v>
      </c>
      <c r="BB271" t="n">
        <v>0</v>
      </c>
      <c r="BC271" t="n">
        <v>0</v>
      </c>
      <c r="BD271" t="n">
        <v>0</v>
      </c>
      <c r="BE271" t="n">
        <v>0</v>
      </c>
      <c r="BF271" t="n">
        <v>0</v>
      </c>
      <c r="BG271">
        <f>IF($F271=0,"0",MIN(
BH271/(30*$F271),
BI271/(61*$F271),
BJ271/(48*$F271),
(BK271+BL271)/(23*$F271),
(BM271+BN271)/(41*$F271),
BO271/(25*$F271),
BP271/(6.6*$F271),
BQ271/(40*$F271),
BS271/(16*$F271)
)*100)</f>
        <v/>
      </c>
      <c r="BH271" t="n">
        <v>43</v>
      </c>
      <c r="BI271" t="n">
        <v>42</v>
      </c>
      <c r="BJ271" t="n">
        <v>47</v>
      </c>
      <c r="BK271" t="n">
        <v>8</v>
      </c>
      <c r="BL271" t="n">
        <v>13</v>
      </c>
      <c r="BM271" t="n">
        <v>31</v>
      </c>
      <c r="BN271" t="n">
        <v>16</v>
      </c>
      <c r="BO271" t="n">
        <v>36</v>
      </c>
      <c r="BP271" t="n">
        <v>10</v>
      </c>
      <c r="BQ271" t="n">
        <v>40</v>
      </c>
      <c r="BR271" t="n">
        <v>41</v>
      </c>
      <c r="BS271" t="n">
        <v>15</v>
      </c>
      <c r="BT271" t="n">
        <v>342</v>
      </c>
      <c r="BU271" t="n">
        <v>54</v>
      </c>
      <c r="BV271" t="n">
        <v>124</v>
      </c>
      <c r="BW271" t="n">
        <v>208</v>
      </c>
      <c r="BX271" t="n">
        <v>31</v>
      </c>
      <c r="BY271" t="n">
        <v>31</v>
      </c>
      <c r="BZ271" t="n">
        <v>36</v>
      </c>
      <c r="CA271" t="n">
        <v>484</v>
      </c>
      <c r="CB271" t="n">
        <v>17</v>
      </c>
      <c r="CC271" t="n">
        <v>7</v>
      </c>
      <c r="CD271" t="n">
        <v>12</v>
      </c>
      <c r="CE271" t="n">
        <v>105</v>
      </c>
      <c r="CF271" t="n">
        <v>8.75</v>
      </c>
      <c r="CG271" t="n">
        <v>0</v>
      </c>
      <c r="CH271" t="n">
        <v>0</v>
      </c>
      <c r="CI271" t="n">
        <v>0</v>
      </c>
      <c r="CJ271" t="n">
        <v>0</v>
      </c>
      <c r="CK271" t="n">
        <v>2</v>
      </c>
      <c r="CL271" t="n">
        <v>0</v>
      </c>
      <c r="CM271" t="n">
        <v>0</v>
      </c>
      <c r="CN271" t="n">
        <v>35</v>
      </c>
      <c r="CO271" t="n">
        <v>0</v>
      </c>
      <c r="CP271" t="n">
        <v>3</v>
      </c>
      <c r="CQ271" t="n">
        <v>1</v>
      </c>
      <c r="CR271" t="n">
        <v>0</v>
      </c>
      <c r="CS271" t="n">
        <v>0</v>
      </c>
      <c r="CT271" t="n">
        <v>40</v>
      </c>
      <c r="CU271" t="n">
        <v>0</v>
      </c>
      <c r="CV271" t="n">
        <v>0</v>
      </c>
      <c r="CW271" t="n">
        <v>2</v>
      </c>
      <c r="CX271" t="n">
        <v>0</v>
      </c>
      <c r="CY271" t="n">
        <v>3</v>
      </c>
      <c r="CZ271" t="n">
        <v>1</v>
      </c>
      <c r="DA271" t="n">
        <v>0</v>
      </c>
      <c r="DB271" t="n">
        <v>0</v>
      </c>
      <c r="DC271" t="n">
        <v>6</v>
      </c>
      <c r="DD271" t="n">
        <v>0</v>
      </c>
      <c r="DE271" t="n">
        <v>0</v>
      </c>
      <c r="DF271" t="n">
        <v>105</v>
      </c>
      <c r="DG271" t="n">
        <v>12</v>
      </c>
      <c r="DH271" t="n">
        <v>0</v>
      </c>
      <c r="DI271" t="n">
        <v>0</v>
      </c>
      <c r="DJ271" t="n">
        <v>0</v>
      </c>
      <c r="DK271" t="n">
        <v>0</v>
      </c>
      <c r="DL271" t="n">
        <v>0</v>
      </c>
      <c r="DM271" t="n">
        <v>0</v>
      </c>
      <c r="DN271" t="n">
        <v>0</v>
      </c>
      <c r="DO271" t="n">
        <v>0</v>
      </c>
      <c r="DP271" t="n">
        <v>0</v>
      </c>
      <c r="DQ271" t="n">
        <v>0</v>
      </c>
      <c r="DR271" t="n">
        <v>0</v>
      </c>
      <c r="DS271" t="n">
        <v>117</v>
      </c>
      <c r="DT271" t="n">
        <v>163</v>
      </c>
      <c r="DU271" t="n">
        <v>36</v>
      </c>
      <c r="DV271" t="n">
        <v>0</v>
      </c>
      <c r="DW271" t="n">
        <v>0</v>
      </c>
      <c r="DX271" t="n">
        <v>0</v>
      </c>
      <c r="DY271" t="n">
        <v>428</v>
      </c>
      <c r="DZ271" t="n">
        <v>643</v>
      </c>
      <c r="EA271" t="n">
        <v>826</v>
      </c>
      <c r="EB271" t="n">
        <v>950</v>
      </c>
      <c r="EC271" t="n">
        <v>61</v>
      </c>
      <c r="ED271" t="n">
        <v>1742</v>
      </c>
      <c r="EE271" t="n">
        <v>1889</v>
      </c>
      <c r="EF271" t="n">
        <v>0</v>
      </c>
      <c r="EG271" t="n">
        <v>0.26</v>
      </c>
      <c r="EH271" t="n">
        <v>0.9</v>
      </c>
      <c r="EI271" t="n">
        <v>1.9</v>
      </c>
      <c r="EJ271" t="n">
        <v>0.2</v>
      </c>
      <c r="EK271" t="n">
        <v>0.9</v>
      </c>
    </row>
    <row r="272">
      <c r="A272">
        <f>[1]ingredient!B272</f>
        <v/>
      </c>
      <c r="B272" t="inlineStr">
        <is>
          <t>https://www.naehrwertrechner.de/naehrwerte/J371001/Miso/?menge=100</t>
        </is>
      </c>
      <c r="C272" s="7">
        <f>_xlfn.XLOOKUP(A272,[1]ingredient!$B$2:$B$521,[1]ingredient!$A$2:$A$521)</f>
        <v/>
      </c>
      <c r="D272" t="n">
        <v>115</v>
      </c>
      <c r="E272" t="n">
        <v>6</v>
      </c>
      <c r="F272" t="n">
        <v>11</v>
      </c>
      <c r="G272" t="n">
        <v>5</v>
      </c>
      <c r="H272" t="n">
        <v>11</v>
      </c>
      <c r="I272" t="n">
        <v>5</v>
      </c>
      <c r="J272" t="n">
        <v>7</v>
      </c>
      <c r="K272" t="n">
        <v>56</v>
      </c>
      <c r="L272" t="n">
        <v>9</v>
      </c>
      <c r="M272" t="n">
        <v>5</v>
      </c>
      <c r="N272" t="n">
        <v>0</v>
      </c>
      <c r="O272" t="n">
        <v>54</v>
      </c>
      <c r="P272" t="n">
        <v>60</v>
      </c>
      <c r="Q272" t="n">
        <v>100</v>
      </c>
      <c r="R272" t="n">
        <v>1300</v>
      </c>
      <c r="S272" t="n">
        <v>2883</v>
      </c>
      <c r="T272" t="n">
        <v>500</v>
      </c>
      <c r="U272" t="n">
        <v>300</v>
      </c>
      <c r="V272" t="n">
        <v>15</v>
      </c>
      <c r="W272" t="n">
        <v>40</v>
      </c>
      <c r="X272" t="n">
        <v>0.2</v>
      </c>
      <c r="Y272" t="n">
        <v>0</v>
      </c>
      <c r="Z272" t="n">
        <v>0</v>
      </c>
      <c r="AA272" t="n">
        <v>800</v>
      </c>
      <c r="AB272" t="n">
        <v>11</v>
      </c>
      <c r="AC272" t="n">
        <v>2950</v>
      </c>
      <c r="AD272" t="n">
        <v>334</v>
      </c>
      <c r="AE272" t="n">
        <v>68</v>
      </c>
      <c r="AF272" t="n">
        <v>120</v>
      </c>
      <c r="AG272" t="n">
        <v>309</v>
      </c>
      <c r="AH272" t="n">
        <v>70</v>
      </c>
      <c r="AI272" t="n">
        <v>4300</v>
      </c>
      <c r="AJ272" t="n">
        <v>1700</v>
      </c>
      <c r="AK272" t="n">
        <v>500</v>
      </c>
      <c r="AL272" t="n">
        <v>50</v>
      </c>
      <c r="AM272" t="n">
        <v>1400</v>
      </c>
      <c r="AN272" t="n">
        <v>30</v>
      </c>
      <c r="AO272" t="n">
        <v>3</v>
      </c>
      <c r="AP272" t="n">
        <v>0</v>
      </c>
      <c r="AQ272" t="n">
        <v>0</v>
      </c>
      <c r="AR272" t="n">
        <v>0</v>
      </c>
      <c r="AS272" t="n">
        <v>0</v>
      </c>
      <c r="AT272" t="n">
        <v>0</v>
      </c>
      <c r="AU272" t="n">
        <v>0</v>
      </c>
      <c r="AV272" t="n">
        <v>0</v>
      </c>
      <c r="AW272" t="n">
        <v>0</v>
      </c>
      <c r="AX272" t="n">
        <v>4653</v>
      </c>
      <c r="AY272" t="n">
        <v>0</v>
      </c>
      <c r="AZ272" t="n">
        <v>0</v>
      </c>
      <c r="BA272" t="n">
        <v>4653</v>
      </c>
      <c r="BB272" t="n">
        <v>0</v>
      </c>
      <c r="BC272" t="n">
        <v>0</v>
      </c>
      <c r="BD272" t="n">
        <v>0</v>
      </c>
      <c r="BE272" t="n">
        <v>47</v>
      </c>
      <c r="BF272" t="n">
        <v>47</v>
      </c>
      <c r="BG272">
        <f>IF($F272=0,"0",MIN(
BH272/(30*$F272),
BI272/(61*$F272),
BJ272/(48*$F272),
(BK272+BL272)/(23*$F272),
(BM272+BN272)/(41*$F272),
BO272/(25*$F272),
BP272/(6.6*$F272),
BQ272/(40*$F272),
BS272/(16*$F272)
)*100)</f>
        <v/>
      </c>
      <c r="BH272" t="n">
        <v>494</v>
      </c>
      <c r="BI272" t="n">
        <v>798</v>
      </c>
      <c r="BJ272" t="n">
        <v>578</v>
      </c>
      <c r="BK272" t="n">
        <v>126</v>
      </c>
      <c r="BL272" t="n">
        <v>137</v>
      </c>
      <c r="BM272" t="n">
        <v>483</v>
      </c>
      <c r="BN272" t="n">
        <v>399</v>
      </c>
      <c r="BO272" t="n">
        <v>368</v>
      </c>
      <c r="BP272" t="n">
        <v>95</v>
      </c>
      <c r="BQ272" t="n">
        <v>483</v>
      </c>
      <c r="BR272" t="n">
        <v>609</v>
      </c>
      <c r="BS272" t="n">
        <v>263</v>
      </c>
      <c r="BT272" t="n">
        <v>4833</v>
      </c>
      <c r="BU272" t="n">
        <v>536</v>
      </c>
      <c r="BV272" t="n">
        <v>1166</v>
      </c>
      <c r="BW272" t="n">
        <v>1864</v>
      </c>
      <c r="BX272" t="n">
        <v>462</v>
      </c>
      <c r="BY272" t="n">
        <v>756</v>
      </c>
      <c r="BZ272" t="n">
        <v>620</v>
      </c>
      <c r="CA272" t="n">
        <v>5404</v>
      </c>
      <c r="CB272" t="n">
        <v>60</v>
      </c>
      <c r="CC272" t="n">
        <v>25</v>
      </c>
      <c r="CD272" t="n">
        <v>440</v>
      </c>
      <c r="CE272" t="n">
        <v>3234</v>
      </c>
      <c r="CF272" t="n">
        <v>7.35</v>
      </c>
      <c r="CG272" t="n">
        <v>0</v>
      </c>
      <c r="CH272" t="n">
        <v>0</v>
      </c>
      <c r="CI272" t="n">
        <v>0</v>
      </c>
      <c r="CJ272" t="n">
        <v>0</v>
      </c>
      <c r="CK272" t="n">
        <v>6</v>
      </c>
      <c r="CL272" t="n">
        <v>11</v>
      </c>
      <c r="CM272" t="n">
        <v>0</v>
      </c>
      <c r="CN272" t="n">
        <v>621</v>
      </c>
      <c r="CO272" t="n">
        <v>0</v>
      </c>
      <c r="CP272" t="n">
        <v>215</v>
      </c>
      <c r="CQ272" t="n">
        <v>17</v>
      </c>
      <c r="CR272" t="n">
        <v>6</v>
      </c>
      <c r="CS272" t="n">
        <v>0</v>
      </c>
      <c r="CT272" t="n">
        <v>876</v>
      </c>
      <c r="CU272" t="n">
        <v>0</v>
      </c>
      <c r="CV272" t="n">
        <v>0</v>
      </c>
      <c r="CW272" t="n">
        <v>11</v>
      </c>
      <c r="CX272" t="n">
        <v>0</v>
      </c>
      <c r="CY272" t="n">
        <v>1073</v>
      </c>
      <c r="CZ272" t="n">
        <v>11</v>
      </c>
      <c r="DA272" t="n">
        <v>0</v>
      </c>
      <c r="DB272" t="n">
        <v>0</v>
      </c>
      <c r="DC272" t="n">
        <v>1095</v>
      </c>
      <c r="DD272" t="n">
        <v>0</v>
      </c>
      <c r="DE272" t="n">
        <v>0</v>
      </c>
      <c r="DF272" t="n">
        <v>3234</v>
      </c>
      <c r="DG272" t="n">
        <v>440</v>
      </c>
      <c r="DH272" t="n">
        <v>0</v>
      </c>
      <c r="DI272" t="n">
        <v>0</v>
      </c>
      <c r="DJ272" t="n">
        <v>0</v>
      </c>
      <c r="DK272" t="n">
        <v>0</v>
      </c>
      <c r="DL272" t="n">
        <v>0</v>
      </c>
      <c r="DM272" t="n">
        <v>0</v>
      </c>
      <c r="DN272" t="n">
        <v>0</v>
      </c>
      <c r="DO272" t="n">
        <v>0</v>
      </c>
      <c r="DP272" t="n">
        <v>0</v>
      </c>
      <c r="DQ272" t="n">
        <v>0</v>
      </c>
      <c r="DR272" t="n">
        <v>0</v>
      </c>
      <c r="DS272" t="n">
        <v>3674</v>
      </c>
      <c r="DT272" t="n">
        <v>5645</v>
      </c>
      <c r="DU272" t="n">
        <v>425</v>
      </c>
      <c r="DV272" t="n">
        <v>0</v>
      </c>
      <c r="DW272" t="n">
        <v>0</v>
      </c>
      <c r="DX272" t="n">
        <v>0</v>
      </c>
      <c r="DY272" t="n">
        <v>2625</v>
      </c>
      <c r="DZ272" t="n">
        <v>3832</v>
      </c>
      <c r="EA272" t="n">
        <v>1470</v>
      </c>
      <c r="EB272" t="n">
        <v>2520</v>
      </c>
      <c r="EC272" t="n">
        <v>53</v>
      </c>
      <c r="ED272" t="n">
        <v>5250</v>
      </c>
      <c r="EE272" t="n">
        <v>5250</v>
      </c>
      <c r="EF272" t="n">
        <v>0</v>
      </c>
      <c r="EG272" t="n">
        <v>0</v>
      </c>
      <c r="EH272" t="n">
        <v>12.7</v>
      </c>
      <c r="EI272" t="n">
        <v>5.3</v>
      </c>
      <c r="EJ272" t="n">
        <v>6.1</v>
      </c>
      <c r="EK272" t="n">
        <v>10.4</v>
      </c>
    </row>
    <row r="273">
      <c r="A273">
        <f>[1]ingredient!B273</f>
        <v/>
      </c>
      <c r="B273" t="inlineStr">
        <is>
          <t>https://www.naehrwertrechner.de/naehrwerte/H780011/Mungobohnen+reif/?menge=100</t>
        </is>
      </c>
      <c r="C273" s="7">
        <f>_xlfn.XLOOKUP(A273,[1]ingredient!$B$2:$B$521,[1]ingredient!$A$2:$A$521)</f>
        <v/>
      </c>
      <c r="D273" t="n">
        <v>273</v>
      </c>
      <c r="E273" t="n">
        <v>1</v>
      </c>
      <c r="F273" t="n">
        <v>23</v>
      </c>
      <c r="G273" t="n">
        <v>41</v>
      </c>
      <c r="H273" t="n">
        <v>15</v>
      </c>
      <c r="I273" t="n">
        <v>3</v>
      </c>
      <c r="J273" t="n">
        <v>0.02</v>
      </c>
      <c r="K273" t="n">
        <v>10</v>
      </c>
      <c r="L273" t="n">
        <v>6</v>
      </c>
      <c r="M273" t="n">
        <v>3</v>
      </c>
      <c r="N273" t="n">
        <v>0</v>
      </c>
      <c r="O273" t="n">
        <v>36</v>
      </c>
      <c r="P273" t="n">
        <v>490</v>
      </c>
      <c r="Q273" t="n">
        <v>230</v>
      </c>
      <c r="R273" t="n">
        <v>2300</v>
      </c>
      <c r="S273" t="n">
        <v>6917</v>
      </c>
      <c r="T273" t="n">
        <v>3500</v>
      </c>
      <c r="U273" t="n">
        <v>500</v>
      </c>
      <c r="V273" t="n">
        <v>8</v>
      </c>
      <c r="W273" t="n">
        <v>140</v>
      </c>
      <c r="X273" t="n">
        <v>0</v>
      </c>
      <c r="Y273" t="n">
        <v>3000</v>
      </c>
      <c r="Z273" t="n">
        <v>0</v>
      </c>
      <c r="AA273" t="n">
        <v>1900</v>
      </c>
      <c r="AB273" t="n">
        <v>130</v>
      </c>
      <c r="AC273" t="n">
        <v>10</v>
      </c>
      <c r="AD273" t="n">
        <v>171</v>
      </c>
      <c r="AE273" t="n">
        <v>123</v>
      </c>
      <c r="AF273" t="n">
        <v>243</v>
      </c>
      <c r="AG273" t="n">
        <v>365</v>
      </c>
      <c r="AH273" t="n">
        <v>190</v>
      </c>
      <c r="AI273" t="n">
        <v>12</v>
      </c>
      <c r="AJ273" t="n">
        <v>9800</v>
      </c>
      <c r="AK273" t="n">
        <v>2478</v>
      </c>
      <c r="AL273" t="n">
        <v>720</v>
      </c>
      <c r="AM273" t="n">
        <v>1200</v>
      </c>
      <c r="AN273" t="n">
        <v>50</v>
      </c>
      <c r="AO273" t="n">
        <v>7</v>
      </c>
      <c r="AP273" t="n">
        <v>0</v>
      </c>
      <c r="AQ273" t="n">
        <v>0</v>
      </c>
      <c r="AR273" t="n">
        <v>0</v>
      </c>
      <c r="AS273" t="n">
        <v>0</v>
      </c>
      <c r="AT273" t="n">
        <v>619</v>
      </c>
      <c r="AU273" t="n">
        <v>1031</v>
      </c>
      <c r="AV273" t="n">
        <v>0</v>
      </c>
      <c r="AW273" t="n">
        <v>1650</v>
      </c>
      <c r="AX273" t="n">
        <v>1238</v>
      </c>
      <c r="AY273" t="n">
        <v>0</v>
      </c>
      <c r="AZ273" t="n">
        <v>0</v>
      </c>
      <c r="BA273" t="n">
        <v>1238</v>
      </c>
      <c r="BB273" t="n">
        <v>3713</v>
      </c>
      <c r="BC273" t="n">
        <v>4320</v>
      </c>
      <c r="BD273" t="n">
        <v>0</v>
      </c>
      <c r="BE273" t="n">
        <v>34649</v>
      </c>
      <c r="BF273" t="n">
        <v>34649</v>
      </c>
      <c r="BG273">
        <f>IF($F273=0,"0",MIN(
BH273/(30*$F273),
BI273/(61*$F273),
BJ273/(48*$F273),
(BK273+BL273)/(23*$F273),
(BM273+BN273)/(41*$F273),
BO273/(25*$F273),
BP273/(6.6*$F273),
BQ273/(40*$F273),
BS273/(16*$F273)
)*100)</f>
        <v/>
      </c>
      <c r="BH273" t="n">
        <v>855</v>
      </c>
      <c r="BI273" t="n">
        <v>1617</v>
      </c>
      <c r="BJ273" t="n">
        <v>1916</v>
      </c>
      <c r="BK273" t="n">
        <v>185</v>
      </c>
      <c r="BL273" t="n">
        <v>116</v>
      </c>
      <c r="BM273" t="n">
        <v>1178</v>
      </c>
      <c r="BN273" t="n">
        <v>554</v>
      </c>
      <c r="BO273" t="n">
        <v>762</v>
      </c>
      <c r="BP273" t="n">
        <v>277</v>
      </c>
      <c r="BQ273" t="n">
        <v>970</v>
      </c>
      <c r="BR273" t="n">
        <v>1317</v>
      </c>
      <c r="BS273" t="n">
        <v>670</v>
      </c>
      <c r="BT273" t="n">
        <v>10417</v>
      </c>
      <c r="BU273" t="n">
        <v>855</v>
      </c>
      <c r="BV273" t="n">
        <v>2564</v>
      </c>
      <c r="BW273" t="n">
        <v>3165</v>
      </c>
      <c r="BX273" t="n">
        <v>762</v>
      </c>
      <c r="BY273" t="n">
        <v>832</v>
      </c>
      <c r="BZ273" t="n">
        <v>1040</v>
      </c>
      <c r="CA273" t="n">
        <v>9218</v>
      </c>
      <c r="CB273" t="n">
        <v>222</v>
      </c>
      <c r="CC273" t="n">
        <v>93</v>
      </c>
      <c r="CD273" t="n">
        <v>539</v>
      </c>
      <c r="CE273" t="n">
        <v>132</v>
      </c>
      <c r="CF273" t="n">
        <v>0.24</v>
      </c>
      <c r="CG273" t="n">
        <v>0</v>
      </c>
      <c r="CH273" t="n">
        <v>0</v>
      </c>
      <c r="CI273" t="n">
        <v>0</v>
      </c>
      <c r="CJ273" t="n">
        <v>0</v>
      </c>
      <c r="CK273" t="n">
        <v>0</v>
      </c>
      <c r="CL273" t="n">
        <v>0</v>
      </c>
      <c r="CM273" t="n">
        <v>0</v>
      </c>
      <c r="CN273" t="n">
        <v>199</v>
      </c>
      <c r="CO273" t="n">
        <v>0</v>
      </c>
      <c r="CP273" t="n">
        <v>56</v>
      </c>
      <c r="CQ273" t="n">
        <v>0</v>
      </c>
      <c r="CR273" t="n">
        <v>0</v>
      </c>
      <c r="CS273" t="n">
        <v>0</v>
      </c>
      <c r="CT273" t="n">
        <v>255</v>
      </c>
      <c r="CU273" t="n">
        <v>0</v>
      </c>
      <c r="CV273" t="n">
        <v>0</v>
      </c>
      <c r="CW273" t="n">
        <v>0</v>
      </c>
      <c r="CX273" t="n">
        <v>0</v>
      </c>
      <c r="CY273" t="n">
        <v>190</v>
      </c>
      <c r="CZ273" t="n">
        <v>0</v>
      </c>
      <c r="DA273" t="n">
        <v>0</v>
      </c>
      <c r="DB273" t="n">
        <v>0</v>
      </c>
      <c r="DC273" t="n">
        <v>190</v>
      </c>
      <c r="DD273" t="n">
        <v>0</v>
      </c>
      <c r="DE273" t="n">
        <v>0</v>
      </c>
      <c r="DF273" t="n">
        <v>132</v>
      </c>
      <c r="DG273" t="n">
        <v>539</v>
      </c>
      <c r="DH273" t="n">
        <v>0</v>
      </c>
      <c r="DI273" t="n">
        <v>0</v>
      </c>
      <c r="DJ273" t="n">
        <v>0</v>
      </c>
      <c r="DK273" t="n">
        <v>0</v>
      </c>
      <c r="DL273" t="n">
        <v>0</v>
      </c>
      <c r="DM273" t="n">
        <v>0</v>
      </c>
      <c r="DN273" t="n">
        <v>0</v>
      </c>
      <c r="DO273" t="n">
        <v>0</v>
      </c>
      <c r="DP273" t="n">
        <v>0</v>
      </c>
      <c r="DQ273" t="n">
        <v>0</v>
      </c>
      <c r="DR273" t="n">
        <v>0</v>
      </c>
      <c r="DS273" t="n">
        <v>671</v>
      </c>
      <c r="DT273" t="n">
        <v>1116</v>
      </c>
      <c r="DU273" t="n">
        <v>84</v>
      </c>
      <c r="DV273" t="n">
        <v>0</v>
      </c>
      <c r="DW273" t="n">
        <v>0</v>
      </c>
      <c r="DX273" t="n">
        <v>0</v>
      </c>
      <c r="DY273" t="n">
        <v>1947</v>
      </c>
      <c r="DZ273" t="n">
        <v>5243</v>
      </c>
      <c r="EA273" t="n">
        <v>1947</v>
      </c>
      <c r="EB273" t="n">
        <v>5543</v>
      </c>
      <c r="EC273" t="n">
        <v>300</v>
      </c>
      <c r="ED273" t="n">
        <v>1798</v>
      </c>
      <c r="EE273" t="n">
        <v>13182</v>
      </c>
      <c r="EF273" t="n">
        <v>0</v>
      </c>
      <c r="EG273" t="n">
        <v>0.25</v>
      </c>
      <c r="EH273" t="n">
        <v>4.6</v>
      </c>
      <c r="EI273" t="n">
        <v>13.2</v>
      </c>
      <c r="EJ273" t="n">
        <v>1.2</v>
      </c>
      <c r="EK273" t="n">
        <v>20.4</v>
      </c>
    </row>
    <row r="274">
      <c r="A274">
        <f>[1]ingredient!B274</f>
        <v/>
      </c>
      <c r="B274" t="inlineStr">
        <is>
          <t>https://www.naehrwertrechner.de/naehrwerte/H650111/Mungobohnensprossen+frisch/?menge=100</t>
        </is>
      </c>
      <c r="C274" s="7">
        <f>_xlfn.XLOOKUP(A274,[1]ingredient!$B$2:$B$521,[1]ingredient!$A$2:$A$521)</f>
        <v/>
      </c>
      <c r="D274" t="n">
        <v>24</v>
      </c>
      <c r="E274" t="n">
        <v>0.3</v>
      </c>
      <c r="F274" t="n">
        <v>3</v>
      </c>
      <c r="G274" t="n">
        <v>2</v>
      </c>
      <c r="H274" t="n">
        <v>6</v>
      </c>
      <c r="I274" t="n">
        <v>1</v>
      </c>
      <c r="J274" t="n">
        <v>0.02</v>
      </c>
      <c r="K274" t="n">
        <v>88</v>
      </c>
      <c r="L274" t="n">
        <v>7</v>
      </c>
      <c r="M274" t="n">
        <v>3</v>
      </c>
      <c r="N274" t="n">
        <v>0</v>
      </c>
      <c r="O274" t="n">
        <v>40</v>
      </c>
      <c r="P274" t="n">
        <v>84</v>
      </c>
      <c r="Q274" t="n">
        <v>92</v>
      </c>
      <c r="R274" t="n">
        <v>750</v>
      </c>
      <c r="S274" t="n">
        <v>1817</v>
      </c>
      <c r="T274" t="n">
        <v>380</v>
      </c>
      <c r="U274" t="n">
        <v>88</v>
      </c>
      <c r="V274" t="n">
        <v>2</v>
      </c>
      <c r="W274" t="n">
        <v>61</v>
      </c>
      <c r="X274" t="n">
        <v>0</v>
      </c>
      <c r="Y274" t="n">
        <v>11000</v>
      </c>
      <c r="Z274" t="n">
        <v>0</v>
      </c>
      <c r="AA274" t="n">
        <v>90</v>
      </c>
      <c r="AB274" t="n">
        <v>5</v>
      </c>
      <c r="AC274" t="n">
        <v>5</v>
      </c>
      <c r="AD274" t="n">
        <v>134</v>
      </c>
      <c r="AE274" t="n">
        <v>13</v>
      </c>
      <c r="AF274" t="n">
        <v>18</v>
      </c>
      <c r="AG274" t="n">
        <v>49</v>
      </c>
      <c r="AH274" t="n">
        <v>70</v>
      </c>
      <c r="AI274" t="n">
        <v>15</v>
      </c>
      <c r="AJ274" t="n">
        <v>910</v>
      </c>
      <c r="AK274" t="n">
        <v>390</v>
      </c>
      <c r="AL274" t="n">
        <v>120</v>
      </c>
      <c r="AM274" t="n">
        <v>188</v>
      </c>
      <c r="AN274" t="n">
        <v>4</v>
      </c>
      <c r="AO274" t="n">
        <v>2</v>
      </c>
      <c r="AP274" t="n">
        <v>0</v>
      </c>
      <c r="AQ274" t="n">
        <v>0</v>
      </c>
      <c r="AR274" t="n">
        <v>0</v>
      </c>
      <c r="AS274" t="n">
        <v>0</v>
      </c>
      <c r="AT274" t="n">
        <v>282</v>
      </c>
      <c r="AU274" t="n">
        <v>88</v>
      </c>
      <c r="AV274" t="n">
        <v>0</v>
      </c>
      <c r="AW274" t="n">
        <v>370</v>
      </c>
      <c r="AX274" t="n">
        <v>264</v>
      </c>
      <c r="AY274" t="n">
        <v>0</v>
      </c>
      <c r="AZ274" t="n">
        <v>0</v>
      </c>
      <c r="BA274" t="n">
        <v>264</v>
      </c>
      <c r="BB274" t="n">
        <v>88</v>
      </c>
      <c r="BC274" t="n">
        <v>0</v>
      </c>
      <c r="BD274" t="n">
        <v>0</v>
      </c>
      <c r="BE274" t="n">
        <v>1038</v>
      </c>
      <c r="BF274" t="n">
        <v>1038</v>
      </c>
      <c r="BG274">
        <f>IF($F274=0,"0",MIN(
BH274/(30*$F274),
BI274/(61*$F274),
BJ274/(48*$F274),
(BK274+BL274)/(23*$F274),
(BM274+BN274)/(41*$F274),
BO274/(25*$F274),
BP274/(6.6*$F274),
BQ274/(40*$F274),
BS274/(16*$F274)
)*100)</f>
        <v/>
      </c>
      <c r="BH274" t="n">
        <v>138</v>
      </c>
      <c r="BI274" t="n">
        <v>195</v>
      </c>
      <c r="BJ274" t="n">
        <v>192</v>
      </c>
      <c r="BK274" t="n">
        <v>38</v>
      </c>
      <c r="BL274" t="n">
        <v>19</v>
      </c>
      <c r="BM274" t="n">
        <v>134</v>
      </c>
      <c r="BN274" t="n">
        <v>64</v>
      </c>
      <c r="BO274" t="n">
        <v>96</v>
      </c>
      <c r="BP274" t="n">
        <v>64</v>
      </c>
      <c r="BQ274" t="n">
        <v>144</v>
      </c>
      <c r="BR274" t="n">
        <v>231</v>
      </c>
      <c r="BS274" t="n">
        <v>74</v>
      </c>
      <c r="BT274" t="n">
        <v>1389</v>
      </c>
      <c r="BU274" t="n">
        <v>115</v>
      </c>
      <c r="BV274" t="n">
        <v>560</v>
      </c>
      <c r="BW274" t="n">
        <v>192</v>
      </c>
      <c r="BX274" t="n">
        <v>74</v>
      </c>
      <c r="BY274" t="n">
        <v>128</v>
      </c>
      <c r="BZ274" t="n">
        <v>38</v>
      </c>
      <c r="CA274" t="n">
        <v>1107</v>
      </c>
      <c r="CB274" t="n">
        <v>12</v>
      </c>
      <c r="CC274" t="n">
        <v>5</v>
      </c>
      <c r="CD274" t="n">
        <v>31</v>
      </c>
      <c r="CE274" t="n">
        <v>77</v>
      </c>
      <c r="CF274" t="n">
        <v>2.48</v>
      </c>
      <c r="CG274" t="n">
        <v>0</v>
      </c>
      <c r="CH274" t="n">
        <v>0</v>
      </c>
      <c r="CI274" t="n">
        <v>0</v>
      </c>
      <c r="CJ274" t="n">
        <v>0</v>
      </c>
      <c r="CK274" t="n">
        <v>0</v>
      </c>
      <c r="CL274" t="n">
        <v>0</v>
      </c>
      <c r="CM274" t="n">
        <v>0</v>
      </c>
      <c r="CN274" t="n">
        <v>64</v>
      </c>
      <c r="CO274" t="n">
        <v>0</v>
      </c>
      <c r="CP274" t="n">
        <v>19</v>
      </c>
      <c r="CQ274" t="n">
        <v>0</v>
      </c>
      <c r="CR274" t="n">
        <v>0</v>
      </c>
      <c r="CS274" t="n">
        <v>0</v>
      </c>
      <c r="CT274" t="n">
        <v>83</v>
      </c>
      <c r="CU274" t="n">
        <v>0</v>
      </c>
      <c r="CV274" t="n">
        <v>0</v>
      </c>
      <c r="CW274" t="n">
        <v>0</v>
      </c>
      <c r="CX274" t="n">
        <v>0</v>
      </c>
      <c r="CY274" t="n">
        <v>41</v>
      </c>
      <c r="CZ274" t="n">
        <v>0</v>
      </c>
      <c r="DA274" t="n">
        <v>0</v>
      </c>
      <c r="DB274" t="n">
        <v>0</v>
      </c>
      <c r="DC274" t="n">
        <v>41</v>
      </c>
      <c r="DD274" t="n">
        <v>0</v>
      </c>
      <c r="DE274" t="n">
        <v>0</v>
      </c>
      <c r="DF274" t="n">
        <v>77</v>
      </c>
      <c r="DG274" t="n">
        <v>31</v>
      </c>
      <c r="DH274" t="n">
        <v>0</v>
      </c>
      <c r="DI274" t="n">
        <v>0</v>
      </c>
      <c r="DJ274" t="n">
        <v>0</v>
      </c>
      <c r="DK274" t="n">
        <v>0</v>
      </c>
      <c r="DL274" t="n">
        <v>0</v>
      </c>
      <c r="DM274" t="n">
        <v>0</v>
      </c>
      <c r="DN274" t="n">
        <v>0</v>
      </c>
      <c r="DO274" t="n">
        <v>0</v>
      </c>
      <c r="DP274" t="n">
        <v>0</v>
      </c>
      <c r="DQ274" t="n">
        <v>0</v>
      </c>
      <c r="DR274" t="n">
        <v>0</v>
      </c>
      <c r="DS274" t="n">
        <v>108</v>
      </c>
      <c r="DT274" t="n">
        <v>232</v>
      </c>
      <c r="DU274" t="n">
        <v>68</v>
      </c>
      <c r="DV274" t="n">
        <v>0</v>
      </c>
      <c r="DW274" t="n">
        <v>0</v>
      </c>
      <c r="DX274" t="n">
        <v>0</v>
      </c>
      <c r="DY274" t="n">
        <v>728</v>
      </c>
      <c r="DZ274" t="n">
        <v>1960</v>
      </c>
      <c r="EA274" t="n">
        <v>728</v>
      </c>
      <c r="EB274" t="n">
        <v>2072</v>
      </c>
      <c r="EC274" t="n">
        <v>112</v>
      </c>
      <c r="ED274" t="n">
        <v>2800</v>
      </c>
      <c r="EE274" t="n">
        <v>2800</v>
      </c>
      <c r="EF274" t="n">
        <v>0</v>
      </c>
      <c r="EG274" t="n">
        <v>0.25</v>
      </c>
      <c r="EH274" t="n">
        <v>0.4</v>
      </c>
      <c r="EI274" t="n">
        <v>2.8</v>
      </c>
      <c r="EJ274" t="n">
        <v>0.3</v>
      </c>
      <c r="EK274" t="n">
        <v>2.5</v>
      </c>
    </row>
    <row r="275">
      <c r="A275">
        <f>[1]ingredient!B275</f>
        <v/>
      </c>
      <c r="C275" s="7">
        <f>_xlfn.XLOOKUP(A275,[1]ingredient!$B$2:$B$521,[1]ingredient!$A$2:$A$521)</f>
        <v/>
      </c>
      <c r="D275" t="n">
        <v>304</v>
      </c>
      <c r="E275" t="n">
        <v>1.2</v>
      </c>
      <c r="F275" t="n">
        <v>23</v>
      </c>
      <c r="G275" t="n">
        <v>41.5</v>
      </c>
      <c r="H275" t="n">
        <v>17</v>
      </c>
      <c r="I275" t="n">
        <v>3</v>
      </c>
      <c r="J275" t="n">
        <v>0.023</v>
      </c>
      <c r="K275" t="n">
        <v>10</v>
      </c>
      <c r="L275" t="n">
        <v>6</v>
      </c>
      <c r="M275" t="n">
        <v>3</v>
      </c>
      <c r="N275" t="n">
        <v>0</v>
      </c>
      <c r="O275" t="n">
        <v>36</v>
      </c>
      <c r="P275" t="n">
        <v>490</v>
      </c>
      <c r="Q275" t="n">
        <v>230</v>
      </c>
      <c r="R275" t="n">
        <v>2300</v>
      </c>
      <c r="S275" t="n">
        <v>6917</v>
      </c>
      <c r="T275" t="n">
        <v>3500</v>
      </c>
      <c r="U275" t="n">
        <v>500</v>
      </c>
      <c r="V275" t="n">
        <v>8</v>
      </c>
      <c r="W275" t="n">
        <v>140</v>
      </c>
      <c r="X275" t="n">
        <v>0</v>
      </c>
      <c r="Y275" t="n">
        <v>3000</v>
      </c>
      <c r="Z275" t="n">
        <v>0</v>
      </c>
      <c r="AA275" t="n">
        <v>1900</v>
      </c>
      <c r="AB275" t="n">
        <v>130</v>
      </c>
      <c r="AC275" t="n">
        <v>10</v>
      </c>
      <c r="AD275" t="n">
        <v>171</v>
      </c>
      <c r="AE275" t="n">
        <v>123</v>
      </c>
      <c r="AF275" t="n">
        <v>243</v>
      </c>
      <c r="AG275" t="n">
        <v>365</v>
      </c>
      <c r="AH275" t="n">
        <v>190</v>
      </c>
      <c r="AI275" t="n">
        <v>12</v>
      </c>
      <c r="AJ275" t="n">
        <v>9800</v>
      </c>
      <c r="AK275" t="n">
        <v>2478</v>
      </c>
      <c r="AL275" t="n">
        <v>720</v>
      </c>
      <c r="AM275" t="n">
        <v>1200</v>
      </c>
      <c r="AN275" t="n">
        <v>50</v>
      </c>
      <c r="AO275" t="n">
        <v>7</v>
      </c>
      <c r="AP275" t="n">
        <v>0</v>
      </c>
      <c r="AQ275" t="n">
        <v>0</v>
      </c>
      <c r="AR275" t="n">
        <v>0</v>
      </c>
      <c r="AS275" t="n">
        <v>0</v>
      </c>
      <c r="AT275" t="n">
        <v>619</v>
      </c>
      <c r="AU275" t="n">
        <v>1031</v>
      </c>
      <c r="AV275" t="n">
        <v>0</v>
      </c>
      <c r="AW275" t="n">
        <v>1650</v>
      </c>
      <c r="AX275" t="n">
        <v>1238</v>
      </c>
      <c r="AY275" t="n">
        <v>0</v>
      </c>
      <c r="AZ275" t="n">
        <v>0</v>
      </c>
      <c r="BA275" t="n">
        <v>1238</v>
      </c>
      <c r="BB275" t="n">
        <v>3713</v>
      </c>
      <c r="BC275" t="n">
        <v>4320</v>
      </c>
      <c r="BD275" t="n">
        <v>0</v>
      </c>
      <c r="BE275" t="n">
        <v>34649</v>
      </c>
      <c r="BF275" t="n">
        <v>34649</v>
      </c>
      <c r="BG275">
        <f>IF($F275=0,"0",MIN(
BH275/(30*$F275),
BI275/(61*$F275),
BJ275/(48*$F275),
(BK275+BL275)/(23*$F275),
(BM275+BN275)/(41*$F275),
BO275/(25*$F275),
BP275/(6.6*$F275),
BQ275/(40*$F275),
BS275/(16*$F275)
)*100)</f>
        <v/>
      </c>
      <c r="BH275" t="n">
        <v>855</v>
      </c>
      <c r="BI275" t="n">
        <v>1617</v>
      </c>
      <c r="BJ275" t="n">
        <v>1916</v>
      </c>
      <c r="BK275" t="n">
        <v>185</v>
      </c>
      <c r="BL275" t="n">
        <v>116</v>
      </c>
      <c r="BM275" t="n">
        <v>1178</v>
      </c>
      <c r="BN275" t="n">
        <v>554</v>
      </c>
      <c r="BO275" t="n">
        <v>762</v>
      </c>
      <c r="BP275" t="n">
        <v>277</v>
      </c>
      <c r="BQ275" t="n">
        <v>970</v>
      </c>
      <c r="BR275" t="n">
        <v>1317</v>
      </c>
      <c r="BS275" t="n">
        <v>670</v>
      </c>
      <c r="BT275" t="n">
        <v>10417</v>
      </c>
      <c r="BU275" t="n">
        <v>855</v>
      </c>
      <c r="BV275" t="n">
        <v>2564</v>
      </c>
      <c r="BW275" t="n">
        <v>3165</v>
      </c>
      <c r="BX275" t="n">
        <v>762</v>
      </c>
      <c r="BY275" t="n">
        <v>832</v>
      </c>
      <c r="BZ275" t="n">
        <v>1040</v>
      </c>
      <c r="CA275" t="n">
        <v>9218</v>
      </c>
      <c r="CB275" t="n">
        <v>222</v>
      </c>
      <c r="CC275" t="n">
        <v>93</v>
      </c>
      <c r="CD275" t="n">
        <v>539</v>
      </c>
      <c r="CE275" t="n">
        <v>132</v>
      </c>
      <c r="CF275" t="n">
        <v>0.24</v>
      </c>
      <c r="CG275" t="n">
        <v>0</v>
      </c>
      <c r="CH275" t="n">
        <v>0</v>
      </c>
      <c r="CI275" t="n">
        <v>0</v>
      </c>
      <c r="CJ275" t="n">
        <v>0</v>
      </c>
      <c r="CK275" t="n">
        <v>0</v>
      </c>
      <c r="CL275" t="n">
        <v>0</v>
      </c>
      <c r="CM275" t="n">
        <v>0</v>
      </c>
      <c r="CN275" t="n">
        <v>199</v>
      </c>
      <c r="CO275" t="n">
        <v>0</v>
      </c>
      <c r="CP275" t="n">
        <v>56</v>
      </c>
      <c r="CQ275" t="n">
        <v>0</v>
      </c>
      <c r="CR275" t="n">
        <v>0</v>
      </c>
      <c r="CS275" t="n">
        <v>0</v>
      </c>
      <c r="CT275" t="n">
        <v>300</v>
      </c>
      <c r="CU275" t="n">
        <v>0</v>
      </c>
      <c r="CV275" t="n">
        <v>0</v>
      </c>
      <c r="CW275" t="n">
        <v>0</v>
      </c>
      <c r="CX275" t="n">
        <v>0</v>
      </c>
      <c r="CY275" t="n">
        <v>190</v>
      </c>
      <c r="CZ275" t="n">
        <v>0</v>
      </c>
      <c r="DA275" t="n">
        <v>0</v>
      </c>
      <c r="DB275" t="n">
        <v>0</v>
      </c>
      <c r="DC275" t="n">
        <v>190</v>
      </c>
      <c r="DD275" t="n">
        <v>0</v>
      </c>
      <c r="DE275" t="n">
        <v>0</v>
      </c>
      <c r="DF275" t="n">
        <v>132</v>
      </c>
      <c r="DG275" t="n">
        <v>539</v>
      </c>
      <c r="DH275" t="n">
        <v>0</v>
      </c>
      <c r="DI275" t="n">
        <v>0</v>
      </c>
      <c r="DJ275" t="n">
        <v>0</v>
      </c>
      <c r="DK275" t="n">
        <v>0</v>
      </c>
      <c r="DL275" t="n">
        <v>0</v>
      </c>
      <c r="DM275" t="n">
        <v>0</v>
      </c>
      <c r="DN275" t="n">
        <v>0</v>
      </c>
      <c r="DO275" t="n">
        <v>0</v>
      </c>
      <c r="DP275" t="n">
        <v>0</v>
      </c>
      <c r="DQ275" t="n">
        <v>0</v>
      </c>
      <c r="DR275" t="n">
        <v>0</v>
      </c>
      <c r="DS275" t="n">
        <v>671</v>
      </c>
      <c r="DT275" t="n">
        <v>1116</v>
      </c>
      <c r="DU275" t="n">
        <v>84</v>
      </c>
      <c r="DV275" t="n">
        <v>0</v>
      </c>
      <c r="DW275" t="n">
        <v>0</v>
      </c>
      <c r="DX275" t="n">
        <v>0</v>
      </c>
      <c r="DY275" t="n">
        <v>1947</v>
      </c>
      <c r="DZ275" t="n">
        <v>5243</v>
      </c>
      <c r="EA275" t="n">
        <v>1947</v>
      </c>
      <c r="EB275" t="n">
        <v>5543</v>
      </c>
      <c r="EC275" t="n">
        <v>300</v>
      </c>
      <c r="ED275" t="n">
        <v>1798</v>
      </c>
      <c r="EE275" t="n">
        <v>13182</v>
      </c>
      <c r="EF275" t="n">
        <v>0</v>
      </c>
      <c r="EG275" t="n">
        <v>0.25</v>
      </c>
      <c r="EH275" t="n">
        <v>4.6</v>
      </c>
      <c r="EI275" t="n">
        <v>13.2</v>
      </c>
      <c r="EJ275" t="n">
        <v>1.2</v>
      </c>
      <c r="EK275" t="n">
        <v>20.4</v>
      </c>
    </row>
    <row r="276">
      <c r="A276">
        <f>[1]ingredient!B276</f>
        <v/>
      </c>
      <c r="B276" t="inlineStr">
        <is>
          <t>https://www.naehrwertrechner.de/naehrwerte/R271000/Muskatnuss+getrocknet/?menge=100</t>
        </is>
      </c>
      <c r="C276" s="7">
        <f>_xlfn.XLOOKUP(A276,[1]ingredient!$B$2:$B$521,[1]ingredient!$A$2:$A$521)</f>
        <v/>
      </c>
      <c r="D276" t="n">
        <v>527</v>
      </c>
      <c r="E276" t="n">
        <v>36</v>
      </c>
      <c r="F276" t="n">
        <v>6</v>
      </c>
      <c r="G276" t="n">
        <v>45</v>
      </c>
      <c r="H276" t="n">
        <v>4</v>
      </c>
      <c r="I276" t="n">
        <v>23</v>
      </c>
      <c r="J276" t="n">
        <v>0.08</v>
      </c>
      <c r="K276" t="n">
        <v>6</v>
      </c>
      <c r="L276" t="n">
        <v>10</v>
      </c>
      <c r="M276" t="n">
        <v>5</v>
      </c>
      <c r="N276" t="n">
        <v>0</v>
      </c>
      <c r="O276" t="n">
        <v>60</v>
      </c>
      <c r="P276" t="n">
        <v>350</v>
      </c>
      <c r="Q276" t="n">
        <v>60</v>
      </c>
      <c r="R276" t="n">
        <v>1300</v>
      </c>
      <c r="S276" t="n">
        <v>2467</v>
      </c>
      <c r="T276" t="n">
        <v>500</v>
      </c>
      <c r="U276" t="n">
        <v>200</v>
      </c>
      <c r="V276" t="n">
        <v>10</v>
      </c>
      <c r="W276" t="n">
        <v>0</v>
      </c>
      <c r="X276" t="n">
        <v>0</v>
      </c>
      <c r="Y276" t="n">
        <v>0</v>
      </c>
      <c r="Z276" t="n">
        <v>0</v>
      </c>
      <c r="AA276" t="n">
        <v>0</v>
      </c>
      <c r="AB276" t="n">
        <v>0</v>
      </c>
      <c r="AC276" t="n">
        <v>16</v>
      </c>
      <c r="AD276" t="n">
        <v>350</v>
      </c>
      <c r="AE276" t="n">
        <v>180</v>
      </c>
      <c r="AF276" t="n">
        <v>180</v>
      </c>
      <c r="AG276" t="n">
        <v>210</v>
      </c>
      <c r="AH276" t="n">
        <v>100</v>
      </c>
      <c r="AI276" t="n">
        <v>60</v>
      </c>
      <c r="AJ276" t="n">
        <v>3000</v>
      </c>
      <c r="AK276" t="n">
        <v>2200</v>
      </c>
      <c r="AL276" t="n">
        <v>1030</v>
      </c>
      <c r="AM276" t="n">
        <v>2900</v>
      </c>
      <c r="AN276" t="n">
        <v>50</v>
      </c>
      <c r="AO276" t="n">
        <v>5</v>
      </c>
      <c r="AP276" t="n">
        <v>0</v>
      </c>
      <c r="AQ276" t="n">
        <v>0</v>
      </c>
      <c r="AR276" t="n">
        <v>0</v>
      </c>
      <c r="AS276" t="n">
        <v>0</v>
      </c>
      <c r="AT276" t="n">
        <v>2250</v>
      </c>
      <c r="AU276" t="n">
        <v>0</v>
      </c>
      <c r="AV276" t="n">
        <v>0</v>
      </c>
      <c r="AW276" t="n">
        <v>2250</v>
      </c>
      <c r="AX276" t="n">
        <v>20250</v>
      </c>
      <c r="AY276" t="n">
        <v>0</v>
      </c>
      <c r="AZ276" t="n">
        <v>0</v>
      </c>
      <c r="BA276" t="n">
        <v>20250</v>
      </c>
      <c r="BB276" t="n">
        <v>0</v>
      </c>
      <c r="BC276" t="n">
        <v>0</v>
      </c>
      <c r="BD276" t="n">
        <v>0</v>
      </c>
      <c r="BE276" t="n">
        <v>22500</v>
      </c>
      <c r="BF276" t="n">
        <v>22500</v>
      </c>
      <c r="BG276">
        <f>IF($F276=0,"0",MIN(
BH276/(30*$F276),
BI276/(61*$F276),
BJ276/(48*$F276),
(BK276+BL276)/(23*$F276),
(BM276+BN276)/(41*$F276),
BO276/(25*$F276),
BP276/(6.6*$F276),
BQ276/(40*$F276),
BS276/(16*$F276)
)*100)</f>
        <v/>
      </c>
      <c r="BH276" t="n">
        <v>169</v>
      </c>
      <c r="BI276" t="n">
        <v>315</v>
      </c>
      <c r="BJ276" t="n">
        <v>221</v>
      </c>
      <c r="BK276" t="n">
        <v>64</v>
      </c>
      <c r="BL276" t="n">
        <v>647</v>
      </c>
      <c r="BM276" t="n">
        <v>181</v>
      </c>
      <c r="BN276" t="n">
        <v>227</v>
      </c>
      <c r="BO276" t="n">
        <v>181</v>
      </c>
      <c r="BP276" t="n">
        <v>70</v>
      </c>
      <c r="BQ276" t="n">
        <v>221</v>
      </c>
      <c r="BR276" t="n">
        <v>612</v>
      </c>
      <c r="BS276" t="n">
        <v>117</v>
      </c>
      <c r="BT276" t="n">
        <v>3025</v>
      </c>
      <c r="BU276" t="n">
        <v>227</v>
      </c>
      <c r="BV276" t="n">
        <v>560</v>
      </c>
      <c r="BW276" t="n">
        <v>1224</v>
      </c>
      <c r="BX276" t="n">
        <v>256</v>
      </c>
      <c r="BY276" t="n">
        <v>268</v>
      </c>
      <c r="BZ276" t="n">
        <v>239</v>
      </c>
      <c r="CA276" t="n">
        <v>2774</v>
      </c>
      <c r="CB276" t="n">
        <v>29</v>
      </c>
      <c r="CC276" t="n">
        <v>12</v>
      </c>
      <c r="CD276" t="n">
        <v>0</v>
      </c>
      <c r="CE276" t="n">
        <v>324</v>
      </c>
      <c r="CG276" t="n">
        <v>0</v>
      </c>
      <c r="CH276" t="n">
        <v>0</v>
      </c>
      <c r="CI276" t="n">
        <v>0</v>
      </c>
      <c r="CJ276" t="n">
        <v>0</v>
      </c>
      <c r="CK276" t="n">
        <v>354</v>
      </c>
      <c r="CL276" t="n">
        <v>23080</v>
      </c>
      <c r="CM276" t="n">
        <v>0</v>
      </c>
      <c r="CN276" t="n">
        <v>2358</v>
      </c>
      <c r="CO276" t="n">
        <v>0</v>
      </c>
      <c r="CP276" t="n">
        <v>147</v>
      </c>
      <c r="CQ276" t="n">
        <v>0</v>
      </c>
      <c r="CR276" t="n">
        <v>0</v>
      </c>
      <c r="CS276" t="n">
        <v>0</v>
      </c>
      <c r="CT276" t="n">
        <v>25939</v>
      </c>
      <c r="CU276" t="n">
        <v>0</v>
      </c>
      <c r="CV276" t="n">
        <v>0</v>
      </c>
      <c r="CW276" t="n">
        <v>1474</v>
      </c>
      <c r="CX276" t="n">
        <v>0</v>
      </c>
      <c r="CY276" t="n">
        <v>1739</v>
      </c>
      <c r="CZ276" t="n">
        <v>0</v>
      </c>
      <c r="DA276" t="n">
        <v>0</v>
      </c>
      <c r="DB276" t="n">
        <v>0</v>
      </c>
      <c r="DC276" t="n">
        <v>3213</v>
      </c>
      <c r="DD276" t="n">
        <v>0</v>
      </c>
      <c r="DE276" t="n">
        <v>0</v>
      </c>
      <c r="DF276" t="n">
        <v>324</v>
      </c>
      <c r="DG276" t="n">
        <v>0</v>
      </c>
      <c r="DH276" t="n">
        <v>0</v>
      </c>
      <c r="DI276" t="n">
        <v>0</v>
      </c>
      <c r="DJ276" t="n">
        <v>0</v>
      </c>
      <c r="DK276" t="n">
        <v>0</v>
      </c>
      <c r="DL276" t="n">
        <v>0</v>
      </c>
      <c r="DM276" t="n">
        <v>0</v>
      </c>
      <c r="DN276" t="n">
        <v>0</v>
      </c>
      <c r="DO276" t="n">
        <v>0</v>
      </c>
      <c r="DP276" t="n">
        <v>0</v>
      </c>
      <c r="DQ276" t="n">
        <v>0</v>
      </c>
      <c r="DR276" t="n">
        <v>0</v>
      </c>
      <c r="DS276" t="n">
        <v>324</v>
      </c>
      <c r="DT276" t="n">
        <v>29476</v>
      </c>
      <c r="DU276" t="n">
        <v>6824</v>
      </c>
      <c r="DV276" t="n">
        <v>0</v>
      </c>
      <c r="DW276" t="n">
        <v>0</v>
      </c>
      <c r="DX276" t="n">
        <v>0</v>
      </c>
      <c r="DY276" t="n">
        <v>804</v>
      </c>
      <c r="DZ276" t="n">
        <v>603</v>
      </c>
      <c r="EA276" t="n">
        <v>1005</v>
      </c>
      <c r="EB276" t="n">
        <v>1206</v>
      </c>
      <c r="EC276" t="n">
        <v>402</v>
      </c>
      <c r="ED276" t="n">
        <v>2010</v>
      </c>
      <c r="EE276" t="n">
        <v>2010</v>
      </c>
      <c r="EF276" t="n">
        <v>0</v>
      </c>
      <c r="EG276" t="n">
        <v>0.05</v>
      </c>
      <c r="EH276" t="n">
        <v>2.3</v>
      </c>
      <c r="EI276" t="n">
        <v>2</v>
      </c>
      <c r="EJ276" t="n">
        <v>36.3</v>
      </c>
      <c r="EK276" t="n">
        <v>5.9</v>
      </c>
    </row>
    <row r="277">
      <c r="A277">
        <f>[1]ingredient!B277</f>
        <v/>
      </c>
      <c r="B277" t="inlineStr">
        <is>
          <t>https://www.naehrwertrechner.de/naehrwerte/C351001/Reis+ungesch%C3%A4lt/?menge=100</t>
        </is>
      </c>
      <c r="C277" s="7">
        <f>_xlfn.XLOOKUP(A277,[1]ingredient!$B$2:$B$521,[1]ingredient!$A$2:$A$521)</f>
        <v/>
      </c>
      <c r="D277" t="n">
        <v>349</v>
      </c>
      <c r="E277" t="n">
        <v>2</v>
      </c>
      <c r="F277" t="n">
        <v>7</v>
      </c>
      <c r="G277" t="n">
        <v>74</v>
      </c>
      <c r="H277" t="n">
        <v>2</v>
      </c>
      <c r="I277" t="n">
        <v>0.22</v>
      </c>
      <c r="J277" t="n">
        <v>0.24</v>
      </c>
      <c r="K277" t="n">
        <v>13</v>
      </c>
      <c r="L277" t="n">
        <v>0</v>
      </c>
      <c r="M277" t="n">
        <v>0</v>
      </c>
      <c r="N277" t="n">
        <v>0</v>
      </c>
      <c r="O277" t="n">
        <v>0</v>
      </c>
      <c r="P277" t="n">
        <v>410</v>
      </c>
      <c r="Q277" t="n">
        <v>91</v>
      </c>
      <c r="R277" t="n">
        <v>5200</v>
      </c>
      <c r="S277" t="n">
        <v>6400</v>
      </c>
      <c r="T277" t="n">
        <v>1700</v>
      </c>
      <c r="U277" t="n">
        <v>670</v>
      </c>
      <c r="V277" t="n">
        <v>12</v>
      </c>
      <c r="W277" t="n">
        <v>16</v>
      </c>
      <c r="X277" t="n">
        <v>0</v>
      </c>
      <c r="Y277" t="n">
        <v>0</v>
      </c>
      <c r="Z277" t="n">
        <v>0</v>
      </c>
      <c r="AA277" t="n">
        <v>740</v>
      </c>
      <c r="AB277" t="n">
        <v>1</v>
      </c>
      <c r="AC277" t="n">
        <v>10</v>
      </c>
      <c r="AD277" t="n">
        <v>150</v>
      </c>
      <c r="AE277" t="n">
        <v>23</v>
      </c>
      <c r="AF277" t="n">
        <v>157</v>
      </c>
      <c r="AG277" t="n">
        <v>325</v>
      </c>
      <c r="AH277" t="n">
        <v>90</v>
      </c>
      <c r="AI277" t="n">
        <v>230</v>
      </c>
      <c r="AJ277" t="n">
        <v>2600</v>
      </c>
      <c r="AK277" t="n">
        <v>1520</v>
      </c>
      <c r="AL277" t="n">
        <v>240</v>
      </c>
      <c r="AM277" t="n">
        <v>1100</v>
      </c>
      <c r="AN277" t="n">
        <v>50</v>
      </c>
      <c r="AO277" t="n">
        <v>2</v>
      </c>
      <c r="AP277" t="n">
        <v>0</v>
      </c>
      <c r="AQ277" t="n">
        <v>0</v>
      </c>
      <c r="AR277" t="n">
        <v>0</v>
      </c>
      <c r="AS277" t="n">
        <v>0</v>
      </c>
      <c r="AT277" t="n">
        <v>74</v>
      </c>
      <c r="AU277" t="n">
        <v>74</v>
      </c>
      <c r="AV277" t="n">
        <v>0</v>
      </c>
      <c r="AW277" t="n">
        <v>148</v>
      </c>
      <c r="AX277" t="n">
        <v>74</v>
      </c>
      <c r="AY277" t="n">
        <v>0</v>
      </c>
      <c r="AZ277" t="n">
        <v>0</v>
      </c>
      <c r="BA277" t="n">
        <v>74</v>
      </c>
      <c r="BB277" t="n">
        <v>0</v>
      </c>
      <c r="BC277" t="n">
        <v>0</v>
      </c>
      <c r="BD277" t="n">
        <v>0</v>
      </c>
      <c r="BE277" t="n">
        <v>73838</v>
      </c>
      <c r="BF277" t="n">
        <v>73838</v>
      </c>
      <c r="BG277">
        <f>IF($F277=0,"0",MIN(
BH277/(30*$F277),
BI277/(61*$F277),
BJ277/(48*$F277),
(BK277+BL277)/(23*$F277),
(BM277+BN277)/(41*$F277),
BO277/(25*$F277),
BP277/(6.6*$F277),
BQ277/(40*$F277),
BS277/(16*$F277)
)*100)</f>
        <v/>
      </c>
      <c r="BH277" t="n">
        <v>339</v>
      </c>
      <c r="BI277" t="n">
        <v>621</v>
      </c>
      <c r="BJ277" t="n">
        <v>274</v>
      </c>
      <c r="BK277" t="n">
        <v>130</v>
      </c>
      <c r="BL277" t="n">
        <v>87</v>
      </c>
      <c r="BM277" t="n">
        <v>361</v>
      </c>
      <c r="BN277" t="n">
        <v>325</v>
      </c>
      <c r="BO277" t="n">
        <v>282</v>
      </c>
      <c r="BP277" t="n">
        <v>72</v>
      </c>
      <c r="BQ277" t="n">
        <v>484</v>
      </c>
      <c r="BR277" t="n">
        <v>419</v>
      </c>
      <c r="BS277" t="n">
        <v>116</v>
      </c>
      <c r="BT277" t="n">
        <v>3510</v>
      </c>
      <c r="BU277" t="n">
        <v>433</v>
      </c>
      <c r="BV277" t="n">
        <v>686</v>
      </c>
      <c r="BW277" t="n">
        <v>1407</v>
      </c>
      <c r="BX277" t="n">
        <v>325</v>
      </c>
      <c r="BY277" t="n">
        <v>361</v>
      </c>
      <c r="BZ277" t="n">
        <v>354</v>
      </c>
      <c r="CA277" t="n">
        <v>3566</v>
      </c>
      <c r="CB277" t="n">
        <v>134</v>
      </c>
      <c r="CC277" t="n">
        <v>56</v>
      </c>
      <c r="CD277" t="n">
        <v>28</v>
      </c>
      <c r="CE277" t="n">
        <v>751</v>
      </c>
      <c r="CF277" t="n">
        <v>26.82</v>
      </c>
      <c r="CG277" t="n">
        <v>0</v>
      </c>
      <c r="CH277" t="n">
        <v>0</v>
      </c>
      <c r="CI277" t="n">
        <v>0</v>
      </c>
      <c r="CJ277" t="n">
        <v>0</v>
      </c>
      <c r="CK277" t="n">
        <v>2</v>
      </c>
      <c r="CL277" t="n">
        <v>24</v>
      </c>
      <c r="CM277" t="n">
        <v>0</v>
      </c>
      <c r="CN277" t="n">
        <v>486</v>
      </c>
      <c r="CO277" t="n">
        <v>0</v>
      </c>
      <c r="CP277" t="n">
        <v>39</v>
      </c>
      <c r="CQ277" t="n">
        <v>7</v>
      </c>
      <c r="CR277" t="n">
        <v>0</v>
      </c>
      <c r="CS277" t="n">
        <v>0</v>
      </c>
      <c r="CT277" t="n">
        <v>558</v>
      </c>
      <c r="CU277" t="n">
        <v>0</v>
      </c>
      <c r="CV277" t="n">
        <v>0</v>
      </c>
      <c r="CW277" t="n">
        <v>9</v>
      </c>
      <c r="CX277" t="n">
        <v>0</v>
      </c>
      <c r="CY277" t="n">
        <v>524</v>
      </c>
      <c r="CZ277" t="n">
        <v>0</v>
      </c>
      <c r="DA277" t="n">
        <v>0</v>
      </c>
      <c r="DB277" t="n">
        <v>0</v>
      </c>
      <c r="DC277" t="n">
        <v>533</v>
      </c>
      <c r="DD277" t="n">
        <v>0</v>
      </c>
      <c r="DE277" t="n">
        <v>0</v>
      </c>
      <c r="DF277" t="n">
        <v>749</v>
      </c>
      <c r="DG277" t="n">
        <v>28</v>
      </c>
      <c r="DH277" t="n">
        <v>0</v>
      </c>
      <c r="DI277" t="n">
        <v>0</v>
      </c>
      <c r="DJ277" t="n">
        <v>0</v>
      </c>
      <c r="DK277" t="n">
        <v>0</v>
      </c>
      <c r="DL277" t="n">
        <v>2</v>
      </c>
      <c r="DM277" t="n">
        <v>0</v>
      </c>
      <c r="DN277" t="n">
        <v>0</v>
      </c>
      <c r="DO277" t="n">
        <v>0</v>
      </c>
      <c r="DP277" t="n">
        <v>0</v>
      </c>
      <c r="DQ277" t="n">
        <v>0</v>
      </c>
      <c r="DR277" t="n">
        <v>0</v>
      </c>
      <c r="DS277" t="n">
        <v>779</v>
      </c>
      <c r="DT277" t="n">
        <v>1870</v>
      </c>
      <c r="DU277" t="n">
        <v>330</v>
      </c>
      <c r="DV277" t="n">
        <v>0</v>
      </c>
      <c r="DW277" t="n">
        <v>0</v>
      </c>
      <c r="DX277" t="n">
        <v>0</v>
      </c>
      <c r="DY277" t="n">
        <v>244</v>
      </c>
      <c r="DZ277" t="n">
        <v>1422</v>
      </c>
      <c r="EA277" t="n">
        <v>156</v>
      </c>
      <c r="EB277" t="n">
        <v>244</v>
      </c>
      <c r="EC277" t="n">
        <v>156</v>
      </c>
      <c r="ED277" t="n">
        <v>711</v>
      </c>
      <c r="EE277" t="n">
        <v>1511</v>
      </c>
      <c r="EF277" t="n">
        <v>0</v>
      </c>
      <c r="EG277" t="n">
        <v>0</v>
      </c>
      <c r="EH277" t="n">
        <v>1.2</v>
      </c>
      <c r="EI277" t="n">
        <v>1.5</v>
      </c>
      <c r="EJ277" t="n">
        <v>2.2</v>
      </c>
      <c r="EK277" t="n">
        <v>7.5</v>
      </c>
    </row>
    <row r="278">
      <c r="A278">
        <f>[1]ingredient!B278</f>
        <v/>
      </c>
      <c r="B278" t="inlineStr">
        <is>
          <t>https://www.naehrwertrechner.de/naehrwerte/J350011/Tofu/?menge=100</t>
        </is>
      </c>
      <c r="C278" s="7">
        <f>_xlfn.XLOOKUP(A278,[1]ingredient!$B$2:$B$521,[1]ingredient!$A$2:$A$521)</f>
        <v/>
      </c>
      <c r="D278" t="n">
        <v>144</v>
      </c>
      <c r="E278" t="n">
        <v>9</v>
      </c>
      <c r="F278" t="n">
        <v>16</v>
      </c>
      <c r="G278" t="n">
        <v>1</v>
      </c>
      <c r="H278" t="n">
        <v>1</v>
      </c>
      <c r="I278" t="n">
        <v>1</v>
      </c>
      <c r="J278" t="n">
        <v>0.02</v>
      </c>
      <c r="K278" t="n">
        <v>73</v>
      </c>
      <c r="L278" t="n">
        <v>4</v>
      </c>
      <c r="M278" t="n">
        <v>2</v>
      </c>
      <c r="N278" t="n">
        <v>0</v>
      </c>
      <c r="O278" t="n">
        <v>25</v>
      </c>
      <c r="P278" t="n">
        <v>20</v>
      </c>
      <c r="Q278" t="n">
        <v>20</v>
      </c>
      <c r="R278" t="n">
        <v>600</v>
      </c>
      <c r="S278" t="n">
        <v>4017</v>
      </c>
      <c r="T278" t="n">
        <v>280</v>
      </c>
      <c r="U278" t="n">
        <v>155</v>
      </c>
      <c r="V278" t="n">
        <v>7</v>
      </c>
      <c r="W278" t="n">
        <v>84</v>
      </c>
      <c r="X278" t="n">
        <v>0</v>
      </c>
      <c r="Y278" t="n">
        <v>0</v>
      </c>
      <c r="Z278" t="n">
        <v>0</v>
      </c>
      <c r="AA278" t="n">
        <v>600</v>
      </c>
      <c r="AB278" t="n">
        <v>50</v>
      </c>
      <c r="AC278" t="n">
        <v>7</v>
      </c>
      <c r="AD278" t="n">
        <v>375</v>
      </c>
      <c r="AE278" t="n">
        <v>159</v>
      </c>
      <c r="AF278" t="n">
        <v>50</v>
      </c>
      <c r="AG278" t="n">
        <v>109</v>
      </c>
      <c r="AH278" t="n">
        <v>33</v>
      </c>
      <c r="AI278" t="n">
        <v>10</v>
      </c>
      <c r="AJ278" t="n">
        <v>2500</v>
      </c>
      <c r="AK278" t="n">
        <v>220</v>
      </c>
      <c r="AL278" t="n">
        <v>22</v>
      </c>
      <c r="AM278" t="n">
        <v>620</v>
      </c>
      <c r="AN278" t="n">
        <v>13</v>
      </c>
      <c r="AO278" t="n">
        <v>1</v>
      </c>
      <c r="AP278" t="n">
        <v>0</v>
      </c>
      <c r="AQ278" t="n">
        <v>0</v>
      </c>
      <c r="AR278" t="n">
        <v>0</v>
      </c>
      <c r="AS278" t="n">
        <v>0</v>
      </c>
      <c r="AT278" t="n">
        <v>0</v>
      </c>
      <c r="AU278" t="n">
        <v>0</v>
      </c>
      <c r="AV278" t="n">
        <v>0</v>
      </c>
      <c r="AW278" t="n">
        <v>0</v>
      </c>
      <c r="AX278" t="n">
        <v>614</v>
      </c>
      <c r="AY278" t="n">
        <v>0</v>
      </c>
      <c r="AZ278" t="n">
        <v>0</v>
      </c>
      <c r="BA278" t="n">
        <v>614</v>
      </c>
      <c r="BB278" t="n">
        <v>0</v>
      </c>
      <c r="BC278" t="n">
        <v>0</v>
      </c>
      <c r="BD278" t="n">
        <v>0</v>
      </c>
      <c r="BE278" t="n">
        <v>6</v>
      </c>
      <c r="BF278" t="n">
        <v>6</v>
      </c>
      <c r="BG278">
        <f>IF($F278=0,"0",MIN(
BH278/(30*$F278),
BI278/(61*$F278),
BJ278/(48*$F278),
(BK278+BL278)/(23*$F278),
(BM278+BN278)/(41*$F278),
BO278/(25*$F278),
BP278/(6.6*$F278),
BQ278/(40*$F278),
BS278/(16*$F278)
)*100)</f>
        <v/>
      </c>
      <c r="BH278" t="n">
        <v>789</v>
      </c>
      <c r="BI278" t="n">
        <v>1184</v>
      </c>
      <c r="BJ278" t="n">
        <v>789</v>
      </c>
      <c r="BK278" t="n">
        <v>205</v>
      </c>
      <c r="BL278" t="n">
        <v>126</v>
      </c>
      <c r="BM278" t="n">
        <v>789</v>
      </c>
      <c r="BN278" t="n">
        <v>521</v>
      </c>
      <c r="BO278" t="n">
        <v>757</v>
      </c>
      <c r="BP278" t="n">
        <v>205</v>
      </c>
      <c r="BQ278" t="n">
        <v>868</v>
      </c>
      <c r="BR278" t="n">
        <v>978</v>
      </c>
      <c r="BS278" t="n">
        <v>347</v>
      </c>
      <c r="BT278" t="n">
        <v>7558</v>
      </c>
      <c r="BU278" t="n">
        <v>679</v>
      </c>
      <c r="BV278" t="n">
        <v>1704</v>
      </c>
      <c r="BW278" t="n">
        <v>2683</v>
      </c>
      <c r="BX278" t="n">
        <v>757</v>
      </c>
      <c r="BY278" t="n">
        <v>1152</v>
      </c>
      <c r="BZ278" t="n">
        <v>852</v>
      </c>
      <c r="CA278" t="n">
        <v>7827</v>
      </c>
      <c r="CB278" t="n">
        <v>65</v>
      </c>
      <c r="CC278" t="n">
        <v>27</v>
      </c>
      <c r="CD278" t="n">
        <v>633</v>
      </c>
      <c r="CE278" t="n">
        <v>4648</v>
      </c>
      <c r="CF278" t="n">
        <v>7.34</v>
      </c>
      <c r="CG278" t="n">
        <v>0</v>
      </c>
      <c r="CH278" t="n">
        <v>0</v>
      </c>
      <c r="CI278" t="n">
        <v>0</v>
      </c>
      <c r="CJ278" t="n">
        <v>0</v>
      </c>
      <c r="CK278" t="n">
        <v>8</v>
      </c>
      <c r="CL278" t="n">
        <v>16</v>
      </c>
      <c r="CM278" t="n">
        <v>0</v>
      </c>
      <c r="CN278" t="n">
        <v>892</v>
      </c>
      <c r="CO278" t="n">
        <v>0</v>
      </c>
      <c r="CP278" t="n">
        <v>308</v>
      </c>
      <c r="CQ278" t="n">
        <v>24</v>
      </c>
      <c r="CR278" t="n">
        <v>8</v>
      </c>
      <c r="CS278" t="n">
        <v>0</v>
      </c>
      <c r="CT278" t="n">
        <v>1256</v>
      </c>
      <c r="CU278" t="n">
        <v>0</v>
      </c>
      <c r="CV278" t="n">
        <v>0</v>
      </c>
      <c r="CW278" t="n">
        <v>16</v>
      </c>
      <c r="CX278" t="n">
        <v>0</v>
      </c>
      <c r="CY278" t="n">
        <v>1541</v>
      </c>
      <c r="CZ278" t="n">
        <v>16</v>
      </c>
      <c r="DA278" t="n">
        <v>0</v>
      </c>
      <c r="DB278" t="n">
        <v>0</v>
      </c>
      <c r="DC278" t="n">
        <v>1573</v>
      </c>
      <c r="DD278" t="n">
        <v>0</v>
      </c>
      <c r="DE278" t="n">
        <v>0</v>
      </c>
      <c r="DF278" t="n">
        <v>4648</v>
      </c>
      <c r="DG278" t="n">
        <v>633</v>
      </c>
      <c r="DH278" t="n">
        <v>0</v>
      </c>
      <c r="DI278" t="n">
        <v>0</v>
      </c>
      <c r="DJ278" t="n">
        <v>0</v>
      </c>
      <c r="DK278" t="n">
        <v>0</v>
      </c>
      <c r="DL278" t="n">
        <v>0</v>
      </c>
      <c r="DM278" t="n">
        <v>0</v>
      </c>
      <c r="DN278" t="n">
        <v>0</v>
      </c>
      <c r="DO278" t="n">
        <v>0</v>
      </c>
      <c r="DP278" t="n">
        <v>0</v>
      </c>
      <c r="DQ278" t="n">
        <v>0</v>
      </c>
      <c r="DR278" t="n">
        <v>0</v>
      </c>
      <c r="DS278" t="n">
        <v>5281</v>
      </c>
      <c r="DT278" t="n">
        <v>8110</v>
      </c>
      <c r="DU278" t="n">
        <v>610</v>
      </c>
      <c r="DV278" t="n">
        <v>0</v>
      </c>
      <c r="DW278" t="n">
        <v>0</v>
      </c>
      <c r="DX278" t="n">
        <v>0</v>
      </c>
      <c r="DY278" t="n">
        <v>150</v>
      </c>
      <c r="DZ278" t="n">
        <v>219</v>
      </c>
      <c r="EA278" t="n">
        <v>84</v>
      </c>
      <c r="EB278" t="n">
        <v>144</v>
      </c>
      <c r="EC278" t="n">
        <v>3</v>
      </c>
      <c r="ED278" t="n">
        <v>300</v>
      </c>
      <c r="EE278" t="n">
        <v>300</v>
      </c>
      <c r="EF278" t="n">
        <v>0</v>
      </c>
      <c r="EG278" t="n">
        <v>0</v>
      </c>
      <c r="EH278" t="n">
        <v>1.4</v>
      </c>
      <c r="EI278" t="n">
        <v>0.3</v>
      </c>
      <c r="EJ278" t="n">
        <v>8.699999999999999</v>
      </c>
      <c r="EK278" t="n">
        <v>15.6</v>
      </c>
    </row>
    <row r="279">
      <c r="A279">
        <f>[1]ingredient!B279</f>
        <v/>
      </c>
      <c r="B279" t="inlineStr">
        <is>
          <t>https://www.naehrwertrechner.de/naehrwerte/F202111/Nektarine+frisch/?menge=100</t>
        </is>
      </c>
      <c r="C279" s="7">
        <f>_xlfn.XLOOKUP(A279,[1]ingredient!$B$2:$B$521,[1]ingredient!$A$2:$A$521)</f>
        <v/>
      </c>
      <c r="D279" t="n">
        <v>57</v>
      </c>
      <c r="E279" t="n">
        <v>0.1</v>
      </c>
      <c r="F279" t="n">
        <v>1</v>
      </c>
      <c r="G279" t="n">
        <v>12</v>
      </c>
      <c r="H279" t="n">
        <v>2</v>
      </c>
      <c r="I279" t="n">
        <v>12</v>
      </c>
      <c r="J279" t="n">
        <v>0.01</v>
      </c>
      <c r="K279" t="n">
        <v>83</v>
      </c>
      <c r="L279" t="n">
        <v>73</v>
      </c>
      <c r="M279" t="n">
        <v>37</v>
      </c>
      <c r="N279" t="n">
        <v>0</v>
      </c>
      <c r="O279" t="n">
        <v>440</v>
      </c>
      <c r="P279" t="n">
        <v>20</v>
      </c>
      <c r="Q279" t="n">
        <v>50</v>
      </c>
      <c r="R279" t="n">
        <v>1000</v>
      </c>
      <c r="S279" t="n">
        <v>1100</v>
      </c>
      <c r="T279" t="n">
        <v>160</v>
      </c>
      <c r="U279" t="n">
        <v>25</v>
      </c>
      <c r="V279" t="n">
        <v>1</v>
      </c>
      <c r="W279" t="n">
        <v>5</v>
      </c>
      <c r="X279" t="n">
        <v>0</v>
      </c>
      <c r="Y279" t="n">
        <v>8000</v>
      </c>
      <c r="Z279" t="n">
        <v>0</v>
      </c>
      <c r="AA279" t="n">
        <v>500</v>
      </c>
      <c r="AB279" t="n">
        <v>10</v>
      </c>
      <c r="AC279" t="n">
        <v>9</v>
      </c>
      <c r="AD279" t="n">
        <v>212</v>
      </c>
      <c r="AE279" t="n">
        <v>4</v>
      </c>
      <c r="AF279" t="n">
        <v>10</v>
      </c>
      <c r="AG279" t="n">
        <v>22</v>
      </c>
      <c r="AH279" t="n">
        <v>10</v>
      </c>
      <c r="AI279" t="n">
        <v>5</v>
      </c>
      <c r="AJ279" t="n">
        <v>500</v>
      </c>
      <c r="AK279" t="n">
        <v>100</v>
      </c>
      <c r="AL279" t="n">
        <v>60</v>
      </c>
      <c r="AM279" t="n">
        <v>100</v>
      </c>
      <c r="AN279" t="n">
        <v>10</v>
      </c>
      <c r="AO279" t="n">
        <v>1</v>
      </c>
      <c r="AP279" t="n">
        <v>0</v>
      </c>
      <c r="AQ279" t="n">
        <v>87</v>
      </c>
      <c r="AR279" t="n">
        <v>0</v>
      </c>
      <c r="AS279" t="n">
        <v>87</v>
      </c>
      <c r="AT279" t="n">
        <v>1786</v>
      </c>
      <c r="AU279" t="n">
        <v>1786</v>
      </c>
      <c r="AV279" t="n">
        <v>62</v>
      </c>
      <c r="AW279" t="n">
        <v>3634</v>
      </c>
      <c r="AX279" t="n">
        <v>8679</v>
      </c>
      <c r="AY279" t="n">
        <v>0</v>
      </c>
      <c r="AZ279" t="n">
        <v>0</v>
      </c>
      <c r="BA279" t="n">
        <v>8679</v>
      </c>
      <c r="BB279" t="n">
        <v>0</v>
      </c>
      <c r="BC279" t="n">
        <v>0</v>
      </c>
      <c r="BD279" t="n">
        <v>0</v>
      </c>
      <c r="BE279" t="n">
        <v>0</v>
      </c>
      <c r="BF279" t="n">
        <v>0</v>
      </c>
      <c r="BG279">
        <f>IF($F279=0,"0",MIN(
BH279/(30*$F279),
BI279/(61*$F279),
BJ279/(48*$F279),
(BK279+BL279)/(23*$F279),
(BM279+BN279)/(41*$F279),
BO279/(25*$F279),
BP279/(6.6*$F279),
BQ279/(40*$F279),
BS279/(16*$F279)
)*100)</f>
        <v/>
      </c>
      <c r="BH279" t="n">
        <v>15</v>
      </c>
      <c r="BI279" t="n">
        <v>33</v>
      </c>
      <c r="BJ279" t="n">
        <v>34</v>
      </c>
      <c r="BK279" t="n">
        <v>35</v>
      </c>
      <c r="BL279" t="n">
        <v>11</v>
      </c>
      <c r="BM279" t="n">
        <v>22</v>
      </c>
      <c r="BN279" t="n">
        <v>23</v>
      </c>
      <c r="BO279" t="n">
        <v>32</v>
      </c>
      <c r="BP279" t="n">
        <v>6</v>
      </c>
      <c r="BQ279" t="n">
        <v>46</v>
      </c>
      <c r="BR279" t="n">
        <v>20</v>
      </c>
      <c r="BS279" t="n">
        <v>20</v>
      </c>
      <c r="BT279" t="n">
        <v>297</v>
      </c>
      <c r="BU279" t="n">
        <v>46</v>
      </c>
      <c r="BV279" t="n">
        <v>106</v>
      </c>
      <c r="BW279" t="n">
        <v>166</v>
      </c>
      <c r="BX279" t="n">
        <v>18</v>
      </c>
      <c r="BY279" t="n">
        <v>32</v>
      </c>
      <c r="BZ279" t="n">
        <v>39</v>
      </c>
      <c r="CA279" t="n">
        <v>407</v>
      </c>
      <c r="CB279" t="n">
        <v>18</v>
      </c>
      <c r="CC279" t="n">
        <v>8</v>
      </c>
      <c r="CD279" t="n">
        <v>1</v>
      </c>
      <c r="CE279" t="n">
        <v>39</v>
      </c>
      <c r="CF279" t="n">
        <v>39</v>
      </c>
      <c r="CG279" t="n">
        <v>0</v>
      </c>
      <c r="CH279" t="n">
        <v>0</v>
      </c>
      <c r="CI279" t="n">
        <v>0</v>
      </c>
      <c r="CJ279" t="n">
        <v>0</v>
      </c>
      <c r="CK279" t="n">
        <v>0</v>
      </c>
      <c r="CL279" t="n">
        <v>0</v>
      </c>
      <c r="CM279" t="n">
        <v>0</v>
      </c>
      <c r="CN279" t="n">
        <v>8</v>
      </c>
      <c r="CO279" t="n">
        <v>0</v>
      </c>
      <c r="CP279" t="n">
        <v>1</v>
      </c>
      <c r="CQ279" t="n">
        <v>0</v>
      </c>
      <c r="CR279" t="n">
        <v>0</v>
      </c>
      <c r="CS279" t="n">
        <v>0</v>
      </c>
      <c r="CT279" t="n">
        <v>9</v>
      </c>
      <c r="CU279" t="n">
        <v>0</v>
      </c>
      <c r="CV279" t="n">
        <v>0</v>
      </c>
      <c r="CW279" t="n">
        <v>1</v>
      </c>
      <c r="CX279" t="n">
        <v>0</v>
      </c>
      <c r="CY279" t="n">
        <v>30</v>
      </c>
      <c r="CZ279" t="n">
        <v>0</v>
      </c>
      <c r="DA279" t="n">
        <v>0</v>
      </c>
      <c r="DB279" t="n">
        <v>0</v>
      </c>
      <c r="DC279" t="n">
        <v>31</v>
      </c>
      <c r="DD279" t="n">
        <v>0</v>
      </c>
      <c r="DE279" t="n">
        <v>0</v>
      </c>
      <c r="DF279" t="n">
        <v>39</v>
      </c>
      <c r="DG279" t="n">
        <v>1</v>
      </c>
      <c r="DH279" t="n">
        <v>0</v>
      </c>
      <c r="DI279" t="n">
        <v>0</v>
      </c>
      <c r="DJ279" t="n">
        <v>0</v>
      </c>
      <c r="DK279" t="n">
        <v>0</v>
      </c>
      <c r="DL279" t="n">
        <v>0</v>
      </c>
      <c r="DM279" t="n">
        <v>0</v>
      </c>
      <c r="DN279" t="n">
        <v>0</v>
      </c>
      <c r="DO279" t="n">
        <v>0</v>
      </c>
      <c r="DP279" t="n">
        <v>0</v>
      </c>
      <c r="DQ279" t="n">
        <v>0</v>
      </c>
      <c r="DR279" t="n">
        <v>0</v>
      </c>
      <c r="DS279" t="n">
        <v>40</v>
      </c>
      <c r="DT279" t="n">
        <v>80</v>
      </c>
      <c r="DU279" t="n">
        <v>20</v>
      </c>
      <c r="DV279" t="n">
        <v>0</v>
      </c>
      <c r="DW279" t="n">
        <v>0</v>
      </c>
      <c r="DX279" t="n">
        <v>0</v>
      </c>
      <c r="DY279" t="n">
        <v>990</v>
      </c>
      <c r="DZ279" t="n">
        <v>110</v>
      </c>
      <c r="EA279" t="n">
        <v>550</v>
      </c>
      <c r="EB279" t="n">
        <v>440</v>
      </c>
      <c r="EC279" t="n">
        <v>110</v>
      </c>
      <c r="ED279" t="n">
        <v>942</v>
      </c>
      <c r="EE279" t="n">
        <v>1258</v>
      </c>
      <c r="EF279" t="n">
        <v>0</v>
      </c>
      <c r="EG279" t="n">
        <v>1</v>
      </c>
      <c r="EH279" t="n">
        <v>0.5</v>
      </c>
      <c r="EI279" t="n">
        <v>1.3</v>
      </c>
      <c r="EJ279" t="n">
        <v>0.1</v>
      </c>
      <c r="EK279" t="n">
        <v>0.8</v>
      </c>
    </row>
    <row r="280">
      <c r="A280">
        <f>[1]ingredient!B280</f>
        <v/>
      </c>
      <c r="B280" t="inlineStr">
        <is>
          <t>https://www.naehrwertrechner.de/naehrwerte/R242011/Gew%C3%BCrznelken/?menge=100</t>
        </is>
      </c>
      <c r="C280" s="7">
        <f>_xlfn.XLOOKUP(A280,[1]ingredient!$B$2:$B$521,[1]ingredient!$A$2:$A$521)</f>
        <v/>
      </c>
      <c r="D280" t="n">
        <v>414</v>
      </c>
      <c r="E280" t="n">
        <v>20</v>
      </c>
      <c r="F280" t="n">
        <v>6</v>
      </c>
      <c r="G280" t="n">
        <v>52</v>
      </c>
      <c r="H280" t="n">
        <v>10</v>
      </c>
      <c r="I280" t="n">
        <v>51</v>
      </c>
      <c r="J280" t="n">
        <v>0.44</v>
      </c>
      <c r="K280" t="n">
        <v>6</v>
      </c>
      <c r="L280" t="n">
        <v>53</v>
      </c>
      <c r="M280" t="n">
        <v>27</v>
      </c>
      <c r="N280" t="n">
        <v>0</v>
      </c>
      <c r="O280" t="n">
        <v>320</v>
      </c>
      <c r="P280" t="n">
        <v>110</v>
      </c>
      <c r="Q280" t="n">
        <v>270</v>
      </c>
      <c r="R280" t="n">
        <v>1500</v>
      </c>
      <c r="S280" t="n">
        <v>2500</v>
      </c>
      <c r="T280" t="n">
        <v>0</v>
      </c>
      <c r="U280" t="n">
        <v>0</v>
      </c>
      <c r="V280" t="n">
        <v>0</v>
      </c>
      <c r="W280" t="n">
        <v>0</v>
      </c>
      <c r="X280" t="n">
        <v>0</v>
      </c>
      <c r="Y280" t="n">
        <v>0</v>
      </c>
      <c r="Z280" t="n">
        <v>0</v>
      </c>
      <c r="AA280" t="n">
        <v>0</v>
      </c>
      <c r="AB280" t="n">
        <v>0</v>
      </c>
      <c r="AC280" t="n">
        <v>240</v>
      </c>
      <c r="AD280" t="n">
        <v>1100</v>
      </c>
      <c r="AE280" t="n">
        <v>730</v>
      </c>
      <c r="AF280" t="n">
        <v>260</v>
      </c>
      <c r="AG280" t="n">
        <v>110</v>
      </c>
      <c r="AH280" t="n">
        <v>100</v>
      </c>
      <c r="AI280" t="n">
        <v>200</v>
      </c>
      <c r="AJ280" t="n">
        <v>5600</v>
      </c>
      <c r="AK280" t="n">
        <v>2200</v>
      </c>
      <c r="AL280" t="n">
        <v>490</v>
      </c>
      <c r="AM280" t="n">
        <v>8500</v>
      </c>
      <c r="AN280" t="n">
        <v>400</v>
      </c>
      <c r="AO280" t="n">
        <v>5</v>
      </c>
      <c r="AP280" t="n">
        <v>0</v>
      </c>
      <c r="AQ280" t="n">
        <v>0</v>
      </c>
      <c r="AR280" t="n">
        <v>0</v>
      </c>
      <c r="AS280" t="n">
        <v>0</v>
      </c>
      <c r="AT280" t="n">
        <v>20800</v>
      </c>
      <c r="AU280" t="n">
        <v>20800</v>
      </c>
      <c r="AV280" t="n">
        <v>0</v>
      </c>
      <c r="AW280" t="n">
        <v>41600</v>
      </c>
      <c r="AX280" t="n">
        <v>9880</v>
      </c>
      <c r="AY280" t="n">
        <v>0</v>
      </c>
      <c r="AZ280" t="n">
        <v>0</v>
      </c>
      <c r="BA280" t="n">
        <v>9880</v>
      </c>
      <c r="BB280" t="n">
        <v>0</v>
      </c>
      <c r="BC280" t="n">
        <v>0</v>
      </c>
      <c r="BD280" t="n">
        <v>0</v>
      </c>
      <c r="BE280" t="n">
        <v>520</v>
      </c>
      <c r="BF280" t="n">
        <v>520</v>
      </c>
      <c r="BG280">
        <f>IF($F280=0,"0",MIN(
BH280/(30*$F280),
BI280/(61*$F280),
BJ280/(48*$F280),
(BK280+BL280)/(23*$F280),
(BM280+BN280)/(41*$F280),
BO280/(25*$F280),
BP280/(6.6*$F280),
BQ280/(40*$F280),
BS280/(16*$F280)
)*100)</f>
        <v/>
      </c>
      <c r="BH280" t="n">
        <v>240</v>
      </c>
      <c r="BI280" t="n">
        <v>360</v>
      </c>
      <c r="BJ280" t="n">
        <v>300</v>
      </c>
      <c r="BK280" t="n">
        <v>72</v>
      </c>
      <c r="BL280" t="n">
        <v>60</v>
      </c>
      <c r="BM280" t="n">
        <v>180</v>
      </c>
      <c r="BN280" t="n">
        <v>120</v>
      </c>
      <c r="BO280" t="n">
        <v>210</v>
      </c>
      <c r="BP280" t="n">
        <v>60</v>
      </c>
      <c r="BQ280" t="n">
        <v>240</v>
      </c>
      <c r="BR280" t="n">
        <v>240</v>
      </c>
      <c r="BS280" t="n">
        <v>90</v>
      </c>
      <c r="BT280" t="n">
        <v>2172</v>
      </c>
      <c r="BU280" t="n">
        <v>300</v>
      </c>
      <c r="BV280" t="n">
        <v>600</v>
      </c>
      <c r="BW280" t="n">
        <v>900</v>
      </c>
      <c r="BX280" t="n">
        <v>168</v>
      </c>
      <c r="BY280" t="n">
        <v>240</v>
      </c>
      <c r="BZ280" t="n">
        <v>180</v>
      </c>
      <c r="CA280" t="n">
        <v>2388</v>
      </c>
      <c r="CB280" t="n">
        <v>29</v>
      </c>
      <c r="CC280" t="n">
        <v>12</v>
      </c>
      <c r="CD280" t="n">
        <v>48</v>
      </c>
      <c r="CE280" t="n">
        <v>2766</v>
      </c>
      <c r="CF280" t="n">
        <v>57.63</v>
      </c>
      <c r="CG280" t="n">
        <v>0</v>
      </c>
      <c r="CH280" t="n">
        <v>0</v>
      </c>
      <c r="CI280" t="n">
        <v>0</v>
      </c>
      <c r="CJ280" t="n">
        <v>0</v>
      </c>
      <c r="CK280" t="n">
        <v>306</v>
      </c>
      <c r="CL280" t="n">
        <v>595</v>
      </c>
      <c r="CM280" t="n">
        <v>0</v>
      </c>
      <c r="CN280" t="n">
        <v>4920</v>
      </c>
      <c r="CO280" t="n">
        <v>0</v>
      </c>
      <c r="CP280" t="n">
        <v>273</v>
      </c>
      <c r="CQ280" t="n">
        <v>0</v>
      </c>
      <c r="CR280" t="n">
        <v>0</v>
      </c>
      <c r="CS280" t="n">
        <v>0</v>
      </c>
      <c r="CT280" t="n">
        <v>6094</v>
      </c>
      <c r="CU280" t="n">
        <v>0</v>
      </c>
      <c r="CV280" t="n">
        <v>0</v>
      </c>
      <c r="CW280" t="n">
        <v>370</v>
      </c>
      <c r="CX280" t="n">
        <v>0</v>
      </c>
      <c r="CY280" t="n">
        <v>6802</v>
      </c>
      <c r="CZ280" t="n">
        <v>0</v>
      </c>
      <c r="DA280" t="n">
        <v>0</v>
      </c>
      <c r="DB280" t="n">
        <v>0</v>
      </c>
      <c r="DC280" t="n">
        <v>7172</v>
      </c>
      <c r="DD280" t="n">
        <v>0</v>
      </c>
      <c r="DE280" t="n">
        <v>0</v>
      </c>
      <c r="DF280" t="n">
        <v>2766</v>
      </c>
      <c r="DG280" t="n">
        <v>48</v>
      </c>
      <c r="DH280" t="n">
        <v>0</v>
      </c>
      <c r="DI280" t="n">
        <v>0</v>
      </c>
      <c r="DJ280" t="n">
        <v>0</v>
      </c>
      <c r="DK280" t="n">
        <v>0</v>
      </c>
      <c r="DL280" t="n">
        <v>0</v>
      </c>
      <c r="DM280" t="n">
        <v>0</v>
      </c>
      <c r="DN280" t="n">
        <v>0</v>
      </c>
      <c r="DO280" t="n">
        <v>0</v>
      </c>
      <c r="DP280" t="n">
        <v>0</v>
      </c>
      <c r="DQ280" t="n">
        <v>0</v>
      </c>
      <c r="DR280" t="n">
        <v>0</v>
      </c>
      <c r="DS280" t="n">
        <v>2814</v>
      </c>
      <c r="DT280" t="n">
        <v>16080</v>
      </c>
      <c r="DU280" t="n">
        <v>4020</v>
      </c>
      <c r="DV280" t="n">
        <v>0</v>
      </c>
      <c r="DW280" t="n">
        <v>0</v>
      </c>
      <c r="DX280" t="n">
        <v>0</v>
      </c>
      <c r="DY280" t="n">
        <v>1443</v>
      </c>
      <c r="DZ280" t="n">
        <v>1924</v>
      </c>
      <c r="EA280" t="n">
        <v>2597</v>
      </c>
      <c r="EB280" t="n">
        <v>3367</v>
      </c>
      <c r="EC280" t="n">
        <v>289</v>
      </c>
      <c r="ED280" t="n">
        <v>2886</v>
      </c>
      <c r="EE280" t="n">
        <v>6734</v>
      </c>
      <c r="EF280" t="n">
        <v>0</v>
      </c>
      <c r="EG280" t="n">
        <v>0.21</v>
      </c>
      <c r="EH280" t="n">
        <v>5.9</v>
      </c>
      <c r="EI280" t="n">
        <v>6.7</v>
      </c>
      <c r="EJ280" t="n">
        <v>20.1</v>
      </c>
      <c r="EK280" t="n">
        <v>4.7</v>
      </c>
    </row>
    <row r="281">
      <c r="A281">
        <f>[1]ingredient!B281</f>
        <v/>
      </c>
      <c r="B281" t="inlineStr">
        <is>
          <t>https://www.naehrwertrechner.de/naehrwerte/G995000/Noriblatt+%28Seetangbl%C3%A4tter+Norialge%29/?menge=100</t>
        </is>
      </c>
      <c r="C281" s="7">
        <f>_xlfn.XLOOKUP(A281,[1]ingredient!$B$2:$B$521,[1]ingredient!$A$2:$A$521)</f>
        <v/>
      </c>
      <c r="D281" t="n">
        <v>301</v>
      </c>
      <c r="E281" t="n">
        <v>4</v>
      </c>
      <c r="F281" t="n">
        <v>11</v>
      </c>
      <c r="G281" t="n">
        <v>53</v>
      </c>
      <c r="H281" t="n">
        <v>9</v>
      </c>
      <c r="I281" t="n">
        <v>53</v>
      </c>
      <c r="J281" t="n">
        <v>1</v>
      </c>
      <c r="K281" t="n">
        <v>15</v>
      </c>
      <c r="L281" t="n">
        <v>451</v>
      </c>
      <c r="M281" t="n">
        <v>226</v>
      </c>
      <c r="N281" t="n">
        <v>0</v>
      </c>
      <c r="O281" t="n">
        <v>2707</v>
      </c>
      <c r="P281" t="n">
        <v>293</v>
      </c>
      <c r="Q281" t="n">
        <v>973</v>
      </c>
      <c r="R281" t="n">
        <v>3054</v>
      </c>
      <c r="S281" t="n">
        <v>6454</v>
      </c>
      <c r="T281" t="n">
        <v>1109</v>
      </c>
      <c r="U281" t="n">
        <v>646</v>
      </c>
      <c r="V281" t="n">
        <v>1</v>
      </c>
      <c r="W281" t="n">
        <v>1231</v>
      </c>
      <c r="X281" t="n">
        <v>0</v>
      </c>
      <c r="Y281" t="n">
        <v>75211</v>
      </c>
      <c r="Z281" t="n">
        <v>0</v>
      </c>
      <c r="AA281" t="n">
        <v>5354</v>
      </c>
      <c r="AB281" t="n">
        <v>0</v>
      </c>
      <c r="AC281" t="n">
        <v>1354</v>
      </c>
      <c r="AD281" t="n">
        <v>517</v>
      </c>
      <c r="AE281" t="n">
        <v>1034</v>
      </c>
      <c r="AF281" t="n">
        <v>741</v>
      </c>
      <c r="AG281" t="n">
        <v>259</v>
      </c>
      <c r="AH281" t="n">
        <v>306</v>
      </c>
      <c r="AI281" t="n">
        <v>75</v>
      </c>
      <c r="AJ281" t="n">
        <v>16565</v>
      </c>
      <c r="AK281" t="n">
        <v>7571</v>
      </c>
      <c r="AL281" t="n">
        <v>803</v>
      </c>
      <c r="AM281" t="n">
        <v>1231</v>
      </c>
      <c r="AN281" t="n">
        <v>612</v>
      </c>
      <c r="AO281" t="n">
        <v>307</v>
      </c>
      <c r="AP281" t="n">
        <v>0</v>
      </c>
      <c r="AQ281" t="n">
        <v>0</v>
      </c>
      <c r="AR281" t="n">
        <v>0</v>
      </c>
      <c r="AS281" t="n">
        <v>0</v>
      </c>
      <c r="AT281" t="n">
        <v>21306</v>
      </c>
      <c r="AU281" t="n">
        <v>21306</v>
      </c>
      <c r="AV281" t="n">
        <v>0</v>
      </c>
      <c r="AW281" t="n">
        <v>42612</v>
      </c>
      <c r="AX281" t="n">
        <v>10122</v>
      </c>
      <c r="AY281" t="n">
        <v>0</v>
      </c>
      <c r="AZ281" t="n">
        <v>0</v>
      </c>
      <c r="BA281" t="n">
        <v>10122</v>
      </c>
      <c r="BB281" t="n">
        <v>0</v>
      </c>
      <c r="BC281" t="n">
        <v>0</v>
      </c>
      <c r="BD281" t="n">
        <v>0</v>
      </c>
      <c r="BE281" t="n">
        <v>531</v>
      </c>
      <c r="BF281" t="n">
        <v>531</v>
      </c>
      <c r="BG281">
        <f>IF($F281=0,"0",MIN(
BH281/(30*$F281),
BI281/(61*$F281),
BJ281/(48*$F281),
(BK281+BL281)/(23*$F281),
(BM281+BN281)/(41*$F281),
BO281/(25*$F281),
BP281/(6.6*$F281),
BQ281/(40*$F281),
BS281/(16*$F281)
)*100)</f>
        <v/>
      </c>
      <c r="BH281" t="n">
        <v>430</v>
      </c>
      <c r="BI281" t="n">
        <v>715</v>
      </c>
      <c r="BJ281" t="n">
        <v>333</v>
      </c>
      <c r="BK281" t="n">
        <v>204</v>
      </c>
      <c r="BL281" t="n">
        <v>190</v>
      </c>
      <c r="BM281" t="n">
        <v>532</v>
      </c>
      <c r="BN281" t="n">
        <v>430</v>
      </c>
      <c r="BO281" t="n">
        <v>333</v>
      </c>
      <c r="BP281" t="n">
        <v>204</v>
      </c>
      <c r="BQ281" t="n">
        <v>940</v>
      </c>
      <c r="BR281" t="n">
        <v>430</v>
      </c>
      <c r="BS281" t="n">
        <v>88</v>
      </c>
      <c r="BT281" t="n">
        <v>4829</v>
      </c>
      <c r="BU281" t="n">
        <v>817</v>
      </c>
      <c r="BV281" t="n">
        <v>1451</v>
      </c>
      <c r="BW281" t="n">
        <v>2908</v>
      </c>
      <c r="BX281" t="n">
        <v>477</v>
      </c>
      <c r="BY281" t="n">
        <v>620</v>
      </c>
      <c r="BZ281" t="n">
        <v>388</v>
      </c>
      <c r="CA281" t="n">
        <v>6661</v>
      </c>
      <c r="CB281" t="n">
        <v>102</v>
      </c>
      <c r="CC281" t="n">
        <v>43</v>
      </c>
      <c r="CD281" t="n">
        <v>102</v>
      </c>
      <c r="CE281" t="n">
        <v>218</v>
      </c>
      <c r="CF281" t="n">
        <v>2.14</v>
      </c>
      <c r="CG281" t="n">
        <v>0</v>
      </c>
      <c r="CH281" t="n">
        <v>0</v>
      </c>
      <c r="CI281" t="n">
        <v>0</v>
      </c>
      <c r="CJ281" t="n">
        <v>0</v>
      </c>
      <c r="CK281" t="n">
        <v>0</v>
      </c>
      <c r="CL281" t="n">
        <v>211</v>
      </c>
      <c r="CM281" t="n">
        <v>0</v>
      </c>
      <c r="CN281" t="n">
        <v>897</v>
      </c>
      <c r="CO281" t="n">
        <v>0</v>
      </c>
      <c r="CP281" t="n">
        <v>585</v>
      </c>
      <c r="CQ281" t="n">
        <v>0</v>
      </c>
      <c r="CR281" t="n">
        <v>0</v>
      </c>
      <c r="CS281" t="n">
        <v>0</v>
      </c>
      <c r="CT281" t="n">
        <v>1693</v>
      </c>
      <c r="CU281" t="n">
        <v>0</v>
      </c>
      <c r="CV281" t="n">
        <v>0</v>
      </c>
      <c r="CW281" t="n">
        <v>82</v>
      </c>
      <c r="CX281" t="n">
        <v>0</v>
      </c>
      <c r="CY281" t="n">
        <v>585</v>
      </c>
      <c r="CZ281" t="n">
        <v>0</v>
      </c>
      <c r="DA281" t="n">
        <v>0</v>
      </c>
      <c r="DB281" t="n">
        <v>0</v>
      </c>
      <c r="DC281" t="n">
        <v>667</v>
      </c>
      <c r="DD281" t="n">
        <v>0</v>
      </c>
      <c r="DE281" t="n">
        <v>0</v>
      </c>
      <c r="DF281" t="n">
        <v>136</v>
      </c>
      <c r="DG281" t="n">
        <v>27</v>
      </c>
      <c r="DH281" t="n">
        <v>27</v>
      </c>
      <c r="DI281" t="n">
        <v>0</v>
      </c>
      <c r="DJ281" t="n">
        <v>0</v>
      </c>
      <c r="DK281" t="n">
        <v>0</v>
      </c>
      <c r="DL281" t="n">
        <v>82</v>
      </c>
      <c r="DM281" t="n">
        <v>48</v>
      </c>
      <c r="DN281" t="n">
        <v>0</v>
      </c>
      <c r="DO281" t="n">
        <v>0</v>
      </c>
      <c r="DP281" t="n">
        <v>0</v>
      </c>
      <c r="DQ281" t="n">
        <v>0</v>
      </c>
      <c r="DR281" t="n">
        <v>0</v>
      </c>
      <c r="DS281" t="n">
        <v>320</v>
      </c>
      <c r="DT281" t="n">
        <v>2680</v>
      </c>
      <c r="DU281" t="n">
        <v>1150</v>
      </c>
      <c r="DV281" t="n">
        <v>0</v>
      </c>
      <c r="DW281" t="n">
        <v>0</v>
      </c>
      <c r="DX281" t="n">
        <v>0</v>
      </c>
      <c r="DY281" t="n">
        <v>1334</v>
      </c>
      <c r="DZ281" t="n">
        <v>1777</v>
      </c>
      <c r="EA281" t="n">
        <v>2403</v>
      </c>
      <c r="EB281" t="n">
        <v>3111</v>
      </c>
      <c r="EC281" t="n">
        <v>265</v>
      </c>
      <c r="ED281" t="n">
        <v>2667</v>
      </c>
      <c r="EE281" t="n">
        <v>6224</v>
      </c>
      <c r="EF281" t="n">
        <v>0</v>
      </c>
      <c r="EG281" t="n">
        <v>1</v>
      </c>
      <c r="EH281" t="n">
        <v>6.2</v>
      </c>
      <c r="EI281" t="n">
        <v>6.2</v>
      </c>
      <c r="EJ281" t="n">
        <v>3.8</v>
      </c>
      <c r="EK281" t="n">
        <v>11.8</v>
      </c>
    </row>
    <row r="282">
      <c r="A282">
        <f>[1]ingredient!B282</f>
        <v/>
      </c>
      <c r="B282" t="inlineStr">
        <is>
          <t>https://www.naehrwertrechner.de/naehrwerte/G003411/Rotalge+getrocknet/?menge=100</t>
        </is>
      </c>
      <c r="C282" s="7">
        <f>_xlfn.XLOOKUP(A282,[1]ingredient!$B$2:$B$521,[1]ingredient!$A$2:$A$521)</f>
        <v/>
      </c>
      <c r="D282" t="n">
        <v>319</v>
      </c>
      <c r="E282" t="n">
        <v>2</v>
      </c>
      <c r="F282" t="n">
        <v>41</v>
      </c>
      <c r="G282" t="n">
        <v>32</v>
      </c>
      <c r="H282" t="n">
        <v>2</v>
      </c>
      <c r="I282" t="n">
        <v>32</v>
      </c>
      <c r="J282" t="n">
        <v>0.37</v>
      </c>
      <c r="K282" t="n">
        <v>15</v>
      </c>
      <c r="L282" t="n">
        <v>554</v>
      </c>
      <c r="M282" t="n">
        <v>275</v>
      </c>
      <c r="N282" t="n">
        <v>0</v>
      </c>
      <c r="O282" t="n">
        <v>3296</v>
      </c>
      <c r="P282" t="n">
        <v>596</v>
      </c>
      <c r="Q282" t="n">
        <v>3009</v>
      </c>
      <c r="R282" t="n">
        <v>9825</v>
      </c>
      <c r="S282" t="n">
        <v>18008</v>
      </c>
      <c r="T282" t="n">
        <v>1901</v>
      </c>
      <c r="U282" t="n">
        <v>1073</v>
      </c>
      <c r="V282" t="n">
        <v>0</v>
      </c>
      <c r="W282" t="n">
        <v>1269</v>
      </c>
      <c r="X282" t="n">
        <v>7</v>
      </c>
      <c r="Y282" t="n">
        <v>150952</v>
      </c>
      <c r="Z282" t="n">
        <v>0</v>
      </c>
      <c r="AA282" t="n">
        <v>0</v>
      </c>
      <c r="AB282" t="n">
        <v>2111</v>
      </c>
      <c r="AC282" t="n">
        <v>288</v>
      </c>
      <c r="AD282" t="n">
        <v>2132</v>
      </c>
      <c r="AE282" t="n">
        <v>442</v>
      </c>
      <c r="AF282" t="n">
        <v>14</v>
      </c>
      <c r="AG282" t="n">
        <v>365</v>
      </c>
      <c r="AH282" t="n">
        <v>316</v>
      </c>
      <c r="AI282" t="n">
        <v>77</v>
      </c>
      <c r="AJ282" t="n">
        <v>10765</v>
      </c>
      <c r="AK282" t="n">
        <v>6649</v>
      </c>
      <c r="AL282" t="n">
        <v>1683</v>
      </c>
      <c r="AM282" t="n">
        <v>6333</v>
      </c>
      <c r="AN282" t="n">
        <v>631</v>
      </c>
      <c r="AO282" t="n">
        <v>317</v>
      </c>
      <c r="AP282" t="n">
        <v>0</v>
      </c>
      <c r="AQ282" t="n">
        <v>0</v>
      </c>
      <c r="AR282" t="n">
        <v>0</v>
      </c>
      <c r="AS282" t="n">
        <v>0</v>
      </c>
      <c r="AT282" t="n">
        <v>12911</v>
      </c>
      <c r="AU282" t="n">
        <v>12918</v>
      </c>
      <c r="AV282" t="n">
        <v>0</v>
      </c>
      <c r="AW282" t="n">
        <v>25829</v>
      </c>
      <c r="AX282" t="n">
        <v>6137</v>
      </c>
      <c r="AY282" t="n">
        <v>0</v>
      </c>
      <c r="AZ282" t="n">
        <v>0</v>
      </c>
      <c r="BA282" t="n">
        <v>6137</v>
      </c>
      <c r="BB282" t="n">
        <v>0</v>
      </c>
      <c r="BC282" t="n">
        <v>0</v>
      </c>
      <c r="BD282" t="n">
        <v>0</v>
      </c>
      <c r="BE282" t="n">
        <v>323</v>
      </c>
      <c r="BF282" t="n">
        <v>323</v>
      </c>
      <c r="BG282">
        <f>IF($F282=0,"0",MIN(
BH282/(30*$F282),
BI282/(61*$F282),
BJ282/(48*$F282),
(BK282+BL282)/(23*$F282),
(BM282+BN282)/(41*$F282),
BO282/(25*$F282),
BP282/(6.6*$F282),
BQ282/(40*$F282),
BS282/(16*$F282)
)*100)</f>
        <v/>
      </c>
      <c r="BH282" t="n">
        <v>1557</v>
      </c>
      <c r="BI282" t="n">
        <v>2735</v>
      </c>
      <c r="BJ282" t="n">
        <v>1431</v>
      </c>
      <c r="BK282" t="n">
        <v>856</v>
      </c>
      <c r="BL282" t="n">
        <v>323</v>
      </c>
      <c r="BM282" t="n">
        <v>1837</v>
      </c>
      <c r="BN282" t="n">
        <v>1066</v>
      </c>
      <c r="BO282" t="n">
        <v>1880</v>
      </c>
      <c r="BP282" t="n">
        <v>491</v>
      </c>
      <c r="BQ282" t="n">
        <v>3556</v>
      </c>
      <c r="BR282" t="n">
        <v>3394</v>
      </c>
      <c r="BS282" t="n">
        <v>491</v>
      </c>
      <c r="BT282" t="n">
        <v>19617</v>
      </c>
      <c r="BU282" t="n">
        <v>3114</v>
      </c>
      <c r="BV282" t="n">
        <v>3969</v>
      </c>
      <c r="BW282" t="n">
        <v>3885</v>
      </c>
      <c r="BX282" t="n">
        <v>2532</v>
      </c>
      <c r="BY282" t="n">
        <v>1760</v>
      </c>
      <c r="BZ282" t="n">
        <v>2735</v>
      </c>
      <c r="CA282" t="n">
        <v>17995</v>
      </c>
      <c r="CB282" t="n">
        <v>351</v>
      </c>
      <c r="CC282" t="n">
        <v>146</v>
      </c>
      <c r="CD282" t="n">
        <v>590</v>
      </c>
      <c r="CE282" t="n">
        <v>98</v>
      </c>
      <c r="CF282" t="n">
        <v>0.17</v>
      </c>
      <c r="CG282" t="n">
        <v>0</v>
      </c>
      <c r="CH282" t="n">
        <v>0</v>
      </c>
      <c r="CI282" t="n">
        <v>0</v>
      </c>
      <c r="CJ282" t="n">
        <v>0</v>
      </c>
      <c r="CK282" t="n">
        <v>0</v>
      </c>
      <c r="CL282" t="n">
        <v>42</v>
      </c>
      <c r="CM282" t="n">
        <v>0</v>
      </c>
      <c r="CN282" t="n">
        <v>407</v>
      </c>
      <c r="CO282" t="n">
        <v>0</v>
      </c>
      <c r="CP282" t="n">
        <v>28</v>
      </c>
      <c r="CQ282" t="n">
        <v>0</v>
      </c>
      <c r="CR282" t="n">
        <v>0</v>
      </c>
      <c r="CS282" t="n">
        <v>0</v>
      </c>
      <c r="CT282" t="n">
        <v>477</v>
      </c>
      <c r="CU282" t="n">
        <v>0</v>
      </c>
      <c r="CV282" t="n">
        <v>0</v>
      </c>
      <c r="CW282" t="n">
        <v>70</v>
      </c>
      <c r="CX282" t="n">
        <v>0</v>
      </c>
      <c r="CY282" t="n">
        <v>84</v>
      </c>
      <c r="CZ282" t="n">
        <v>63</v>
      </c>
      <c r="DA282" t="n">
        <v>0</v>
      </c>
      <c r="DB282" t="n">
        <v>0</v>
      </c>
      <c r="DC282" t="n">
        <v>217</v>
      </c>
      <c r="DD282" t="n">
        <v>0</v>
      </c>
      <c r="DE282" t="n">
        <v>0</v>
      </c>
      <c r="DF282" t="n">
        <v>35</v>
      </c>
      <c r="DG282" t="n">
        <v>14</v>
      </c>
      <c r="DH282" t="n">
        <v>0</v>
      </c>
      <c r="DI282" t="n">
        <v>0</v>
      </c>
      <c r="DJ282" t="n">
        <v>0</v>
      </c>
      <c r="DK282" t="n">
        <v>0</v>
      </c>
      <c r="DL282" t="n">
        <v>63</v>
      </c>
      <c r="DM282" t="n">
        <v>576</v>
      </c>
      <c r="DN282" t="n">
        <v>0</v>
      </c>
      <c r="DO282" t="n">
        <v>0</v>
      </c>
      <c r="DP282" t="n">
        <v>0</v>
      </c>
      <c r="DQ282" t="n">
        <v>0</v>
      </c>
      <c r="DR282" t="n">
        <v>0</v>
      </c>
      <c r="DS282" t="n">
        <v>688</v>
      </c>
      <c r="DT282" t="n">
        <v>1382</v>
      </c>
      <c r="DU282" t="n">
        <v>589</v>
      </c>
      <c r="DV282" t="n">
        <v>0</v>
      </c>
      <c r="DW282" t="n">
        <v>0</v>
      </c>
      <c r="DX282" t="n">
        <v>0</v>
      </c>
      <c r="DY282" t="n">
        <v>316</v>
      </c>
      <c r="DZ282" t="n">
        <v>421</v>
      </c>
      <c r="EA282" t="n">
        <v>568</v>
      </c>
      <c r="EB282" t="n">
        <v>743</v>
      </c>
      <c r="EC282" t="n">
        <v>63</v>
      </c>
      <c r="ED282" t="n">
        <v>631</v>
      </c>
      <c r="EE282" t="n">
        <v>1480</v>
      </c>
      <c r="EF282" t="n">
        <v>0</v>
      </c>
      <c r="EG282" t="n">
        <v>1</v>
      </c>
      <c r="EH282" t="n">
        <v>6.3</v>
      </c>
      <c r="EI282" t="n">
        <v>1.5</v>
      </c>
      <c r="EJ282" t="n">
        <v>2</v>
      </c>
      <c r="EK282" t="n">
        <v>38.8</v>
      </c>
    </row>
    <row r="283">
      <c r="A283" s="12">
        <f>[1]ingredient!B283</f>
        <v/>
      </c>
      <c r="C283" s="7">
        <f>_xlfn.XLOOKUP(A283,[1]ingredient!$B$2:$B$521,[1]ingredient!$A$2:$A$521)</f>
        <v/>
      </c>
      <c r="D283">
        <f>AVERAGE(D63,D114,D156,D257,D258)</f>
        <v/>
      </c>
      <c r="E283">
        <f>AVERAGE(E63,E114,E156,E257,E258)</f>
        <v/>
      </c>
      <c r="F283">
        <f>AVERAGE(F63,F114,F156,F257,F258)</f>
        <v/>
      </c>
      <c r="G283">
        <f>AVERAGE(G63,G114,G156,G257,G258)</f>
        <v/>
      </c>
      <c r="H283">
        <f>AVERAGE(H63,H114,H156,H257,H258)</f>
        <v/>
      </c>
      <c r="I283">
        <f>AVERAGE(I63,I114,I156,I257,I258)</f>
        <v/>
      </c>
      <c r="J283">
        <f>AVERAGE(J63,J114,J156,J257,J258)</f>
        <v/>
      </c>
      <c r="K283">
        <f>AVERAGE(K63,K114,K156,K257,K258)</f>
        <v/>
      </c>
      <c r="L283">
        <f>AVERAGE(L63,L114,L156,L257,L258)</f>
        <v/>
      </c>
      <c r="M283">
        <f>AVERAGE(M63,M114,M156,M257,M258)</f>
        <v/>
      </c>
      <c r="N283">
        <f>AVERAGE(N63,N114,N156,N257,N258)</f>
        <v/>
      </c>
      <c r="O283">
        <f>AVERAGE(O63,O114,O156,O257,O258)</f>
        <v/>
      </c>
      <c r="P283">
        <f>AVERAGE(P63,P114,P156,P257,P258)</f>
        <v/>
      </c>
      <c r="Q283">
        <f>AVERAGE(Q63,Q114,Q156,Q257,Q258)</f>
        <v/>
      </c>
      <c r="R283">
        <f>AVERAGE(R63,R114,R156,R257,R258)</f>
        <v/>
      </c>
      <c r="S283">
        <f>AVERAGE(S63,S114,S156,S257,S258)</f>
        <v/>
      </c>
      <c r="T283">
        <f>AVERAGE(T63,T114,T156,T257,T258)</f>
        <v/>
      </c>
      <c r="U283">
        <f>AVERAGE(U63,U114,U156,U257,U258)</f>
        <v/>
      </c>
      <c r="V283">
        <f>AVERAGE(V63,V114,V156,V257,V258)</f>
        <v/>
      </c>
      <c r="W283">
        <f>AVERAGE(W63,W114,W156,W257,W258)</f>
        <v/>
      </c>
      <c r="X283">
        <f>AVERAGE(X63,X114,X156,X257,X258)</f>
        <v/>
      </c>
      <c r="Y283">
        <f>AVERAGE(Y63,Y114,Y156,Y257,Y258)</f>
        <v/>
      </c>
      <c r="Z283">
        <f>AVERAGE(Z63,Z114,Z156,Z257,Z258)</f>
        <v/>
      </c>
      <c r="AA283">
        <f>AVERAGE(AA63,AA114,AA156,AA257,AA258)</f>
        <v/>
      </c>
      <c r="AB283">
        <f>AVERAGE(AB63,AB114,AB156,AB257,AB258)</f>
        <v/>
      </c>
      <c r="AC283">
        <f>AVERAGE(AC63,AC114,AC156,AC257,AC258)</f>
        <v/>
      </c>
      <c r="AD283">
        <f>AVERAGE(AD63,AD114,AD156,AD257,AD258)</f>
        <v/>
      </c>
      <c r="AE283">
        <f>AVERAGE(AE63,AE114,AE156,AE257,AE258)</f>
        <v/>
      </c>
      <c r="AF283">
        <f>AVERAGE(AF63,AF114,AF156,AF257,AF258)</f>
        <v/>
      </c>
      <c r="AG283">
        <f>AVERAGE(AG63,AG114,AG156,AG257,AG258)</f>
        <v/>
      </c>
      <c r="AH283">
        <f>AVERAGE(AH63,AH114,AH156,AH257,AH258)</f>
        <v/>
      </c>
      <c r="AI283">
        <f>AVERAGE(AI63,AI114,AI156,AI257,AI258)</f>
        <v/>
      </c>
      <c r="AJ283">
        <f>AVERAGE(AJ63,AJ114,AJ156,AJ257,AJ258)</f>
        <v/>
      </c>
      <c r="AK283">
        <f>AVERAGE(AK63,AK114,AK156,AK257,AK258)</f>
        <v/>
      </c>
      <c r="AL283">
        <f>AVERAGE(AL63,AL114,AL156,AL257,AL258)</f>
        <v/>
      </c>
      <c r="AM283">
        <f>AVERAGE(AM63,AM114,AM156,AM257,AM258)</f>
        <v/>
      </c>
      <c r="AN283">
        <f>AVERAGE(AN63,AN114,AN156,AN257,AN258)</f>
        <v/>
      </c>
      <c r="AO283">
        <f>AVERAGE(AO63,AO114,AO156,AO257,AO258)</f>
        <v/>
      </c>
      <c r="AP283">
        <f>AVERAGE(AP63,AP114,AP156,AP257,AP258)</f>
        <v/>
      </c>
      <c r="AQ283">
        <f>AVERAGE(AQ63,AQ114,AQ156,AQ257,AQ258)</f>
        <v/>
      </c>
      <c r="AR283">
        <f>AVERAGE(AR63,AR114,AR156,AR257,AR258)</f>
        <v/>
      </c>
      <c r="AS283">
        <f>AVERAGE(AS63,AS114,AS156,AS257,AS258)</f>
        <v/>
      </c>
      <c r="AT283">
        <f>AVERAGE(AT63,AT114,AT156,AT257,AT258)</f>
        <v/>
      </c>
      <c r="AU283">
        <f>AVERAGE(AU63,AU114,AU156,AU257,AU258)</f>
        <v/>
      </c>
      <c r="AV283">
        <f>AVERAGE(AV63,AV114,AV156,AV257,AV258)</f>
        <v/>
      </c>
      <c r="AW283">
        <f>AVERAGE(AW63,AW114,AW156,AW257,AW258)</f>
        <v/>
      </c>
      <c r="AX283">
        <f>AVERAGE(AX63,AX114,AX156,AX257,AX258)</f>
        <v/>
      </c>
      <c r="AY283">
        <f>AVERAGE(AY63,AY114,AY156,AY257,AY258)</f>
        <v/>
      </c>
      <c r="AZ283">
        <f>AVERAGE(AZ63,AZ114,AZ156,AZ257,AZ258)</f>
        <v/>
      </c>
      <c r="BA283">
        <f>AVERAGE(BA63,BA114,BA156,BA257,BA258)</f>
        <v/>
      </c>
      <c r="BB283">
        <f>AVERAGE(BB63,BB114,BB156,BB257,BB258)</f>
        <v/>
      </c>
      <c r="BC283">
        <f>AVERAGE(BC63,BC114,BC156,BC257,BC258)</f>
        <v/>
      </c>
      <c r="BD283">
        <f>AVERAGE(BD63,BD114,BD156,BD257,BD258)</f>
        <v/>
      </c>
      <c r="BE283">
        <f>AVERAGE(BE63,BE114,BE156,BE257,BE258)</f>
        <v/>
      </c>
      <c r="BF283">
        <f>AVERAGE(BF63,BF114,BF156,BF257,BF258)</f>
        <v/>
      </c>
      <c r="BG283">
        <f>IF($F283=0,"0",MIN(
BH283/(30*$F283),
BI283/(61*$F283),
BJ283/(48*$F283),
(BK283+BL283)/(23*$F283),
(BM283+BN283)/(41*$F283),
BO283/(25*$F283),
BP283/(6.6*$F283),
BQ283/(40*$F283),
BS283/(16*$F283)
)*100)</f>
        <v/>
      </c>
      <c r="BH283">
        <f>AVERAGE(BH63,BH114,BH156,BH257,BH258)</f>
        <v/>
      </c>
      <c r="BI283">
        <f>AVERAGE(BI63,BI114,BI156,BI257,BI258)</f>
        <v/>
      </c>
      <c r="BJ283">
        <f>AVERAGE(BJ63,BJ114,BJ156,BJ257,BJ258)</f>
        <v/>
      </c>
      <c r="BK283">
        <f>AVERAGE(BK63,BK114,BK156,BK257,BK258)</f>
        <v/>
      </c>
      <c r="BL283">
        <f>AVERAGE(BL63,BL114,BL156,BL257,BL258)</f>
        <v/>
      </c>
      <c r="BM283">
        <f>AVERAGE(BM63,BM114,BM156,BM257,BM258)</f>
        <v/>
      </c>
      <c r="BN283">
        <f>AVERAGE(BN63,BN114,BN156,BN257,BN258)</f>
        <v/>
      </c>
      <c r="BO283">
        <f>AVERAGE(BO63,BO114,BO156,BO257,BO258)</f>
        <v/>
      </c>
      <c r="BP283">
        <f>AVERAGE(BP63,BP114,BP156,BP257,BP258)</f>
        <v/>
      </c>
      <c r="BQ283">
        <f>AVERAGE(BQ63,BQ114,BQ156,BQ257,BQ258)</f>
        <v/>
      </c>
      <c r="BR283">
        <f>AVERAGE(BR63,BR114,BR156,BR257,BR258)</f>
        <v/>
      </c>
      <c r="BS283">
        <f>AVERAGE(BS63,BS114,BS156,BS257,BS258)</f>
        <v/>
      </c>
      <c r="BT283">
        <f>AVERAGE(BT63,BT114,BT156,BT257,BT258)</f>
        <v/>
      </c>
      <c r="BU283">
        <f>AVERAGE(BU63,BU114,BU156,BU257,BU258)</f>
        <v/>
      </c>
      <c r="BV283">
        <f>AVERAGE(BV63,BV114,BV156,BV257,BV258)</f>
        <v/>
      </c>
      <c r="BW283">
        <f>AVERAGE(BW63,BW114,BW156,BW257,BW258)</f>
        <v/>
      </c>
      <c r="BX283">
        <f>AVERAGE(BX63,BX114,BX156,BX257,BX258)</f>
        <v/>
      </c>
      <c r="BY283">
        <f>AVERAGE(BY63,BY114,BY156,BY257,BY258)</f>
        <v/>
      </c>
      <c r="BZ283">
        <f>AVERAGE(BZ63,BZ114,BZ156,BZ257,BZ258)</f>
        <v/>
      </c>
      <c r="CA283">
        <f>AVERAGE(CA63,CA114,CA156,CA257,CA258)</f>
        <v/>
      </c>
      <c r="CB283">
        <f>AVERAGE(CB63,CB114,CB156,CB257,CB258)</f>
        <v/>
      </c>
      <c r="CC283">
        <f>AVERAGE(CC63,CC114,CC156,CC257,CC258)</f>
        <v/>
      </c>
      <c r="CD283">
        <f>AVERAGE(CD63,CD114,CD156,CD257,CD258)</f>
        <v/>
      </c>
      <c r="CE283">
        <f>AVERAGE(CE63,CE114,CE156,CE257,CE258)</f>
        <v/>
      </c>
      <c r="CF283">
        <f>AVERAGE(CF63,CF114,CF156,CF257,CF258)</f>
        <v/>
      </c>
      <c r="CG283">
        <f>AVERAGE(CG63,CG114,CG156,CG257,CG258)</f>
        <v/>
      </c>
      <c r="CH283">
        <f>AVERAGE(CH63,CH114,CH156,CH257,CH258)</f>
        <v/>
      </c>
      <c r="CI283">
        <f>AVERAGE(CI63,CI114,CI156,CI257,CI258)</f>
        <v/>
      </c>
      <c r="CJ283">
        <f>AVERAGE(CJ63,CJ114,CJ156,CJ257,CJ258)</f>
        <v/>
      </c>
      <c r="CK283">
        <f>AVERAGE(CK63,CK114,CK156,CK257,CK258)</f>
        <v/>
      </c>
      <c r="CL283">
        <f>AVERAGE(CL63,CL114,CL156,CL257,CL258)</f>
        <v/>
      </c>
      <c r="CM283">
        <f>AVERAGE(CM63,CM114,CM156,CM257,CM258)</f>
        <v/>
      </c>
      <c r="CN283">
        <f>AVERAGE(CN63,CN114,CN156,CN257,CN258)</f>
        <v/>
      </c>
      <c r="CO283">
        <f>AVERAGE(CO63,CO114,CO156,CO257,CO258)</f>
        <v/>
      </c>
      <c r="CP283">
        <f>AVERAGE(CP63,CP114,CP156,CP257,CP258)</f>
        <v/>
      </c>
      <c r="CQ283">
        <f>AVERAGE(CQ63,CQ114,CQ156,CQ257,CQ258)</f>
        <v/>
      </c>
      <c r="CR283">
        <f>AVERAGE(CR63,CR114,CR156,CR257,CR258)</f>
        <v/>
      </c>
      <c r="CS283">
        <f>AVERAGE(CS63,CS114,CS156,CS257,CS258)</f>
        <v/>
      </c>
      <c r="CT283">
        <f>AVERAGE(CT63,CT114,CT156,CT257,CT258)</f>
        <v/>
      </c>
      <c r="CU283">
        <f>AVERAGE(CU63,CU114,CU156,CU257,CU258)</f>
        <v/>
      </c>
      <c r="CV283">
        <f>AVERAGE(CV63,CV114,CV156,CV257,CV258)</f>
        <v/>
      </c>
      <c r="CW283">
        <f>AVERAGE(CW63,CW114,CW156,CW257,CW258)</f>
        <v/>
      </c>
      <c r="CX283">
        <f>AVERAGE(CX63,CX114,CX156,CX257,CX258)</f>
        <v/>
      </c>
      <c r="CY283">
        <f>AVERAGE(CY63,CY114,CY156,CY257,CY258)</f>
        <v/>
      </c>
      <c r="CZ283">
        <f>AVERAGE(CZ63,CZ114,CZ156,CZ257,CZ258)</f>
        <v/>
      </c>
      <c r="DA283">
        <f>AVERAGE(DA63,DA114,DA156,DA257,DA258)</f>
        <v/>
      </c>
      <c r="DB283">
        <f>AVERAGE(DB63,DB114,DB156,DB257,DB258)</f>
        <v/>
      </c>
      <c r="DC283">
        <f>AVERAGE(DC63,DC114,DC156,DC257,DC258)</f>
        <v/>
      </c>
      <c r="DD283">
        <f>AVERAGE(DD63,DD114,DD156,DD257,DD258)</f>
        <v/>
      </c>
      <c r="DE283">
        <f>AVERAGE(DE63,DE114,DE156,DE257,DE258)</f>
        <v/>
      </c>
      <c r="DF283">
        <f>AVERAGE(DF63,DF114,DF156,DF257,DF258)</f>
        <v/>
      </c>
      <c r="DG283">
        <f>AVERAGE(DG63,DG114,DG156,DG257,DG258)</f>
        <v/>
      </c>
      <c r="DH283">
        <f>AVERAGE(DH63,DH114,DH156,DH257,DH258)</f>
        <v/>
      </c>
      <c r="DI283">
        <f>AVERAGE(DI63,DI114,DI156,DI257,DI258)</f>
        <v/>
      </c>
      <c r="DJ283">
        <f>AVERAGE(DJ63,DJ114,DJ156,DJ257,DJ258)</f>
        <v/>
      </c>
      <c r="DK283">
        <f>AVERAGE(DK63,DK114,DK156,DK257,DK258)</f>
        <v/>
      </c>
      <c r="DL283">
        <f>AVERAGE(DL63,DL114,DL156,DL257,DL258)</f>
        <v/>
      </c>
      <c r="DM283">
        <f>AVERAGE(DM63,DM114,DM156,DM257,DM258)</f>
        <v/>
      </c>
      <c r="DN283">
        <f>AVERAGE(DN63,DN114,DN156,DN257,DN258)</f>
        <v/>
      </c>
      <c r="DO283">
        <f>AVERAGE(DO63,DO114,DO156,DO257,DO258)</f>
        <v/>
      </c>
      <c r="DP283">
        <f>AVERAGE(DP63,DP114,DP156,DP257,DP258)</f>
        <v/>
      </c>
      <c r="DQ283">
        <f>AVERAGE(DQ63,DQ114,DQ156,DQ257,DQ258)</f>
        <v/>
      </c>
      <c r="DR283">
        <f>AVERAGE(DR63,DR114,DR156,DR257,DR258)</f>
        <v/>
      </c>
      <c r="DS283">
        <f>AVERAGE(DS63,DS114,DS156,DS257,DS258)</f>
        <v/>
      </c>
      <c r="DT283">
        <f>AVERAGE(DT63,DT114,DT156,DT257,DT258)</f>
        <v/>
      </c>
      <c r="DU283">
        <f>AVERAGE(DU63,DU114,DU156,DU257,DU258)</f>
        <v/>
      </c>
      <c r="DV283">
        <f>AVERAGE(DV63,DV114,DV156,DV257,DV258)</f>
        <v/>
      </c>
      <c r="DW283">
        <f>AVERAGE(DW63,DW114,DW156,DW257,DW258)</f>
        <v/>
      </c>
      <c r="DX283">
        <f>AVERAGE(DX63,DX114,DX156,DX257,DX258)</f>
        <v/>
      </c>
      <c r="DY283">
        <f>AVERAGE(DY63,DY114,DY156,DY257,DY258)</f>
        <v/>
      </c>
      <c r="DZ283">
        <f>AVERAGE(DZ63,DZ114,DZ156,DZ257,DZ258)</f>
        <v/>
      </c>
      <c r="EA283">
        <f>AVERAGE(EA63,EA114,EA156,EA257,EA258)</f>
        <v/>
      </c>
      <c r="EB283">
        <f>AVERAGE(EB63,EB114,EB156,EB257,EB258)</f>
        <v/>
      </c>
      <c r="EC283">
        <f>AVERAGE(EC63,EC114,EC156,EC257,EC258)</f>
        <v/>
      </c>
      <c r="ED283">
        <f>AVERAGE(ED63,ED114,ED156,ED257,ED258)</f>
        <v/>
      </c>
      <c r="EE283">
        <f>AVERAGE(EE63,EE114,EE156,EE257,EE258)</f>
        <v/>
      </c>
      <c r="EF283">
        <f>AVERAGE(EF63,EF114,EF156,EF257,EF258)</f>
        <v/>
      </c>
      <c r="EG283">
        <f>AVERAGE(EG63,EG114,EG156,EG257,EG258)</f>
        <v/>
      </c>
      <c r="EH283">
        <f>AVERAGE(EH63,EH114,EH156,EH257,EH258)</f>
        <v/>
      </c>
      <c r="EI283">
        <f>AVERAGE(EI63,EI114,EI156,EI257,EI258)</f>
        <v/>
      </c>
      <c r="EJ283">
        <f>AVERAGE(EJ63,EJ114,EJ156,EJ257,EJ258)</f>
        <v/>
      </c>
      <c r="EK283">
        <f>AVERAGE(EK63,EK114,EK156,EK257,EK258)</f>
        <v/>
      </c>
    </row>
    <row r="284">
      <c r="A284">
        <f>[1]ingredient!B284</f>
        <v/>
      </c>
      <c r="B284" t="inlineStr">
        <is>
          <t>https://www.naehrwertrechner.de/naehrwerte/G561100/Tomate+rot+roh/?menge=100</t>
        </is>
      </c>
      <c r="C284" s="7">
        <f>_xlfn.XLOOKUP(A284,[1]ingredient!$B$2:$B$521,[1]ingredient!$A$2:$A$521)</f>
        <v/>
      </c>
      <c r="D284" t="n">
        <v>17</v>
      </c>
      <c r="E284" t="n">
        <v>0.21</v>
      </c>
      <c r="F284" t="n">
        <v>1</v>
      </c>
      <c r="G284" t="n">
        <v>3</v>
      </c>
      <c r="H284" t="n">
        <v>1</v>
      </c>
      <c r="I284" t="n">
        <v>3</v>
      </c>
      <c r="J284" t="n">
        <v>0.03</v>
      </c>
      <c r="K284" t="n">
        <v>94</v>
      </c>
      <c r="L284" t="n">
        <v>99</v>
      </c>
      <c r="M284" t="n">
        <v>49</v>
      </c>
      <c r="N284" t="n">
        <v>0</v>
      </c>
      <c r="O284" t="n">
        <v>593</v>
      </c>
      <c r="P284" t="n">
        <v>57</v>
      </c>
      <c r="Q284" t="n">
        <v>35</v>
      </c>
      <c r="R284" t="n">
        <v>530</v>
      </c>
      <c r="S284" t="n">
        <v>630</v>
      </c>
      <c r="T284" t="n">
        <v>310</v>
      </c>
      <c r="U284" t="n">
        <v>100</v>
      </c>
      <c r="V284" t="n">
        <v>4</v>
      </c>
      <c r="W284" t="n">
        <v>33</v>
      </c>
      <c r="X284" t="n">
        <v>0</v>
      </c>
      <c r="Y284" t="n">
        <v>19255</v>
      </c>
      <c r="Z284" t="n">
        <v>0</v>
      </c>
      <c r="AA284" t="n">
        <v>800</v>
      </c>
      <c r="AB284" t="n">
        <v>6</v>
      </c>
      <c r="AC284" t="n">
        <v>3</v>
      </c>
      <c r="AD284" t="n">
        <v>235</v>
      </c>
      <c r="AE284" t="n">
        <v>9</v>
      </c>
      <c r="AF284" t="n">
        <v>11</v>
      </c>
      <c r="AG284" t="n">
        <v>22</v>
      </c>
      <c r="AH284" t="n">
        <v>11</v>
      </c>
      <c r="AI284" t="n">
        <v>30</v>
      </c>
      <c r="AJ284" t="n">
        <v>316</v>
      </c>
      <c r="AK284" t="n">
        <v>85</v>
      </c>
      <c r="AL284" t="n">
        <v>57</v>
      </c>
      <c r="AM284" t="n">
        <v>108</v>
      </c>
      <c r="AN284" t="n">
        <v>24</v>
      </c>
      <c r="AO284" t="n">
        <v>1</v>
      </c>
      <c r="AP284" t="n">
        <v>0</v>
      </c>
      <c r="AQ284" t="n">
        <v>0</v>
      </c>
      <c r="AR284" t="n">
        <v>0</v>
      </c>
      <c r="AS284" t="n">
        <v>0</v>
      </c>
      <c r="AT284" t="n">
        <v>1081</v>
      </c>
      <c r="AU284" t="n">
        <v>1358</v>
      </c>
      <c r="AV284" t="n">
        <v>0</v>
      </c>
      <c r="AW284" t="n">
        <v>2439</v>
      </c>
      <c r="AX284" t="n">
        <v>84</v>
      </c>
      <c r="AY284" t="n">
        <v>0</v>
      </c>
      <c r="AZ284" t="n">
        <v>0</v>
      </c>
      <c r="BA284" t="n">
        <v>84</v>
      </c>
      <c r="BB284" t="n">
        <v>0</v>
      </c>
      <c r="BC284" t="n">
        <v>0</v>
      </c>
      <c r="BD284" t="n">
        <v>0</v>
      </c>
      <c r="BE284" t="n">
        <v>80</v>
      </c>
      <c r="BF284" t="n">
        <v>80</v>
      </c>
      <c r="BG284">
        <f>IF($F284=0,"0",MIN(
BH284/(30*$F284),
BI284/(61*$F284),
BJ284/(48*$F284),
(BK284+BL284)/(23*$F284),
(BM284+BN284)/(41*$F284),
BO284/(25*$F284),
BP284/(6.6*$F284),
BQ284/(40*$F284),
BS284/(16*$F284)
)*100)</f>
        <v/>
      </c>
      <c r="BH284" t="n">
        <v>23</v>
      </c>
      <c r="BI284" t="n">
        <v>30</v>
      </c>
      <c r="BJ284" t="n">
        <v>29</v>
      </c>
      <c r="BK284" t="n">
        <v>7</v>
      </c>
      <c r="BL284" t="n">
        <v>1</v>
      </c>
      <c r="BM284" t="n">
        <v>24</v>
      </c>
      <c r="BN284" t="n">
        <v>12</v>
      </c>
      <c r="BO284" t="n">
        <v>23</v>
      </c>
      <c r="BP284" t="n">
        <v>6</v>
      </c>
      <c r="BQ284" t="n">
        <v>23</v>
      </c>
      <c r="BR284" t="n">
        <v>18</v>
      </c>
      <c r="BS284" t="n">
        <v>13</v>
      </c>
      <c r="BT284" t="n">
        <v>209</v>
      </c>
      <c r="BU284" t="n">
        <v>26</v>
      </c>
      <c r="BV284" t="n">
        <v>121</v>
      </c>
      <c r="BW284" t="n">
        <v>337</v>
      </c>
      <c r="BX284" t="n">
        <v>18</v>
      </c>
      <c r="BY284" t="n">
        <v>16</v>
      </c>
      <c r="BZ284" t="n">
        <v>28</v>
      </c>
      <c r="CA284" t="n">
        <v>546</v>
      </c>
      <c r="CB284" t="n">
        <v>11</v>
      </c>
      <c r="CC284" t="n">
        <v>5</v>
      </c>
      <c r="CD284" t="n">
        <v>9</v>
      </c>
      <c r="CE284" t="n">
        <v>91</v>
      </c>
      <c r="CF284" t="n">
        <v>10.11</v>
      </c>
      <c r="CG284" t="n">
        <v>0</v>
      </c>
      <c r="CH284" t="n">
        <v>0</v>
      </c>
      <c r="CI284" t="n">
        <v>0</v>
      </c>
      <c r="CJ284" t="n">
        <v>0</v>
      </c>
      <c r="CK284" t="n">
        <v>0</v>
      </c>
      <c r="CL284" t="n">
        <v>0</v>
      </c>
      <c r="CM284" t="n">
        <v>0</v>
      </c>
      <c r="CN284" t="n">
        <v>32</v>
      </c>
      <c r="CO284" t="n">
        <v>0</v>
      </c>
      <c r="CP284" t="n">
        <v>5</v>
      </c>
      <c r="CQ284" t="n">
        <v>0</v>
      </c>
      <c r="CR284" t="n">
        <v>0</v>
      </c>
      <c r="CS284" t="n">
        <v>0</v>
      </c>
      <c r="CT284" t="n">
        <v>37</v>
      </c>
      <c r="CU284" t="n">
        <v>0</v>
      </c>
      <c r="CV284" t="n">
        <v>0</v>
      </c>
      <c r="CW284" t="n">
        <v>2</v>
      </c>
      <c r="CX284" t="n">
        <v>0</v>
      </c>
      <c r="CY284" t="n">
        <v>23</v>
      </c>
      <c r="CZ284" t="n">
        <v>0</v>
      </c>
      <c r="DA284" t="n">
        <v>0</v>
      </c>
      <c r="DB284" t="n">
        <v>0</v>
      </c>
      <c r="DC284" t="n">
        <v>25</v>
      </c>
      <c r="DD284" t="n">
        <v>0</v>
      </c>
      <c r="DE284" t="n">
        <v>0</v>
      </c>
      <c r="DF284" t="n">
        <v>91</v>
      </c>
      <c r="DG284" t="n">
        <v>9</v>
      </c>
      <c r="DH284" t="n">
        <v>0</v>
      </c>
      <c r="DI284" t="n">
        <v>0</v>
      </c>
      <c r="DJ284" t="n">
        <v>0</v>
      </c>
      <c r="DK284" t="n">
        <v>0</v>
      </c>
      <c r="DL284" t="n">
        <v>0</v>
      </c>
      <c r="DM284" t="n">
        <v>0</v>
      </c>
      <c r="DN284" t="n">
        <v>0</v>
      </c>
      <c r="DO284" t="n">
        <v>0</v>
      </c>
      <c r="DP284" t="n">
        <v>0</v>
      </c>
      <c r="DQ284" t="n">
        <v>0</v>
      </c>
      <c r="DR284" t="n">
        <v>0</v>
      </c>
      <c r="DS284" t="n">
        <v>100</v>
      </c>
      <c r="DT284" t="n">
        <v>162</v>
      </c>
      <c r="DU284" t="n">
        <v>42</v>
      </c>
      <c r="DV284" t="n">
        <v>0</v>
      </c>
      <c r="DW284" t="n">
        <v>0</v>
      </c>
      <c r="DX284" t="n">
        <v>0</v>
      </c>
      <c r="DY284" t="n">
        <v>130</v>
      </c>
      <c r="DZ284" t="n">
        <v>156</v>
      </c>
      <c r="EA284" t="n">
        <v>325</v>
      </c>
      <c r="EB284" t="n">
        <v>360</v>
      </c>
      <c r="EC284" t="n">
        <v>234</v>
      </c>
      <c r="ED284" t="n">
        <v>220</v>
      </c>
      <c r="EE284" t="n">
        <v>730</v>
      </c>
      <c r="EF284" t="n">
        <v>0</v>
      </c>
      <c r="EG284" t="n">
        <v>0.39</v>
      </c>
      <c r="EH284" t="n">
        <v>0.6</v>
      </c>
      <c r="EI284" t="n">
        <v>0.7</v>
      </c>
      <c r="EJ284" t="n">
        <v>0.2</v>
      </c>
      <c r="EK284" t="n">
        <v>0.8</v>
      </c>
    </row>
    <row r="285">
      <c r="A285">
        <f>[1]ingredient!B285</f>
        <v/>
      </c>
      <c r="B285" t="inlineStr">
        <is>
          <t>https://www.naehrwertrechner.de/naehrwerte/G530111/Okra+frisch/?menge=100</t>
        </is>
      </c>
      <c r="C285" s="7">
        <f>_xlfn.XLOOKUP(A285,[1]ingredient!$B$2:$B$521,[1]ingredient!$A$2:$A$521)</f>
        <v/>
      </c>
      <c r="D285" t="n">
        <v>20</v>
      </c>
      <c r="E285" t="n">
        <v>0.2</v>
      </c>
      <c r="F285" t="n">
        <v>2</v>
      </c>
      <c r="G285" t="n">
        <v>2</v>
      </c>
      <c r="H285" t="n">
        <v>5</v>
      </c>
      <c r="I285" t="n">
        <v>2</v>
      </c>
      <c r="J285" t="n">
        <v>0.04</v>
      </c>
      <c r="K285" t="n">
        <v>89</v>
      </c>
      <c r="L285" t="n">
        <v>70</v>
      </c>
      <c r="M285" t="n">
        <v>35</v>
      </c>
      <c r="N285" t="n">
        <v>0</v>
      </c>
      <c r="O285" t="n">
        <v>422</v>
      </c>
      <c r="P285" t="n">
        <v>70</v>
      </c>
      <c r="Q285" t="n">
        <v>80</v>
      </c>
      <c r="R285" t="n">
        <v>800</v>
      </c>
      <c r="S285" t="n">
        <v>1083</v>
      </c>
      <c r="T285" t="n">
        <v>250</v>
      </c>
      <c r="U285" t="n">
        <v>80</v>
      </c>
      <c r="V285" t="n">
        <v>1</v>
      </c>
      <c r="W285" t="n">
        <v>88</v>
      </c>
      <c r="X285" t="n">
        <v>0</v>
      </c>
      <c r="Y285" t="n">
        <v>36000</v>
      </c>
      <c r="Z285" t="n">
        <v>0</v>
      </c>
      <c r="AA285" t="n">
        <v>130</v>
      </c>
      <c r="AB285" t="n">
        <v>5</v>
      </c>
      <c r="AC285" t="n">
        <v>3</v>
      </c>
      <c r="AD285" t="n">
        <v>285</v>
      </c>
      <c r="AE285" t="n">
        <v>84</v>
      </c>
      <c r="AF285" t="n">
        <v>60</v>
      </c>
      <c r="AG285" t="n">
        <v>75</v>
      </c>
      <c r="AH285" t="n">
        <v>30</v>
      </c>
      <c r="AI285" t="n">
        <v>41</v>
      </c>
      <c r="AJ285" t="n">
        <v>1200</v>
      </c>
      <c r="AK285" t="n">
        <v>600</v>
      </c>
      <c r="AL285" t="n">
        <v>130</v>
      </c>
      <c r="AM285" t="n">
        <v>990</v>
      </c>
      <c r="AN285" t="n">
        <v>20</v>
      </c>
      <c r="AO285" t="n">
        <v>6</v>
      </c>
      <c r="AP285" t="n">
        <v>0</v>
      </c>
      <c r="AQ285" t="n">
        <v>0</v>
      </c>
      <c r="AR285" t="n">
        <v>0</v>
      </c>
      <c r="AS285" t="n">
        <v>0</v>
      </c>
      <c r="AT285" t="n">
        <v>770</v>
      </c>
      <c r="AU285" t="n">
        <v>880</v>
      </c>
      <c r="AV285" t="n">
        <v>0</v>
      </c>
      <c r="AW285" t="n">
        <v>1650</v>
      </c>
      <c r="AX285" t="n">
        <v>550</v>
      </c>
      <c r="AY285" t="n">
        <v>0</v>
      </c>
      <c r="AZ285" t="n">
        <v>0</v>
      </c>
      <c r="BA285" t="n">
        <v>550</v>
      </c>
      <c r="BB285" t="n">
        <v>0</v>
      </c>
      <c r="BC285" t="n">
        <v>0</v>
      </c>
      <c r="BD285" t="n">
        <v>0</v>
      </c>
      <c r="BE285" t="n">
        <v>0</v>
      </c>
      <c r="BF285" t="n">
        <v>0</v>
      </c>
      <c r="BG285">
        <f>IF($F285=0,"0",MIN(
BH285/(30*$F285),
BI285/(61*$F285),
BJ285/(48*$F285),
(BK285+BL285)/(23*$F285),
(BM285+BN285)/(41*$F285),
BO285/(25*$F285),
BP285/(6.6*$F285),
BQ285/(40*$F285),
BS285/(16*$F285)
)*100)</f>
        <v/>
      </c>
      <c r="BH285" t="n">
        <v>71</v>
      </c>
      <c r="BI285" t="n">
        <v>109</v>
      </c>
      <c r="BJ285" t="n">
        <v>84</v>
      </c>
      <c r="BK285" t="n">
        <v>21</v>
      </c>
      <c r="BL285" t="n">
        <v>19</v>
      </c>
      <c r="BM285" t="n">
        <v>67</v>
      </c>
      <c r="BN285" t="n">
        <v>90</v>
      </c>
      <c r="BO285" t="n">
        <v>67</v>
      </c>
      <c r="BP285" t="n">
        <v>17</v>
      </c>
      <c r="BQ285" t="n">
        <v>95</v>
      </c>
      <c r="BR285" t="n">
        <v>86</v>
      </c>
      <c r="BS285" t="n">
        <v>32</v>
      </c>
      <c r="BT285" t="n">
        <v>758</v>
      </c>
      <c r="BU285" t="n">
        <v>76</v>
      </c>
      <c r="BV285" t="n">
        <v>151</v>
      </c>
      <c r="BW285" t="n">
        <v>288</v>
      </c>
      <c r="BX285" t="n">
        <v>44</v>
      </c>
      <c r="BY285" t="n">
        <v>46</v>
      </c>
      <c r="BZ285" t="n">
        <v>44</v>
      </c>
      <c r="CA285" t="n">
        <v>649</v>
      </c>
      <c r="CB285" t="n">
        <v>8</v>
      </c>
      <c r="CC285" t="n">
        <v>3</v>
      </c>
      <c r="CD285" t="n">
        <v>2</v>
      </c>
      <c r="CE285" t="n">
        <v>59</v>
      </c>
      <c r="CF285" t="n">
        <v>29.5</v>
      </c>
      <c r="CG285" t="n">
        <v>0</v>
      </c>
      <c r="CH285" t="n">
        <v>0</v>
      </c>
      <c r="CI285" t="n">
        <v>0</v>
      </c>
      <c r="CJ285" t="n">
        <v>0</v>
      </c>
      <c r="CK285" t="n">
        <v>0</v>
      </c>
      <c r="CL285" t="n">
        <v>0</v>
      </c>
      <c r="CM285" t="n">
        <v>0</v>
      </c>
      <c r="CN285" t="n">
        <v>53</v>
      </c>
      <c r="CO285" t="n">
        <v>0</v>
      </c>
      <c r="CP285" t="n">
        <v>7</v>
      </c>
      <c r="CQ285" t="n">
        <v>0</v>
      </c>
      <c r="CR285" t="n">
        <v>0</v>
      </c>
      <c r="CS285" t="n">
        <v>0</v>
      </c>
      <c r="CT285" t="n">
        <v>60</v>
      </c>
      <c r="CU285" t="n">
        <v>0</v>
      </c>
      <c r="CV285" t="n">
        <v>0</v>
      </c>
      <c r="CW285" t="n">
        <v>0</v>
      </c>
      <c r="CX285" t="n">
        <v>0</v>
      </c>
      <c r="CY285" t="n">
        <v>39</v>
      </c>
      <c r="CZ285" t="n">
        <v>0</v>
      </c>
      <c r="DA285" t="n">
        <v>0</v>
      </c>
      <c r="DB285" t="n">
        <v>0</v>
      </c>
      <c r="DC285" t="n">
        <v>39</v>
      </c>
      <c r="DD285" t="n">
        <v>0</v>
      </c>
      <c r="DE285" t="n">
        <v>0</v>
      </c>
      <c r="DF285" t="n">
        <v>59</v>
      </c>
      <c r="DG285" t="n">
        <v>2</v>
      </c>
      <c r="DH285" t="n">
        <v>0</v>
      </c>
      <c r="DI285" t="n">
        <v>0</v>
      </c>
      <c r="DJ285" t="n">
        <v>0</v>
      </c>
      <c r="DK285" t="n">
        <v>0</v>
      </c>
      <c r="DL285" t="n">
        <v>0</v>
      </c>
      <c r="DM285" t="n">
        <v>0</v>
      </c>
      <c r="DN285" t="n">
        <v>0</v>
      </c>
      <c r="DO285" t="n">
        <v>0</v>
      </c>
      <c r="DP285" t="n">
        <v>0</v>
      </c>
      <c r="DQ285" t="n">
        <v>0</v>
      </c>
      <c r="DR285" t="n">
        <v>0</v>
      </c>
      <c r="DS285" t="n">
        <v>61</v>
      </c>
      <c r="DT285" t="n">
        <v>160</v>
      </c>
      <c r="DU285" t="n">
        <v>40</v>
      </c>
      <c r="DV285" t="n">
        <v>0</v>
      </c>
      <c r="DW285" t="n">
        <v>0</v>
      </c>
      <c r="DX285" t="n">
        <v>0</v>
      </c>
      <c r="DY285" t="n">
        <v>735</v>
      </c>
      <c r="DZ285" t="n">
        <v>980</v>
      </c>
      <c r="EA285" t="n">
        <v>1323</v>
      </c>
      <c r="EB285" t="n">
        <v>1715</v>
      </c>
      <c r="EC285" t="n">
        <v>147</v>
      </c>
      <c r="ED285" t="n">
        <v>1470</v>
      </c>
      <c r="EE285" t="n">
        <v>3430</v>
      </c>
      <c r="EF285" t="n">
        <v>0</v>
      </c>
      <c r="EG285" t="n">
        <v>0.25</v>
      </c>
      <c r="EH285" t="n">
        <v>0.9</v>
      </c>
      <c r="EI285" t="n">
        <v>3.4</v>
      </c>
      <c r="EJ285" t="n">
        <v>0.2</v>
      </c>
      <c r="EK285" t="n">
        <v>1.4</v>
      </c>
    </row>
    <row r="286">
      <c r="A286">
        <f>[1]ingredient!B286</f>
        <v/>
      </c>
      <c r="B286" t="inlineStr">
        <is>
          <t>https://www.naehrwertrechner.de/naehrwerte/H510000/Oliven/?menge=100</t>
        </is>
      </c>
      <c r="C286" s="7">
        <f>_xlfn.XLOOKUP(A286,[1]ingredient!$B$2:$B$521,[1]ingredient!$A$2:$A$521)</f>
        <v/>
      </c>
      <c r="D286" t="n">
        <v>143</v>
      </c>
      <c r="E286" t="n">
        <v>14</v>
      </c>
      <c r="F286" t="n">
        <v>1</v>
      </c>
      <c r="G286" t="n">
        <v>2</v>
      </c>
      <c r="H286" t="n">
        <v>2</v>
      </c>
      <c r="I286" t="n">
        <v>0.04</v>
      </c>
      <c r="J286" t="n">
        <v>5</v>
      </c>
      <c r="K286" t="n">
        <v>72</v>
      </c>
      <c r="L286" t="n">
        <v>48</v>
      </c>
      <c r="M286" t="n">
        <v>24</v>
      </c>
      <c r="N286" t="n">
        <v>0</v>
      </c>
      <c r="O286" t="n">
        <v>289</v>
      </c>
      <c r="P286" t="n">
        <v>30</v>
      </c>
      <c r="Q286" t="n">
        <v>80</v>
      </c>
      <c r="R286" t="n">
        <v>500</v>
      </c>
      <c r="S286" t="n">
        <v>850</v>
      </c>
      <c r="T286" t="n">
        <v>560</v>
      </c>
      <c r="U286" t="n">
        <v>23</v>
      </c>
      <c r="V286" t="n">
        <v>2</v>
      </c>
      <c r="W286" t="n">
        <v>50</v>
      </c>
      <c r="X286" t="n">
        <v>0</v>
      </c>
      <c r="Y286" t="n">
        <v>0</v>
      </c>
      <c r="Z286" t="n">
        <v>0</v>
      </c>
      <c r="AA286" t="n">
        <v>1990</v>
      </c>
      <c r="AB286" t="n">
        <v>0</v>
      </c>
      <c r="AC286" t="n">
        <v>2100</v>
      </c>
      <c r="AD286" t="n">
        <v>45</v>
      </c>
      <c r="AE286" t="n">
        <v>95</v>
      </c>
      <c r="AF286" t="n">
        <v>19</v>
      </c>
      <c r="AG286" t="n">
        <v>17</v>
      </c>
      <c r="AH286" t="n">
        <v>36</v>
      </c>
      <c r="AI286" t="n">
        <v>3241</v>
      </c>
      <c r="AJ286" t="n">
        <v>1600</v>
      </c>
      <c r="AK286" t="n">
        <v>150</v>
      </c>
      <c r="AL286" t="n">
        <v>250</v>
      </c>
      <c r="AM286" t="n">
        <v>58</v>
      </c>
      <c r="AN286" t="n">
        <v>30</v>
      </c>
      <c r="AO286" t="n">
        <v>5</v>
      </c>
      <c r="AP286" t="n">
        <v>0</v>
      </c>
      <c r="AQ286" t="n">
        <v>0</v>
      </c>
      <c r="AR286" t="n">
        <v>0</v>
      </c>
      <c r="AS286" t="n">
        <v>0</v>
      </c>
      <c r="AT286" t="n">
        <v>0</v>
      </c>
      <c r="AU286" t="n">
        <v>0</v>
      </c>
      <c r="AV286" t="n">
        <v>0</v>
      </c>
      <c r="AW286" t="n">
        <v>0</v>
      </c>
      <c r="AX286" t="n">
        <v>35</v>
      </c>
      <c r="AY286" t="n">
        <v>0</v>
      </c>
      <c r="AZ286" t="n">
        <v>0</v>
      </c>
      <c r="BA286" t="n">
        <v>35</v>
      </c>
      <c r="BB286" t="n">
        <v>0</v>
      </c>
      <c r="BC286" t="n">
        <v>0</v>
      </c>
      <c r="BD286" t="n">
        <v>0</v>
      </c>
      <c r="BE286" t="n">
        <v>1725</v>
      </c>
      <c r="BF286" t="n">
        <v>1725</v>
      </c>
      <c r="BG286">
        <f>IF($F286=0,"0",MIN(
BH286/(30*$F286),
BI286/(61*$F286),
BJ286/(48*$F286),
(BK286+BL286)/(23*$F286),
(BM286+BN286)/(41*$F286),
BO286/(25*$F286),
BP286/(6.6*$F286),
BQ286/(40*$F286),
BS286/(16*$F286)
)*100)</f>
        <v/>
      </c>
      <c r="BH286" t="n">
        <v>63</v>
      </c>
      <c r="BI286" t="n">
        <v>92</v>
      </c>
      <c r="BJ286" t="n">
        <v>51</v>
      </c>
      <c r="BK286" t="n">
        <v>29</v>
      </c>
      <c r="BL286" t="n">
        <v>26</v>
      </c>
      <c r="BM286" t="n">
        <v>62</v>
      </c>
      <c r="BN286" t="n">
        <v>46</v>
      </c>
      <c r="BO286" t="n">
        <v>50</v>
      </c>
      <c r="BP286" t="n">
        <v>21</v>
      </c>
      <c r="BQ286" t="n">
        <v>75</v>
      </c>
      <c r="BR286" t="n">
        <v>137</v>
      </c>
      <c r="BS286" t="n">
        <v>39</v>
      </c>
      <c r="BT286" t="n">
        <v>691</v>
      </c>
      <c r="BU286" t="n">
        <v>65</v>
      </c>
      <c r="BV286" t="n">
        <v>134</v>
      </c>
      <c r="BW286" t="n">
        <v>290</v>
      </c>
      <c r="BX286" t="n">
        <v>72</v>
      </c>
      <c r="BY286" t="n">
        <v>58</v>
      </c>
      <c r="BZ286" t="n">
        <v>63</v>
      </c>
      <c r="CA286" t="n">
        <v>682</v>
      </c>
      <c r="CB286" t="n">
        <v>25</v>
      </c>
      <c r="CC286" t="n">
        <v>10</v>
      </c>
      <c r="CD286" t="n">
        <v>106</v>
      </c>
      <c r="CE286" t="n">
        <v>1196</v>
      </c>
      <c r="CF286" t="n">
        <v>11.28</v>
      </c>
      <c r="CG286" t="n">
        <v>0</v>
      </c>
      <c r="CH286" t="n">
        <v>0</v>
      </c>
      <c r="CI286" t="n">
        <v>0</v>
      </c>
      <c r="CJ286" t="n">
        <v>0</v>
      </c>
      <c r="CK286" t="n">
        <v>0</v>
      </c>
      <c r="CL286" t="n">
        <v>27</v>
      </c>
      <c r="CM286" t="n">
        <v>0</v>
      </c>
      <c r="CN286" t="n">
        <v>1595</v>
      </c>
      <c r="CO286" t="n">
        <v>13</v>
      </c>
      <c r="CP286" t="n">
        <v>332</v>
      </c>
      <c r="CQ286" t="n">
        <v>53</v>
      </c>
      <c r="CR286" t="n">
        <v>13</v>
      </c>
      <c r="CS286" t="n">
        <v>13</v>
      </c>
      <c r="CT286" t="n">
        <v>2046</v>
      </c>
      <c r="CU286" t="n">
        <v>0</v>
      </c>
      <c r="CV286" t="n">
        <v>0</v>
      </c>
      <c r="CW286" t="n">
        <v>133</v>
      </c>
      <c r="CX286" t="n">
        <v>0</v>
      </c>
      <c r="CY286" t="n">
        <v>9767</v>
      </c>
      <c r="CZ286" t="n">
        <v>40</v>
      </c>
      <c r="DA286" t="n">
        <v>0</v>
      </c>
      <c r="DB286" t="n">
        <v>0</v>
      </c>
      <c r="DC286" t="n">
        <v>9940</v>
      </c>
      <c r="DD286" t="n">
        <v>0</v>
      </c>
      <c r="DE286" t="n">
        <v>0</v>
      </c>
      <c r="DF286" t="n">
        <v>1196</v>
      </c>
      <c r="DG286" t="n">
        <v>106</v>
      </c>
      <c r="DH286" t="n">
        <v>0</v>
      </c>
      <c r="DI286" t="n">
        <v>0</v>
      </c>
      <c r="DJ286" t="n">
        <v>0</v>
      </c>
      <c r="DK286" t="n">
        <v>0</v>
      </c>
      <c r="DL286" t="n">
        <v>0</v>
      </c>
      <c r="DM286" t="n">
        <v>0</v>
      </c>
      <c r="DN286" t="n">
        <v>0</v>
      </c>
      <c r="DO286" t="n">
        <v>0</v>
      </c>
      <c r="DP286" t="n">
        <v>0</v>
      </c>
      <c r="DQ286" t="n">
        <v>0</v>
      </c>
      <c r="DR286" t="n">
        <v>0</v>
      </c>
      <c r="DS286" t="n">
        <v>1302</v>
      </c>
      <c r="DT286" t="n">
        <v>13288</v>
      </c>
      <c r="DU286" t="n">
        <v>612</v>
      </c>
      <c r="DV286" t="n">
        <v>0</v>
      </c>
      <c r="DW286" t="n">
        <v>0</v>
      </c>
      <c r="DX286" t="n">
        <v>0</v>
      </c>
      <c r="DY286" t="n">
        <v>1062</v>
      </c>
      <c r="DZ286" t="n">
        <v>708</v>
      </c>
      <c r="EA286" t="n">
        <v>118</v>
      </c>
      <c r="EB286" t="n">
        <v>354</v>
      </c>
      <c r="EC286" t="n">
        <v>118</v>
      </c>
      <c r="ED286" t="n">
        <v>472</v>
      </c>
      <c r="EE286" t="n">
        <v>1888</v>
      </c>
      <c r="EF286" t="n">
        <v>0</v>
      </c>
      <c r="EG286" t="n">
        <v>3</v>
      </c>
      <c r="EH286" t="n">
        <v>6.4</v>
      </c>
      <c r="EI286" t="n">
        <v>1.9</v>
      </c>
      <c r="EJ286" t="n">
        <v>13.9</v>
      </c>
      <c r="EK286" t="n">
        <v>1.5</v>
      </c>
    </row>
    <row r="287">
      <c r="A287">
        <f>[1]ingredient!B287</f>
        <v/>
      </c>
      <c r="B287" t="inlineStr">
        <is>
          <t>https://www.naehrwertrechner.de/naehrwerte/Q120000/Oliven%C3%B6l/?menge=100</t>
        </is>
      </c>
      <c r="C287" s="7">
        <f>_xlfn.XLOOKUP(A287,[1]ingredient!$B$2:$B$521,[1]ingredient!$A$2:$A$521)</f>
        <v/>
      </c>
      <c r="D287" t="n">
        <v>881</v>
      </c>
      <c r="E287" t="n">
        <v>100</v>
      </c>
      <c r="F287" t="n">
        <v>0</v>
      </c>
      <c r="G287" t="n">
        <v>0.2</v>
      </c>
      <c r="H287" t="n">
        <v>0</v>
      </c>
      <c r="I287" t="n">
        <v>0</v>
      </c>
      <c r="J287" t="n">
        <v>0.1</v>
      </c>
      <c r="K287" t="n">
        <v>0.05</v>
      </c>
      <c r="L287" t="n">
        <v>157</v>
      </c>
      <c r="M287" t="n">
        <v>138</v>
      </c>
      <c r="N287" t="n">
        <v>120</v>
      </c>
      <c r="O287" t="n">
        <v>220</v>
      </c>
      <c r="P287" t="n">
        <v>0</v>
      </c>
      <c r="Q287" t="n">
        <v>0</v>
      </c>
      <c r="R287" t="n">
        <v>0</v>
      </c>
      <c r="S287" t="n">
        <v>0</v>
      </c>
      <c r="T287" t="n">
        <v>0</v>
      </c>
      <c r="U287" t="n">
        <v>0</v>
      </c>
      <c r="V287" t="n">
        <v>0</v>
      </c>
      <c r="W287" t="n">
        <v>0</v>
      </c>
      <c r="X287" t="n">
        <v>0</v>
      </c>
      <c r="Y287" t="n">
        <v>0</v>
      </c>
      <c r="Z287" t="n">
        <v>0</v>
      </c>
      <c r="AA287" t="n">
        <v>12077</v>
      </c>
      <c r="AB287" t="n">
        <v>50</v>
      </c>
      <c r="AC287" t="n">
        <v>1</v>
      </c>
      <c r="AD287" t="n">
        <v>0</v>
      </c>
      <c r="AE287" t="n">
        <v>1</v>
      </c>
      <c r="AF287" t="n">
        <v>0</v>
      </c>
      <c r="AG287" t="n">
        <v>1</v>
      </c>
      <c r="AH287" t="n">
        <v>0</v>
      </c>
      <c r="AI287" t="n">
        <v>100</v>
      </c>
      <c r="AJ287" t="n">
        <v>100</v>
      </c>
      <c r="AK287" t="n">
        <v>60</v>
      </c>
      <c r="AL287" t="n">
        <v>70</v>
      </c>
      <c r="AM287" t="n">
        <v>0</v>
      </c>
      <c r="AN287" t="n">
        <v>0</v>
      </c>
      <c r="AO287" t="n">
        <v>5</v>
      </c>
      <c r="AP287" t="n">
        <v>0</v>
      </c>
      <c r="AQ287" t="n">
        <v>0</v>
      </c>
      <c r="AR287" t="n">
        <v>0</v>
      </c>
      <c r="AS287" t="n">
        <v>0</v>
      </c>
      <c r="AT287" t="n">
        <v>0</v>
      </c>
      <c r="AU287" t="n">
        <v>0</v>
      </c>
      <c r="AV287" t="n">
        <v>0</v>
      </c>
      <c r="AW287" t="n">
        <v>0</v>
      </c>
      <c r="AX287" t="n">
        <v>4</v>
      </c>
      <c r="AY287" t="n">
        <v>0</v>
      </c>
      <c r="AZ287" t="n">
        <v>0</v>
      </c>
      <c r="BA287" t="n">
        <v>4</v>
      </c>
      <c r="BB287" t="n">
        <v>0</v>
      </c>
      <c r="BC287" t="n">
        <v>0</v>
      </c>
      <c r="BD287" t="n">
        <v>0</v>
      </c>
      <c r="BE287" t="n">
        <v>196</v>
      </c>
      <c r="BF287" t="n">
        <v>196</v>
      </c>
      <c r="BG287">
        <f>IF($F287=0,"0",MIN(
BH287/(30*$F287),
BI287/(61*$F287),
BJ287/(48*$F287),
(BK287+BL287)/(23*$F287),
(BM287+BN287)/(41*$F287),
BO287/(25*$F287),
BP287/(6.6*$F287),
BQ287/(40*$F287),
BS287/(16*$F287)
)*100)</f>
        <v/>
      </c>
      <c r="BH287" t="n">
        <v>0</v>
      </c>
      <c r="BI287" t="n">
        <v>0</v>
      </c>
      <c r="BJ287" t="n">
        <v>0</v>
      </c>
      <c r="BK287" t="n">
        <v>0</v>
      </c>
      <c r="BL287" t="n">
        <v>0</v>
      </c>
      <c r="BM287" t="n">
        <v>0</v>
      </c>
      <c r="BN287" t="n">
        <v>0</v>
      </c>
      <c r="BO287" t="n">
        <v>0</v>
      </c>
      <c r="BP287" t="n">
        <v>0</v>
      </c>
      <c r="BQ287" t="n">
        <v>0</v>
      </c>
      <c r="BR287" t="n">
        <v>0</v>
      </c>
      <c r="BS287" t="n">
        <v>0</v>
      </c>
      <c r="BT287" t="n">
        <v>0</v>
      </c>
      <c r="BU287" t="n">
        <v>0</v>
      </c>
      <c r="BV287" t="n">
        <v>0</v>
      </c>
      <c r="BW287" t="n">
        <v>0</v>
      </c>
      <c r="BX287" t="n">
        <v>0</v>
      </c>
      <c r="BY287" t="n">
        <v>0</v>
      </c>
      <c r="BZ287" t="n">
        <v>0</v>
      </c>
      <c r="CA287" t="n">
        <v>0</v>
      </c>
      <c r="CB287" t="n">
        <v>0</v>
      </c>
      <c r="CC287" t="n">
        <v>0</v>
      </c>
      <c r="CD287" t="n">
        <v>762</v>
      </c>
      <c r="CE287" t="n">
        <v>8570</v>
      </c>
      <c r="CF287" t="n">
        <v>11.25</v>
      </c>
      <c r="CG287" t="n">
        <v>0</v>
      </c>
      <c r="CH287" t="n">
        <v>0</v>
      </c>
      <c r="CI287" t="n">
        <v>0</v>
      </c>
      <c r="CJ287" t="n">
        <v>0</v>
      </c>
      <c r="CK287" t="n">
        <v>0</v>
      </c>
      <c r="CL287" t="n">
        <v>190</v>
      </c>
      <c r="CM287" t="n">
        <v>0</v>
      </c>
      <c r="CN287" t="n">
        <v>11426</v>
      </c>
      <c r="CO287" t="n">
        <v>95</v>
      </c>
      <c r="CP287" t="n">
        <v>2380</v>
      </c>
      <c r="CQ287" t="n">
        <v>381</v>
      </c>
      <c r="CR287" t="n">
        <v>95</v>
      </c>
      <c r="CS287" t="n">
        <v>95</v>
      </c>
      <c r="CT287" t="n">
        <v>14662</v>
      </c>
      <c r="CU287" t="n">
        <v>0</v>
      </c>
      <c r="CV287" t="n">
        <v>0</v>
      </c>
      <c r="CW287" t="n">
        <v>952</v>
      </c>
      <c r="CX287" t="n">
        <v>0</v>
      </c>
      <c r="CY287" t="n">
        <v>69986</v>
      </c>
      <c r="CZ287" t="n">
        <v>286</v>
      </c>
      <c r="DA287" t="n">
        <v>0</v>
      </c>
      <c r="DB287" t="n">
        <v>0</v>
      </c>
      <c r="DC287" t="n">
        <v>71224</v>
      </c>
      <c r="DD287" t="n">
        <v>0</v>
      </c>
      <c r="DE287" t="n">
        <v>0</v>
      </c>
      <c r="DF287" t="n">
        <v>8570</v>
      </c>
      <c r="DG287" t="n">
        <v>762</v>
      </c>
      <c r="DH287" t="n">
        <v>0</v>
      </c>
      <c r="DI287" t="n">
        <v>0</v>
      </c>
      <c r="DJ287" t="n">
        <v>0</v>
      </c>
      <c r="DK287" t="n">
        <v>0</v>
      </c>
      <c r="DL287" t="n">
        <v>0</v>
      </c>
      <c r="DM287" t="n">
        <v>0</v>
      </c>
      <c r="DN287" t="n">
        <v>0</v>
      </c>
      <c r="DO287" t="n">
        <v>0</v>
      </c>
      <c r="DP287" t="n">
        <v>0</v>
      </c>
      <c r="DQ287" t="n">
        <v>0</v>
      </c>
      <c r="DR287" t="n">
        <v>0</v>
      </c>
      <c r="DS287" t="n">
        <v>9332</v>
      </c>
      <c r="DT287" t="n">
        <v>95218</v>
      </c>
      <c r="DU287" t="n">
        <v>4382</v>
      </c>
      <c r="DV287" t="n">
        <v>1</v>
      </c>
      <c r="DW287" t="n">
        <v>0</v>
      </c>
      <c r="DX287" t="n">
        <v>0</v>
      </c>
      <c r="DY287" t="n">
        <v>0</v>
      </c>
      <c r="DZ287" t="n">
        <v>0</v>
      </c>
      <c r="EA287" t="n">
        <v>0</v>
      </c>
      <c r="EB287" t="n">
        <v>0</v>
      </c>
      <c r="EC287" t="n">
        <v>0</v>
      </c>
      <c r="ED287" t="n">
        <v>0</v>
      </c>
      <c r="EE287" t="n">
        <v>0</v>
      </c>
      <c r="EF287" t="n">
        <v>0</v>
      </c>
      <c r="EG287" t="n">
        <v>0</v>
      </c>
      <c r="EH287" t="n">
        <v>0.2</v>
      </c>
      <c r="EI287" t="n">
        <v>0</v>
      </c>
      <c r="EJ287" t="n">
        <v>99.59999999999999</v>
      </c>
      <c r="EK287" t="n">
        <v>0</v>
      </c>
    </row>
    <row r="288">
      <c r="A288">
        <f>[1]ingredient!B288</f>
        <v/>
      </c>
      <c r="B288" t="inlineStr">
        <is>
          <t>https://www.naehrwertrechner.de/naehrwerte/F603111/Orange+frisch/?menge=100</t>
        </is>
      </c>
      <c r="C288" s="7">
        <f>_xlfn.XLOOKUP(A288,[1]ingredient!$B$2:$B$521,[1]ingredient!$A$2:$A$521)</f>
        <v/>
      </c>
      <c r="D288" t="n">
        <v>47</v>
      </c>
      <c r="E288" t="n">
        <v>0.2</v>
      </c>
      <c r="F288" t="n">
        <v>1</v>
      </c>
      <c r="G288" t="n">
        <v>9</v>
      </c>
      <c r="H288" t="n">
        <v>2</v>
      </c>
      <c r="I288" t="n">
        <v>9</v>
      </c>
      <c r="J288" t="n">
        <v>0.01</v>
      </c>
      <c r="K288" t="n">
        <v>86</v>
      </c>
      <c r="L288" t="n">
        <v>15</v>
      </c>
      <c r="M288" t="n">
        <v>8</v>
      </c>
      <c r="N288" t="n">
        <v>0</v>
      </c>
      <c r="O288" t="n">
        <v>90</v>
      </c>
      <c r="P288" t="n">
        <v>79</v>
      </c>
      <c r="Q288" t="n">
        <v>42</v>
      </c>
      <c r="R288" t="n">
        <v>300</v>
      </c>
      <c r="S288" t="n">
        <v>467</v>
      </c>
      <c r="T288" t="n">
        <v>240</v>
      </c>
      <c r="U288" t="n">
        <v>50</v>
      </c>
      <c r="V288" t="n">
        <v>2</v>
      </c>
      <c r="W288" t="n">
        <v>24</v>
      </c>
      <c r="X288" t="n">
        <v>0</v>
      </c>
      <c r="Y288" t="n">
        <v>50000</v>
      </c>
      <c r="Z288" t="n">
        <v>0</v>
      </c>
      <c r="AA288" t="n">
        <v>240</v>
      </c>
      <c r="AB288" t="n">
        <v>3</v>
      </c>
      <c r="AC288" t="n">
        <v>1</v>
      </c>
      <c r="AD288" t="n">
        <v>177</v>
      </c>
      <c r="AE288" t="n">
        <v>42</v>
      </c>
      <c r="AF288" t="n">
        <v>14</v>
      </c>
      <c r="AG288" t="n">
        <v>23</v>
      </c>
      <c r="AH288" t="n">
        <v>9</v>
      </c>
      <c r="AI288" t="n">
        <v>4</v>
      </c>
      <c r="AJ288" t="n">
        <v>400</v>
      </c>
      <c r="AK288" t="n">
        <v>100</v>
      </c>
      <c r="AL288" t="n">
        <v>67</v>
      </c>
      <c r="AM288" t="n">
        <v>29</v>
      </c>
      <c r="AN288" t="n">
        <v>5</v>
      </c>
      <c r="AO288" t="n">
        <v>2</v>
      </c>
      <c r="AP288" t="n">
        <v>0</v>
      </c>
      <c r="AQ288" t="n">
        <v>0</v>
      </c>
      <c r="AR288" t="n">
        <v>0</v>
      </c>
      <c r="AS288" t="n">
        <v>0</v>
      </c>
      <c r="AT288" t="n">
        <v>2527</v>
      </c>
      <c r="AU288" t="n">
        <v>2868</v>
      </c>
      <c r="AV288" t="n">
        <v>0</v>
      </c>
      <c r="AW288" t="n">
        <v>5395</v>
      </c>
      <c r="AX288" t="n">
        <v>3795</v>
      </c>
      <c r="AY288" t="n">
        <v>0</v>
      </c>
      <c r="AZ288" t="n">
        <v>0</v>
      </c>
      <c r="BA288" t="n">
        <v>3795</v>
      </c>
      <c r="BB288" t="n">
        <v>0</v>
      </c>
      <c r="BC288" t="n">
        <v>0</v>
      </c>
      <c r="BD288" t="n">
        <v>0</v>
      </c>
      <c r="BE288" t="n">
        <v>0</v>
      </c>
      <c r="BF288" t="n">
        <v>0</v>
      </c>
      <c r="BG288">
        <f>IF($F288=0,"0",MIN(
BH288/(30*$F288),
BI288/(61*$F288),
BJ288/(48*$F288),
(BK288+BL288)/(23*$F288),
(BM288+BN288)/(41*$F288),
BO288/(25*$F288),
BP288/(6.6*$F288),
BQ288/(40*$F288),
BS288/(16*$F288)
)*100)</f>
        <v/>
      </c>
      <c r="BH288" t="n">
        <v>27</v>
      </c>
      <c r="BI288" t="n">
        <v>24</v>
      </c>
      <c r="BJ288" t="n">
        <v>50</v>
      </c>
      <c r="BK288" t="n">
        <v>21</v>
      </c>
      <c r="BL288" t="n">
        <v>11</v>
      </c>
      <c r="BM288" t="n">
        <v>33</v>
      </c>
      <c r="BN288" t="n">
        <v>17</v>
      </c>
      <c r="BO288" t="n">
        <v>16</v>
      </c>
      <c r="BP288" t="n">
        <v>10</v>
      </c>
      <c r="BQ288" t="n">
        <v>43</v>
      </c>
      <c r="BR288" t="n">
        <v>69</v>
      </c>
      <c r="BS288" t="n">
        <v>19</v>
      </c>
      <c r="BT288" t="n">
        <v>340</v>
      </c>
      <c r="BU288" t="n">
        <v>53</v>
      </c>
      <c r="BV288" t="n">
        <v>121</v>
      </c>
      <c r="BW288" t="n">
        <v>100</v>
      </c>
      <c r="BX288" t="n">
        <v>100</v>
      </c>
      <c r="BY288" t="n">
        <v>49</v>
      </c>
      <c r="BZ288" t="n">
        <v>34</v>
      </c>
      <c r="CA288" t="n">
        <v>457</v>
      </c>
      <c r="CB288" t="n">
        <v>20</v>
      </c>
      <c r="CC288" t="n">
        <v>8</v>
      </c>
      <c r="CD288" t="n">
        <v>18</v>
      </c>
      <c r="CE288" t="n">
        <v>50</v>
      </c>
      <c r="CF288" t="n">
        <v>2.78</v>
      </c>
      <c r="CG288" t="n">
        <v>0</v>
      </c>
      <c r="CH288" t="n">
        <v>0</v>
      </c>
      <c r="CI288" t="n">
        <v>0</v>
      </c>
      <c r="CJ288" t="n">
        <v>0</v>
      </c>
      <c r="CK288" t="n">
        <v>1</v>
      </c>
      <c r="CL288" t="n">
        <v>1</v>
      </c>
      <c r="CM288" t="n">
        <v>0</v>
      </c>
      <c r="CN288" t="n">
        <v>34</v>
      </c>
      <c r="CO288" t="n">
        <v>0</v>
      </c>
      <c r="CP288" t="n">
        <v>2</v>
      </c>
      <c r="CQ288" t="n">
        <v>0</v>
      </c>
      <c r="CR288" t="n">
        <v>0</v>
      </c>
      <c r="CS288" t="n">
        <v>0</v>
      </c>
      <c r="CT288" t="n">
        <v>38</v>
      </c>
      <c r="CU288" t="n">
        <v>0</v>
      </c>
      <c r="CV288" t="n">
        <v>0</v>
      </c>
      <c r="CW288" t="n">
        <v>6</v>
      </c>
      <c r="CX288" t="n">
        <v>0</v>
      </c>
      <c r="CY288" t="n">
        <v>48</v>
      </c>
      <c r="CZ288" t="n">
        <v>0</v>
      </c>
      <c r="DA288" t="n">
        <v>0</v>
      </c>
      <c r="DB288" t="n">
        <v>0</v>
      </c>
      <c r="DC288" t="n">
        <v>54</v>
      </c>
      <c r="DD288" t="n">
        <v>0</v>
      </c>
      <c r="DE288" t="n">
        <v>0</v>
      </c>
      <c r="DF288" t="n">
        <v>50</v>
      </c>
      <c r="DG288" t="n">
        <v>18</v>
      </c>
      <c r="DH288" t="n">
        <v>0</v>
      </c>
      <c r="DI288" t="n">
        <v>0</v>
      </c>
      <c r="DJ288" t="n">
        <v>0</v>
      </c>
      <c r="DK288" t="n">
        <v>0</v>
      </c>
      <c r="DL288" t="n">
        <v>0</v>
      </c>
      <c r="DM288" t="n">
        <v>0</v>
      </c>
      <c r="DN288" t="n">
        <v>0</v>
      </c>
      <c r="DO288" t="n">
        <v>0</v>
      </c>
      <c r="DP288" t="n">
        <v>0</v>
      </c>
      <c r="DQ288" t="n">
        <v>0</v>
      </c>
      <c r="DR288" t="n">
        <v>0</v>
      </c>
      <c r="DS288" t="n">
        <v>68</v>
      </c>
      <c r="DT288" t="n">
        <v>160</v>
      </c>
      <c r="DU288" t="n">
        <v>40</v>
      </c>
      <c r="DV288" t="n">
        <v>0</v>
      </c>
      <c r="DW288" t="n">
        <v>0</v>
      </c>
      <c r="DX288" t="n">
        <v>0</v>
      </c>
      <c r="DY288" t="n">
        <v>440</v>
      </c>
      <c r="DZ288" t="n">
        <v>330</v>
      </c>
      <c r="EA288" t="n">
        <v>660</v>
      </c>
      <c r="EB288" t="n">
        <v>440</v>
      </c>
      <c r="EC288" t="n">
        <v>330</v>
      </c>
      <c r="ED288" t="n">
        <v>825</v>
      </c>
      <c r="EE288" t="n">
        <v>1375</v>
      </c>
      <c r="EF288" t="n">
        <v>0</v>
      </c>
      <c r="EG288" t="n">
        <v>1</v>
      </c>
      <c r="EH288" t="n">
        <v>0.5</v>
      </c>
      <c r="EI288" t="n">
        <v>1.4</v>
      </c>
      <c r="EJ288" t="n">
        <v>0.2</v>
      </c>
      <c r="EK288" t="n">
        <v>0.9</v>
      </c>
    </row>
    <row r="289">
      <c r="A289">
        <f>[1]ingredient!B289</f>
        <v/>
      </c>
      <c r="B289" t="inlineStr">
        <is>
          <t>https://www.naehrwertrechner.de/naehrwerte/G076111/Oregano+frisch/?menge=100</t>
        </is>
      </c>
      <c r="C289" s="7">
        <f>_xlfn.XLOOKUP(A289,[1]ingredient!$B$2:$B$521,[1]ingredient!$A$2:$A$521)</f>
        <v/>
      </c>
      <c r="D289" t="n">
        <v>67</v>
      </c>
      <c r="E289" t="n">
        <v>2</v>
      </c>
      <c r="F289" t="n">
        <v>2</v>
      </c>
      <c r="G289" t="n">
        <v>10</v>
      </c>
      <c r="H289" t="n">
        <v>3</v>
      </c>
      <c r="I289" t="n">
        <v>10</v>
      </c>
      <c r="J289" t="n">
        <v>0.04</v>
      </c>
      <c r="K289" t="n">
        <v>82</v>
      </c>
      <c r="L289" t="n">
        <v>135</v>
      </c>
      <c r="M289" t="n">
        <v>68</v>
      </c>
      <c r="N289" t="n">
        <v>0</v>
      </c>
      <c r="O289" t="n">
        <v>810</v>
      </c>
      <c r="P289" t="n">
        <v>70</v>
      </c>
      <c r="Q289" t="n">
        <v>150</v>
      </c>
      <c r="R289" t="n">
        <v>1044</v>
      </c>
      <c r="S289" t="n">
        <v>1411</v>
      </c>
      <c r="T289" t="n">
        <v>200</v>
      </c>
      <c r="U289" t="n">
        <v>180</v>
      </c>
      <c r="V289" t="n">
        <v>2</v>
      </c>
      <c r="W289" t="n">
        <v>50</v>
      </c>
      <c r="X289" t="n">
        <v>0</v>
      </c>
      <c r="Y289" t="n">
        <v>45000</v>
      </c>
      <c r="Z289" t="n">
        <v>0</v>
      </c>
      <c r="AA289" t="n">
        <v>1000</v>
      </c>
      <c r="AB289" t="n">
        <v>300</v>
      </c>
      <c r="AC289" t="n">
        <v>3</v>
      </c>
      <c r="AD289" t="n">
        <v>330</v>
      </c>
      <c r="AE289" t="n">
        <v>310</v>
      </c>
      <c r="AF289" t="n">
        <v>53</v>
      </c>
      <c r="AG289" t="n">
        <v>39</v>
      </c>
      <c r="AH289" t="n">
        <v>17</v>
      </c>
      <c r="AI289" t="n">
        <v>34</v>
      </c>
      <c r="AJ289" t="n">
        <v>7384</v>
      </c>
      <c r="AK289" t="n">
        <v>900</v>
      </c>
      <c r="AL289" t="n">
        <v>185</v>
      </c>
      <c r="AM289" t="n">
        <v>300</v>
      </c>
      <c r="AN289" t="n">
        <v>34</v>
      </c>
      <c r="AO289" t="n">
        <v>1</v>
      </c>
      <c r="AP289" t="n">
        <v>0</v>
      </c>
      <c r="AQ289" t="n">
        <v>0</v>
      </c>
      <c r="AR289" t="n">
        <v>0</v>
      </c>
      <c r="AS289" t="n">
        <v>0</v>
      </c>
      <c r="AT289" t="n">
        <v>3880</v>
      </c>
      <c r="AU289" t="n">
        <v>3880</v>
      </c>
      <c r="AV289" t="n">
        <v>0</v>
      </c>
      <c r="AW289" t="n">
        <v>7760</v>
      </c>
      <c r="AX289" t="n">
        <v>1843</v>
      </c>
      <c r="AY289" t="n">
        <v>0</v>
      </c>
      <c r="AZ289" t="n">
        <v>0</v>
      </c>
      <c r="BA289" t="n">
        <v>1843</v>
      </c>
      <c r="BB289" t="n">
        <v>0</v>
      </c>
      <c r="BC289" t="n">
        <v>0</v>
      </c>
      <c r="BD289" t="n">
        <v>0</v>
      </c>
      <c r="BE289" t="n">
        <v>97</v>
      </c>
      <c r="BF289" t="n">
        <v>97</v>
      </c>
      <c r="BG289">
        <f>IF($F289=0,"0",MIN(
BH289/(30*$F289),
BI289/(61*$F289),
BJ289/(48*$F289),
(BK289+BL289)/(23*$F289),
(BM289+BN289)/(41*$F289),
BO289/(25*$F289),
BP289/(6.6*$F289),
BQ289/(40*$F289),
BS289/(16*$F289)
)*100)</f>
        <v/>
      </c>
      <c r="BH289" t="n">
        <v>88</v>
      </c>
      <c r="BI289" t="n">
        <v>132</v>
      </c>
      <c r="BJ289" t="n">
        <v>110</v>
      </c>
      <c r="BK289" t="n">
        <v>26</v>
      </c>
      <c r="BL289" t="n">
        <v>22</v>
      </c>
      <c r="BM289" t="n">
        <v>66</v>
      </c>
      <c r="BN289" t="n">
        <v>44</v>
      </c>
      <c r="BO289" t="n">
        <v>77</v>
      </c>
      <c r="BP289" t="n">
        <v>22</v>
      </c>
      <c r="BQ289" t="n">
        <v>88</v>
      </c>
      <c r="BR289" t="n">
        <v>88</v>
      </c>
      <c r="BS289" t="n">
        <v>33</v>
      </c>
      <c r="BT289" t="n">
        <v>796</v>
      </c>
      <c r="BU289" t="n">
        <v>110</v>
      </c>
      <c r="BV289" t="n">
        <v>220</v>
      </c>
      <c r="BW289" t="n">
        <v>330</v>
      </c>
      <c r="BX289" t="n">
        <v>62</v>
      </c>
      <c r="BY289" t="n">
        <v>88</v>
      </c>
      <c r="BZ289" t="n">
        <v>66</v>
      </c>
      <c r="CA289" t="n">
        <v>876</v>
      </c>
      <c r="CB289" t="n">
        <v>15</v>
      </c>
      <c r="CC289" t="n">
        <v>6</v>
      </c>
      <c r="CD289" t="n">
        <v>783</v>
      </c>
      <c r="CE289" t="n">
        <v>195</v>
      </c>
      <c r="CF289" t="n">
        <v>0.25</v>
      </c>
      <c r="CG289" t="n">
        <v>0</v>
      </c>
      <c r="CH289" t="n">
        <v>0</v>
      </c>
      <c r="CI289" t="n">
        <v>0</v>
      </c>
      <c r="CJ289" t="n">
        <v>6</v>
      </c>
      <c r="CK289" t="n">
        <v>3</v>
      </c>
      <c r="CL289" t="n">
        <v>35</v>
      </c>
      <c r="CM289" t="n">
        <v>0</v>
      </c>
      <c r="CN289" t="n">
        <v>333</v>
      </c>
      <c r="CO289" t="n">
        <v>0</v>
      </c>
      <c r="CP289" t="n">
        <v>120</v>
      </c>
      <c r="CQ289" t="n">
        <v>0</v>
      </c>
      <c r="CR289" t="n">
        <v>0</v>
      </c>
      <c r="CS289" t="n">
        <v>0</v>
      </c>
      <c r="CT289" t="n">
        <v>497</v>
      </c>
      <c r="CU289" t="n">
        <v>0</v>
      </c>
      <c r="CV289" t="n">
        <v>0</v>
      </c>
      <c r="CW289" t="n">
        <v>29</v>
      </c>
      <c r="CX289" t="n">
        <v>0</v>
      </c>
      <c r="CY289" t="n">
        <v>96</v>
      </c>
      <c r="CZ289" t="n">
        <v>0</v>
      </c>
      <c r="DA289" t="n">
        <v>0</v>
      </c>
      <c r="DB289" t="n">
        <v>0</v>
      </c>
      <c r="DC289" t="n">
        <v>125</v>
      </c>
      <c r="DD289" t="n">
        <v>0</v>
      </c>
      <c r="DE289" t="n">
        <v>0</v>
      </c>
      <c r="DF289" t="n">
        <v>195</v>
      </c>
      <c r="DG289" t="n">
        <v>783</v>
      </c>
      <c r="DH289" t="n">
        <v>0</v>
      </c>
      <c r="DI289" t="n">
        <v>0</v>
      </c>
      <c r="DJ289" t="n">
        <v>0</v>
      </c>
      <c r="DK289" t="n">
        <v>0</v>
      </c>
      <c r="DL289" t="n">
        <v>0</v>
      </c>
      <c r="DM289" t="n">
        <v>0</v>
      </c>
      <c r="DN289" t="n">
        <v>0</v>
      </c>
      <c r="DO289" t="n">
        <v>0</v>
      </c>
      <c r="DP289" t="n">
        <v>0</v>
      </c>
      <c r="DQ289" t="n">
        <v>0</v>
      </c>
      <c r="DR289" t="n">
        <v>0</v>
      </c>
      <c r="DS289" t="n">
        <v>978</v>
      </c>
      <c r="DT289" t="n">
        <v>1594</v>
      </c>
      <c r="DU289" t="n">
        <v>400</v>
      </c>
      <c r="DV289" t="n">
        <v>0</v>
      </c>
      <c r="DW289" t="n">
        <v>0</v>
      </c>
      <c r="DX289" t="n">
        <v>6</v>
      </c>
      <c r="DY289" t="n">
        <v>378</v>
      </c>
      <c r="DZ289" t="n">
        <v>504</v>
      </c>
      <c r="EA289" t="n">
        <v>680</v>
      </c>
      <c r="EB289" t="n">
        <v>880</v>
      </c>
      <c r="EC289" t="n">
        <v>76</v>
      </c>
      <c r="ED289" t="n">
        <v>755</v>
      </c>
      <c r="EE289" t="n">
        <v>1763</v>
      </c>
      <c r="EF289" t="n">
        <v>0</v>
      </c>
      <c r="EG289" t="n">
        <v>0.25</v>
      </c>
      <c r="EH289" t="n">
        <v>1</v>
      </c>
      <c r="EI289" t="n">
        <v>1.8</v>
      </c>
      <c r="EJ289" t="n">
        <v>2</v>
      </c>
      <c r="EK289" t="n">
        <v>1.7</v>
      </c>
    </row>
    <row r="290">
      <c r="A290">
        <f>[1]ingredient!B290</f>
        <v/>
      </c>
      <c r="B290" t="inlineStr">
        <is>
          <t>https://www.naehrwertrechner.de/naehrwerte/R221011/Oregano+%28Wilder+Majoran%29+Gew%C3%BCrz/?menge=100</t>
        </is>
      </c>
      <c r="C290" s="7">
        <f>_xlfn.XLOOKUP(A290,[1]ingredient!$B$2:$B$521,[1]ingredient!$A$2:$A$521)</f>
        <v/>
      </c>
      <c r="D290" t="n">
        <v>338</v>
      </c>
      <c r="E290" t="n">
        <v>10</v>
      </c>
      <c r="F290" t="n">
        <v>11</v>
      </c>
      <c r="G290" t="n">
        <v>50</v>
      </c>
      <c r="H290" t="n">
        <v>15</v>
      </c>
      <c r="I290" t="n">
        <v>49</v>
      </c>
      <c r="J290" t="n">
        <v>0.22</v>
      </c>
      <c r="K290" t="n">
        <v>7</v>
      </c>
      <c r="L290" t="n">
        <v>690</v>
      </c>
      <c r="M290" t="n">
        <v>345</v>
      </c>
      <c r="N290" t="n">
        <v>0</v>
      </c>
      <c r="O290" t="n">
        <v>4140</v>
      </c>
      <c r="P290" t="n">
        <v>341</v>
      </c>
      <c r="Q290" t="n">
        <v>0</v>
      </c>
      <c r="R290" t="n">
        <v>6200</v>
      </c>
      <c r="S290" t="n">
        <v>8033</v>
      </c>
      <c r="T290" t="n">
        <v>0</v>
      </c>
      <c r="U290" t="n">
        <v>0</v>
      </c>
      <c r="V290" t="n">
        <v>0</v>
      </c>
      <c r="W290" t="n">
        <v>0</v>
      </c>
      <c r="X290" t="n">
        <v>0</v>
      </c>
      <c r="Y290" t="n">
        <v>0</v>
      </c>
      <c r="Z290" t="n">
        <v>0</v>
      </c>
      <c r="AA290" t="n">
        <v>0</v>
      </c>
      <c r="AB290" t="n">
        <v>0</v>
      </c>
      <c r="AC290" t="n">
        <v>15</v>
      </c>
      <c r="AD290" t="n">
        <v>1670</v>
      </c>
      <c r="AE290" t="n">
        <v>1576</v>
      </c>
      <c r="AF290" t="n">
        <v>270</v>
      </c>
      <c r="AG290" t="n">
        <v>200</v>
      </c>
      <c r="AH290" t="n">
        <v>100</v>
      </c>
      <c r="AI290" t="n">
        <v>200</v>
      </c>
      <c r="AJ290" t="n">
        <v>44000</v>
      </c>
      <c r="AK290" t="n">
        <v>4430</v>
      </c>
      <c r="AL290" t="n">
        <v>940</v>
      </c>
      <c r="AM290" t="n">
        <v>1400</v>
      </c>
      <c r="AN290" t="n">
        <v>200</v>
      </c>
      <c r="AO290" t="n">
        <v>5</v>
      </c>
      <c r="AP290" t="n">
        <v>0</v>
      </c>
      <c r="AQ290" t="n">
        <v>0</v>
      </c>
      <c r="AR290" t="n">
        <v>0</v>
      </c>
      <c r="AS290" t="n">
        <v>0</v>
      </c>
      <c r="AT290" t="n">
        <v>19800</v>
      </c>
      <c r="AU290" t="n">
        <v>19800</v>
      </c>
      <c r="AV290" t="n">
        <v>0</v>
      </c>
      <c r="AW290" t="n">
        <v>39600</v>
      </c>
      <c r="AX290" t="n">
        <v>9405</v>
      </c>
      <c r="AY290" t="n">
        <v>0</v>
      </c>
      <c r="AZ290" t="n">
        <v>0</v>
      </c>
      <c r="BA290" t="n">
        <v>9405</v>
      </c>
      <c r="BB290" t="n">
        <v>0</v>
      </c>
      <c r="BC290" t="n">
        <v>0</v>
      </c>
      <c r="BD290" t="n">
        <v>0</v>
      </c>
      <c r="BE290" t="n">
        <v>495</v>
      </c>
      <c r="BF290" t="n">
        <v>495</v>
      </c>
      <c r="BG290">
        <f>IF($F290=0,"0",MIN(
BH290/(30*$F290),
BI290/(61*$F290),
BJ290/(48*$F290),
(BK290+BL290)/(23*$F290),
(BM290+BN290)/(41*$F290),
BO290/(25*$F290),
BP290/(6.6*$F290),
BQ290/(40*$F290),
BS290/(16*$F290)
)*100)</f>
        <v/>
      </c>
      <c r="BH290" t="n">
        <v>440</v>
      </c>
      <c r="BI290" t="n">
        <v>660</v>
      </c>
      <c r="BJ290" t="n">
        <v>550</v>
      </c>
      <c r="BK290" t="n">
        <v>132</v>
      </c>
      <c r="BL290" t="n">
        <v>110</v>
      </c>
      <c r="BM290" t="n">
        <v>330</v>
      </c>
      <c r="BN290" t="n">
        <v>220</v>
      </c>
      <c r="BO290" t="n">
        <v>385</v>
      </c>
      <c r="BP290" t="n">
        <v>110</v>
      </c>
      <c r="BQ290" t="n">
        <v>440</v>
      </c>
      <c r="BR290" t="n">
        <v>440</v>
      </c>
      <c r="BS290" t="n">
        <v>165</v>
      </c>
      <c r="BT290" t="n">
        <v>3982</v>
      </c>
      <c r="BU290" t="n">
        <v>550</v>
      </c>
      <c r="BV290" t="n">
        <v>1100</v>
      </c>
      <c r="BW290" t="n">
        <v>1650</v>
      </c>
      <c r="BX290" t="n">
        <v>308</v>
      </c>
      <c r="BY290" t="n">
        <v>440</v>
      </c>
      <c r="BZ290" t="n">
        <v>330</v>
      </c>
      <c r="CA290" t="n">
        <v>4378</v>
      </c>
      <c r="CB290" t="n">
        <v>166</v>
      </c>
      <c r="CC290" t="n">
        <v>69</v>
      </c>
      <c r="CD290" t="n">
        <v>2472</v>
      </c>
      <c r="CE290" t="n">
        <v>3297</v>
      </c>
      <c r="CF290" t="n">
        <v>1.33</v>
      </c>
      <c r="CG290" t="n">
        <v>0</v>
      </c>
      <c r="CH290" t="n">
        <v>0</v>
      </c>
      <c r="CI290" t="n">
        <v>0</v>
      </c>
      <c r="CJ290" t="n">
        <v>0</v>
      </c>
      <c r="CK290" t="n">
        <v>0</v>
      </c>
      <c r="CL290" t="n">
        <v>41</v>
      </c>
      <c r="CM290" t="n">
        <v>0</v>
      </c>
      <c r="CN290" t="n">
        <v>1607</v>
      </c>
      <c r="CO290" t="n">
        <v>0</v>
      </c>
      <c r="CP290" t="n">
        <v>247</v>
      </c>
      <c r="CQ290" t="n">
        <v>0</v>
      </c>
      <c r="CR290" t="n">
        <v>0</v>
      </c>
      <c r="CS290" t="n">
        <v>0</v>
      </c>
      <c r="CT290" t="n">
        <v>1895</v>
      </c>
      <c r="CU290" t="n">
        <v>0</v>
      </c>
      <c r="CV290" t="n">
        <v>0</v>
      </c>
      <c r="CW290" t="n">
        <v>82</v>
      </c>
      <c r="CX290" t="n">
        <v>0</v>
      </c>
      <c r="CY290" t="n">
        <v>494</v>
      </c>
      <c r="CZ290" t="n">
        <v>0</v>
      </c>
      <c r="DA290" t="n">
        <v>0</v>
      </c>
      <c r="DB290" t="n">
        <v>0</v>
      </c>
      <c r="DC290" t="n">
        <v>576</v>
      </c>
      <c r="DD290" t="n">
        <v>0</v>
      </c>
      <c r="DE290" t="n">
        <v>0</v>
      </c>
      <c r="DF290" t="n">
        <v>3297</v>
      </c>
      <c r="DG290" t="n">
        <v>2472</v>
      </c>
      <c r="DH290" t="n">
        <v>0</v>
      </c>
      <c r="DI290" t="n">
        <v>0</v>
      </c>
      <c r="DJ290" t="n">
        <v>0</v>
      </c>
      <c r="DK290" t="n">
        <v>0</v>
      </c>
      <c r="DL290" t="n">
        <v>0</v>
      </c>
      <c r="DM290" t="n">
        <v>0</v>
      </c>
      <c r="DN290" t="n">
        <v>0</v>
      </c>
      <c r="DO290" t="n">
        <v>0</v>
      </c>
      <c r="DP290" t="n">
        <v>0</v>
      </c>
      <c r="DQ290" t="n">
        <v>0</v>
      </c>
      <c r="DR290" t="n">
        <v>0</v>
      </c>
      <c r="DS290" t="n">
        <v>5769</v>
      </c>
      <c r="DT290" t="n">
        <v>8240</v>
      </c>
      <c r="DU290" t="n">
        <v>2060</v>
      </c>
      <c r="DV290" t="n">
        <v>0</v>
      </c>
      <c r="DW290" t="n">
        <v>0</v>
      </c>
      <c r="DX290" t="n">
        <v>0</v>
      </c>
      <c r="DY290" t="n">
        <v>2244</v>
      </c>
      <c r="DZ290" t="n">
        <v>2992</v>
      </c>
      <c r="EA290" t="n">
        <v>4039</v>
      </c>
      <c r="EB290" t="n">
        <v>5236</v>
      </c>
      <c r="EC290" t="n">
        <v>449</v>
      </c>
      <c r="ED290" t="n">
        <v>4488</v>
      </c>
      <c r="EE290" t="n">
        <v>10472</v>
      </c>
      <c r="EF290" t="n">
        <v>0</v>
      </c>
      <c r="EG290" t="n">
        <v>0.3</v>
      </c>
      <c r="EH290" t="n">
        <v>7.1</v>
      </c>
      <c r="EI290" t="n">
        <v>10.5</v>
      </c>
      <c r="EJ290" t="n">
        <v>10.3</v>
      </c>
      <c r="EK290" t="n">
        <v>8.9</v>
      </c>
    </row>
    <row r="291">
      <c r="A291">
        <f>[1]ingredient!B291</f>
        <v/>
      </c>
      <c r="B291" t="inlineStr">
        <is>
          <t>https://www.naehrwertrechner.de/naehrwerte/R150811/Austernso%C3%9Fe/?menge=100</t>
        </is>
      </c>
      <c r="C291" s="7">
        <f>_xlfn.XLOOKUP(A291,[1]ingredient!$B$2:$B$521,[1]ingredient!$A$2:$A$521)</f>
        <v/>
      </c>
      <c r="D291" t="n">
        <v>78</v>
      </c>
      <c r="E291" t="n">
        <v>0.1</v>
      </c>
      <c r="F291" t="n">
        <v>7</v>
      </c>
      <c r="G291" t="n">
        <v>13</v>
      </c>
      <c r="H291" t="n">
        <v>0</v>
      </c>
      <c r="I291" t="n">
        <v>13</v>
      </c>
      <c r="J291" t="n">
        <v>6</v>
      </c>
      <c r="K291" t="n">
        <v>74</v>
      </c>
      <c r="L291" t="n">
        <v>0</v>
      </c>
      <c r="M291" t="n">
        <v>0</v>
      </c>
      <c r="N291" t="n">
        <v>0</v>
      </c>
      <c r="O291" t="n">
        <v>0</v>
      </c>
      <c r="P291" t="n">
        <v>100</v>
      </c>
      <c r="Q291" t="n">
        <v>100</v>
      </c>
      <c r="R291" t="n">
        <v>500</v>
      </c>
      <c r="S291" t="n">
        <v>1700</v>
      </c>
      <c r="T291" t="n">
        <v>100</v>
      </c>
      <c r="U291" t="n">
        <v>0</v>
      </c>
      <c r="V291" t="n">
        <v>1</v>
      </c>
      <c r="W291" t="n">
        <v>11</v>
      </c>
      <c r="X291" t="n">
        <v>1.5</v>
      </c>
      <c r="Y291" t="n">
        <v>3400</v>
      </c>
      <c r="Z291" t="n">
        <v>2</v>
      </c>
      <c r="AA291" t="n">
        <v>0</v>
      </c>
      <c r="AB291" t="n">
        <v>0</v>
      </c>
      <c r="AC291" t="n">
        <v>2500</v>
      </c>
      <c r="AD291" t="n">
        <v>101</v>
      </c>
      <c r="AE291" t="n">
        <v>37</v>
      </c>
      <c r="AF291" t="n">
        <v>17</v>
      </c>
      <c r="AG291" t="n">
        <v>80</v>
      </c>
      <c r="AH291" t="n">
        <v>97</v>
      </c>
      <c r="AI291" t="n">
        <v>3462</v>
      </c>
      <c r="AJ291" t="n">
        <v>1400</v>
      </c>
      <c r="AK291" t="n">
        <v>500</v>
      </c>
      <c r="AL291" t="n">
        <v>100</v>
      </c>
      <c r="AM291" t="n">
        <v>700</v>
      </c>
      <c r="AN291" t="n">
        <v>100</v>
      </c>
      <c r="AO291" t="n">
        <v>37</v>
      </c>
      <c r="AP291" t="n">
        <v>0</v>
      </c>
      <c r="AQ291" t="n">
        <v>0</v>
      </c>
      <c r="AR291" t="n">
        <v>0</v>
      </c>
      <c r="AS291" t="n">
        <v>0</v>
      </c>
      <c r="AT291" t="n">
        <v>337</v>
      </c>
      <c r="AU291" t="n">
        <v>436</v>
      </c>
      <c r="AV291" t="n">
        <v>0</v>
      </c>
      <c r="AW291" t="n">
        <v>773</v>
      </c>
      <c r="AX291" t="n">
        <v>11700</v>
      </c>
      <c r="AY291" t="n">
        <v>0</v>
      </c>
      <c r="AZ291" t="n">
        <v>0</v>
      </c>
      <c r="BA291" t="n">
        <v>11727</v>
      </c>
      <c r="BB291" t="n">
        <v>0</v>
      </c>
      <c r="BC291" t="n">
        <v>5</v>
      </c>
      <c r="BD291" t="n">
        <v>0</v>
      </c>
      <c r="BE291" t="n">
        <v>0</v>
      </c>
      <c r="BF291" t="n">
        <v>0</v>
      </c>
      <c r="BG291">
        <f>IF($F291=0,"0",MIN(
BH291/(30*$F291),
BI291/(61*$F291),
BJ291/(48*$F291),
(BK291+BL291)/(23*$F291),
(BM291+BN291)/(41*$F291),
BO291/(25*$F291),
BP291/(6.6*$F291),
BQ291/(40*$F291),
BS291/(16*$F291)
)*100)</f>
        <v/>
      </c>
      <c r="BH291" t="n">
        <v>302</v>
      </c>
      <c r="BI291" t="n">
        <v>492</v>
      </c>
      <c r="BJ291" t="n">
        <v>436</v>
      </c>
      <c r="BK291" t="n">
        <v>137</v>
      </c>
      <c r="BL291" t="n">
        <v>94</v>
      </c>
      <c r="BM291" t="n">
        <v>287</v>
      </c>
      <c r="BN291" t="n">
        <v>250</v>
      </c>
      <c r="BO291" t="n">
        <v>277</v>
      </c>
      <c r="BP291" t="n">
        <v>78</v>
      </c>
      <c r="BQ291" t="n">
        <v>359</v>
      </c>
      <c r="BR291" t="n">
        <v>468</v>
      </c>
      <c r="BS291" t="n">
        <v>159</v>
      </c>
      <c r="BT291" t="n">
        <v>3337</v>
      </c>
      <c r="BU291" t="n">
        <v>326</v>
      </c>
      <c r="BV291" t="n">
        <v>683</v>
      </c>
      <c r="BW291" t="n">
        <v>1152</v>
      </c>
      <c r="BX291" t="n">
        <v>305</v>
      </c>
      <c r="BY291" t="n">
        <v>349</v>
      </c>
      <c r="BZ291" t="n">
        <v>348</v>
      </c>
      <c r="CA291" t="n">
        <v>3163</v>
      </c>
      <c r="CB291" t="n">
        <v>33</v>
      </c>
      <c r="CC291" t="n">
        <v>11</v>
      </c>
      <c r="CD291" t="n">
        <v>7</v>
      </c>
      <c r="CE291" t="n">
        <v>2</v>
      </c>
      <c r="CF291" t="n">
        <v>0.27</v>
      </c>
      <c r="CG291" t="n">
        <v>0</v>
      </c>
      <c r="CH291" t="n">
        <v>0</v>
      </c>
      <c r="CI291" t="n">
        <v>0</v>
      </c>
      <c r="CJ291" t="n">
        <v>0</v>
      </c>
      <c r="CK291" t="n">
        <v>0</v>
      </c>
      <c r="CL291" t="n">
        <v>2</v>
      </c>
      <c r="CM291" t="n">
        <v>0.2</v>
      </c>
      <c r="CN291" t="n">
        <v>11</v>
      </c>
      <c r="CO291" t="n">
        <v>0.4</v>
      </c>
      <c r="CP291" t="n">
        <v>4</v>
      </c>
      <c r="CQ291" t="n">
        <v>0.2</v>
      </c>
      <c r="CR291" t="n">
        <v>0.1</v>
      </c>
      <c r="CS291" t="n">
        <v>0.3</v>
      </c>
      <c r="CT291" t="n">
        <v>0</v>
      </c>
      <c r="CU291" t="n">
        <v>0</v>
      </c>
      <c r="CV291" t="n">
        <v>0</v>
      </c>
      <c r="CW291" t="n">
        <v>3</v>
      </c>
      <c r="CX291" t="n">
        <v>0</v>
      </c>
      <c r="CY291" t="n">
        <v>13</v>
      </c>
      <c r="CZ291" t="n">
        <v>2</v>
      </c>
      <c r="DA291" t="n">
        <v>2</v>
      </c>
      <c r="DB291" t="n">
        <v>0</v>
      </c>
      <c r="DC291" t="n">
        <v>0</v>
      </c>
      <c r="DD291" t="n">
        <v>1</v>
      </c>
      <c r="DE291" t="n">
        <v>0.2</v>
      </c>
      <c r="DF291" t="n">
        <v>0</v>
      </c>
      <c r="DG291" t="n">
        <v>0</v>
      </c>
      <c r="DH291" t="n">
        <v>2</v>
      </c>
      <c r="DI291" t="n">
        <v>0.3</v>
      </c>
      <c r="DJ291" t="n">
        <v>0.3</v>
      </c>
      <c r="DK291" t="n">
        <v>0.3</v>
      </c>
      <c r="DL291" t="n">
        <v>1</v>
      </c>
      <c r="DM291" t="n">
        <v>2</v>
      </c>
      <c r="DN291" t="n">
        <v>0.4</v>
      </c>
      <c r="DO291" t="n">
        <v>0.3</v>
      </c>
      <c r="DP291" t="n">
        <v>0</v>
      </c>
      <c r="DQ291" t="n">
        <v>1</v>
      </c>
      <c r="DR291" t="n">
        <v>2</v>
      </c>
      <c r="DS291" t="n">
        <v>0</v>
      </c>
      <c r="DT291" t="n">
        <v>78</v>
      </c>
      <c r="DU291" t="n">
        <v>22</v>
      </c>
      <c r="DV291" t="n">
        <v>30</v>
      </c>
      <c r="DW291" t="n">
        <v>0</v>
      </c>
      <c r="DX291" t="n">
        <v>0</v>
      </c>
      <c r="DY291" t="n">
        <v>0</v>
      </c>
      <c r="DZ291" t="n">
        <v>0</v>
      </c>
      <c r="EA291" t="n">
        <v>0</v>
      </c>
      <c r="EB291" t="n">
        <v>0</v>
      </c>
      <c r="EC291" t="n">
        <v>0</v>
      </c>
      <c r="ED291" t="n">
        <v>0</v>
      </c>
      <c r="EE291" t="n">
        <v>0</v>
      </c>
      <c r="EF291" t="n">
        <v>0</v>
      </c>
      <c r="EG291" t="n">
        <v>350</v>
      </c>
      <c r="EH291" t="n">
        <v>6.3</v>
      </c>
      <c r="EI291" t="n">
        <v>0</v>
      </c>
      <c r="EJ291" t="n">
        <v>0.1</v>
      </c>
      <c r="EK291" t="n">
        <v>6.6</v>
      </c>
    </row>
    <row r="292">
      <c r="A292">
        <f>[1]ingredient!B292</f>
        <v/>
      </c>
      <c r="B292" t="inlineStr">
        <is>
          <t>https://www.naehrwertrechner.de/naehrwerte/G324111/Pak+Choi+frisch/?menge=100</t>
        </is>
      </c>
      <c r="C292" s="7">
        <f>_xlfn.XLOOKUP(A292,[1]ingredient!$B$2:$B$521,[1]ingredient!$A$2:$A$521)</f>
        <v/>
      </c>
      <c r="D292" t="n">
        <v>14</v>
      </c>
      <c r="E292" t="n">
        <v>0.3</v>
      </c>
      <c r="F292" t="n">
        <v>1</v>
      </c>
      <c r="G292" t="n">
        <v>1</v>
      </c>
      <c r="H292" t="n">
        <v>2</v>
      </c>
      <c r="I292" t="n">
        <v>1</v>
      </c>
      <c r="J292" t="n">
        <v>0.04</v>
      </c>
      <c r="K292" t="n">
        <v>94</v>
      </c>
      <c r="L292" t="n">
        <v>71</v>
      </c>
      <c r="M292" t="n">
        <v>35</v>
      </c>
      <c r="N292" t="n">
        <v>0</v>
      </c>
      <c r="O292" t="n">
        <v>425</v>
      </c>
      <c r="P292" t="n">
        <v>30</v>
      </c>
      <c r="Q292" t="n">
        <v>40</v>
      </c>
      <c r="R292" t="n">
        <v>400</v>
      </c>
      <c r="S292" t="n">
        <v>633</v>
      </c>
      <c r="T292" t="n">
        <v>200</v>
      </c>
      <c r="U292" t="n">
        <v>110</v>
      </c>
      <c r="V292" t="n">
        <v>1</v>
      </c>
      <c r="W292" t="n">
        <v>83</v>
      </c>
      <c r="X292" t="n">
        <v>0</v>
      </c>
      <c r="Y292" t="n">
        <v>26000</v>
      </c>
      <c r="Z292" t="n">
        <v>0</v>
      </c>
      <c r="AA292" t="n">
        <v>240</v>
      </c>
      <c r="AB292" t="n">
        <v>250</v>
      </c>
      <c r="AC292" t="n">
        <v>19</v>
      </c>
      <c r="AD292" t="n">
        <v>144</v>
      </c>
      <c r="AE292" t="n">
        <v>40</v>
      </c>
      <c r="AF292" t="n">
        <v>11</v>
      </c>
      <c r="AG292" t="n">
        <v>30</v>
      </c>
      <c r="AH292" t="n">
        <v>60</v>
      </c>
      <c r="AI292" t="n">
        <v>18</v>
      </c>
      <c r="AJ292" t="n">
        <v>600</v>
      </c>
      <c r="AK292" t="n">
        <v>340</v>
      </c>
      <c r="AL292" t="n">
        <v>20</v>
      </c>
      <c r="AM292" t="n">
        <v>280</v>
      </c>
      <c r="AN292" t="n">
        <v>15</v>
      </c>
      <c r="AO292" t="n">
        <v>0.3</v>
      </c>
      <c r="AP292" t="n">
        <v>0</v>
      </c>
      <c r="AQ292" t="n">
        <v>0</v>
      </c>
      <c r="AR292" t="n">
        <v>0</v>
      </c>
      <c r="AS292" t="n">
        <v>0</v>
      </c>
      <c r="AT292" t="n">
        <v>417</v>
      </c>
      <c r="AU292" t="n">
        <v>427</v>
      </c>
      <c r="AV292" t="n">
        <v>0</v>
      </c>
      <c r="AW292" t="n">
        <v>844</v>
      </c>
      <c r="AX292" t="n">
        <v>298</v>
      </c>
      <c r="AY292" t="n">
        <v>0</v>
      </c>
      <c r="AZ292" t="n">
        <v>0</v>
      </c>
      <c r="BA292" t="n">
        <v>298</v>
      </c>
      <c r="BB292" t="n">
        <v>0</v>
      </c>
      <c r="BC292" t="n">
        <v>0</v>
      </c>
      <c r="BD292" t="n">
        <v>0</v>
      </c>
      <c r="BE292" t="n">
        <v>48</v>
      </c>
      <c r="BF292" t="n">
        <v>48</v>
      </c>
      <c r="BG292">
        <f>IF($F292=0,"0",MIN(
BH292/(30*$F292),
BI292/(61*$F292),
BJ292/(48*$F292),
(BK292+BL292)/(23*$F292),
(BM292+BN292)/(41*$F292),
BO292/(25*$F292),
BP292/(6.6*$F292),
BQ292/(40*$F292),
BS292/(16*$F292)
)*100)</f>
        <v/>
      </c>
      <c r="BH292" t="n">
        <v>67</v>
      </c>
      <c r="BI292" t="n">
        <v>69</v>
      </c>
      <c r="BJ292" t="n">
        <v>62</v>
      </c>
      <c r="BK292" t="n">
        <v>12</v>
      </c>
      <c r="BL292" t="n">
        <v>11</v>
      </c>
      <c r="BM292" t="n">
        <v>39</v>
      </c>
      <c r="BN292" t="n">
        <v>29</v>
      </c>
      <c r="BO292" t="n">
        <v>44</v>
      </c>
      <c r="BP292" t="n">
        <v>14</v>
      </c>
      <c r="BQ292" t="n">
        <v>57</v>
      </c>
      <c r="BR292" t="n">
        <v>71</v>
      </c>
      <c r="BS292" t="n">
        <v>21</v>
      </c>
      <c r="BT292" t="n">
        <v>496</v>
      </c>
      <c r="BU292" t="n">
        <v>68</v>
      </c>
      <c r="BV292" t="n">
        <v>86</v>
      </c>
      <c r="BW292" t="n">
        <v>286</v>
      </c>
      <c r="BX292" t="n">
        <v>33</v>
      </c>
      <c r="BY292" t="n">
        <v>24</v>
      </c>
      <c r="BZ292" t="n">
        <v>38</v>
      </c>
      <c r="CA292" t="n">
        <v>535</v>
      </c>
      <c r="CB292" t="n">
        <v>25</v>
      </c>
      <c r="CC292" t="n">
        <v>10</v>
      </c>
      <c r="CD292" t="n">
        <v>99</v>
      </c>
      <c r="CE292" t="n">
        <v>26</v>
      </c>
      <c r="CF292" t="n">
        <v>0.26</v>
      </c>
      <c r="CG292" t="n">
        <v>0</v>
      </c>
      <c r="CH292" t="n">
        <v>0</v>
      </c>
      <c r="CI292" t="n">
        <v>0</v>
      </c>
      <c r="CJ292" t="n">
        <v>0</v>
      </c>
      <c r="CK292" t="n">
        <v>0</v>
      </c>
      <c r="CL292" t="n">
        <v>0</v>
      </c>
      <c r="CM292" t="n">
        <v>0</v>
      </c>
      <c r="CN292" t="n">
        <v>66</v>
      </c>
      <c r="CO292" t="n">
        <v>0</v>
      </c>
      <c r="CP292" t="n">
        <v>8</v>
      </c>
      <c r="CQ292" t="n">
        <v>0</v>
      </c>
      <c r="CR292" t="n">
        <v>0</v>
      </c>
      <c r="CS292" t="n">
        <v>0</v>
      </c>
      <c r="CT292" t="n">
        <v>74</v>
      </c>
      <c r="CU292" t="n">
        <v>0</v>
      </c>
      <c r="CV292" t="n">
        <v>0</v>
      </c>
      <c r="CW292" t="n">
        <v>4</v>
      </c>
      <c r="CX292" t="n">
        <v>0</v>
      </c>
      <c r="CY292" t="n">
        <v>37</v>
      </c>
      <c r="CZ292" t="n">
        <v>0</v>
      </c>
      <c r="DA292" t="n">
        <v>0</v>
      </c>
      <c r="DB292" t="n">
        <v>0</v>
      </c>
      <c r="DC292" t="n">
        <v>41</v>
      </c>
      <c r="DD292" t="n">
        <v>0</v>
      </c>
      <c r="DE292" t="n">
        <v>0</v>
      </c>
      <c r="DF292" t="n">
        <v>26</v>
      </c>
      <c r="DG292" t="n">
        <v>99</v>
      </c>
      <c r="DH292" t="n">
        <v>0</v>
      </c>
      <c r="DI292" t="n">
        <v>0</v>
      </c>
      <c r="DJ292" t="n">
        <v>0</v>
      </c>
      <c r="DK292" t="n">
        <v>0</v>
      </c>
      <c r="DL292" t="n">
        <v>0</v>
      </c>
      <c r="DM292" t="n">
        <v>0</v>
      </c>
      <c r="DN292" t="n">
        <v>0</v>
      </c>
      <c r="DO292" t="n">
        <v>0</v>
      </c>
      <c r="DP292" t="n">
        <v>0</v>
      </c>
      <c r="DQ292" t="n">
        <v>0</v>
      </c>
      <c r="DR292" t="n">
        <v>0</v>
      </c>
      <c r="DS292" t="n">
        <v>125</v>
      </c>
      <c r="DT292" t="n">
        <v>240</v>
      </c>
      <c r="DU292" t="n">
        <v>60</v>
      </c>
      <c r="DV292" t="n">
        <v>0</v>
      </c>
      <c r="DW292" t="n">
        <v>0</v>
      </c>
      <c r="DX292" t="n">
        <v>0</v>
      </c>
      <c r="DY292" t="n">
        <v>399</v>
      </c>
      <c r="DZ292" t="n">
        <v>323</v>
      </c>
      <c r="EA292" t="n">
        <v>475</v>
      </c>
      <c r="EB292" t="n">
        <v>646</v>
      </c>
      <c r="EC292" t="n">
        <v>57</v>
      </c>
      <c r="ED292" t="n">
        <v>190</v>
      </c>
      <c r="EE292" t="n">
        <v>1710</v>
      </c>
      <c r="EF292" t="n">
        <v>0</v>
      </c>
      <c r="EG292" t="n">
        <v>0.4</v>
      </c>
      <c r="EH292" t="n">
        <v>0.6</v>
      </c>
      <c r="EI292" t="n">
        <v>1.7</v>
      </c>
      <c r="EJ292" t="n">
        <v>0.3</v>
      </c>
      <c r="EK292" t="n">
        <v>1.1</v>
      </c>
    </row>
    <row r="293">
      <c r="A293">
        <f>[1]ingredient!B293</f>
        <v/>
      </c>
      <c r="B293" t="inlineStr">
        <is>
          <t>https://www.naehrwertrechner.de/naehrwerte/F517100/Papaya+roh/?menge=100</t>
        </is>
      </c>
      <c r="C293" s="7">
        <f>_xlfn.XLOOKUP(A293,[1]ingredient!$B$2:$B$521,[1]ingredient!$A$2:$A$521)</f>
        <v/>
      </c>
      <c r="D293" t="n">
        <v>32</v>
      </c>
      <c r="E293" t="n">
        <v>0.09</v>
      </c>
      <c r="F293" t="n">
        <v>1</v>
      </c>
      <c r="G293" t="n">
        <v>7</v>
      </c>
      <c r="H293" t="n">
        <v>2</v>
      </c>
      <c r="I293" t="n">
        <v>7</v>
      </c>
      <c r="J293" t="n">
        <v>0.01</v>
      </c>
      <c r="K293" t="n">
        <v>90</v>
      </c>
      <c r="L293" t="n">
        <v>27</v>
      </c>
      <c r="M293" t="n">
        <v>14</v>
      </c>
      <c r="N293" t="n">
        <v>0</v>
      </c>
      <c r="O293" t="n">
        <v>165</v>
      </c>
      <c r="P293" t="n">
        <v>30</v>
      </c>
      <c r="Q293" t="n">
        <v>39</v>
      </c>
      <c r="R293" t="n">
        <v>300</v>
      </c>
      <c r="S293" t="n">
        <v>583</v>
      </c>
      <c r="T293" t="n">
        <v>218</v>
      </c>
      <c r="U293" t="n">
        <v>30</v>
      </c>
      <c r="V293" t="n">
        <v>2</v>
      </c>
      <c r="W293" t="n">
        <v>2</v>
      </c>
      <c r="X293" t="n">
        <v>0</v>
      </c>
      <c r="Y293" t="n">
        <v>80290</v>
      </c>
      <c r="Z293" t="n">
        <v>0</v>
      </c>
      <c r="AA293" t="n">
        <v>700</v>
      </c>
      <c r="AB293" t="n">
        <v>0</v>
      </c>
      <c r="AC293" t="n">
        <v>2</v>
      </c>
      <c r="AD293" t="n">
        <v>191</v>
      </c>
      <c r="AE293" t="n">
        <v>21</v>
      </c>
      <c r="AF293" t="n">
        <v>41</v>
      </c>
      <c r="AG293" t="n">
        <v>16</v>
      </c>
      <c r="AH293" t="n">
        <v>10</v>
      </c>
      <c r="AI293" t="n">
        <v>6</v>
      </c>
      <c r="AJ293" t="n">
        <v>420</v>
      </c>
      <c r="AK293" t="n">
        <v>376</v>
      </c>
      <c r="AL293" t="n">
        <v>35</v>
      </c>
      <c r="AM293" t="n">
        <v>23</v>
      </c>
      <c r="AN293" t="n">
        <v>15</v>
      </c>
      <c r="AO293" t="n">
        <v>2</v>
      </c>
      <c r="AP293" t="n">
        <v>0</v>
      </c>
      <c r="AQ293" t="n">
        <v>0</v>
      </c>
      <c r="AR293" t="n">
        <v>0</v>
      </c>
      <c r="AS293" t="n">
        <v>0</v>
      </c>
      <c r="AT293" t="n">
        <v>2517</v>
      </c>
      <c r="AU293" t="n">
        <v>2448</v>
      </c>
      <c r="AV293" t="n">
        <v>0</v>
      </c>
      <c r="AW293" t="n">
        <v>4965</v>
      </c>
      <c r="AX293" t="n">
        <v>2135</v>
      </c>
      <c r="AY293" t="n">
        <v>0</v>
      </c>
      <c r="AZ293" t="n">
        <v>0</v>
      </c>
      <c r="BA293" t="n">
        <v>2135</v>
      </c>
      <c r="BB293" t="n">
        <v>0</v>
      </c>
      <c r="BC293" t="n">
        <v>0</v>
      </c>
      <c r="BD293" t="n">
        <v>0</v>
      </c>
      <c r="BE293" t="n">
        <v>0</v>
      </c>
      <c r="BF293" t="n">
        <v>0</v>
      </c>
      <c r="BG293">
        <f>IF($F293=0,"0",MIN(
BH293/(30*$F293),
BI293/(61*$F293),
BJ293/(48*$F293),
(BK293+BL293)/(23*$F293),
(BM293+BN293)/(41*$F293),
BO293/(25*$F293),
BP293/(6.6*$F293),
BQ293/(40*$F293),
BS293/(16*$F293)
)*100)</f>
        <v/>
      </c>
      <c r="BH293" t="n">
        <v>17</v>
      </c>
      <c r="BI293" t="n">
        <v>35</v>
      </c>
      <c r="BJ293" t="n">
        <v>52</v>
      </c>
      <c r="BK293" t="n">
        <v>5</v>
      </c>
      <c r="BL293" t="n">
        <v>0</v>
      </c>
      <c r="BM293" t="n">
        <v>20</v>
      </c>
      <c r="BN293" t="n">
        <v>10</v>
      </c>
      <c r="BO293" t="n">
        <v>22</v>
      </c>
      <c r="BP293" t="n">
        <v>17</v>
      </c>
      <c r="BQ293" t="n">
        <v>20</v>
      </c>
      <c r="BR293" t="n">
        <v>20</v>
      </c>
      <c r="BS293" t="n">
        <v>10</v>
      </c>
      <c r="BT293" t="n">
        <v>228</v>
      </c>
      <c r="BU293" t="n">
        <v>30</v>
      </c>
      <c r="BV293" t="n">
        <v>103</v>
      </c>
      <c r="BW293" t="n">
        <v>69</v>
      </c>
      <c r="BX293" t="n">
        <v>39</v>
      </c>
      <c r="BY293" t="n">
        <v>20</v>
      </c>
      <c r="BZ293" t="n">
        <v>32</v>
      </c>
      <c r="CA293" t="n">
        <v>293</v>
      </c>
      <c r="CB293" t="n">
        <v>15</v>
      </c>
      <c r="CC293" t="n">
        <v>6</v>
      </c>
      <c r="CD293" t="n">
        <v>16</v>
      </c>
      <c r="CE293" t="n">
        <v>4</v>
      </c>
      <c r="CF293" t="n">
        <v>0.25</v>
      </c>
      <c r="CG293" t="n">
        <v>0</v>
      </c>
      <c r="CH293" t="n">
        <v>0</v>
      </c>
      <c r="CI293" t="n">
        <v>0</v>
      </c>
      <c r="CJ293" t="n">
        <v>0</v>
      </c>
      <c r="CK293" t="n">
        <v>1</v>
      </c>
      <c r="CL293" t="n">
        <v>5</v>
      </c>
      <c r="CM293" t="n">
        <v>0</v>
      </c>
      <c r="CN293" t="n">
        <v>20</v>
      </c>
      <c r="CO293" t="n">
        <v>0</v>
      </c>
      <c r="CP293" t="n">
        <v>1</v>
      </c>
      <c r="CQ293" t="n">
        <v>0</v>
      </c>
      <c r="CR293" t="n">
        <v>0</v>
      </c>
      <c r="CS293" t="n">
        <v>0</v>
      </c>
      <c r="CT293" t="n">
        <v>27</v>
      </c>
      <c r="CU293" t="n">
        <v>0</v>
      </c>
      <c r="CV293" t="n">
        <v>0</v>
      </c>
      <c r="CW293" t="n">
        <v>13</v>
      </c>
      <c r="CX293" t="n">
        <v>0</v>
      </c>
      <c r="CY293" t="n">
        <v>12</v>
      </c>
      <c r="CZ293" t="n">
        <v>0</v>
      </c>
      <c r="DA293" t="n">
        <v>0</v>
      </c>
      <c r="DB293" t="n">
        <v>0</v>
      </c>
      <c r="DC293" t="n">
        <v>25</v>
      </c>
      <c r="DD293" t="n">
        <v>0</v>
      </c>
      <c r="DE293" t="n">
        <v>0</v>
      </c>
      <c r="DF293" t="n">
        <v>4</v>
      </c>
      <c r="DG293" t="n">
        <v>16</v>
      </c>
      <c r="DH293" t="n">
        <v>0</v>
      </c>
      <c r="DI293" t="n">
        <v>0</v>
      </c>
      <c r="DJ293" t="n">
        <v>0</v>
      </c>
      <c r="DK293" t="n">
        <v>0</v>
      </c>
      <c r="DL293" t="n">
        <v>0</v>
      </c>
      <c r="DM293" t="n">
        <v>0</v>
      </c>
      <c r="DN293" t="n">
        <v>0</v>
      </c>
      <c r="DO293" t="n">
        <v>0</v>
      </c>
      <c r="DP293" t="n">
        <v>0</v>
      </c>
      <c r="DQ293" t="n">
        <v>0</v>
      </c>
      <c r="DR293" t="n">
        <v>0</v>
      </c>
      <c r="DS293" t="n">
        <v>20</v>
      </c>
      <c r="DT293" t="n">
        <v>72</v>
      </c>
      <c r="DU293" t="n">
        <v>18</v>
      </c>
      <c r="DV293" t="n">
        <v>0</v>
      </c>
      <c r="DW293" t="n">
        <v>0</v>
      </c>
      <c r="DX293" t="n">
        <v>0</v>
      </c>
      <c r="DY293" t="n">
        <v>418</v>
      </c>
      <c r="DZ293" t="n">
        <v>323</v>
      </c>
      <c r="EA293" t="n">
        <v>418</v>
      </c>
      <c r="EB293" t="n">
        <v>399</v>
      </c>
      <c r="EC293" t="n">
        <v>342</v>
      </c>
      <c r="ED293" t="n">
        <v>790</v>
      </c>
      <c r="EE293" t="n">
        <v>1110</v>
      </c>
      <c r="EF293" t="n">
        <v>0</v>
      </c>
      <c r="EG293" t="n">
        <v>0.06</v>
      </c>
      <c r="EH293" t="n">
        <v>0.6</v>
      </c>
      <c r="EI293" t="n">
        <v>1.1</v>
      </c>
      <c r="EJ293" t="n">
        <v>0.1</v>
      </c>
      <c r="EK293" t="n">
        <v>0.6</v>
      </c>
    </row>
    <row r="294">
      <c r="A294">
        <f>[1]ingredient!B294</f>
        <v/>
      </c>
      <c r="B294" t="inlineStr">
        <is>
          <t>https://www.naehrwertrechner.de/naehrwerte/R251211/Paprika+edels%C3%BC%C3%9F/?menge=100</t>
        </is>
      </c>
      <c r="C294" s="7">
        <f>_xlfn.XLOOKUP(A294,[1]ingredient!$B$2:$B$521,[1]ingredient!$A$2:$A$521)</f>
        <v/>
      </c>
      <c r="D294" t="n">
        <v>317</v>
      </c>
      <c r="E294" t="n">
        <v>13</v>
      </c>
      <c r="F294" t="n">
        <v>15</v>
      </c>
      <c r="G294" t="n">
        <v>35</v>
      </c>
      <c r="H294" t="n">
        <v>21</v>
      </c>
      <c r="I294" t="n">
        <v>33</v>
      </c>
      <c r="J294" t="n">
        <v>0.25</v>
      </c>
      <c r="K294" t="n">
        <v>9</v>
      </c>
      <c r="L294" t="n">
        <v>6042</v>
      </c>
      <c r="M294" t="n">
        <v>3021</v>
      </c>
      <c r="N294" t="n">
        <v>0</v>
      </c>
      <c r="O294" t="n">
        <v>36250</v>
      </c>
      <c r="P294" t="n">
        <v>650</v>
      </c>
      <c r="Q294" t="n">
        <v>1740</v>
      </c>
      <c r="R294" t="n">
        <v>15300</v>
      </c>
      <c r="S294" t="n">
        <v>17767</v>
      </c>
      <c r="T294" t="n">
        <v>0</v>
      </c>
      <c r="U294" t="n">
        <v>0</v>
      </c>
      <c r="V294" t="n">
        <v>0</v>
      </c>
      <c r="W294" t="n">
        <v>0</v>
      </c>
      <c r="X294" t="n">
        <v>0</v>
      </c>
      <c r="Y294" t="n">
        <v>0</v>
      </c>
      <c r="Z294" t="n">
        <v>0</v>
      </c>
      <c r="AA294" t="n">
        <v>0</v>
      </c>
      <c r="AB294" t="n">
        <v>0</v>
      </c>
      <c r="AC294" t="n">
        <v>34</v>
      </c>
      <c r="AD294" t="n">
        <v>2340</v>
      </c>
      <c r="AE294" t="n">
        <v>180</v>
      </c>
      <c r="AF294" t="n">
        <v>190</v>
      </c>
      <c r="AG294" t="n">
        <v>350</v>
      </c>
      <c r="AH294" t="n">
        <v>100</v>
      </c>
      <c r="AI294" t="n">
        <v>220</v>
      </c>
      <c r="AJ294" t="n">
        <v>23600</v>
      </c>
      <c r="AK294" t="n">
        <v>4100</v>
      </c>
      <c r="AL294" t="n">
        <v>610</v>
      </c>
      <c r="AM294" t="n">
        <v>800</v>
      </c>
      <c r="AN294" t="n">
        <v>400</v>
      </c>
      <c r="AO294" t="n">
        <v>5</v>
      </c>
      <c r="AP294" t="n">
        <v>0</v>
      </c>
      <c r="AQ294" t="n">
        <v>0</v>
      </c>
      <c r="AR294" t="n">
        <v>0</v>
      </c>
      <c r="AS294" t="n">
        <v>0</v>
      </c>
      <c r="AT294" t="n">
        <v>17450</v>
      </c>
      <c r="AU294" t="n">
        <v>14309</v>
      </c>
      <c r="AV294" t="n">
        <v>0</v>
      </c>
      <c r="AW294" t="n">
        <v>31759</v>
      </c>
      <c r="AX294" t="n">
        <v>1396</v>
      </c>
      <c r="AY294" t="n">
        <v>0</v>
      </c>
      <c r="AZ294" t="n">
        <v>0</v>
      </c>
      <c r="BA294" t="n">
        <v>1396</v>
      </c>
      <c r="BB294" t="n">
        <v>0</v>
      </c>
      <c r="BC294" t="n">
        <v>0</v>
      </c>
      <c r="BD294" t="n">
        <v>0</v>
      </c>
      <c r="BE294" t="n">
        <v>1745</v>
      </c>
      <c r="BF294" t="n">
        <v>1745</v>
      </c>
      <c r="BG294">
        <f>IF($F294=0,"0",MIN(
BH294/(30*$F294),
BI294/(61*$F294),
BJ294/(48*$F294),
(BK294+BL294)/(23*$F294),
(BM294+BN294)/(41*$F294),
BO294/(25*$F294),
BP294/(6.6*$F294),
BQ294/(40*$F294),
BS294/(16*$F294)
)*100)</f>
        <v/>
      </c>
      <c r="BH294" t="n">
        <v>444</v>
      </c>
      <c r="BI294" t="n">
        <v>740</v>
      </c>
      <c r="BJ294" t="n">
        <v>740</v>
      </c>
      <c r="BK294" t="n">
        <v>222</v>
      </c>
      <c r="BL294" t="n">
        <v>148</v>
      </c>
      <c r="BM294" t="n">
        <v>518</v>
      </c>
      <c r="BN294" t="n">
        <v>296</v>
      </c>
      <c r="BO294" t="n">
        <v>370</v>
      </c>
      <c r="BP294" t="n">
        <v>148</v>
      </c>
      <c r="BQ294" t="n">
        <v>592</v>
      </c>
      <c r="BR294" t="n">
        <v>666</v>
      </c>
      <c r="BS294" t="n">
        <v>222</v>
      </c>
      <c r="BT294" t="n">
        <v>5106</v>
      </c>
      <c r="BU294" t="n">
        <v>888</v>
      </c>
      <c r="BV294" t="n">
        <v>2220</v>
      </c>
      <c r="BW294" t="n">
        <v>2072</v>
      </c>
      <c r="BX294" t="n">
        <v>592</v>
      </c>
      <c r="BY294" t="n">
        <v>518</v>
      </c>
      <c r="BZ294" t="n">
        <v>592</v>
      </c>
      <c r="CA294" t="n">
        <v>6882</v>
      </c>
      <c r="CB294" t="n">
        <v>180</v>
      </c>
      <c r="CC294" t="n">
        <v>75</v>
      </c>
      <c r="CD294" t="n">
        <v>901</v>
      </c>
      <c r="CE294" t="n">
        <v>7464</v>
      </c>
      <c r="CF294" t="n">
        <v>8.279999999999999</v>
      </c>
      <c r="CG294" t="n">
        <v>0</v>
      </c>
      <c r="CH294" t="n">
        <v>0</v>
      </c>
      <c r="CI294" t="n">
        <v>0</v>
      </c>
      <c r="CJ294" t="n">
        <v>0</v>
      </c>
      <c r="CK294" t="n">
        <v>222</v>
      </c>
      <c r="CL294" t="n">
        <v>527</v>
      </c>
      <c r="CM294" t="n">
        <v>0</v>
      </c>
      <c r="CN294" t="n">
        <v>1018</v>
      </c>
      <c r="CO294" t="n">
        <v>0</v>
      </c>
      <c r="CP294" t="n">
        <v>339</v>
      </c>
      <c r="CQ294" t="n">
        <v>0</v>
      </c>
      <c r="CR294" t="n">
        <v>0</v>
      </c>
      <c r="CS294" t="n">
        <v>0</v>
      </c>
      <c r="CT294" t="n">
        <v>2106</v>
      </c>
      <c r="CU294" t="n">
        <v>0</v>
      </c>
      <c r="CV294" t="n">
        <v>0</v>
      </c>
      <c r="CW294" t="n">
        <v>117</v>
      </c>
      <c r="CX294" t="n">
        <v>0</v>
      </c>
      <c r="CY294" t="n">
        <v>1112</v>
      </c>
      <c r="CZ294" t="n">
        <v>0</v>
      </c>
      <c r="DA294" t="n">
        <v>0</v>
      </c>
      <c r="DB294" t="n">
        <v>0</v>
      </c>
      <c r="DC294" t="n">
        <v>1229</v>
      </c>
      <c r="DD294" t="n">
        <v>0</v>
      </c>
      <c r="DE294" t="n">
        <v>0</v>
      </c>
      <c r="DF294" t="n">
        <v>7464</v>
      </c>
      <c r="DG294" t="n">
        <v>901</v>
      </c>
      <c r="DH294" t="n">
        <v>0</v>
      </c>
      <c r="DI294" t="n">
        <v>0</v>
      </c>
      <c r="DJ294" t="n">
        <v>0</v>
      </c>
      <c r="DK294" t="n">
        <v>0</v>
      </c>
      <c r="DL294" t="n">
        <v>0</v>
      </c>
      <c r="DM294" t="n">
        <v>0</v>
      </c>
      <c r="DN294" t="n">
        <v>0</v>
      </c>
      <c r="DO294" t="n">
        <v>0</v>
      </c>
      <c r="DP294" t="n">
        <v>0</v>
      </c>
      <c r="DQ294" t="n">
        <v>0</v>
      </c>
      <c r="DR294" t="n">
        <v>0</v>
      </c>
      <c r="DS294" t="n">
        <v>8365</v>
      </c>
      <c r="DT294" t="n">
        <v>11700</v>
      </c>
      <c r="DU294" t="n">
        <v>1300</v>
      </c>
      <c r="DV294" t="n">
        <v>0</v>
      </c>
      <c r="DW294" t="n">
        <v>0</v>
      </c>
      <c r="DX294" t="n">
        <v>0</v>
      </c>
      <c r="DY294" t="n">
        <v>4598</v>
      </c>
      <c r="DZ294" t="n">
        <v>3762</v>
      </c>
      <c r="EA294" t="n">
        <v>4180</v>
      </c>
      <c r="EB294" t="n">
        <v>4180</v>
      </c>
      <c r="EC294" t="n">
        <v>4180</v>
      </c>
      <c r="ED294" t="n">
        <v>6270</v>
      </c>
      <c r="EE294" t="n">
        <v>14630</v>
      </c>
      <c r="EF294" t="n">
        <v>0</v>
      </c>
      <c r="EG294" t="n">
        <v>0.04</v>
      </c>
      <c r="EH294" t="n">
        <v>7</v>
      </c>
      <c r="EI294" t="n">
        <v>14.6</v>
      </c>
      <c r="EJ294" t="n">
        <v>13</v>
      </c>
      <c r="EK294" t="n">
        <v>12.6</v>
      </c>
    </row>
    <row r="295">
      <c r="A295">
        <f>[1]ingredient!B295</f>
        <v/>
      </c>
      <c r="B295" t="inlineStr">
        <is>
          <t>https://www.naehrwertrechner.de/naehrwerte/G542111/Gem%C3%BCsepaprika+gelb+frisch/?menge=100</t>
        </is>
      </c>
      <c r="C295" s="7">
        <f>_xlfn.XLOOKUP(A295,[1]ingredient!$B$2:$B$521,[1]ingredient!$A$2:$A$521)</f>
        <v/>
      </c>
      <c r="D295" t="n">
        <v>30</v>
      </c>
      <c r="E295" t="n">
        <v>0.3</v>
      </c>
      <c r="F295" t="n">
        <v>1</v>
      </c>
      <c r="G295" t="n">
        <v>5</v>
      </c>
      <c r="H295" t="n">
        <v>4</v>
      </c>
      <c r="I295" t="n">
        <v>5</v>
      </c>
      <c r="J295" t="n">
        <v>0.02</v>
      </c>
      <c r="K295" t="n">
        <v>89</v>
      </c>
      <c r="L295" t="n">
        <v>31</v>
      </c>
      <c r="M295" t="n">
        <v>11</v>
      </c>
      <c r="N295" t="n">
        <v>0</v>
      </c>
      <c r="O295" t="n">
        <v>135</v>
      </c>
      <c r="P295" t="n">
        <v>10</v>
      </c>
      <c r="Q295" t="n">
        <v>20</v>
      </c>
      <c r="R295" t="n">
        <v>700</v>
      </c>
      <c r="S295" t="n">
        <v>900</v>
      </c>
      <c r="T295" t="n">
        <v>80</v>
      </c>
      <c r="U295" t="n">
        <v>330</v>
      </c>
      <c r="V295" t="n">
        <v>3</v>
      </c>
      <c r="W295" t="n">
        <v>18</v>
      </c>
      <c r="X295" t="n">
        <v>0</v>
      </c>
      <c r="Y295" t="n">
        <v>130000</v>
      </c>
      <c r="Z295" t="n">
        <v>0</v>
      </c>
      <c r="AA295" t="n">
        <v>2519</v>
      </c>
      <c r="AB295" t="n">
        <v>5</v>
      </c>
      <c r="AC295" t="n">
        <v>4</v>
      </c>
      <c r="AD295" t="n">
        <v>220</v>
      </c>
      <c r="AE295" t="n">
        <v>8</v>
      </c>
      <c r="AF295" t="n">
        <v>16</v>
      </c>
      <c r="AG295" t="n">
        <v>26</v>
      </c>
      <c r="AH295" t="n">
        <v>19</v>
      </c>
      <c r="AI295" t="n">
        <v>15</v>
      </c>
      <c r="AJ295" t="n">
        <v>400</v>
      </c>
      <c r="AK295" t="n">
        <v>100</v>
      </c>
      <c r="AL295" t="n">
        <v>20</v>
      </c>
      <c r="AM295" t="n">
        <v>100</v>
      </c>
      <c r="AN295" t="n">
        <v>20</v>
      </c>
      <c r="AO295" t="n">
        <v>2</v>
      </c>
      <c r="AP295" t="n">
        <v>0</v>
      </c>
      <c r="AQ295" t="n">
        <v>0</v>
      </c>
      <c r="AR295" t="n">
        <v>0</v>
      </c>
      <c r="AS295" t="n">
        <v>0</v>
      </c>
      <c r="AT295" t="n">
        <v>2650</v>
      </c>
      <c r="AU295" t="n">
        <v>2173</v>
      </c>
      <c r="AV295" t="n">
        <v>0</v>
      </c>
      <c r="AW295" t="n">
        <v>4823</v>
      </c>
      <c r="AX295" t="n">
        <v>212</v>
      </c>
      <c r="AY295" t="n">
        <v>0</v>
      </c>
      <c r="AZ295" t="n">
        <v>0</v>
      </c>
      <c r="BA295" t="n">
        <v>212</v>
      </c>
      <c r="BB295" t="n">
        <v>0</v>
      </c>
      <c r="BC295" t="n">
        <v>0</v>
      </c>
      <c r="BD295" t="n">
        <v>0</v>
      </c>
      <c r="BE295" t="n">
        <v>265</v>
      </c>
      <c r="BF295" t="n">
        <v>265</v>
      </c>
      <c r="BG295">
        <f>IF($F295=0,"0",MIN(
BH295/(30*$F295),
BI295/(61*$F295),
BJ295/(48*$F295),
(BK295+BL295)/(23*$F295),
(BM295+BN295)/(41*$F295),
BO295/(25*$F295),
BP295/(6.6*$F295),
BQ295/(40*$F295),
BS295/(16*$F295)
)*100)</f>
        <v/>
      </c>
      <c r="BH295" t="n">
        <v>40</v>
      </c>
      <c r="BI295" t="n">
        <v>55</v>
      </c>
      <c r="BJ295" t="n">
        <v>52</v>
      </c>
      <c r="BK295" t="n">
        <v>11</v>
      </c>
      <c r="BL295" t="n">
        <v>22</v>
      </c>
      <c r="BM295" t="n">
        <v>46</v>
      </c>
      <c r="BN295" t="n">
        <v>24</v>
      </c>
      <c r="BO295" t="n">
        <v>42</v>
      </c>
      <c r="BP295" t="n">
        <v>12</v>
      </c>
      <c r="BQ295" t="n">
        <v>43</v>
      </c>
      <c r="BR295" t="n">
        <v>46</v>
      </c>
      <c r="BS295" t="n">
        <v>18</v>
      </c>
      <c r="BT295" t="n">
        <v>411</v>
      </c>
      <c r="BU295" t="n">
        <v>48</v>
      </c>
      <c r="BV295" t="n">
        <v>169</v>
      </c>
      <c r="BW295" t="n">
        <v>163</v>
      </c>
      <c r="BX295" t="n">
        <v>43</v>
      </c>
      <c r="BY295" t="n">
        <v>48</v>
      </c>
      <c r="BZ295" t="n">
        <v>54</v>
      </c>
      <c r="CA295" t="n">
        <v>525</v>
      </c>
      <c r="CB295" t="n">
        <v>10</v>
      </c>
      <c r="CC295" t="n">
        <v>4</v>
      </c>
      <c r="CD295" t="n">
        <v>29</v>
      </c>
      <c r="CE295" t="n">
        <v>138</v>
      </c>
      <c r="CF295" t="n">
        <v>4.76</v>
      </c>
      <c r="CG295" t="n">
        <v>0</v>
      </c>
      <c r="CH295" t="n">
        <v>0</v>
      </c>
      <c r="CI295" t="n">
        <v>0</v>
      </c>
      <c r="CJ295" t="n">
        <v>0</v>
      </c>
      <c r="CK295" t="n">
        <v>0</v>
      </c>
      <c r="CL295" t="n">
        <v>7</v>
      </c>
      <c r="CM295" t="n">
        <v>0</v>
      </c>
      <c r="CN295" t="n">
        <v>37</v>
      </c>
      <c r="CO295" t="n">
        <v>0</v>
      </c>
      <c r="CP295" t="n">
        <v>10</v>
      </c>
      <c r="CQ295" t="n">
        <v>0</v>
      </c>
      <c r="CR295" t="n">
        <v>0</v>
      </c>
      <c r="CS295" t="n">
        <v>0</v>
      </c>
      <c r="CT295" t="n">
        <v>54</v>
      </c>
      <c r="CU295" t="n">
        <v>0</v>
      </c>
      <c r="CV295" t="n">
        <v>0</v>
      </c>
      <c r="CW295" t="n">
        <v>1</v>
      </c>
      <c r="CX295" t="n">
        <v>0</v>
      </c>
      <c r="CY295" t="n">
        <v>18</v>
      </c>
      <c r="CZ295" t="n">
        <v>0</v>
      </c>
      <c r="DA295" t="n">
        <v>0</v>
      </c>
      <c r="DB295" t="n">
        <v>0</v>
      </c>
      <c r="DC295" t="n">
        <v>19</v>
      </c>
      <c r="DD295" t="n">
        <v>0</v>
      </c>
      <c r="DE295" t="n">
        <v>0</v>
      </c>
      <c r="DF295" t="n">
        <v>138</v>
      </c>
      <c r="DG295" t="n">
        <v>29</v>
      </c>
      <c r="DH295" t="n">
        <v>0</v>
      </c>
      <c r="DI295" t="n">
        <v>0</v>
      </c>
      <c r="DJ295" t="n">
        <v>0</v>
      </c>
      <c r="DK295" t="n">
        <v>0</v>
      </c>
      <c r="DL295" t="n">
        <v>0</v>
      </c>
      <c r="DM295" t="n">
        <v>0</v>
      </c>
      <c r="DN295" t="n">
        <v>0</v>
      </c>
      <c r="DO295" t="n">
        <v>0</v>
      </c>
      <c r="DP295" t="n">
        <v>0</v>
      </c>
      <c r="DQ295" t="n">
        <v>0</v>
      </c>
      <c r="DR295" t="n">
        <v>0</v>
      </c>
      <c r="DS295" t="n">
        <v>167</v>
      </c>
      <c r="DT295" t="n">
        <v>240</v>
      </c>
      <c r="DU295" t="n">
        <v>60</v>
      </c>
      <c r="DV295" t="n">
        <v>0</v>
      </c>
      <c r="DW295" t="n">
        <v>0</v>
      </c>
      <c r="DX295" t="n">
        <v>0</v>
      </c>
      <c r="DY295" t="n">
        <v>251</v>
      </c>
      <c r="DZ295" t="n">
        <v>431</v>
      </c>
      <c r="EA295" t="n">
        <v>1257</v>
      </c>
      <c r="EB295" t="n">
        <v>1149</v>
      </c>
      <c r="EC295" t="n">
        <v>503</v>
      </c>
      <c r="ED295" t="n">
        <v>539</v>
      </c>
      <c r="EE295" t="n">
        <v>3052</v>
      </c>
      <c r="EF295" t="n">
        <v>0</v>
      </c>
      <c r="EG295" t="n">
        <v>0.33</v>
      </c>
      <c r="EH295" t="n">
        <v>0.6</v>
      </c>
      <c r="EI295" t="n">
        <v>3.1</v>
      </c>
      <c r="EJ295" t="n">
        <v>0.3</v>
      </c>
      <c r="EK295" t="n">
        <v>1</v>
      </c>
    </row>
    <row r="296">
      <c r="A296">
        <f>[1]ingredient!B296</f>
        <v/>
      </c>
      <c r="B296" t="inlineStr">
        <is>
          <t>https://www.naehrwertrechner.de/naehrwerte/R251011/Paprika+Gew%C3%BCrz/?menge=100</t>
        </is>
      </c>
      <c r="C296" s="7">
        <f>_xlfn.XLOOKUP(A296,[1]ingredient!$B$2:$B$521,[1]ingredient!$A$2:$A$521)</f>
        <v/>
      </c>
      <c r="D296" t="n">
        <v>317</v>
      </c>
      <c r="E296" t="n">
        <v>13</v>
      </c>
      <c r="F296" t="n">
        <v>15</v>
      </c>
      <c r="G296" t="n">
        <v>35</v>
      </c>
      <c r="H296" t="n">
        <v>21</v>
      </c>
      <c r="I296" t="n">
        <v>33</v>
      </c>
      <c r="J296" t="n">
        <v>0.25</v>
      </c>
      <c r="K296" t="n">
        <v>9</v>
      </c>
      <c r="L296" t="n">
        <v>6042</v>
      </c>
      <c r="M296" t="n">
        <v>3021</v>
      </c>
      <c r="N296" t="n">
        <v>0</v>
      </c>
      <c r="O296" t="n">
        <v>36250</v>
      </c>
      <c r="P296" t="n">
        <v>650</v>
      </c>
      <c r="Q296" t="n">
        <v>1740</v>
      </c>
      <c r="R296" t="n">
        <v>15300</v>
      </c>
      <c r="S296" t="n">
        <v>17767</v>
      </c>
      <c r="T296" t="n">
        <v>0</v>
      </c>
      <c r="U296" t="n">
        <v>0</v>
      </c>
      <c r="V296" t="n">
        <v>0</v>
      </c>
      <c r="W296" t="n">
        <v>0</v>
      </c>
      <c r="X296" t="n">
        <v>0</v>
      </c>
      <c r="Y296" t="n">
        <v>0</v>
      </c>
      <c r="Z296" t="n">
        <v>0</v>
      </c>
      <c r="AA296" t="n">
        <v>0</v>
      </c>
      <c r="AB296" t="n">
        <v>0</v>
      </c>
      <c r="AC296" t="n">
        <v>34</v>
      </c>
      <c r="AD296" t="n">
        <v>2340</v>
      </c>
      <c r="AE296" t="n">
        <v>180</v>
      </c>
      <c r="AF296" t="n">
        <v>190</v>
      </c>
      <c r="AG296" t="n">
        <v>350</v>
      </c>
      <c r="AH296" t="n">
        <v>100</v>
      </c>
      <c r="AI296" t="n">
        <v>220</v>
      </c>
      <c r="AJ296" t="n">
        <v>23600</v>
      </c>
      <c r="AK296" t="n">
        <v>4100</v>
      </c>
      <c r="AL296" t="n">
        <v>610</v>
      </c>
      <c r="AM296" t="n">
        <v>800</v>
      </c>
      <c r="AN296" t="n">
        <v>400</v>
      </c>
      <c r="AO296" t="n">
        <v>5</v>
      </c>
      <c r="AP296" t="n">
        <v>0</v>
      </c>
      <c r="AQ296" t="n">
        <v>0</v>
      </c>
      <c r="AR296" t="n">
        <v>0</v>
      </c>
      <c r="AS296" t="n">
        <v>0</v>
      </c>
      <c r="AT296" t="n">
        <v>17450</v>
      </c>
      <c r="AU296" t="n">
        <v>14309</v>
      </c>
      <c r="AV296" t="n">
        <v>0</v>
      </c>
      <c r="AW296" t="n">
        <v>31759</v>
      </c>
      <c r="AX296" t="n">
        <v>1396</v>
      </c>
      <c r="AY296" t="n">
        <v>0</v>
      </c>
      <c r="AZ296" t="n">
        <v>0</v>
      </c>
      <c r="BA296" t="n">
        <v>1396</v>
      </c>
      <c r="BB296" t="n">
        <v>0</v>
      </c>
      <c r="BC296" t="n">
        <v>0</v>
      </c>
      <c r="BD296" t="n">
        <v>0</v>
      </c>
      <c r="BE296" t="n">
        <v>1745</v>
      </c>
      <c r="BF296" t="n">
        <v>1745</v>
      </c>
      <c r="BG296">
        <f>IF($F296=0,"0",MIN(
BH296/(30*$F296),
BI296/(61*$F296),
BJ296/(48*$F296),
(BK296+BL296)/(23*$F296),
(BM296+BN296)/(41*$F296),
BO296/(25*$F296),
BP296/(6.6*$F296),
BQ296/(40*$F296),
BS296/(16*$F296)
)*100)</f>
        <v/>
      </c>
      <c r="BH296" t="n">
        <v>444</v>
      </c>
      <c r="BI296" t="n">
        <v>740</v>
      </c>
      <c r="BJ296" t="n">
        <v>740</v>
      </c>
      <c r="BK296" t="n">
        <v>222</v>
      </c>
      <c r="BL296" t="n">
        <v>148</v>
      </c>
      <c r="BM296" t="n">
        <v>518</v>
      </c>
      <c r="BN296" t="n">
        <v>296</v>
      </c>
      <c r="BO296" t="n">
        <v>370</v>
      </c>
      <c r="BP296" t="n">
        <v>148</v>
      </c>
      <c r="BQ296" t="n">
        <v>592</v>
      </c>
      <c r="BR296" t="n">
        <v>666</v>
      </c>
      <c r="BS296" t="n">
        <v>222</v>
      </c>
      <c r="BT296" t="n">
        <v>5106</v>
      </c>
      <c r="BU296" t="n">
        <v>888</v>
      </c>
      <c r="BV296" t="n">
        <v>2220</v>
      </c>
      <c r="BW296" t="n">
        <v>2072</v>
      </c>
      <c r="BX296" t="n">
        <v>592</v>
      </c>
      <c r="BY296" t="n">
        <v>518</v>
      </c>
      <c r="BZ296" t="n">
        <v>592</v>
      </c>
      <c r="CA296" t="n">
        <v>6882</v>
      </c>
      <c r="CB296" t="n">
        <v>180</v>
      </c>
      <c r="CC296" t="n">
        <v>75</v>
      </c>
      <c r="CD296" t="n">
        <v>901</v>
      </c>
      <c r="CE296" t="n">
        <v>7464</v>
      </c>
      <c r="CF296" t="n">
        <v>8.279999999999999</v>
      </c>
      <c r="CG296" t="n">
        <v>0</v>
      </c>
      <c r="CH296" t="n">
        <v>0</v>
      </c>
      <c r="CI296" t="n">
        <v>0</v>
      </c>
      <c r="CJ296" t="n">
        <v>0</v>
      </c>
      <c r="CK296" t="n">
        <v>222</v>
      </c>
      <c r="CL296" t="n">
        <v>527</v>
      </c>
      <c r="CM296" t="n">
        <v>0</v>
      </c>
      <c r="CN296" t="n">
        <v>1018</v>
      </c>
      <c r="CO296" t="n">
        <v>0</v>
      </c>
      <c r="CP296" t="n">
        <v>339</v>
      </c>
      <c r="CQ296" t="n">
        <v>0</v>
      </c>
      <c r="CR296" t="n">
        <v>0</v>
      </c>
      <c r="CS296" t="n">
        <v>0</v>
      </c>
      <c r="CT296" t="n">
        <v>2106</v>
      </c>
      <c r="CU296" t="n">
        <v>0</v>
      </c>
      <c r="CV296" t="n">
        <v>0</v>
      </c>
      <c r="CW296" t="n">
        <v>117</v>
      </c>
      <c r="CX296" t="n">
        <v>0</v>
      </c>
      <c r="CY296" t="n">
        <v>1112</v>
      </c>
      <c r="CZ296" t="n">
        <v>0</v>
      </c>
      <c r="DA296" t="n">
        <v>0</v>
      </c>
      <c r="DB296" t="n">
        <v>0</v>
      </c>
      <c r="DC296" t="n">
        <v>1229</v>
      </c>
      <c r="DD296" t="n">
        <v>0</v>
      </c>
      <c r="DE296" t="n">
        <v>0</v>
      </c>
      <c r="DF296" t="n">
        <v>7464</v>
      </c>
      <c r="DG296" t="n">
        <v>901</v>
      </c>
      <c r="DH296" t="n">
        <v>0</v>
      </c>
      <c r="DI296" t="n">
        <v>0</v>
      </c>
      <c r="DJ296" t="n">
        <v>0</v>
      </c>
      <c r="DK296" t="n">
        <v>0</v>
      </c>
      <c r="DL296" t="n">
        <v>0</v>
      </c>
      <c r="DM296" t="n">
        <v>0</v>
      </c>
      <c r="DN296" t="n">
        <v>0</v>
      </c>
      <c r="DO296" t="n">
        <v>0</v>
      </c>
      <c r="DP296" t="n">
        <v>0</v>
      </c>
      <c r="DQ296" t="n">
        <v>0</v>
      </c>
      <c r="DR296" t="n">
        <v>0</v>
      </c>
      <c r="DS296" t="n">
        <v>8365</v>
      </c>
      <c r="DT296" t="n">
        <v>11700</v>
      </c>
      <c r="DU296" t="n">
        <v>1300</v>
      </c>
      <c r="DV296" t="n">
        <v>0</v>
      </c>
      <c r="DW296" t="n">
        <v>0</v>
      </c>
      <c r="DX296" t="n">
        <v>0</v>
      </c>
      <c r="DY296" t="n">
        <v>4598</v>
      </c>
      <c r="DZ296" t="n">
        <v>3762</v>
      </c>
      <c r="EA296" t="n">
        <v>4180</v>
      </c>
      <c r="EB296" t="n">
        <v>4180</v>
      </c>
      <c r="EC296" t="n">
        <v>4180</v>
      </c>
      <c r="ED296" t="n">
        <v>6270</v>
      </c>
      <c r="EE296" t="n">
        <v>14630</v>
      </c>
      <c r="EF296" t="n">
        <v>0</v>
      </c>
      <c r="EG296" t="n">
        <v>0.04</v>
      </c>
      <c r="EH296" t="n">
        <v>7</v>
      </c>
      <c r="EI296" t="n">
        <v>14.6</v>
      </c>
      <c r="EJ296" t="n">
        <v>13</v>
      </c>
      <c r="EK296" t="n">
        <v>12.6</v>
      </c>
    </row>
    <row r="297">
      <c r="A297">
        <f>[1]ingredient!B297</f>
        <v/>
      </c>
      <c r="B297" t="inlineStr">
        <is>
          <t>https://www.naehrwertrechner.de/naehrwerte/G541111/Gem%C3%BCsepaprika+gr%C3%BCn+frisch/?menge=100</t>
        </is>
      </c>
      <c r="C297" s="7">
        <f>_xlfn.XLOOKUP(A297,[1]ingredient!$B$2:$B$521,[1]ingredient!$A$2:$A$521)</f>
        <v/>
      </c>
      <c r="D297" t="n">
        <v>20</v>
      </c>
      <c r="E297" t="n">
        <v>0.3</v>
      </c>
      <c r="F297" t="n">
        <v>1</v>
      </c>
      <c r="G297" t="n">
        <v>3</v>
      </c>
      <c r="H297" t="n">
        <v>4</v>
      </c>
      <c r="I297" t="n">
        <v>3</v>
      </c>
      <c r="J297" t="n">
        <v>0.02</v>
      </c>
      <c r="K297" t="n">
        <v>91</v>
      </c>
      <c r="L297" t="n">
        <v>180</v>
      </c>
      <c r="M297" t="n">
        <v>45</v>
      </c>
      <c r="N297" t="n">
        <v>0</v>
      </c>
      <c r="O297" t="n">
        <v>535</v>
      </c>
      <c r="P297" t="n">
        <v>52</v>
      </c>
      <c r="Q297" t="n">
        <v>43</v>
      </c>
      <c r="R297" t="n">
        <v>330</v>
      </c>
      <c r="S297" t="n">
        <v>530</v>
      </c>
      <c r="T297" t="n">
        <v>230</v>
      </c>
      <c r="U297" t="n">
        <v>270</v>
      </c>
      <c r="V297" t="n">
        <v>3</v>
      </c>
      <c r="W297" t="n">
        <v>18</v>
      </c>
      <c r="X297" t="n">
        <v>0</v>
      </c>
      <c r="Y297" t="n">
        <v>139000</v>
      </c>
      <c r="Z297" t="n">
        <v>0</v>
      </c>
      <c r="AA297" t="n">
        <v>2519</v>
      </c>
      <c r="AB297" t="n">
        <v>14</v>
      </c>
      <c r="AC297" t="n">
        <v>3</v>
      </c>
      <c r="AD297" t="n">
        <v>177</v>
      </c>
      <c r="AE297" t="n">
        <v>11</v>
      </c>
      <c r="AF297" t="n">
        <v>12</v>
      </c>
      <c r="AG297" t="n">
        <v>29</v>
      </c>
      <c r="AH297" t="n">
        <v>21</v>
      </c>
      <c r="AI297" t="n">
        <v>19</v>
      </c>
      <c r="AJ297" t="n">
        <v>750</v>
      </c>
      <c r="AK297" t="n">
        <v>180</v>
      </c>
      <c r="AL297" t="n">
        <v>71</v>
      </c>
      <c r="AM297" t="n">
        <v>100</v>
      </c>
      <c r="AN297" t="n">
        <v>20</v>
      </c>
      <c r="AO297" t="n">
        <v>2</v>
      </c>
      <c r="AP297" t="n">
        <v>0</v>
      </c>
      <c r="AQ297" t="n">
        <v>0</v>
      </c>
      <c r="AR297" t="n">
        <v>0</v>
      </c>
      <c r="AS297" t="n">
        <v>0</v>
      </c>
      <c r="AT297" t="n">
        <v>1455</v>
      </c>
      <c r="AU297" t="n">
        <v>1193</v>
      </c>
      <c r="AV297" t="n">
        <v>0</v>
      </c>
      <c r="AW297" t="n">
        <v>2648</v>
      </c>
      <c r="AX297" t="n">
        <v>116</v>
      </c>
      <c r="AY297" t="n">
        <v>0</v>
      </c>
      <c r="AZ297" t="n">
        <v>0</v>
      </c>
      <c r="BA297" t="n">
        <v>116</v>
      </c>
      <c r="BB297" t="n">
        <v>0</v>
      </c>
      <c r="BC297" t="n">
        <v>0</v>
      </c>
      <c r="BD297" t="n">
        <v>0</v>
      </c>
      <c r="BE297" t="n">
        <v>146</v>
      </c>
      <c r="BF297" t="n">
        <v>146</v>
      </c>
      <c r="BG297">
        <f>IF($F297=0,"0",MIN(
BH297/(30*$F297),
BI297/(61*$F297),
BJ297/(48*$F297),
(BK297+BL297)/(23*$F297),
(BM297+BN297)/(41*$F297),
BO297/(25*$F297),
BP297/(6.6*$F297),
BQ297/(40*$F297),
BS297/(16*$F297)
)*100)</f>
        <v/>
      </c>
      <c r="BH297" t="n">
        <v>39</v>
      </c>
      <c r="BI297" t="n">
        <v>54</v>
      </c>
      <c r="BJ297" t="n">
        <v>50</v>
      </c>
      <c r="BK297" t="n">
        <v>11</v>
      </c>
      <c r="BL297" t="n">
        <v>21</v>
      </c>
      <c r="BM297" t="n">
        <v>44</v>
      </c>
      <c r="BN297" t="n">
        <v>23</v>
      </c>
      <c r="BO297" t="n">
        <v>41</v>
      </c>
      <c r="BP297" t="n">
        <v>12</v>
      </c>
      <c r="BQ297" t="n">
        <v>42</v>
      </c>
      <c r="BR297" t="n">
        <v>44</v>
      </c>
      <c r="BS297" t="n">
        <v>18</v>
      </c>
      <c r="BT297" t="n">
        <v>399</v>
      </c>
      <c r="BU297" t="n">
        <v>47</v>
      </c>
      <c r="BV297" t="n">
        <v>166</v>
      </c>
      <c r="BW297" t="n">
        <v>159</v>
      </c>
      <c r="BX297" t="n">
        <v>42</v>
      </c>
      <c r="BY297" t="n">
        <v>47</v>
      </c>
      <c r="BZ297" t="n">
        <v>53</v>
      </c>
      <c r="CA297" t="n">
        <v>514</v>
      </c>
      <c r="CB297" t="n">
        <v>10</v>
      </c>
      <c r="CC297" t="n">
        <v>4</v>
      </c>
      <c r="CD297" t="n">
        <v>29</v>
      </c>
      <c r="CE297" t="n">
        <v>138</v>
      </c>
      <c r="CF297" t="n">
        <v>4.76</v>
      </c>
      <c r="CG297" t="n">
        <v>0</v>
      </c>
      <c r="CH297" t="n">
        <v>0</v>
      </c>
      <c r="CI297" t="n">
        <v>0</v>
      </c>
      <c r="CJ297" t="n">
        <v>0</v>
      </c>
      <c r="CK297" t="n">
        <v>0</v>
      </c>
      <c r="CL297" t="n">
        <v>7</v>
      </c>
      <c r="CM297" t="n">
        <v>0</v>
      </c>
      <c r="CN297" t="n">
        <v>37</v>
      </c>
      <c r="CO297" t="n">
        <v>0</v>
      </c>
      <c r="CP297" t="n">
        <v>10</v>
      </c>
      <c r="CQ297" t="n">
        <v>0</v>
      </c>
      <c r="CR297" t="n">
        <v>0</v>
      </c>
      <c r="CS297" t="n">
        <v>0</v>
      </c>
      <c r="CT297" t="n">
        <v>54</v>
      </c>
      <c r="CU297" t="n">
        <v>0</v>
      </c>
      <c r="CV297" t="n">
        <v>0</v>
      </c>
      <c r="CW297" t="n">
        <v>1</v>
      </c>
      <c r="CX297" t="n">
        <v>0</v>
      </c>
      <c r="CY297" t="n">
        <v>18</v>
      </c>
      <c r="CZ297" t="n">
        <v>0</v>
      </c>
      <c r="DA297" t="n">
        <v>0</v>
      </c>
      <c r="DB297" t="n">
        <v>0</v>
      </c>
      <c r="DC297" t="n">
        <v>19</v>
      </c>
      <c r="DD297" t="n">
        <v>0</v>
      </c>
      <c r="DE297" t="n">
        <v>0</v>
      </c>
      <c r="DF297" t="n">
        <v>138</v>
      </c>
      <c r="DG297" t="n">
        <v>29</v>
      </c>
      <c r="DH297" t="n">
        <v>0</v>
      </c>
      <c r="DI297" t="n">
        <v>0</v>
      </c>
      <c r="DJ297" t="n">
        <v>0</v>
      </c>
      <c r="DK297" t="n">
        <v>0</v>
      </c>
      <c r="DL297" t="n">
        <v>0</v>
      </c>
      <c r="DM297" t="n">
        <v>0</v>
      </c>
      <c r="DN297" t="n">
        <v>0</v>
      </c>
      <c r="DO297" t="n">
        <v>0</v>
      </c>
      <c r="DP297" t="n">
        <v>0</v>
      </c>
      <c r="DQ297" t="n">
        <v>0</v>
      </c>
      <c r="DR297" t="n">
        <v>0</v>
      </c>
      <c r="DS297" t="n">
        <v>167</v>
      </c>
      <c r="DT297" t="n">
        <v>240</v>
      </c>
      <c r="DU297" t="n">
        <v>60</v>
      </c>
      <c r="DV297" t="n">
        <v>0</v>
      </c>
      <c r="DW297" t="n">
        <v>0</v>
      </c>
      <c r="DX297" t="n">
        <v>0</v>
      </c>
      <c r="DY297" t="n">
        <v>251</v>
      </c>
      <c r="DZ297" t="n">
        <v>431</v>
      </c>
      <c r="EA297" t="n">
        <v>1257</v>
      </c>
      <c r="EB297" t="n">
        <v>1149</v>
      </c>
      <c r="EC297" t="n">
        <v>503</v>
      </c>
      <c r="ED297" t="n">
        <v>539</v>
      </c>
      <c r="EE297" t="n">
        <v>3052</v>
      </c>
      <c r="EF297" t="n">
        <v>0</v>
      </c>
      <c r="EG297" t="n">
        <v>0.32</v>
      </c>
      <c r="EH297" t="n">
        <v>0.6</v>
      </c>
      <c r="EI297" t="n">
        <v>3.1</v>
      </c>
      <c r="EJ297" t="n">
        <v>0.3</v>
      </c>
      <c r="EK297" t="n">
        <v>0.9</v>
      </c>
    </row>
    <row r="298">
      <c r="A298">
        <f>[1]ingredient!B298</f>
        <v/>
      </c>
      <c r="B298" t="inlineStr">
        <is>
          <t>https://www.naehrwertrechner.de/naehrwerte/G542111/Gem%C3%BCsepaprika+gelb+frisch/?menge=100</t>
        </is>
      </c>
      <c r="C298" s="7">
        <f>_xlfn.XLOOKUP(A298,[1]ingredient!$B$2:$B$521,[1]ingredient!$A$2:$A$521)</f>
        <v/>
      </c>
      <c r="D298" t="n">
        <v>30</v>
      </c>
      <c r="E298" t="n">
        <v>0.3</v>
      </c>
      <c r="F298" t="n">
        <v>1</v>
      </c>
      <c r="G298" t="n">
        <v>5</v>
      </c>
      <c r="H298" t="n">
        <v>4</v>
      </c>
      <c r="I298" t="n">
        <v>5</v>
      </c>
      <c r="J298" t="n">
        <v>0.02</v>
      </c>
      <c r="K298" t="n">
        <v>89</v>
      </c>
      <c r="L298" t="n">
        <v>31</v>
      </c>
      <c r="M298" t="n">
        <v>11</v>
      </c>
      <c r="N298" t="n">
        <v>0</v>
      </c>
      <c r="O298" t="n">
        <v>135</v>
      </c>
      <c r="P298" t="n">
        <v>10</v>
      </c>
      <c r="Q298" t="n">
        <v>20</v>
      </c>
      <c r="R298" t="n">
        <v>700</v>
      </c>
      <c r="S298" t="n">
        <v>900</v>
      </c>
      <c r="T298" t="n">
        <v>80</v>
      </c>
      <c r="U298" t="n">
        <v>330</v>
      </c>
      <c r="V298" t="n">
        <v>3</v>
      </c>
      <c r="W298" t="n">
        <v>18</v>
      </c>
      <c r="X298" t="n">
        <v>0</v>
      </c>
      <c r="Y298" t="n">
        <v>130000</v>
      </c>
      <c r="Z298" t="n">
        <v>0</v>
      </c>
      <c r="AA298" t="n">
        <v>2519</v>
      </c>
      <c r="AB298" t="n">
        <v>5</v>
      </c>
      <c r="AC298" t="n">
        <v>4</v>
      </c>
      <c r="AD298" t="n">
        <v>220</v>
      </c>
      <c r="AE298" t="n">
        <v>8</v>
      </c>
      <c r="AF298" t="n">
        <v>16</v>
      </c>
      <c r="AG298" t="n">
        <v>26</v>
      </c>
      <c r="AH298" t="n">
        <v>19</v>
      </c>
      <c r="AI298" t="n">
        <v>15</v>
      </c>
      <c r="AJ298" t="n">
        <v>400</v>
      </c>
      <c r="AK298" t="n">
        <v>100</v>
      </c>
      <c r="AL298" t="n">
        <v>20</v>
      </c>
      <c r="AM298" t="n">
        <v>100</v>
      </c>
      <c r="AN298" t="n">
        <v>20</v>
      </c>
      <c r="AO298" t="n">
        <v>2</v>
      </c>
      <c r="AP298" t="n">
        <v>0</v>
      </c>
      <c r="AQ298" t="n">
        <v>0</v>
      </c>
      <c r="AR298" t="n">
        <v>0</v>
      </c>
      <c r="AS298" t="n">
        <v>0</v>
      </c>
      <c r="AT298" t="n">
        <v>2650</v>
      </c>
      <c r="AU298" t="n">
        <v>2173</v>
      </c>
      <c r="AV298" t="n">
        <v>0</v>
      </c>
      <c r="AW298" t="n">
        <v>4823</v>
      </c>
      <c r="AX298" t="n">
        <v>212</v>
      </c>
      <c r="AY298" t="n">
        <v>0</v>
      </c>
      <c r="AZ298" t="n">
        <v>0</v>
      </c>
      <c r="BA298" t="n">
        <v>212</v>
      </c>
      <c r="BB298" t="n">
        <v>0</v>
      </c>
      <c r="BC298" t="n">
        <v>0</v>
      </c>
      <c r="BD298" t="n">
        <v>0</v>
      </c>
      <c r="BE298" t="n">
        <v>265</v>
      </c>
      <c r="BF298" t="n">
        <v>265</v>
      </c>
      <c r="BG298">
        <f>IF($F298=0,"0",MIN(
BH298/(30*$F298),
BI298/(61*$F298),
BJ298/(48*$F298),
(BK298+BL298)/(23*$F298),
(BM298+BN298)/(41*$F298),
BO298/(25*$F298),
BP298/(6.6*$F298),
BQ298/(40*$F298),
BS298/(16*$F298)
)*100)</f>
        <v/>
      </c>
      <c r="BH298" t="n">
        <v>40</v>
      </c>
      <c r="BI298" t="n">
        <v>55</v>
      </c>
      <c r="BJ298" t="n">
        <v>52</v>
      </c>
      <c r="BK298" t="n">
        <v>11</v>
      </c>
      <c r="BL298" t="n">
        <v>22</v>
      </c>
      <c r="BM298" t="n">
        <v>46</v>
      </c>
      <c r="BN298" t="n">
        <v>24</v>
      </c>
      <c r="BO298" t="n">
        <v>42</v>
      </c>
      <c r="BP298" t="n">
        <v>12</v>
      </c>
      <c r="BQ298" t="n">
        <v>43</v>
      </c>
      <c r="BR298" t="n">
        <v>46</v>
      </c>
      <c r="BS298" t="n">
        <v>18</v>
      </c>
      <c r="BT298" t="n">
        <v>411</v>
      </c>
      <c r="BU298" t="n">
        <v>48</v>
      </c>
      <c r="BV298" t="n">
        <v>169</v>
      </c>
      <c r="BW298" t="n">
        <v>163</v>
      </c>
      <c r="BX298" t="n">
        <v>43</v>
      </c>
      <c r="BY298" t="n">
        <v>48</v>
      </c>
      <c r="BZ298" t="n">
        <v>54</v>
      </c>
      <c r="CA298" t="n">
        <v>525</v>
      </c>
      <c r="CB298" t="n">
        <v>10</v>
      </c>
      <c r="CC298" t="n">
        <v>4</v>
      </c>
      <c r="CD298" t="n">
        <v>29</v>
      </c>
      <c r="CE298" t="n">
        <v>138</v>
      </c>
      <c r="CF298" t="n">
        <v>4.76</v>
      </c>
      <c r="CG298" t="n">
        <v>0</v>
      </c>
      <c r="CH298" t="n">
        <v>0</v>
      </c>
      <c r="CI298" t="n">
        <v>0</v>
      </c>
      <c r="CJ298" t="n">
        <v>0</v>
      </c>
      <c r="CK298" t="n">
        <v>0</v>
      </c>
      <c r="CL298" t="n">
        <v>7</v>
      </c>
      <c r="CM298" t="n">
        <v>0</v>
      </c>
      <c r="CN298" t="n">
        <v>37</v>
      </c>
      <c r="CO298" t="n">
        <v>0</v>
      </c>
      <c r="CP298" t="n">
        <v>10</v>
      </c>
      <c r="CQ298" t="n">
        <v>0</v>
      </c>
      <c r="CR298" t="n">
        <v>0</v>
      </c>
      <c r="CS298" t="n">
        <v>0</v>
      </c>
      <c r="CT298" t="n">
        <v>54</v>
      </c>
      <c r="CU298" t="n">
        <v>0</v>
      </c>
      <c r="CV298" t="n">
        <v>0</v>
      </c>
      <c r="CW298" t="n">
        <v>1</v>
      </c>
      <c r="CX298" t="n">
        <v>0</v>
      </c>
      <c r="CY298" t="n">
        <v>18</v>
      </c>
      <c r="CZ298" t="n">
        <v>0</v>
      </c>
      <c r="DA298" t="n">
        <v>0</v>
      </c>
      <c r="DB298" t="n">
        <v>0</v>
      </c>
      <c r="DC298" t="n">
        <v>19</v>
      </c>
      <c r="DD298" t="n">
        <v>0</v>
      </c>
      <c r="DE298" t="n">
        <v>0</v>
      </c>
      <c r="DF298" t="n">
        <v>138</v>
      </c>
      <c r="DG298" t="n">
        <v>29</v>
      </c>
      <c r="DH298" t="n">
        <v>0</v>
      </c>
      <c r="DI298" t="n">
        <v>0</v>
      </c>
      <c r="DJ298" t="n">
        <v>0</v>
      </c>
      <c r="DK298" t="n">
        <v>0</v>
      </c>
      <c r="DL298" t="n">
        <v>0</v>
      </c>
      <c r="DM298" t="n">
        <v>0</v>
      </c>
      <c r="DN298" t="n">
        <v>0</v>
      </c>
      <c r="DO298" t="n">
        <v>0</v>
      </c>
      <c r="DP298" t="n">
        <v>0</v>
      </c>
      <c r="DQ298" t="n">
        <v>0</v>
      </c>
      <c r="DR298" t="n">
        <v>0</v>
      </c>
      <c r="DS298" t="n">
        <v>167</v>
      </c>
      <c r="DT298" t="n">
        <v>240</v>
      </c>
      <c r="DU298" t="n">
        <v>60</v>
      </c>
      <c r="DV298" t="n">
        <v>0</v>
      </c>
      <c r="DW298" t="n">
        <v>0</v>
      </c>
      <c r="DX298" t="n">
        <v>0</v>
      </c>
      <c r="DY298" t="n">
        <v>251</v>
      </c>
      <c r="DZ298" t="n">
        <v>431</v>
      </c>
      <c r="EA298" t="n">
        <v>1257</v>
      </c>
      <c r="EB298" t="n">
        <v>1149</v>
      </c>
      <c r="EC298" t="n">
        <v>503</v>
      </c>
      <c r="ED298" t="n">
        <v>539</v>
      </c>
      <c r="EE298" t="n">
        <v>3052</v>
      </c>
      <c r="EF298" t="n">
        <v>0</v>
      </c>
      <c r="EG298" t="n">
        <v>0.33</v>
      </c>
      <c r="EH298" t="n">
        <v>0.6</v>
      </c>
      <c r="EI298" t="n">
        <v>3.1</v>
      </c>
      <c r="EJ298" t="n">
        <v>0.3</v>
      </c>
      <c r="EK298" t="n">
        <v>1</v>
      </c>
    </row>
    <row r="299">
      <c r="A299">
        <f>[1]ingredient!B299</f>
        <v/>
      </c>
      <c r="B299" t="inlineStr">
        <is>
          <t>https://www.naehrwertrechner.de/naehrwerte/R251111/Rosenpaprika/?menge=100</t>
        </is>
      </c>
      <c r="C299" s="7">
        <f>_xlfn.XLOOKUP(A299,[1]ingredient!$B$2:$B$521,[1]ingredient!$A$2:$A$521)</f>
        <v/>
      </c>
      <c r="D299" t="n">
        <v>317</v>
      </c>
      <c r="E299" t="n">
        <v>13</v>
      </c>
      <c r="F299" t="n">
        <v>15</v>
      </c>
      <c r="G299" t="n">
        <v>35</v>
      </c>
      <c r="H299" t="n">
        <v>21</v>
      </c>
      <c r="I299" t="n">
        <v>33</v>
      </c>
      <c r="J299" t="n">
        <v>0.25</v>
      </c>
      <c r="K299" t="n">
        <v>9</v>
      </c>
      <c r="L299" t="n">
        <v>6042</v>
      </c>
      <c r="M299" t="n">
        <v>3021</v>
      </c>
      <c r="N299" t="n">
        <v>0</v>
      </c>
      <c r="O299" t="n">
        <v>36250</v>
      </c>
      <c r="P299" t="n">
        <v>650</v>
      </c>
      <c r="Q299" t="n">
        <v>1740</v>
      </c>
      <c r="R299" t="n">
        <v>15300</v>
      </c>
      <c r="S299" t="n">
        <v>17767</v>
      </c>
      <c r="T299" t="n">
        <v>0</v>
      </c>
      <c r="U299" t="n">
        <v>0</v>
      </c>
      <c r="V299" t="n">
        <v>0</v>
      </c>
      <c r="W299" t="n">
        <v>0</v>
      </c>
      <c r="X299" t="n">
        <v>0</v>
      </c>
      <c r="Y299" t="n">
        <v>0</v>
      </c>
      <c r="Z299" t="n">
        <v>0</v>
      </c>
      <c r="AA299" t="n">
        <v>0</v>
      </c>
      <c r="AB299" t="n">
        <v>0</v>
      </c>
      <c r="AC299" t="n">
        <v>34</v>
      </c>
      <c r="AD299" t="n">
        <v>2340</v>
      </c>
      <c r="AE299" t="n">
        <v>180</v>
      </c>
      <c r="AF299" t="n">
        <v>190</v>
      </c>
      <c r="AG299" t="n">
        <v>350</v>
      </c>
      <c r="AH299" t="n">
        <v>100</v>
      </c>
      <c r="AI299" t="n">
        <v>220</v>
      </c>
      <c r="AJ299" t="n">
        <v>23600</v>
      </c>
      <c r="AK299" t="n">
        <v>4100</v>
      </c>
      <c r="AL299" t="n">
        <v>610</v>
      </c>
      <c r="AM299" t="n">
        <v>800</v>
      </c>
      <c r="AN299" t="n">
        <v>400</v>
      </c>
      <c r="AO299" t="n">
        <v>5</v>
      </c>
      <c r="AP299" t="n">
        <v>0</v>
      </c>
      <c r="AQ299" t="n">
        <v>0</v>
      </c>
      <c r="AR299" t="n">
        <v>0</v>
      </c>
      <c r="AS299" t="n">
        <v>0</v>
      </c>
      <c r="AT299" t="n">
        <v>17450</v>
      </c>
      <c r="AU299" t="n">
        <v>14309</v>
      </c>
      <c r="AV299" t="n">
        <v>0</v>
      </c>
      <c r="AW299" t="n">
        <v>31759</v>
      </c>
      <c r="AX299" t="n">
        <v>1396</v>
      </c>
      <c r="AY299" t="n">
        <v>0</v>
      </c>
      <c r="AZ299" t="n">
        <v>0</v>
      </c>
      <c r="BA299" t="n">
        <v>1396</v>
      </c>
      <c r="BB299" t="n">
        <v>0</v>
      </c>
      <c r="BC299" t="n">
        <v>0</v>
      </c>
      <c r="BD299" t="n">
        <v>0</v>
      </c>
      <c r="BE299" t="n">
        <v>1745</v>
      </c>
      <c r="BF299" t="n">
        <v>1745</v>
      </c>
      <c r="BG299">
        <f>IF($F299=0,"0",MIN(
BH299/(30*$F299),
BI299/(61*$F299),
BJ299/(48*$F299),
(BK299+BL299)/(23*$F299),
(BM299+BN299)/(41*$F299),
BO299/(25*$F299),
BP299/(6.6*$F299),
BQ299/(40*$F299),
BS299/(16*$F299)
)*100)</f>
        <v/>
      </c>
      <c r="BH299" t="n">
        <v>444</v>
      </c>
      <c r="BI299" t="n">
        <v>740</v>
      </c>
      <c r="BJ299" t="n">
        <v>740</v>
      </c>
      <c r="BK299" t="n">
        <v>222</v>
      </c>
      <c r="BL299" t="n">
        <v>148</v>
      </c>
      <c r="BM299" t="n">
        <v>518</v>
      </c>
      <c r="BN299" t="n">
        <v>296</v>
      </c>
      <c r="BO299" t="n">
        <v>370</v>
      </c>
      <c r="BP299" t="n">
        <v>148</v>
      </c>
      <c r="BQ299" t="n">
        <v>592</v>
      </c>
      <c r="BR299" t="n">
        <v>666</v>
      </c>
      <c r="BS299" t="n">
        <v>222</v>
      </c>
      <c r="BT299" t="n">
        <v>5106</v>
      </c>
      <c r="BU299" t="n">
        <v>888</v>
      </c>
      <c r="BV299" t="n">
        <v>2220</v>
      </c>
      <c r="BW299" t="n">
        <v>2072</v>
      </c>
      <c r="BX299" t="n">
        <v>592</v>
      </c>
      <c r="BY299" t="n">
        <v>518</v>
      </c>
      <c r="BZ299" t="n">
        <v>592</v>
      </c>
      <c r="CA299" t="n">
        <v>6882</v>
      </c>
      <c r="CB299" t="n">
        <v>180</v>
      </c>
      <c r="CC299" t="n">
        <v>75</v>
      </c>
      <c r="CD299" t="n">
        <v>901</v>
      </c>
      <c r="CE299" t="n">
        <v>7464</v>
      </c>
      <c r="CF299" t="n">
        <v>8.279999999999999</v>
      </c>
      <c r="CG299" t="n">
        <v>0</v>
      </c>
      <c r="CH299" t="n">
        <v>0</v>
      </c>
      <c r="CI299" t="n">
        <v>0</v>
      </c>
      <c r="CJ299" t="n">
        <v>0</v>
      </c>
      <c r="CK299" t="n">
        <v>222</v>
      </c>
      <c r="CL299" t="n">
        <v>527</v>
      </c>
      <c r="CM299" t="n">
        <v>0</v>
      </c>
      <c r="CN299" t="n">
        <v>1018</v>
      </c>
      <c r="CO299" t="n">
        <v>0</v>
      </c>
      <c r="CP299" t="n">
        <v>339</v>
      </c>
      <c r="CQ299" t="n">
        <v>0</v>
      </c>
      <c r="CR299" t="n">
        <v>0</v>
      </c>
      <c r="CS299" t="n">
        <v>0</v>
      </c>
      <c r="CT299" t="n">
        <v>2106</v>
      </c>
      <c r="CU299" t="n">
        <v>0</v>
      </c>
      <c r="CV299" t="n">
        <v>0</v>
      </c>
      <c r="CW299" t="n">
        <v>117</v>
      </c>
      <c r="CX299" t="n">
        <v>0</v>
      </c>
      <c r="CY299" t="n">
        <v>1112</v>
      </c>
      <c r="CZ299" t="n">
        <v>0</v>
      </c>
      <c r="DA299" t="n">
        <v>0</v>
      </c>
      <c r="DB299" t="n">
        <v>0</v>
      </c>
      <c r="DC299" t="n">
        <v>1229</v>
      </c>
      <c r="DD299" t="n">
        <v>0</v>
      </c>
      <c r="DE299" t="n">
        <v>0</v>
      </c>
      <c r="DF299" t="n">
        <v>7464</v>
      </c>
      <c r="DG299" t="n">
        <v>901</v>
      </c>
      <c r="DH299" t="n">
        <v>0</v>
      </c>
      <c r="DI299" t="n">
        <v>0</v>
      </c>
      <c r="DJ299" t="n">
        <v>0</v>
      </c>
      <c r="DK299" t="n">
        <v>0</v>
      </c>
      <c r="DL299" t="n">
        <v>0</v>
      </c>
      <c r="DM299" t="n">
        <v>0</v>
      </c>
      <c r="DN299" t="n">
        <v>0</v>
      </c>
      <c r="DO299" t="n">
        <v>0</v>
      </c>
      <c r="DP299" t="n">
        <v>0</v>
      </c>
      <c r="DQ299" t="n">
        <v>0</v>
      </c>
      <c r="DR299" t="n">
        <v>0</v>
      </c>
      <c r="DS299" t="n">
        <v>8365</v>
      </c>
      <c r="DT299" t="n">
        <v>11700</v>
      </c>
      <c r="DU299" t="n">
        <v>1300</v>
      </c>
      <c r="DV299" t="n">
        <v>0</v>
      </c>
      <c r="DW299" t="n">
        <v>0</v>
      </c>
      <c r="DX299" t="n">
        <v>0</v>
      </c>
      <c r="DY299" t="n">
        <v>4598</v>
      </c>
      <c r="DZ299" t="n">
        <v>3762</v>
      </c>
      <c r="EA299" t="n">
        <v>4180</v>
      </c>
      <c r="EB299" t="n">
        <v>4180</v>
      </c>
      <c r="EC299" t="n">
        <v>4180</v>
      </c>
      <c r="ED299" t="n">
        <v>6270</v>
      </c>
      <c r="EE299" t="n">
        <v>14630</v>
      </c>
      <c r="EF299" t="n">
        <v>0</v>
      </c>
      <c r="EG299" t="n">
        <v>0.04</v>
      </c>
      <c r="EH299" t="n">
        <v>7</v>
      </c>
      <c r="EI299" t="n">
        <v>14.6</v>
      </c>
      <c r="EJ299" t="n">
        <v>13</v>
      </c>
      <c r="EK299" t="n">
        <v>12.6</v>
      </c>
    </row>
    <row r="300">
      <c r="A300">
        <f>[1]ingredient!B300</f>
        <v/>
      </c>
      <c r="B300" t="inlineStr">
        <is>
          <t>https://www.naehrwertrechner.de/naehrwerte/G543111/Gem%C3%BCsepaprika+rot+frisch/?menge=100</t>
        </is>
      </c>
      <c r="C300" s="7">
        <f>_xlfn.XLOOKUP(A300,[1]ingredient!$B$2:$B$521,[1]ingredient!$A$2:$A$521)</f>
        <v/>
      </c>
      <c r="D300" t="n">
        <v>37</v>
      </c>
      <c r="E300" t="n">
        <v>1</v>
      </c>
      <c r="F300" t="n">
        <v>1</v>
      </c>
      <c r="G300" t="n">
        <v>6</v>
      </c>
      <c r="H300" t="n">
        <v>4</v>
      </c>
      <c r="I300" t="n">
        <v>6</v>
      </c>
      <c r="J300" t="n">
        <v>0.02</v>
      </c>
      <c r="K300" t="n">
        <v>87</v>
      </c>
      <c r="L300" t="n">
        <v>354</v>
      </c>
      <c r="M300" t="n">
        <v>177</v>
      </c>
      <c r="N300" t="n">
        <v>0</v>
      </c>
      <c r="O300" t="n">
        <v>2125</v>
      </c>
      <c r="P300" t="n">
        <v>40</v>
      </c>
      <c r="Q300" t="n">
        <v>120</v>
      </c>
      <c r="R300" t="n">
        <v>1600</v>
      </c>
      <c r="S300" t="n">
        <v>1817</v>
      </c>
      <c r="T300" t="n">
        <v>270</v>
      </c>
      <c r="U300" t="n">
        <v>450</v>
      </c>
      <c r="V300" t="n">
        <v>3</v>
      </c>
      <c r="W300" t="n">
        <v>50</v>
      </c>
      <c r="X300" t="n">
        <v>0</v>
      </c>
      <c r="Y300" t="n">
        <v>140000</v>
      </c>
      <c r="Z300" t="n">
        <v>0</v>
      </c>
      <c r="AA300" t="n">
        <v>2900</v>
      </c>
      <c r="AB300" t="n">
        <v>5</v>
      </c>
      <c r="AC300" t="n">
        <v>5</v>
      </c>
      <c r="AD300" t="n">
        <v>260</v>
      </c>
      <c r="AE300" t="n">
        <v>10</v>
      </c>
      <c r="AF300" t="n">
        <v>14</v>
      </c>
      <c r="AG300" t="n">
        <v>30</v>
      </c>
      <c r="AH300" t="n">
        <v>20</v>
      </c>
      <c r="AI300" t="n">
        <v>18</v>
      </c>
      <c r="AJ300" t="n">
        <v>550</v>
      </c>
      <c r="AK300" t="n">
        <v>260</v>
      </c>
      <c r="AL300" t="n">
        <v>80</v>
      </c>
      <c r="AM300" t="n">
        <v>100</v>
      </c>
      <c r="AN300" t="n">
        <v>20</v>
      </c>
      <c r="AO300" t="n">
        <v>1</v>
      </c>
      <c r="AP300" t="n">
        <v>0</v>
      </c>
      <c r="AQ300" t="n">
        <v>0</v>
      </c>
      <c r="AR300" t="n">
        <v>0</v>
      </c>
      <c r="AS300" t="n">
        <v>0</v>
      </c>
      <c r="AT300" t="n">
        <v>2336</v>
      </c>
      <c r="AU300" t="n">
        <v>3744</v>
      </c>
      <c r="AV300" t="n">
        <v>256</v>
      </c>
      <c r="AW300" t="n">
        <v>6336</v>
      </c>
      <c r="AX300" t="n">
        <v>64</v>
      </c>
      <c r="AY300" t="n">
        <v>0</v>
      </c>
      <c r="AZ300" t="n">
        <v>0</v>
      </c>
      <c r="BA300" t="n">
        <v>64</v>
      </c>
      <c r="BB300" t="n">
        <v>0</v>
      </c>
      <c r="BC300" t="n">
        <v>0</v>
      </c>
      <c r="BD300" t="n">
        <v>0</v>
      </c>
      <c r="BE300" t="n">
        <v>0</v>
      </c>
      <c r="BF300" t="n">
        <v>0</v>
      </c>
      <c r="BG300">
        <f>IF($F300=0,"0",MIN(
BH300/(30*$F300),
BI300/(61*$F300),
BJ300/(48*$F300),
(BK300+BL300)/(23*$F300),
(BM300+BN300)/(41*$F300),
BO300/(25*$F300),
BP300/(6.6*$F300),
BQ300/(40*$F300),
BS300/(16*$F300)
)*100)</f>
        <v/>
      </c>
      <c r="BH300" t="n">
        <v>43</v>
      </c>
      <c r="BI300" t="n">
        <v>60</v>
      </c>
      <c r="BJ300" t="n">
        <v>56</v>
      </c>
      <c r="BK300" t="n">
        <v>12</v>
      </c>
      <c r="BL300" t="n">
        <v>23</v>
      </c>
      <c r="BM300" t="n">
        <v>49</v>
      </c>
      <c r="BN300" t="n">
        <v>26</v>
      </c>
      <c r="BO300" t="n">
        <v>46</v>
      </c>
      <c r="BP300" t="n">
        <v>13</v>
      </c>
      <c r="BQ300" t="n">
        <v>47</v>
      </c>
      <c r="BR300" t="n">
        <v>49</v>
      </c>
      <c r="BS300" t="n">
        <v>20</v>
      </c>
      <c r="BT300" t="n">
        <v>444</v>
      </c>
      <c r="BU300" t="n">
        <v>52</v>
      </c>
      <c r="BV300" t="n">
        <v>183</v>
      </c>
      <c r="BW300" t="n">
        <v>177</v>
      </c>
      <c r="BX300" t="n">
        <v>47</v>
      </c>
      <c r="BY300" t="n">
        <v>52</v>
      </c>
      <c r="BZ300" t="n">
        <v>59</v>
      </c>
      <c r="CA300" t="n">
        <v>570</v>
      </c>
      <c r="CB300" t="n">
        <v>15</v>
      </c>
      <c r="CC300" t="n">
        <v>6</v>
      </c>
      <c r="CD300" t="n">
        <v>48</v>
      </c>
      <c r="CE300" t="n">
        <v>229</v>
      </c>
      <c r="CF300" t="n">
        <v>4.77</v>
      </c>
      <c r="CG300" t="n">
        <v>0</v>
      </c>
      <c r="CH300" t="n">
        <v>0</v>
      </c>
      <c r="CI300" t="n">
        <v>0</v>
      </c>
      <c r="CJ300" t="n">
        <v>0</v>
      </c>
      <c r="CK300" t="n">
        <v>0</v>
      </c>
      <c r="CL300" t="n">
        <v>12</v>
      </c>
      <c r="CM300" t="n">
        <v>0</v>
      </c>
      <c r="CN300" t="n">
        <v>62</v>
      </c>
      <c r="CO300" t="n">
        <v>0</v>
      </c>
      <c r="CP300" t="n">
        <v>17</v>
      </c>
      <c r="CQ300" t="n">
        <v>0</v>
      </c>
      <c r="CR300" t="n">
        <v>0</v>
      </c>
      <c r="CS300" t="n">
        <v>0</v>
      </c>
      <c r="CT300" t="n">
        <v>91</v>
      </c>
      <c r="CU300" t="n">
        <v>0</v>
      </c>
      <c r="CV300" t="n">
        <v>0</v>
      </c>
      <c r="CW300" t="n">
        <v>2</v>
      </c>
      <c r="CX300" t="n">
        <v>0</v>
      </c>
      <c r="CY300" t="n">
        <v>30</v>
      </c>
      <c r="CZ300" t="n">
        <v>0</v>
      </c>
      <c r="DA300" t="n">
        <v>0</v>
      </c>
      <c r="DB300" t="n">
        <v>0</v>
      </c>
      <c r="DC300" t="n">
        <v>32</v>
      </c>
      <c r="DD300" t="n">
        <v>0</v>
      </c>
      <c r="DE300" t="n">
        <v>0</v>
      </c>
      <c r="DF300" t="n">
        <v>229</v>
      </c>
      <c r="DG300" t="n">
        <v>48</v>
      </c>
      <c r="DH300" t="n">
        <v>0</v>
      </c>
      <c r="DI300" t="n">
        <v>0</v>
      </c>
      <c r="DJ300" t="n">
        <v>0</v>
      </c>
      <c r="DK300" t="n">
        <v>0</v>
      </c>
      <c r="DL300" t="n">
        <v>0</v>
      </c>
      <c r="DM300" t="n">
        <v>0</v>
      </c>
      <c r="DN300" t="n">
        <v>0</v>
      </c>
      <c r="DO300" t="n">
        <v>0</v>
      </c>
      <c r="DP300" t="n">
        <v>0</v>
      </c>
      <c r="DQ300" t="n">
        <v>0</v>
      </c>
      <c r="DR300" t="n">
        <v>0</v>
      </c>
      <c r="DS300" t="n">
        <v>277</v>
      </c>
      <c r="DT300" t="n">
        <v>400</v>
      </c>
      <c r="DU300" t="n">
        <v>100</v>
      </c>
      <c r="DV300" t="n">
        <v>0</v>
      </c>
      <c r="DW300" t="n">
        <v>0</v>
      </c>
      <c r="DX300" t="n">
        <v>0</v>
      </c>
      <c r="DY300" t="n">
        <v>251</v>
      </c>
      <c r="DZ300" t="n">
        <v>431</v>
      </c>
      <c r="EA300" t="n">
        <v>1257</v>
      </c>
      <c r="EB300" t="n">
        <v>1149</v>
      </c>
      <c r="EC300" t="n">
        <v>503</v>
      </c>
      <c r="ED300" t="n">
        <v>539</v>
      </c>
      <c r="EE300" t="n">
        <v>3052</v>
      </c>
      <c r="EF300" t="n">
        <v>0</v>
      </c>
      <c r="EG300" t="n">
        <v>0.33</v>
      </c>
      <c r="EH300" t="n">
        <v>0.6</v>
      </c>
      <c r="EI300" t="n">
        <v>3.1</v>
      </c>
      <c r="EJ300" t="n">
        <v>0.5</v>
      </c>
      <c r="EK300" t="n">
        <v>1.1</v>
      </c>
    </row>
    <row r="301">
      <c r="A301">
        <f>[1]ingredient!B301</f>
        <v/>
      </c>
      <c r="B301" t="inlineStr">
        <is>
          <t>https://www.naehrwertrechner.de/naehrwerte/H180000/Paranuss/?menge=100</t>
        </is>
      </c>
      <c r="C301" s="7">
        <f>_xlfn.XLOOKUP(A301,[1]ingredient!$B$2:$B$521,[1]ingredient!$A$2:$A$521)</f>
        <v/>
      </c>
      <c r="D301" t="n">
        <v>660</v>
      </c>
      <c r="E301" t="n">
        <v>67</v>
      </c>
      <c r="F301" t="n">
        <v>14</v>
      </c>
      <c r="G301" t="n">
        <v>4</v>
      </c>
      <c r="H301" t="n">
        <v>8</v>
      </c>
      <c r="I301" t="n">
        <v>1</v>
      </c>
      <c r="J301" t="n">
        <v>0.06</v>
      </c>
      <c r="K301" t="n">
        <v>4</v>
      </c>
      <c r="L301" t="n">
        <v>0</v>
      </c>
      <c r="M301" t="n">
        <v>0</v>
      </c>
      <c r="N301" t="n">
        <v>0</v>
      </c>
      <c r="O301" t="n">
        <v>0</v>
      </c>
      <c r="P301" t="n">
        <v>1000</v>
      </c>
      <c r="Q301" t="n">
        <v>35</v>
      </c>
      <c r="R301" t="n">
        <v>200</v>
      </c>
      <c r="S301" t="n">
        <v>2683</v>
      </c>
      <c r="T301" t="n">
        <v>230</v>
      </c>
      <c r="U301" t="n">
        <v>110</v>
      </c>
      <c r="V301" t="n">
        <v>7</v>
      </c>
      <c r="W301" t="n">
        <v>40</v>
      </c>
      <c r="X301" t="n">
        <v>0</v>
      </c>
      <c r="Y301" t="n">
        <v>700</v>
      </c>
      <c r="Z301" t="n">
        <v>0</v>
      </c>
      <c r="AA301" t="n">
        <v>7600</v>
      </c>
      <c r="AB301" t="n">
        <v>0</v>
      </c>
      <c r="AC301" t="n">
        <v>2</v>
      </c>
      <c r="AD301" t="n">
        <v>645</v>
      </c>
      <c r="AE301" t="n">
        <v>132</v>
      </c>
      <c r="AF301" t="n">
        <v>160</v>
      </c>
      <c r="AG301" t="n">
        <v>675</v>
      </c>
      <c r="AH301" t="n">
        <v>245</v>
      </c>
      <c r="AI301" t="n">
        <v>57</v>
      </c>
      <c r="AJ301" t="n">
        <v>3400</v>
      </c>
      <c r="AK301" t="n">
        <v>4000</v>
      </c>
      <c r="AL301" t="n">
        <v>1300</v>
      </c>
      <c r="AM301" t="n">
        <v>600</v>
      </c>
      <c r="AN301" t="n">
        <v>120</v>
      </c>
      <c r="AO301" t="n">
        <v>0.1</v>
      </c>
      <c r="AP301" t="n">
        <v>0</v>
      </c>
      <c r="AQ301" t="n">
        <v>0</v>
      </c>
      <c r="AR301" t="n">
        <v>0</v>
      </c>
      <c r="AS301" t="n">
        <v>0</v>
      </c>
      <c r="AT301" t="n">
        <v>0</v>
      </c>
      <c r="AU301" t="n">
        <v>0</v>
      </c>
      <c r="AV301" t="n">
        <v>0</v>
      </c>
      <c r="AW301" t="n">
        <v>0</v>
      </c>
      <c r="AX301" t="n">
        <v>1420</v>
      </c>
      <c r="AY301" t="n">
        <v>0</v>
      </c>
      <c r="AZ301" t="n">
        <v>0</v>
      </c>
      <c r="BA301" t="n">
        <v>1420</v>
      </c>
      <c r="BB301" t="n">
        <v>0</v>
      </c>
      <c r="BC301" t="n">
        <v>0</v>
      </c>
      <c r="BD301" t="n">
        <v>0</v>
      </c>
      <c r="BE301" t="n">
        <v>2130</v>
      </c>
      <c r="BF301" t="n">
        <v>2130</v>
      </c>
      <c r="BG301">
        <f>IF($F301=0,"0",MIN(
BH301/(30*$F301),
BI301/(61*$F301),
BJ301/(48*$F301),
(BK301+BL301)/(23*$F301),
(BM301+BN301)/(41*$F301),
BO301/(25*$F301),
BP301/(6.6*$F301),
BQ301/(40*$F301),
BS301/(16*$F301)
)*100)</f>
        <v/>
      </c>
      <c r="BH301" t="n">
        <v>503</v>
      </c>
      <c r="BI301" t="n">
        <v>965</v>
      </c>
      <c r="BJ301" t="n">
        <v>381</v>
      </c>
      <c r="BK301" t="n">
        <v>815</v>
      </c>
      <c r="BL301" t="n">
        <v>394</v>
      </c>
      <c r="BM301" t="n">
        <v>516</v>
      </c>
      <c r="BN301" t="n">
        <v>394</v>
      </c>
      <c r="BO301" t="n">
        <v>367</v>
      </c>
      <c r="BP301" t="n">
        <v>149</v>
      </c>
      <c r="BQ301" t="n">
        <v>693</v>
      </c>
      <c r="BR301" t="n">
        <v>1903</v>
      </c>
      <c r="BS301" t="n">
        <v>313</v>
      </c>
      <c r="BT301" t="n">
        <v>7393</v>
      </c>
      <c r="BU301" t="n">
        <v>489</v>
      </c>
      <c r="BV301" t="n">
        <v>1087</v>
      </c>
      <c r="BW301" t="n">
        <v>2691</v>
      </c>
      <c r="BX301" t="n">
        <v>584</v>
      </c>
      <c r="BY301" t="n">
        <v>666</v>
      </c>
      <c r="BZ301" t="n">
        <v>612</v>
      </c>
      <c r="CA301" t="n">
        <v>6129</v>
      </c>
      <c r="CB301" t="n">
        <v>22</v>
      </c>
      <c r="CC301" t="n">
        <v>9</v>
      </c>
      <c r="CD301" t="n">
        <v>0</v>
      </c>
      <c r="CE301" t="n">
        <v>24906</v>
      </c>
      <c r="CG301" t="n">
        <v>0</v>
      </c>
      <c r="CH301" t="n">
        <v>0</v>
      </c>
      <c r="CI301" t="n">
        <v>0</v>
      </c>
      <c r="CJ301" t="n">
        <v>0</v>
      </c>
      <c r="CK301" t="n">
        <v>0</v>
      </c>
      <c r="CL301" t="n">
        <v>128</v>
      </c>
      <c r="CM301" t="n">
        <v>0</v>
      </c>
      <c r="CN301" t="n">
        <v>9962</v>
      </c>
      <c r="CO301" t="n">
        <v>0</v>
      </c>
      <c r="CP301" t="n">
        <v>6897</v>
      </c>
      <c r="CQ301" t="n">
        <v>0</v>
      </c>
      <c r="CR301" t="n">
        <v>0</v>
      </c>
      <c r="CS301" t="n">
        <v>0</v>
      </c>
      <c r="CT301" t="n">
        <v>16987</v>
      </c>
      <c r="CU301" t="n">
        <v>0</v>
      </c>
      <c r="CV301" t="n">
        <v>0</v>
      </c>
      <c r="CW301" t="n">
        <v>255</v>
      </c>
      <c r="CX301" t="n">
        <v>0</v>
      </c>
      <c r="CY301" t="n">
        <v>21649</v>
      </c>
      <c r="CZ301" t="n">
        <v>64</v>
      </c>
      <c r="DA301" t="n">
        <v>0</v>
      </c>
      <c r="DB301" t="n">
        <v>0</v>
      </c>
      <c r="DC301" t="n">
        <v>21968</v>
      </c>
      <c r="DD301" t="n">
        <v>0</v>
      </c>
      <c r="DE301" t="n">
        <v>0</v>
      </c>
      <c r="DF301" t="n">
        <v>24906</v>
      </c>
      <c r="DG301" t="n">
        <v>0</v>
      </c>
      <c r="DH301" t="n">
        <v>0</v>
      </c>
      <c r="DI301" t="n">
        <v>0</v>
      </c>
      <c r="DJ301" t="n">
        <v>0</v>
      </c>
      <c r="DK301" t="n">
        <v>0</v>
      </c>
      <c r="DL301" t="n">
        <v>0</v>
      </c>
      <c r="DM301" t="n">
        <v>0</v>
      </c>
      <c r="DN301" t="n">
        <v>0</v>
      </c>
      <c r="DO301" t="n">
        <v>0</v>
      </c>
      <c r="DP301" t="n">
        <v>0</v>
      </c>
      <c r="DQ301" t="n">
        <v>0</v>
      </c>
      <c r="DR301" t="n">
        <v>0</v>
      </c>
      <c r="DS301" t="n">
        <v>24906</v>
      </c>
      <c r="DT301" t="n">
        <v>63861</v>
      </c>
      <c r="DU301" t="n">
        <v>2939</v>
      </c>
      <c r="DV301" t="n">
        <v>0</v>
      </c>
      <c r="DW301" t="n">
        <v>0</v>
      </c>
      <c r="DX301" t="n">
        <v>0</v>
      </c>
      <c r="DY301" t="n">
        <v>1620</v>
      </c>
      <c r="DZ301" t="n">
        <v>1215</v>
      </c>
      <c r="EA301" t="n">
        <v>2025</v>
      </c>
      <c r="EB301" t="n">
        <v>2430</v>
      </c>
      <c r="EC301" t="n">
        <v>810</v>
      </c>
      <c r="ED301" t="n">
        <v>1620</v>
      </c>
      <c r="EE301" t="n">
        <v>6480</v>
      </c>
      <c r="EF301" t="n">
        <v>0</v>
      </c>
      <c r="EG301" t="n">
        <v>0</v>
      </c>
      <c r="EH301" t="n">
        <v>3.6</v>
      </c>
      <c r="EI301" t="n">
        <v>6.5</v>
      </c>
      <c r="EJ301" t="n">
        <v>66.8</v>
      </c>
      <c r="EK301" t="n">
        <v>13.6</v>
      </c>
    </row>
    <row r="302">
      <c r="A302">
        <f>[1]ingredient!B302</f>
        <v/>
      </c>
      <c r="B302" t="inlineStr">
        <is>
          <t>https://www.naehrwertrechner.de/naehrwerte/F508111/Passionsfrucht+-+Maracuja+frisch/?menge=100</t>
        </is>
      </c>
      <c r="C302" s="7">
        <f>_xlfn.XLOOKUP(A302,[1]ingredient!$B$2:$B$521,[1]ingredient!$A$2:$A$521)</f>
        <v/>
      </c>
      <c r="D302" t="n">
        <v>80</v>
      </c>
      <c r="E302" t="n">
        <v>0.4</v>
      </c>
      <c r="F302" t="n">
        <v>2</v>
      </c>
      <c r="G302" t="n">
        <v>13</v>
      </c>
      <c r="H302" t="n">
        <v>1</v>
      </c>
      <c r="I302" t="n">
        <v>13</v>
      </c>
      <c r="J302" t="n">
        <v>0.07000000000000001</v>
      </c>
      <c r="K302" t="n">
        <v>78</v>
      </c>
      <c r="L302" t="n">
        <v>40</v>
      </c>
      <c r="M302" t="n">
        <v>20</v>
      </c>
      <c r="N302" t="n">
        <v>0</v>
      </c>
      <c r="O302" t="n">
        <v>240</v>
      </c>
      <c r="P302" t="n">
        <v>20</v>
      </c>
      <c r="Q302" t="n">
        <v>100</v>
      </c>
      <c r="R302" t="n">
        <v>2100</v>
      </c>
      <c r="S302" t="n">
        <v>2500</v>
      </c>
      <c r="T302" t="n">
        <v>200</v>
      </c>
      <c r="U302" t="n">
        <v>400</v>
      </c>
      <c r="V302" t="n">
        <v>5</v>
      </c>
      <c r="W302" t="n">
        <v>20</v>
      </c>
      <c r="X302" t="n">
        <v>0</v>
      </c>
      <c r="Y302" t="n">
        <v>24000</v>
      </c>
      <c r="Z302" t="n">
        <v>0</v>
      </c>
      <c r="AA302" t="n">
        <v>400</v>
      </c>
      <c r="AB302" t="n">
        <v>10</v>
      </c>
      <c r="AC302" t="n">
        <v>28</v>
      </c>
      <c r="AD302" t="n">
        <v>340</v>
      </c>
      <c r="AE302" t="n">
        <v>17</v>
      </c>
      <c r="AF302" t="n">
        <v>0</v>
      </c>
      <c r="AG302" t="n">
        <v>57</v>
      </c>
      <c r="AH302" t="n">
        <v>19</v>
      </c>
      <c r="AI302" t="n">
        <v>37</v>
      </c>
      <c r="AJ302" t="n">
        <v>1300</v>
      </c>
      <c r="AK302" t="n">
        <v>250</v>
      </c>
      <c r="AL302" t="n">
        <v>120</v>
      </c>
      <c r="AM302" t="n">
        <v>120</v>
      </c>
      <c r="AN302" t="n">
        <v>20</v>
      </c>
      <c r="AO302" t="n">
        <v>1</v>
      </c>
      <c r="AP302" t="n">
        <v>0</v>
      </c>
      <c r="AQ302" t="n">
        <v>0</v>
      </c>
      <c r="AR302" t="n">
        <v>0</v>
      </c>
      <c r="AS302" t="n">
        <v>0</v>
      </c>
      <c r="AT302" t="n">
        <v>5134</v>
      </c>
      <c r="AU302" t="n">
        <v>3965</v>
      </c>
      <c r="AV302" t="n">
        <v>0</v>
      </c>
      <c r="AW302" t="n">
        <v>9099</v>
      </c>
      <c r="AX302" t="n">
        <v>4341</v>
      </c>
      <c r="AY302" t="n">
        <v>0</v>
      </c>
      <c r="AZ302" t="n">
        <v>0</v>
      </c>
      <c r="BA302" t="n">
        <v>4341</v>
      </c>
      <c r="BB302" t="n">
        <v>0</v>
      </c>
      <c r="BC302" t="n">
        <v>0</v>
      </c>
      <c r="BD302" t="n">
        <v>0</v>
      </c>
      <c r="BE302" t="n">
        <v>0</v>
      </c>
      <c r="BF302" t="n">
        <v>0</v>
      </c>
      <c r="BG302">
        <f>IF($F302=0,"0",MIN(
BH302/(30*$F302),
BI302/(61*$F302),
BJ302/(48*$F302),
(BK302+BL302)/(23*$F302),
(BM302+BN302)/(41*$F302),
BO302/(25*$F302),
BP302/(6.6*$F302),
BQ302/(40*$F302),
BS302/(16*$F302)
)*100)</f>
        <v/>
      </c>
      <c r="BH302" t="n">
        <v>72</v>
      </c>
      <c r="BI302" t="n">
        <v>120</v>
      </c>
      <c r="BJ302" t="n">
        <v>120</v>
      </c>
      <c r="BK302" t="n">
        <v>24</v>
      </c>
      <c r="BL302" t="n">
        <v>12</v>
      </c>
      <c r="BM302" t="n">
        <v>60</v>
      </c>
      <c r="BN302" t="n">
        <v>48</v>
      </c>
      <c r="BO302" t="n">
        <v>72</v>
      </c>
      <c r="BP302" t="n">
        <v>24</v>
      </c>
      <c r="BQ302" t="n">
        <v>84</v>
      </c>
      <c r="BR302" t="n">
        <v>84</v>
      </c>
      <c r="BS302" t="n">
        <v>36</v>
      </c>
      <c r="BT302" t="n">
        <v>756</v>
      </c>
      <c r="BU302" t="n">
        <v>108</v>
      </c>
      <c r="BV302" t="n">
        <v>216</v>
      </c>
      <c r="BW302" t="n">
        <v>240</v>
      </c>
      <c r="BX302" t="n">
        <v>84</v>
      </c>
      <c r="BY302" t="n">
        <v>84</v>
      </c>
      <c r="BZ302" t="n">
        <v>96</v>
      </c>
      <c r="CA302" t="n">
        <v>828</v>
      </c>
      <c r="CB302" t="n">
        <v>15</v>
      </c>
      <c r="CC302" t="n">
        <v>6</v>
      </c>
      <c r="CD302" t="n">
        <v>30</v>
      </c>
      <c r="CE302" t="n">
        <v>128</v>
      </c>
      <c r="CF302" t="n">
        <v>4.27</v>
      </c>
      <c r="CG302" t="n">
        <v>0</v>
      </c>
      <c r="CH302" t="n">
        <v>0</v>
      </c>
      <c r="CI302" t="n">
        <v>0</v>
      </c>
      <c r="CJ302" t="n">
        <v>0</v>
      </c>
      <c r="CK302" t="n">
        <v>2</v>
      </c>
      <c r="CL302" t="n">
        <v>3</v>
      </c>
      <c r="CM302" t="n">
        <v>0</v>
      </c>
      <c r="CN302" t="n">
        <v>77</v>
      </c>
      <c r="CO302" t="n">
        <v>0</v>
      </c>
      <c r="CP302" t="n">
        <v>13</v>
      </c>
      <c r="CQ302" t="n">
        <v>0</v>
      </c>
      <c r="CR302" t="n">
        <v>0</v>
      </c>
      <c r="CS302" t="n">
        <v>0</v>
      </c>
      <c r="CT302" t="n">
        <v>95</v>
      </c>
      <c r="CU302" t="n">
        <v>0</v>
      </c>
      <c r="CV302" t="n">
        <v>0</v>
      </c>
      <c r="CW302" t="n">
        <v>3</v>
      </c>
      <c r="CX302" t="n">
        <v>0</v>
      </c>
      <c r="CY302" t="n">
        <v>64</v>
      </c>
      <c r="CZ302" t="n">
        <v>0</v>
      </c>
      <c r="DA302" t="n">
        <v>0</v>
      </c>
      <c r="DB302" t="n">
        <v>0</v>
      </c>
      <c r="DC302" t="n">
        <v>67</v>
      </c>
      <c r="DD302" t="n">
        <v>0</v>
      </c>
      <c r="DE302" t="n">
        <v>0</v>
      </c>
      <c r="DF302" t="n">
        <v>128</v>
      </c>
      <c r="DG302" t="n">
        <v>30</v>
      </c>
      <c r="DH302" t="n">
        <v>0</v>
      </c>
      <c r="DI302" t="n">
        <v>0</v>
      </c>
      <c r="DJ302" t="n">
        <v>0</v>
      </c>
      <c r="DK302" t="n">
        <v>0</v>
      </c>
      <c r="DL302" t="n">
        <v>0</v>
      </c>
      <c r="DM302" t="n">
        <v>0</v>
      </c>
      <c r="DN302" t="n">
        <v>0</v>
      </c>
      <c r="DO302" t="n">
        <v>0</v>
      </c>
      <c r="DP302" t="n">
        <v>0</v>
      </c>
      <c r="DQ302" t="n">
        <v>0</v>
      </c>
      <c r="DR302" t="n">
        <v>0</v>
      </c>
      <c r="DS302" t="n">
        <v>158</v>
      </c>
      <c r="DT302" t="n">
        <v>320</v>
      </c>
      <c r="DU302" t="n">
        <v>80</v>
      </c>
      <c r="DV302" t="n">
        <v>0</v>
      </c>
      <c r="DW302" t="n">
        <v>0</v>
      </c>
      <c r="DX302" t="n">
        <v>0</v>
      </c>
      <c r="DY302" t="n">
        <v>261</v>
      </c>
      <c r="DZ302" t="n">
        <v>290</v>
      </c>
      <c r="EA302" t="n">
        <v>290</v>
      </c>
      <c r="EB302" t="n">
        <v>290</v>
      </c>
      <c r="EC302" t="n">
        <v>319</v>
      </c>
      <c r="ED302" t="n">
        <v>721</v>
      </c>
      <c r="EE302" t="n">
        <v>729</v>
      </c>
      <c r="EF302" t="n">
        <v>0</v>
      </c>
      <c r="EG302" t="n">
        <v>4</v>
      </c>
      <c r="EH302" t="n">
        <v>0.9</v>
      </c>
      <c r="EI302" t="n">
        <v>0.7</v>
      </c>
      <c r="EJ302" t="n">
        <v>0.4</v>
      </c>
      <c r="EK302" t="n">
        <v>1.6</v>
      </c>
    </row>
    <row r="303">
      <c r="A303">
        <f>[1]ingredient!B303</f>
        <v/>
      </c>
      <c r="B303" t="inlineStr">
        <is>
          <t>https://www.naehrwertrechner.de/naehrwerte/G640100/Pastinake+roh/?menge=100</t>
        </is>
      </c>
      <c r="C303" s="7">
        <f>_xlfn.XLOOKUP(A303,[1]ingredient!$B$2:$B$521,[1]ingredient!$A$2:$A$521)</f>
        <v/>
      </c>
      <c r="D303" t="n">
        <v>59</v>
      </c>
      <c r="E303" t="n">
        <v>0.43</v>
      </c>
      <c r="F303" t="n">
        <v>1</v>
      </c>
      <c r="G303" t="n">
        <v>12</v>
      </c>
      <c r="H303" t="n">
        <v>2</v>
      </c>
      <c r="I303" t="n">
        <v>3</v>
      </c>
      <c r="J303" t="n">
        <v>0.06</v>
      </c>
      <c r="K303" t="n">
        <v>82</v>
      </c>
      <c r="L303" t="n">
        <v>3</v>
      </c>
      <c r="M303" t="n">
        <v>2</v>
      </c>
      <c r="N303" t="n">
        <v>0</v>
      </c>
      <c r="O303" t="n">
        <v>20</v>
      </c>
      <c r="P303" t="n">
        <v>80</v>
      </c>
      <c r="Q303" t="n">
        <v>130</v>
      </c>
      <c r="R303" t="n">
        <v>940</v>
      </c>
      <c r="S303" t="n">
        <v>1173</v>
      </c>
      <c r="T303" t="n">
        <v>500</v>
      </c>
      <c r="U303" t="n">
        <v>110</v>
      </c>
      <c r="V303" t="n">
        <v>0</v>
      </c>
      <c r="W303" t="n">
        <v>59</v>
      </c>
      <c r="X303" t="n">
        <v>0</v>
      </c>
      <c r="Y303" t="n">
        <v>18000</v>
      </c>
      <c r="Z303" t="n">
        <v>0</v>
      </c>
      <c r="AA303" t="n">
        <v>880</v>
      </c>
      <c r="AB303" t="n">
        <v>1</v>
      </c>
      <c r="AC303" t="n">
        <v>8</v>
      </c>
      <c r="AD303" t="n">
        <v>523</v>
      </c>
      <c r="AE303" t="n">
        <v>47</v>
      </c>
      <c r="AF303" t="n">
        <v>26</v>
      </c>
      <c r="AG303" t="n">
        <v>82</v>
      </c>
      <c r="AH303" t="n">
        <v>17</v>
      </c>
      <c r="AI303" t="n">
        <v>49</v>
      </c>
      <c r="AJ303" t="n">
        <v>710</v>
      </c>
      <c r="AK303" t="n">
        <v>850</v>
      </c>
      <c r="AL303" t="n">
        <v>140</v>
      </c>
      <c r="AM303" t="n">
        <v>400</v>
      </c>
      <c r="AN303" t="n">
        <v>10</v>
      </c>
      <c r="AO303" t="n">
        <v>4</v>
      </c>
      <c r="AP303" t="n">
        <v>0</v>
      </c>
      <c r="AQ303" t="n">
        <v>0</v>
      </c>
      <c r="AR303" t="n">
        <v>0</v>
      </c>
      <c r="AS303" t="n">
        <v>0</v>
      </c>
      <c r="AT303" t="n">
        <v>245</v>
      </c>
      <c r="AU303" t="n">
        <v>256</v>
      </c>
      <c r="AV303" t="n">
        <v>0</v>
      </c>
      <c r="AW303" t="n">
        <v>501</v>
      </c>
      <c r="AX303" t="n">
        <v>2560</v>
      </c>
      <c r="AY303" t="n">
        <v>0</v>
      </c>
      <c r="AZ303" t="n">
        <v>0</v>
      </c>
      <c r="BA303" t="n">
        <v>2560</v>
      </c>
      <c r="BB303" t="n">
        <v>1808</v>
      </c>
      <c r="BC303" t="n">
        <v>630</v>
      </c>
      <c r="BD303" t="n">
        <v>0</v>
      </c>
      <c r="BE303" t="n">
        <v>8990</v>
      </c>
      <c r="BF303" t="n">
        <v>8990</v>
      </c>
      <c r="BG303">
        <f>IF($F303=0,"0",MIN(
BH303/(30*$F303),
BI303/(61*$F303),
BJ303/(48*$F303),
(BK303+BL303)/(23*$F303),
(BM303+BN303)/(41*$F303),
BO303/(25*$F303),
BP303/(6.6*$F303),
BQ303/(40*$F303),
BS303/(16*$F303)
)*100)</f>
        <v/>
      </c>
      <c r="BH303" t="n">
        <v>52</v>
      </c>
      <c r="BI303" t="n">
        <v>70</v>
      </c>
      <c r="BJ303" t="n">
        <v>78</v>
      </c>
      <c r="BK303" t="n">
        <v>16</v>
      </c>
      <c r="BL303" t="n">
        <v>4</v>
      </c>
      <c r="BM303" t="n">
        <v>45</v>
      </c>
      <c r="BN303" t="n">
        <v>26</v>
      </c>
      <c r="BO303" t="n">
        <v>49</v>
      </c>
      <c r="BP303" t="n">
        <v>14</v>
      </c>
      <c r="BQ303" t="n">
        <v>70</v>
      </c>
      <c r="BR303" t="n">
        <v>139</v>
      </c>
      <c r="BS303" t="n">
        <v>21</v>
      </c>
      <c r="BT303" t="n">
        <v>584</v>
      </c>
      <c r="BU303" t="n">
        <v>67</v>
      </c>
      <c r="BV303" t="n">
        <v>131</v>
      </c>
      <c r="BW303" t="n">
        <v>123</v>
      </c>
      <c r="BX303" t="n">
        <v>42</v>
      </c>
      <c r="BY303" t="n">
        <v>44</v>
      </c>
      <c r="BZ303" t="n">
        <v>48</v>
      </c>
      <c r="CA303" t="n">
        <v>455</v>
      </c>
      <c r="CB303" t="n">
        <v>30</v>
      </c>
      <c r="CC303" t="n">
        <v>13</v>
      </c>
      <c r="CD303" t="n">
        <v>21</v>
      </c>
      <c r="CE303" t="n">
        <v>234</v>
      </c>
      <c r="CF303" t="n">
        <v>11.14</v>
      </c>
      <c r="CG303" t="n">
        <v>0</v>
      </c>
      <c r="CH303" t="n">
        <v>0</v>
      </c>
      <c r="CI303" t="n">
        <v>0</v>
      </c>
      <c r="CJ303" t="n">
        <v>0</v>
      </c>
      <c r="CK303" t="n">
        <v>0</v>
      </c>
      <c r="CL303" t="n">
        <v>3</v>
      </c>
      <c r="CM303" t="n">
        <v>0</v>
      </c>
      <c r="CN303" t="n">
        <v>62</v>
      </c>
      <c r="CO303" t="n">
        <v>0</v>
      </c>
      <c r="CP303" t="n">
        <v>3</v>
      </c>
      <c r="CQ303" t="n">
        <v>0</v>
      </c>
      <c r="CR303" t="n">
        <v>0</v>
      </c>
      <c r="CS303" t="n">
        <v>0</v>
      </c>
      <c r="CT303" t="n">
        <v>68</v>
      </c>
      <c r="CU303" t="n">
        <v>0</v>
      </c>
      <c r="CV303" t="n">
        <v>0</v>
      </c>
      <c r="CW303" t="n">
        <v>5</v>
      </c>
      <c r="CX303" t="n">
        <v>0</v>
      </c>
      <c r="CY303" t="n">
        <v>24</v>
      </c>
      <c r="CZ303" t="n">
        <v>0</v>
      </c>
      <c r="DA303" t="n">
        <v>0</v>
      </c>
      <c r="DB303" t="n">
        <v>0</v>
      </c>
      <c r="DC303" t="n">
        <v>29</v>
      </c>
      <c r="DD303" t="n">
        <v>0</v>
      </c>
      <c r="DE303" t="n">
        <v>0</v>
      </c>
      <c r="DF303" t="n">
        <v>234</v>
      </c>
      <c r="DG303" t="n">
        <v>21</v>
      </c>
      <c r="DH303" t="n">
        <v>0</v>
      </c>
      <c r="DI303" t="n">
        <v>0</v>
      </c>
      <c r="DJ303" t="n">
        <v>0</v>
      </c>
      <c r="DK303" t="n">
        <v>0</v>
      </c>
      <c r="DL303" t="n">
        <v>0</v>
      </c>
      <c r="DM303" t="n">
        <v>0</v>
      </c>
      <c r="DN303" t="n">
        <v>0</v>
      </c>
      <c r="DO303" t="n">
        <v>0</v>
      </c>
      <c r="DP303" t="n">
        <v>0</v>
      </c>
      <c r="DQ303" t="n">
        <v>0</v>
      </c>
      <c r="DR303" t="n">
        <v>0</v>
      </c>
      <c r="DS303" t="n">
        <v>255</v>
      </c>
      <c r="DT303" t="n">
        <v>352</v>
      </c>
      <c r="DU303" t="n">
        <v>86</v>
      </c>
      <c r="DV303" t="n">
        <v>0</v>
      </c>
      <c r="DW303" t="n">
        <v>0</v>
      </c>
      <c r="DX303" t="n">
        <v>0</v>
      </c>
      <c r="DY303" t="n">
        <v>320</v>
      </c>
      <c r="DZ303" t="n">
        <v>320</v>
      </c>
      <c r="EA303" t="n">
        <v>575</v>
      </c>
      <c r="EB303" t="n">
        <v>852</v>
      </c>
      <c r="EC303" t="n">
        <v>64</v>
      </c>
      <c r="ED303" t="n">
        <v>620</v>
      </c>
      <c r="EE303" t="n">
        <v>1510</v>
      </c>
      <c r="EF303" t="n">
        <v>0</v>
      </c>
      <c r="EG303" t="n">
        <v>0.48</v>
      </c>
      <c r="EH303" t="n">
        <v>1.2</v>
      </c>
      <c r="EI303" t="n">
        <v>1.5</v>
      </c>
      <c r="EJ303" t="n">
        <v>0.4</v>
      </c>
      <c r="EK303" t="n">
        <v>1.1</v>
      </c>
    </row>
    <row r="304">
      <c r="A304">
        <f>[1]ingredient!B304</f>
        <v/>
      </c>
      <c r="B304" t="inlineStr">
        <is>
          <t>https://www.naehrwertrechner.de/naehrwerte/H160111/Pecannuss+frisch/?menge=100</t>
        </is>
      </c>
      <c r="C304" s="7">
        <f>_xlfn.XLOOKUP(A304,[1]ingredient!$B$2:$B$521,[1]ingredient!$A$2:$A$521)</f>
        <v/>
      </c>
      <c r="D304" t="n">
        <v>692</v>
      </c>
      <c r="E304" t="n">
        <v>72</v>
      </c>
      <c r="F304" t="n">
        <v>9</v>
      </c>
      <c r="G304" t="n">
        <v>4</v>
      </c>
      <c r="H304" t="n">
        <v>9</v>
      </c>
      <c r="I304" t="n">
        <v>2</v>
      </c>
      <c r="J304" t="n">
        <v>0.02</v>
      </c>
      <c r="K304" t="n">
        <v>3</v>
      </c>
      <c r="L304" t="n">
        <v>13</v>
      </c>
      <c r="M304" t="n">
        <v>7</v>
      </c>
      <c r="N304" t="n">
        <v>0</v>
      </c>
      <c r="O304" t="n">
        <v>80</v>
      </c>
      <c r="P304" t="n">
        <v>860</v>
      </c>
      <c r="Q304" t="n">
        <v>130</v>
      </c>
      <c r="R304" t="n">
        <v>2000</v>
      </c>
      <c r="S304" t="n">
        <v>4783</v>
      </c>
      <c r="T304" t="n">
        <v>1710</v>
      </c>
      <c r="U304" t="n">
        <v>188</v>
      </c>
      <c r="V304" t="n">
        <v>30</v>
      </c>
      <c r="W304" t="n">
        <v>39</v>
      </c>
      <c r="X304" t="n">
        <v>0</v>
      </c>
      <c r="Y304" t="n">
        <v>2000</v>
      </c>
      <c r="Z304" t="n">
        <v>0</v>
      </c>
      <c r="AA304" t="n">
        <v>3060</v>
      </c>
      <c r="AB304" t="n">
        <v>10</v>
      </c>
      <c r="AC304" t="n">
        <v>3</v>
      </c>
      <c r="AD304" t="n">
        <v>500</v>
      </c>
      <c r="AE304" t="n">
        <v>55</v>
      </c>
      <c r="AF304" t="n">
        <v>140</v>
      </c>
      <c r="AG304" t="n">
        <v>290</v>
      </c>
      <c r="AH304" t="n">
        <v>150</v>
      </c>
      <c r="AI304" t="n">
        <v>15</v>
      </c>
      <c r="AJ304" t="n">
        <v>2400</v>
      </c>
      <c r="AK304" t="n">
        <v>5300</v>
      </c>
      <c r="AL304" t="n">
        <v>1100</v>
      </c>
      <c r="AM304" t="n">
        <v>4000</v>
      </c>
      <c r="AN304" t="n">
        <v>140</v>
      </c>
      <c r="AO304" t="n">
        <v>5</v>
      </c>
      <c r="AP304" t="n">
        <v>0</v>
      </c>
      <c r="AQ304" t="n">
        <v>0</v>
      </c>
      <c r="AR304" t="n">
        <v>0</v>
      </c>
      <c r="AS304" t="n">
        <v>0</v>
      </c>
      <c r="AT304" t="n">
        <v>222</v>
      </c>
      <c r="AU304" t="n">
        <v>0</v>
      </c>
      <c r="AV304" t="n">
        <v>0</v>
      </c>
      <c r="AW304" t="n">
        <v>222</v>
      </c>
      <c r="AX304" t="n">
        <v>1998</v>
      </c>
      <c r="AY304" t="n">
        <v>0</v>
      </c>
      <c r="AZ304" t="n">
        <v>0</v>
      </c>
      <c r="BA304" t="n">
        <v>1998</v>
      </c>
      <c r="BB304" t="n">
        <v>0</v>
      </c>
      <c r="BC304" t="n">
        <v>0</v>
      </c>
      <c r="BD304" t="n">
        <v>0</v>
      </c>
      <c r="BE304" t="n">
        <v>2220</v>
      </c>
      <c r="BF304" t="n">
        <v>2220</v>
      </c>
      <c r="BG304">
        <f>IF($F304=0,"0",MIN(
BH304/(30*$F304),
BI304/(61*$F304),
BJ304/(48*$F304),
(BK304+BL304)/(23*$F304),
(BM304+BN304)/(41*$F304),
BO304/(25*$F304),
BP304/(6.6*$F304),
BQ304/(40*$F304),
BS304/(16*$F304)
)*100)</f>
        <v/>
      </c>
      <c r="BH304" t="n">
        <v>419</v>
      </c>
      <c r="BI304" t="n">
        <v>642</v>
      </c>
      <c r="BJ304" t="n">
        <v>372</v>
      </c>
      <c r="BK304" t="n">
        <v>167</v>
      </c>
      <c r="BL304" t="n">
        <v>214</v>
      </c>
      <c r="BM304" t="n">
        <v>465</v>
      </c>
      <c r="BN304" t="n">
        <v>288</v>
      </c>
      <c r="BO304" t="n">
        <v>307</v>
      </c>
      <c r="BP304" t="n">
        <v>167</v>
      </c>
      <c r="BQ304" t="n">
        <v>428</v>
      </c>
      <c r="BR304" t="n">
        <v>1135</v>
      </c>
      <c r="BS304" t="n">
        <v>251</v>
      </c>
      <c r="BT304" t="n">
        <v>4855</v>
      </c>
      <c r="BU304" t="n">
        <v>400</v>
      </c>
      <c r="BV304" t="n">
        <v>837</v>
      </c>
      <c r="BW304" t="n">
        <v>1841</v>
      </c>
      <c r="BX304" t="n">
        <v>446</v>
      </c>
      <c r="BY304" t="n">
        <v>428</v>
      </c>
      <c r="BZ304" t="n">
        <v>446</v>
      </c>
      <c r="CA304" t="n">
        <v>4398</v>
      </c>
      <c r="CB304" t="n">
        <v>0</v>
      </c>
      <c r="CC304" t="n">
        <v>0</v>
      </c>
      <c r="CD304" t="n">
        <v>826</v>
      </c>
      <c r="CE304" t="n">
        <v>17139</v>
      </c>
      <c r="CF304" t="n">
        <v>20.75</v>
      </c>
      <c r="CG304" t="n">
        <v>0</v>
      </c>
      <c r="CH304" t="n">
        <v>0</v>
      </c>
      <c r="CI304" t="n">
        <v>0</v>
      </c>
      <c r="CJ304" t="n">
        <v>0</v>
      </c>
      <c r="CK304" t="n">
        <v>0</v>
      </c>
      <c r="CL304" t="n">
        <v>0</v>
      </c>
      <c r="CM304" t="n">
        <v>0</v>
      </c>
      <c r="CN304" t="n">
        <v>4405</v>
      </c>
      <c r="CO304" t="n">
        <v>0</v>
      </c>
      <c r="CP304" t="n">
        <v>1790</v>
      </c>
      <c r="CQ304" t="n">
        <v>0</v>
      </c>
      <c r="CR304" t="n">
        <v>0</v>
      </c>
      <c r="CS304" t="n">
        <v>0</v>
      </c>
      <c r="CT304" t="n">
        <v>6195</v>
      </c>
      <c r="CU304" t="n">
        <v>0</v>
      </c>
      <c r="CV304" t="n">
        <v>0</v>
      </c>
      <c r="CW304" t="n">
        <v>275</v>
      </c>
      <c r="CX304" t="n">
        <v>0</v>
      </c>
      <c r="CY304" t="n">
        <v>43915</v>
      </c>
      <c r="CZ304" t="n">
        <v>482</v>
      </c>
      <c r="DA304" t="n">
        <v>0</v>
      </c>
      <c r="DB304" t="n">
        <v>0</v>
      </c>
      <c r="DC304" t="n">
        <v>44672</v>
      </c>
      <c r="DD304" t="n">
        <v>0</v>
      </c>
      <c r="DE304" t="n">
        <v>0</v>
      </c>
      <c r="DF304" t="n">
        <v>17139</v>
      </c>
      <c r="DG304" t="n">
        <v>826</v>
      </c>
      <c r="DH304" t="n">
        <v>0</v>
      </c>
      <c r="DI304" t="n">
        <v>0</v>
      </c>
      <c r="DJ304" t="n">
        <v>0</v>
      </c>
      <c r="DK304" t="n">
        <v>0</v>
      </c>
      <c r="DL304" t="n">
        <v>0</v>
      </c>
      <c r="DM304" t="n">
        <v>0</v>
      </c>
      <c r="DN304" t="n">
        <v>0</v>
      </c>
      <c r="DO304" t="n">
        <v>0</v>
      </c>
      <c r="DP304" t="n">
        <v>0</v>
      </c>
      <c r="DQ304" t="n">
        <v>0</v>
      </c>
      <c r="DR304" t="n">
        <v>0</v>
      </c>
      <c r="DS304" t="n">
        <v>17965</v>
      </c>
      <c r="DT304" t="n">
        <v>68832</v>
      </c>
      <c r="DU304" t="n">
        <v>3168</v>
      </c>
      <c r="DV304" t="n">
        <v>0</v>
      </c>
      <c r="DW304" t="n">
        <v>0</v>
      </c>
      <c r="DX304" t="n">
        <v>0</v>
      </c>
      <c r="DY304" t="n">
        <v>1892</v>
      </c>
      <c r="DZ304" t="n">
        <v>1419</v>
      </c>
      <c r="EA304" t="n">
        <v>2365</v>
      </c>
      <c r="EB304" t="n">
        <v>2838</v>
      </c>
      <c r="EC304" t="n">
        <v>946</v>
      </c>
      <c r="ED304" t="n">
        <v>4730</v>
      </c>
      <c r="EE304" t="n">
        <v>4730</v>
      </c>
      <c r="EF304" t="n">
        <v>0</v>
      </c>
      <c r="EG304" t="n">
        <v>0</v>
      </c>
      <c r="EH304" t="n">
        <v>1.6</v>
      </c>
      <c r="EI304" t="n">
        <v>4.7</v>
      </c>
      <c r="EJ304" t="n">
        <v>72</v>
      </c>
      <c r="EK304" t="n">
        <v>9.300000000000001</v>
      </c>
    </row>
    <row r="305">
      <c r="A305">
        <f>[1]ingredient!B305</f>
        <v/>
      </c>
      <c r="B305" t="inlineStr">
        <is>
          <t>https://www.naehrwertrechner.de/naehrwerte/G250111/Petersilienblatt+frisch/?menge=100</t>
        </is>
      </c>
      <c r="C305" s="7">
        <f>_xlfn.XLOOKUP(A305,[1]ingredient!$B$2:$B$521,[1]ingredient!$A$2:$A$521)</f>
        <v/>
      </c>
      <c r="D305" t="n">
        <v>53</v>
      </c>
      <c r="E305" t="n">
        <v>0.4</v>
      </c>
      <c r="F305" t="n">
        <v>4</v>
      </c>
      <c r="G305" t="n">
        <v>7</v>
      </c>
      <c r="H305" t="n">
        <v>4</v>
      </c>
      <c r="I305" t="n">
        <v>5</v>
      </c>
      <c r="J305" t="n">
        <v>0.19</v>
      </c>
      <c r="K305" t="n">
        <v>81</v>
      </c>
      <c r="L305" t="n">
        <v>902</v>
      </c>
      <c r="M305" t="n">
        <v>451</v>
      </c>
      <c r="N305" t="n">
        <v>0</v>
      </c>
      <c r="O305" t="n">
        <v>5413</v>
      </c>
      <c r="P305" t="n">
        <v>140</v>
      </c>
      <c r="Q305" t="n">
        <v>300</v>
      </c>
      <c r="R305" t="n">
        <v>1350</v>
      </c>
      <c r="S305" t="n">
        <v>2533</v>
      </c>
      <c r="T305" t="n">
        <v>300</v>
      </c>
      <c r="U305" t="n">
        <v>200</v>
      </c>
      <c r="V305" t="n">
        <v>0.4</v>
      </c>
      <c r="W305" t="n">
        <v>116</v>
      </c>
      <c r="X305" t="n">
        <v>0</v>
      </c>
      <c r="Y305" t="n">
        <v>166000</v>
      </c>
      <c r="Z305" t="n">
        <v>0</v>
      </c>
      <c r="AA305" t="n">
        <v>3703</v>
      </c>
      <c r="AB305" t="n">
        <v>790</v>
      </c>
      <c r="AC305" t="n">
        <v>33</v>
      </c>
      <c r="AD305" t="n">
        <v>1000</v>
      </c>
      <c r="AE305" t="n">
        <v>245</v>
      </c>
      <c r="AF305" t="n">
        <v>41</v>
      </c>
      <c r="AG305" t="n">
        <v>128</v>
      </c>
      <c r="AH305" t="n">
        <v>190</v>
      </c>
      <c r="AI305" t="n">
        <v>160</v>
      </c>
      <c r="AJ305" t="n">
        <v>5500</v>
      </c>
      <c r="AK305" t="n">
        <v>900</v>
      </c>
      <c r="AL305" t="n">
        <v>520</v>
      </c>
      <c r="AM305" t="n">
        <v>2700</v>
      </c>
      <c r="AN305" t="n">
        <v>110</v>
      </c>
      <c r="AO305" t="n">
        <v>15</v>
      </c>
      <c r="AP305" t="n">
        <v>0</v>
      </c>
      <c r="AQ305" t="n">
        <v>0</v>
      </c>
      <c r="AR305" t="n">
        <v>0</v>
      </c>
      <c r="AS305" t="n">
        <v>0</v>
      </c>
      <c r="AT305" t="n">
        <v>2952</v>
      </c>
      <c r="AU305" t="n">
        <v>1845</v>
      </c>
      <c r="AV305" t="n">
        <v>0</v>
      </c>
      <c r="AW305" t="n">
        <v>4797</v>
      </c>
      <c r="AX305" t="n">
        <v>0</v>
      </c>
      <c r="AY305" t="n">
        <v>0</v>
      </c>
      <c r="AZ305" t="n">
        <v>0</v>
      </c>
      <c r="BA305" t="n">
        <v>0</v>
      </c>
      <c r="BB305" t="n">
        <v>0</v>
      </c>
      <c r="BC305" t="n">
        <v>0</v>
      </c>
      <c r="BD305" t="n">
        <v>0</v>
      </c>
      <c r="BE305" t="n">
        <v>2583</v>
      </c>
      <c r="BF305" t="n">
        <v>2583</v>
      </c>
      <c r="BG305">
        <f>IF($F305=0,"0",MIN(
BH305/(30*$F305),
BI305/(61*$F305),
BJ305/(48*$F305),
(BK305+BL305)/(23*$F305),
(BM305+BN305)/(41*$F305),
BO305/(25*$F305),
BP305/(6.6*$F305),
BQ305/(40*$F305),
BS305/(16*$F305)
)*100)</f>
        <v/>
      </c>
      <c r="BH305" t="n">
        <v>204</v>
      </c>
      <c r="BI305" t="n">
        <v>296</v>
      </c>
      <c r="BJ305" t="n">
        <v>275</v>
      </c>
      <c r="BK305" t="n">
        <v>27</v>
      </c>
      <c r="BL305" t="n">
        <v>18</v>
      </c>
      <c r="BM305" t="n">
        <v>239</v>
      </c>
      <c r="BN305" t="n">
        <v>124</v>
      </c>
      <c r="BO305" t="n">
        <v>182</v>
      </c>
      <c r="BP305" t="n">
        <v>71</v>
      </c>
      <c r="BQ305" t="n">
        <v>297</v>
      </c>
      <c r="BR305" t="n">
        <v>177</v>
      </c>
      <c r="BS305" t="n">
        <v>97</v>
      </c>
      <c r="BT305" t="n">
        <v>2007</v>
      </c>
      <c r="BU305" t="n">
        <v>301</v>
      </c>
      <c r="BV305" t="n">
        <v>470</v>
      </c>
      <c r="BW305" t="n">
        <v>390</v>
      </c>
      <c r="BX305" t="n">
        <v>204</v>
      </c>
      <c r="BY305" t="n">
        <v>425</v>
      </c>
      <c r="BZ305" t="n">
        <v>190</v>
      </c>
      <c r="CA305" t="n">
        <v>1980</v>
      </c>
      <c r="CB305" t="n">
        <v>40</v>
      </c>
      <c r="CC305" t="n">
        <v>17</v>
      </c>
      <c r="CD305" t="n">
        <v>149</v>
      </c>
      <c r="CE305" t="n">
        <v>88</v>
      </c>
      <c r="CF305" t="n">
        <v>0.59</v>
      </c>
      <c r="CG305" t="n">
        <v>0</v>
      </c>
      <c r="CH305" t="n">
        <v>0</v>
      </c>
      <c r="CI305" t="n">
        <v>0</v>
      </c>
      <c r="CJ305" t="n">
        <v>0</v>
      </c>
      <c r="CK305" t="n">
        <v>0</v>
      </c>
      <c r="CL305" t="n">
        <v>0</v>
      </c>
      <c r="CM305" t="n">
        <v>0</v>
      </c>
      <c r="CN305" t="n">
        <v>48</v>
      </c>
      <c r="CO305" t="n">
        <v>0</v>
      </c>
      <c r="CP305" t="n">
        <v>3</v>
      </c>
      <c r="CQ305" t="n">
        <v>0</v>
      </c>
      <c r="CR305" t="n">
        <v>0</v>
      </c>
      <c r="CS305" t="n">
        <v>0</v>
      </c>
      <c r="CT305" t="n">
        <v>51</v>
      </c>
      <c r="CU305" t="n">
        <v>0</v>
      </c>
      <c r="CV305" t="n">
        <v>0</v>
      </c>
      <c r="CW305" t="n">
        <v>8</v>
      </c>
      <c r="CX305" t="n">
        <v>0</v>
      </c>
      <c r="CY305" t="n">
        <v>24</v>
      </c>
      <c r="CZ305" t="n">
        <v>0</v>
      </c>
      <c r="DA305" t="n">
        <v>0</v>
      </c>
      <c r="DB305" t="n">
        <v>0</v>
      </c>
      <c r="DC305" t="n">
        <v>32</v>
      </c>
      <c r="DD305" t="n">
        <v>0</v>
      </c>
      <c r="DE305" t="n">
        <v>0</v>
      </c>
      <c r="DF305" t="n">
        <v>88</v>
      </c>
      <c r="DG305" t="n">
        <v>149</v>
      </c>
      <c r="DH305" t="n">
        <v>0</v>
      </c>
      <c r="DI305" t="n">
        <v>0</v>
      </c>
      <c r="DJ305" t="n">
        <v>0</v>
      </c>
      <c r="DK305" t="n">
        <v>0</v>
      </c>
      <c r="DL305" t="n">
        <v>0</v>
      </c>
      <c r="DM305" t="n">
        <v>0</v>
      </c>
      <c r="DN305" t="n">
        <v>0</v>
      </c>
      <c r="DO305" t="n">
        <v>0</v>
      </c>
      <c r="DP305" t="n">
        <v>0</v>
      </c>
      <c r="DQ305" t="n">
        <v>0</v>
      </c>
      <c r="DR305" t="n">
        <v>0</v>
      </c>
      <c r="DS305" t="n">
        <v>237</v>
      </c>
      <c r="DT305" t="n">
        <v>320</v>
      </c>
      <c r="DU305" t="n">
        <v>80</v>
      </c>
      <c r="DV305" t="n">
        <v>0</v>
      </c>
      <c r="DW305" t="n">
        <v>0</v>
      </c>
      <c r="DX305" t="n">
        <v>0</v>
      </c>
      <c r="DY305" t="n">
        <v>850</v>
      </c>
      <c r="DZ305" t="n">
        <v>850</v>
      </c>
      <c r="EA305" t="n">
        <v>298</v>
      </c>
      <c r="EB305" t="n">
        <v>1657</v>
      </c>
      <c r="EC305" t="n">
        <v>595</v>
      </c>
      <c r="ED305" t="n">
        <v>1063</v>
      </c>
      <c r="EE305" t="n">
        <v>3188</v>
      </c>
      <c r="EF305" t="n">
        <v>0</v>
      </c>
      <c r="EG305" t="n">
        <v>0.36</v>
      </c>
      <c r="EH305" t="n">
        <v>2.1</v>
      </c>
      <c r="EI305" t="n">
        <v>3.2</v>
      </c>
      <c r="EJ305" t="n">
        <v>0.4</v>
      </c>
      <c r="EK305" t="n">
        <v>4.1</v>
      </c>
    </row>
    <row r="306">
      <c r="A306">
        <f>[1]ingredient!B306</f>
        <v/>
      </c>
      <c r="B306" t="inlineStr">
        <is>
          <t>https://www.naehrwertrechner.de/naehrwerte/G250400/Petersilienblatt+getrocknet/?menge=100</t>
        </is>
      </c>
      <c r="C306" s="7">
        <f>_xlfn.XLOOKUP(A306,[1]ingredient!$B$2:$B$521,[1]ingredient!$A$2:$A$521)</f>
        <v/>
      </c>
      <c r="D306" t="n">
        <v>262</v>
      </c>
      <c r="E306" t="n">
        <v>2</v>
      </c>
      <c r="F306" t="n">
        <v>23</v>
      </c>
      <c r="G306" t="n">
        <v>36</v>
      </c>
      <c r="H306" t="n">
        <v>22</v>
      </c>
      <c r="I306" t="n">
        <v>23</v>
      </c>
      <c r="J306" t="n">
        <v>1</v>
      </c>
      <c r="K306" t="n">
        <v>6</v>
      </c>
      <c r="L306" t="n">
        <v>2314</v>
      </c>
      <c r="M306" t="n">
        <v>1156</v>
      </c>
      <c r="N306" t="n">
        <v>0</v>
      </c>
      <c r="O306" t="n">
        <v>13871</v>
      </c>
      <c r="P306" t="n">
        <v>540</v>
      </c>
      <c r="Q306" t="n">
        <v>1075</v>
      </c>
      <c r="R306" t="n">
        <v>5881</v>
      </c>
      <c r="S306" t="n">
        <v>11914</v>
      </c>
      <c r="T306" t="n">
        <v>1228</v>
      </c>
      <c r="U306" t="n">
        <v>820</v>
      </c>
      <c r="V306" t="n">
        <v>0</v>
      </c>
      <c r="W306" t="n">
        <v>296</v>
      </c>
      <c r="X306" t="n">
        <v>0</v>
      </c>
      <c r="Y306" t="n">
        <v>340344</v>
      </c>
      <c r="Z306" t="n">
        <v>0</v>
      </c>
      <c r="AA306" t="n">
        <v>17082</v>
      </c>
      <c r="AB306" t="n">
        <v>4051</v>
      </c>
      <c r="AC306" t="n">
        <v>143</v>
      </c>
      <c r="AD306" t="n">
        <v>4357</v>
      </c>
      <c r="AE306" t="n">
        <v>1131</v>
      </c>
      <c r="AF306" t="n">
        <v>189</v>
      </c>
      <c r="AG306" t="n">
        <v>591</v>
      </c>
      <c r="AH306" t="n">
        <v>877</v>
      </c>
      <c r="AI306" t="n">
        <v>739</v>
      </c>
      <c r="AJ306" t="n">
        <v>23961</v>
      </c>
      <c r="AK306" t="n">
        <v>4153</v>
      </c>
      <c r="AL306" t="n">
        <v>2400</v>
      </c>
      <c r="AM306" t="n">
        <v>12455</v>
      </c>
      <c r="AN306" t="n">
        <v>510</v>
      </c>
      <c r="AO306" t="n">
        <v>72</v>
      </c>
      <c r="AP306" t="n">
        <v>0</v>
      </c>
      <c r="AQ306" t="n">
        <v>0</v>
      </c>
      <c r="AR306" t="n">
        <v>0</v>
      </c>
      <c r="AS306" t="n">
        <v>0</v>
      </c>
      <c r="AT306" t="n">
        <v>14376</v>
      </c>
      <c r="AU306" t="n">
        <v>8984</v>
      </c>
      <c r="AV306" t="n">
        <v>0</v>
      </c>
      <c r="AW306" t="n">
        <v>23360</v>
      </c>
      <c r="AX306" t="n">
        <v>0</v>
      </c>
      <c r="AY306" t="n">
        <v>0</v>
      </c>
      <c r="AZ306" t="n">
        <v>0</v>
      </c>
      <c r="BA306" t="n">
        <v>0</v>
      </c>
      <c r="BB306" t="n">
        <v>0</v>
      </c>
      <c r="BC306" t="n">
        <v>0</v>
      </c>
      <c r="BD306" t="n">
        <v>0</v>
      </c>
      <c r="BE306" t="n">
        <v>12577</v>
      </c>
      <c r="BF306" t="n">
        <v>12577</v>
      </c>
      <c r="BG306">
        <f>IF($F306=0,"0",MIN(
BH306/(30*$F306),
BI306/(61*$F306),
BJ306/(48*$F306),
(BK306+BL306)/(23*$F306),
(BM306+BN306)/(41*$F306),
BO306/(25*$F306),
BP306/(6.6*$F306),
BQ306/(40*$F306),
BS306/(16*$F306)
)*100)</f>
        <v/>
      </c>
      <c r="BH306" t="n">
        <v>1045</v>
      </c>
      <c r="BI306" t="n">
        <v>1519</v>
      </c>
      <c r="BJ306" t="n">
        <v>1412</v>
      </c>
      <c r="BK306" t="n">
        <v>138</v>
      </c>
      <c r="BL306" t="n">
        <v>92</v>
      </c>
      <c r="BM306" t="n">
        <v>1223</v>
      </c>
      <c r="BN306" t="n">
        <v>637</v>
      </c>
      <c r="BO306" t="n">
        <v>933</v>
      </c>
      <c r="BP306" t="n">
        <v>362</v>
      </c>
      <c r="BQ306" t="n">
        <v>1522</v>
      </c>
      <c r="BR306" t="n">
        <v>907</v>
      </c>
      <c r="BS306" t="n">
        <v>499</v>
      </c>
      <c r="BT306" t="n">
        <v>10289</v>
      </c>
      <c r="BU306" t="n">
        <v>1544</v>
      </c>
      <c r="BV306" t="n">
        <v>2410</v>
      </c>
      <c r="BW306" t="n">
        <v>1998</v>
      </c>
      <c r="BX306" t="n">
        <v>1045</v>
      </c>
      <c r="BY306" t="n">
        <v>2176</v>
      </c>
      <c r="BZ306" t="n">
        <v>973</v>
      </c>
      <c r="CA306" t="n">
        <v>10146</v>
      </c>
      <c r="CB306" t="n">
        <v>204</v>
      </c>
      <c r="CC306" t="n">
        <v>85</v>
      </c>
      <c r="CD306" t="n">
        <v>764</v>
      </c>
      <c r="CE306" t="n">
        <v>454</v>
      </c>
      <c r="CF306" t="n">
        <v>0.59</v>
      </c>
      <c r="CG306" t="n">
        <v>0</v>
      </c>
      <c r="CH306" t="n">
        <v>0</v>
      </c>
      <c r="CI306" t="n">
        <v>0</v>
      </c>
      <c r="CJ306" t="n">
        <v>0</v>
      </c>
      <c r="CK306" t="n">
        <v>0</v>
      </c>
      <c r="CL306" t="n">
        <v>0</v>
      </c>
      <c r="CM306" t="n">
        <v>0</v>
      </c>
      <c r="CN306" t="n">
        <v>245</v>
      </c>
      <c r="CO306" t="n">
        <v>0</v>
      </c>
      <c r="CP306" t="n">
        <v>15</v>
      </c>
      <c r="CQ306" t="n">
        <v>0</v>
      </c>
      <c r="CR306" t="n">
        <v>0</v>
      </c>
      <c r="CS306" t="n">
        <v>0</v>
      </c>
      <c r="CT306" t="n">
        <v>260</v>
      </c>
      <c r="CU306" t="n">
        <v>0</v>
      </c>
      <c r="CV306" t="n">
        <v>0</v>
      </c>
      <c r="CW306" t="n">
        <v>41</v>
      </c>
      <c r="CX306" t="n">
        <v>0</v>
      </c>
      <c r="CY306" t="n">
        <v>122</v>
      </c>
      <c r="CZ306" t="n">
        <v>0</v>
      </c>
      <c r="DA306" t="n">
        <v>0</v>
      </c>
      <c r="DB306" t="n">
        <v>0</v>
      </c>
      <c r="DC306" t="n">
        <v>163</v>
      </c>
      <c r="DD306" t="n">
        <v>0</v>
      </c>
      <c r="DE306" t="n">
        <v>0</v>
      </c>
      <c r="DF306" t="n">
        <v>454</v>
      </c>
      <c r="DG306" t="n">
        <v>764</v>
      </c>
      <c r="DH306" t="n">
        <v>0</v>
      </c>
      <c r="DI306" t="n">
        <v>0</v>
      </c>
      <c r="DJ306" t="n">
        <v>0</v>
      </c>
      <c r="DK306" t="n">
        <v>0</v>
      </c>
      <c r="DL306" t="n">
        <v>0</v>
      </c>
      <c r="DM306" t="n">
        <v>0</v>
      </c>
      <c r="DN306" t="n">
        <v>0</v>
      </c>
      <c r="DO306" t="n">
        <v>0</v>
      </c>
      <c r="DP306" t="n">
        <v>0</v>
      </c>
      <c r="DQ306" t="n">
        <v>0</v>
      </c>
      <c r="DR306" t="n">
        <v>0</v>
      </c>
      <c r="DS306" t="n">
        <v>1218</v>
      </c>
      <c r="DT306" t="n">
        <v>1641</v>
      </c>
      <c r="DU306" t="n">
        <v>408</v>
      </c>
      <c r="DV306" t="n">
        <v>0</v>
      </c>
      <c r="DW306" t="n">
        <v>0</v>
      </c>
      <c r="DX306" t="n">
        <v>0</v>
      </c>
      <c r="DY306" t="n">
        <v>4357</v>
      </c>
      <c r="DZ306" t="n">
        <v>4357</v>
      </c>
      <c r="EA306" t="n">
        <v>1529</v>
      </c>
      <c r="EB306" t="n">
        <v>8495</v>
      </c>
      <c r="EC306" t="n">
        <v>3047</v>
      </c>
      <c r="ED306" t="n">
        <v>5448</v>
      </c>
      <c r="EE306" t="n">
        <v>16343</v>
      </c>
      <c r="EF306" t="n">
        <v>0</v>
      </c>
      <c r="EG306" t="n">
        <v>2</v>
      </c>
      <c r="EH306" t="n">
        <v>9.699999999999999</v>
      </c>
      <c r="EI306" t="n">
        <v>16.3</v>
      </c>
      <c r="EJ306" t="n">
        <v>2</v>
      </c>
      <c r="EK306" t="n">
        <v>21.1</v>
      </c>
    </row>
    <row r="307">
      <c r="A307">
        <f>[1]ingredient!B307</f>
        <v/>
      </c>
      <c r="B307" t="inlineStr">
        <is>
          <t>https://www.naehrwertrechner.de/naehrwerte/R258111/Pfeffer+schwarz/?menge=100</t>
        </is>
      </c>
      <c r="C307" s="7">
        <f>_xlfn.XLOOKUP(A307,[1]ingredient!$B$2:$B$521,[1]ingredient!$A$2:$A$521)</f>
        <v/>
      </c>
      <c r="D307" t="n">
        <v>285</v>
      </c>
      <c r="E307" t="n">
        <v>3</v>
      </c>
      <c r="F307" t="n">
        <v>11</v>
      </c>
      <c r="G307" t="n">
        <v>52</v>
      </c>
      <c r="H307" t="n">
        <v>13</v>
      </c>
      <c r="I307" t="n">
        <v>49</v>
      </c>
      <c r="J307" t="n">
        <v>0.1</v>
      </c>
      <c r="K307" t="n">
        <v>16</v>
      </c>
      <c r="L307" t="n">
        <v>19</v>
      </c>
      <c r="M307" t="n">
        <v>10</v>
      </c>
      <c r="N307" t="n">
        <v>0</v>
      </c>
      <c r="O307" t="n">
        <v>115</v>
      </c>
      <c r="P307" t="n">
        <v>110</v>
      </c>
      <c r="Q307" t="n">
        <v>240</v>
      </c>
      <c r="R307" t="n">
        <v>1100</v>
      </c>
      <c r="S307" t="n">
        <v>3100</v>
      </c>
      <c r="T307" t="n">
        <v>500</v>
      </c>
      <c r="U307" t="n">
        <v>200</v>
      </c>
      <c r="V307" t="n">
        <v>10</v>
      </c>
      <c r="W307" t="n">
        <v>0</v>
      </c>
      <c r="X307" t="n">
        <v>0</v>
      </c>
      <c r="Y307" t="n">
        <v>0</v>
      </c>
      <c r="Z307" t="n">
        <v>0</v>
      </c>
      <c r="AA307" t="n">
        <v>0</v>
      </c>
      <c r="AB307" t="n">
        <v>0</v>
      </c>
      <c r="AC307" t="n">
        <v>44</v>
      </c>
      <c r="AD307" t="n">
        <v>1260</v>
      </c>
      <c r="AE307" t="n">
        <v>430</v>
      </c>
      <c r="AF307" t="n">
        <v>190</v>
      </c>
      <c r="AG307" t="n">
        <v>170</v>
      </c>
      <c r="AH307" t="n">
        <v>99</v>
      </c>
      <c r="AI307" t="n">
        <v>60</v>
      </c>
      <c r="AJ307" t="n">
        <v>11200</v>
      </c>
      <c r="AK307" t="n">
        <v>1400</v>
      </c>
      <c r="AL307" t="n">
        <v>1130</v>
      </c>
      <c r="AM307" t="n">
        <v>6500</v>
      </c>
      <c r="AN307" t="n">
        <v>50</v>
      </c>
      <c r="AO307" t="n">
        <v>5</v>
      </c>
      <c r="AP307" t="n">
        <v>0</v>
      </c>
      <c r="AQ307" t="n">
        <v>0</v>
      </c>
      <c r="AR307" t="n">
        <v>0</v>
      </c>
      <c r="AS307" t="n">
        <v>0</v>
      </c>
      <c r="AT307" t="n">
        <v>26000</v>
      </c>
      <c r="AU307" t="n">
        <v>21320</v>
      </c>
      <c r="AV307" t="n">
        <v>0</v>
      </c>
      <c r="AW307" t="n">
        <v>47320</v>
      </c>
      <c r="AX307" t="n">
        <v>2080</v>
      </c>
      <c r="AY307" t="n">
        <v>0</v>
      </c>
      <c r="AZ307" t="n">
        <v>0</v>
      </c>
      <c r="BA307" t="n">
        <v>2080</v>
      </c>
      <c r="BB307" t="n">
        <v>0</v>
      </c>
      <c r="BC307" t="n">
        <v>0</v>
      </c>
      <c r="BD307" t="n">
        <v>0</v>
      </c>
      <c r="BE307" t="n">
        <v>2600</v>
      </c>
      <c r="BF307" t="n">
        <v>2600</v>
      </c>
      <c r="BG307">
        <f>IF($F307=0,"0",MIN(
BH307/(30*$F307),
BI307/(61*$F307),
BJ307/(48*$F307),
(BK307+BL307)/(23*$F307),
(BM307+BN307)/(41*$F307),
BO307/(25*$F307),
BP307/(6.6*$F307),
BQ307/(40*$F307),
BS307/(16*$F307)
)*100)</f>
        <v/>
      </c>
      <c r="BH307" t="n">
        <v>436</v>
      </c>
      <c r="BI307" t="n">
        <v>839</v>
      </c>
      <c r="BJ307" t="n">
        <v>469</v>
      </c>
      <c r="BK307" t="n">
        <v>131</v>
      </c>
      <c r="BL307" t="n">
        <v>131</v>
      </c>
      <c r="BM307" t="n">
        <v>349</v>
      </c>
      <c r="BN307" t="n">
        <v>316</v>
      </c>
      <c r="BO307" t="n">
        <v>403</v>
      </c>
      <c r="BP307" t="n">
        <v>120</v>
      </c>
      <c r="BQ307" t="n">
        <v>632</v>
      </c>
      <c r="BR307" t="n">
        <v>1210</v>
      </c>
      <c r="BS307" t="n">
        <v>240</v>
      </c>
      <c r="BT307" t="n">
        <v>5276</v>
      </c>
      <c r="BU307" t="n">
        <v>578</v>
      </c>
      <c r="BV307" t="n">
        <v>1123</v>
      </c>
      <c r="BW307" t="n">
        <v>2331</v>
      </c>
      <c r="BX307" t="n">
        <v>643</v>
      </c>
      <c r="BY307" t="n">
        <v>556</v>
      </c>
      <c r="BZ307" t="n">
        <v>338</v>
      </c>
      <c r="CA307" t="n">
        <v>5569</v>
      </c>
      <c r="CB307" t="n">
        <v>50</v>
      </c>
      <c r="CC307" t="n">
        <v>21</v>
      </c>
      <c r="CD307" t="n">
        <v>143</v>
      </c>
      <c r="CE307" t="n">
        <v>853</v>
      </c>
      <c r="CF307" t="n">
        <v>5.97</v>
      </c>
      <c r="CG307" t="n">
        <v>0</v>
      </c>
      <c r="CH307" t="n">
        <v>0</v>
      </c>
      <c r="CI307" t="n">
        <v>0</v>
      </c>
      <c r="CJ307" t="n">
        <v>0</v>
      </c>
      <c r="CK307" t="n">
        <v>25</v>
      </c>
      <c r="CL307" t="n">
        <v>44</v>
      </c>
      <c r="CM307" t="n">
        <v>0</v>
      </c>
      <c r="CN307" t="n">
        <v>791</v>
      </c>
      <c r="CO307" t="n">
        <v>0</v>
      </c>
      <c r="CP307" t="n">
        <v>0</v>
      </c>
      <c r="CQ307" t="n">
        <v>0</v>
      </c>
      <c r="CR307" t="n">
        <v>0</v>
      </c>
      <c r="CS307" t="n">
        <v>0</v>
      </c>
      <c r="CT307" t="n">
        <v>860</v>
      </c>
      <c r="CU307" t="n">
        <v>0</v>
      </c>
      <c r="CV307" t="n">
        <v>0</v>
      </c>
      <c r="CW307" t="n">
        <v>0</v>
      </c>
      <c r="CX307" t="n">
        <v>0</v>
      </c>
      <c r="CY307" t="n">
        <v>890</v>
      </c>
      <c r="CZ307" t="n">
        <v>0</v>
      </c>
      <c r="DA307" t="n">
        <v>0</v>
      </c>
      <c r="DB307" t="n">
        <v>0</v>
      </c>
      <c r="DC307" t="n">
        <v>890</v>
      </c>
      <c r="DD307" t="n">
        <v>0</v>
      </c>
      <c r="DE307" t="n">
        <v>0</v>
      </c>
      <c r="DF307" t="n">
        <v>853</v>
      </c>
      <c r="DG307" t="n">
        <v>143</v>
      </c>
      <c r="DH307" t="n">
        <v>0</v>
      </c>
      <c r="DI307" t="n">
        <v>0</v>
      </c>
      <c r="DJ307" t="n">
        <v>0</v>
      </c>
      <c r="DK307" t="n">
        <v>0</v>
      </c>
      <c r="DL307" t="n">
        <v>0</v>
      </c>
      <c r="DM307" t="n">
        <v>0</v>
      </c>
      <c r="DN307" t="n">
        <v>0</v>
      </c>
      <c r="DO307" t="n">
        <v>0</v>
      </c>
      <c r="DP307" t="n">
        <v>0</v>
      </c>
      <c r="DQ307" t="n">
        <v>0</v>
      </c>
      <c r="DR307" t="n">
        <v>0</v>
      </c>
      <c r="DS307" t="n">
        <v>996</v>
      </c>
      <c r="DT307" t="n">
        <v>2746</v>
      </c>
      <c r="DU307" t="n">
        <v>554</v>
      </c>
      <c r="DV307" t="n">
        <v>0</v>
      </c>
      <c r="DW307" t="n">
        <v>0</v>
      </c>
      <c r="DX307" t="n">
        <v>0</v>
      </c>
      <c r="DY307" t="n">
        <v>2889</v>
      </c>
      <c r="DZ307" t="n">
        <v>2363</v>
      </c>
      <c r="EA307" t="n">
        <v>2626</v>
      </c>
      <c r="EB307" t="n">
        <v>2626</v>
      </c>
      <c r="EC307" t="n">
        <v>2626</v>
      </c>
      <c r="ED307" t="n">
        <v>3939</v>
      </c>
      <c r="EE307" t="n">
        <v>9191</v>
      </c>
      <c r="EF307" t="n">
        <v>0</v>
      </c>
      <c r="EG307" t="n">
        <v>0.02</v>
      </c>
      <c r="EH307" t="n">
        <v>4.3</v>
      </c>
      <c r="EI307" t="n">
        <v>9.199999999999999</v>
      </c>
      <c r="EJ307" t="n">
        <v>3.3</v>
      </c>
      <c r="EK307" t="n">
        <v>11</v>
      </c>
    </row>
    <row r="308">
      <c r="A308">
        <f>[1]ingredient!B308</f>
        <v/>
      </c>
      <c r="B308" s="11" t="inlineStr">
        <is>
          <t>https://www.naehrwertrechner.de/naehrwerte/R258211/Pfeffer+wei%C3%9F/?menge=100</t>
        </is>
      </c>
      <c r="C308" s="7">
        <f>_xlfn.XLOOKUP(A308,[1]ingredient!$B$2:$B$521,[1]ingredient!$A$2:$A$521)</f>
        <v/>
      </c>
      <c r="D308" s="15" t="n">
        <v>322</v>
      </c>
      <c r="E308" s="15" t="n">
        <v>2</v>
      </c>
      <c r="F308" s="15" t="n">
        <v>10</v>
      </c>
      <c r="G308" s="15" t="n">
        <v>64</v>
      </c>
      <c r="H308" s="15" t="n">
        <v>4</v>
      </c>
      <c r="I308" s="15" t="n">
        <v>61</v>
      </c>
      <c r="J308" s="15" t="n">
        <v>0.07000000000000001</v>
      </c>
      <c r="K308" s="15" t="n">
        <v>17</v>
      </c>
      <c r="L308" s="15" t="n">
        <v>0</v>
      </c>
      <c r="M308" s="15" t="n">
        <v>0.08</v>
      </c>
      <c r="N308" s="15" t="n">
        <v>0</v>
      </c>
      <c r="O308" s="15" t="n">
        <v>1</v>
      </c>
      <c r="P308" s="15" t="n">
        <v>20</v>
      </c>
      <c r="Q308" s="15" t="n">
        <v>130</v>
      </c>
      <c r="R308" s="15" t="n">
        <v>200</v>
      </c>
      <c r="S308" s="15" t="n">
        <v>2100</v>
      </c>
      <c r="T308" s="15" t="n">
        <v>500</v>
      </c>
      <c r="U308" s="15" t="n">
        <v>200</v>
      </c>
      <c r="V308" s="15" t="n">
        <v>10</v>
      </c>
      <c r="W308" s="15" t="n">
        <v>0</v>
      </c>
      <c r="X308" s="15" t="n">
        <v>0</v>
      </c>
      <c r="Y308" s="15" t="n">
        <v>0</v>
      </c>
      <c r="Z308" s="15" t="n">
        <v>0</v>
      </c>
      <c r="AA308" s="15" t="n">
        <v>0</v>
      </c>
      <c r="AB308" s="15" t="n">
        <v>0</v>
      </c>
      <c r="AC308" s="15" t="n">
        <v>5</v>
      </c>
      <c r="AD308" s="15" t="n">
        <v>73</v>
      </c>
      <c r="AE308" s="15" t="n">
        <v>270</v>
      </c>
      <c r="AF308" s="15" t="n">
        <v>90</v>
      </c>
      <c r="AG308" s="15" t="n">
        <v>180</v>
      </c>
      <c r="AH308" s="15" t="n">
        <v>99</v>
      </c>
      <c r="AI308" s="15" t="n">
        <v>60</v>
      </c>
      <c r="AJ308" s="15" t="n">
        <v>14300</v>
      </c>
      <c r="AK308" s="15" t="n">
        <v>1100</v>
      </c>
      <c r="AL308" s="15" t="n">
        <v>1130</v>
      </c>
      <c r="AM308" s="15" t="n">
        <v>4500</v>
      </c>
      <c r="AN308" s="15" t="n">
        <v>50</v>
      </c>
      <c r="AO308" s="15" t="n">
        <v>5</v>
      </c>
      <c r="AP308" s="15" t="n">
        <v>0</v>
      </c>
      <c r="AQ308" s="15" t="n">
        <v>0</v>
      </c>
      <c r="AR308" s="15" t="n">
        <v>0</v>
      </c>
      <c r="AS308" s="15" t="n">
        <v>0</v>
      </c>
      <c r="AT308" s="15" t="n">
        <v>32150</v>
      </c>
      <c r="AU308" s="15" t="n">
        <v>26363</v>
      </c>
      <c r="AV308" s="15" t="n">
        <v>0</v>
      </c>
      <c r="AW308" s="15" t="n">
        <v>58513</v>
      </c>
      <c r="AX308" s="15" t="n">
        <v>2572</v>
      </c>
      <c r="AY308" s="15" t="n">
        <v>0</v>
      </c>
      <c r="AZ308" s="15" t="n">
        <v>0</v>
      </c>
      <c r="BA308" s="15" t="n">
        <v>2572</v>
      </c>
      <c r="BB308" s="15" t="n">
        <v>0</v>
      </c>
      <c r="BC308" s="15" t="n">
        <v>0</v>
      </c>
      <c r="BD308" s="15" t="n">
        <v>0</v>
      </c>
      <c r="BE308" s="15" t="n">
        <v>3215</v>
      </c>
      <c r="BF308" s="15" t="n">
        <v>3215</v>
      </c>
      <c r="BG308" s="15" t="n">
        <v>99</v>
      </c>
      <c r="BH308" s="15" t="n">
        <v>416</v>
      </c>
      <c r="BI308" s="15" t="n">
        <v>801</v>
      </c>
      <c r="BJ308" s="15" t="n">
        <v>447</v>
      </c>
      <c r="BK308" s="15" t="n">
        <v>125</v>
      </c>
      <c r="BL308" s="15" t="n">
        <v>125</v>
      </c>
      <c r="BM308" s="15" t="n">
        <v>333</v>
      </c>
      <c r="BN308" s="15" t="n">
        <v>302</v>
      </c>
      <c r="BO308" s="15" t="n">
        <v>385</v>
      </c>
      <c r="BP308" s="15" t="n">
        <v>114</v>
      </c>
      <c r="BQ308" s="15" t="n">
        <v>603</v>
      </c>
      <c r="BR308" s="15" t="n">
        <v>1154</v>
      </c>
      <c r="BS308" s="15" t="n">
        <v>229</v>
      </c>
      <c r="BT308" s="15" t="n">
        <v>5034</v>
      </c>
      <c r="BU308" s="15" t="n">
        <v>551</v>
      </c>
      <c r="BV308" s="15" t="n">
        <v>1071</v>
      </c>
      <c r="BW308" s="15" t="n">
        <v>2226</v>
      </c>
      <c r="BX308" s="15" t="n">
        <v>614</v>
      </c>
      <c r="BY308" s="15" t="n">
        <v>530</v>
      </c>
      <c r="BZ308" s="15" t="n">
        <v>322</v>
      </c>
      <c r="CA308" s="15" t="n">
        <v>5314</v>
      </c>
      <c r="CB308" s="15" t="n">
        <v>50</v>
      </c>
      <c r="CC308" s="15" t="n">
        <v>21</v>
      </c>
      <c r="CD308" s="15" t="n">
        <v>91</v>
      </c>
      <c r="CE308" s="15" t="n">
        <v>543</v>
      </c>
      <c r="CF308" s="15" t="n">
        <v>5.97</v>
      </c>
      <c r="CG308" s="15" t="n">
        <v>0</v>
      </c>
      <c r="CH308" s="15" t="n">
        <v>0</v>
      </c>
      <c r="CI308" s="15" t="n">
        <v>0</v>
      </c>
      <c r="CJ308" s="15" t="n">
        <v>0</v>
      </c>
      <c r="CK308" s="15" t="n">
        <v>16</v>
      </c>
      <c r="CL308" s="15" t="n">
        <v>28</v>
      </c>
      <c r="CM308" s="15" t="n">
        <v>0</v>
      </c>
      <c r="CN308" s="15" t="n">
        <v>503</v>
      </c>
      <c r="CO308" s="15" t="n">
        <v>0</v>
      </c>
      <c r="CP308" s="15" t="n">
        <v>0</v>
      </c>
      <c r="CQ308" s="15" t="n">
        <v>0</v>
      </c>
      <c r="CR308" s="15" t="n">
        <v>0</v>
      </c>
      <c r="CS308" s="15" t="n">
        <v>0</v>
      </c>
      <c r="CT308" s="15" t="n">
        <v>547</v>
      </c>
      <c r="CU308" s="15" t="n">
        <v>0</v>
      </c>
      <c r="CV308" s="15" t="n">
        <v>0</v>
      </c>
      <c r="CW308" s="15" t="n">
        <v>0</v>
      </c>
      <c r="CX308" s="15" t="n">
        <v>0</v>
      </c>
      <c r="CY308" s="15" t="n">
        <v>566</v>
      </c>
      <c r="CZ308" s="15" t="n">
        <v>0</v>
      </c>
      <c r="DA308" s="15" t="n">
        <v>0</v>
      </c>
      <c r="DB308" s="15" t="n">
        <v>0</v>
      </c>
      <c r="DC308" s="15" t="n">
        <v>566</v>
      </c>
      <c r="DD308" s="15" t="n">
        <v>0</v>
      </c>
      <c r="DE308" s="15" t="n">
        <v>0</v>
      </c>
      <c r="DF308" s="15" t="n">
        <v>543</v>
      </c>
      <c r="DG308" s="15" t="n">
        <v>91</v>
      </c>
      <c r="DH308" s="15" t="n">
        <v>0</v>
      </c>
      <c r="DI308" s="15" t="n">
        <v>0</v>
      </c>
      <c r="DJ308" s="15" t="n">
        <v>0</v>
      </c>
      <c r="DK308" s="15" t="n">
        <v>0</v>
      </c>
      <c r="DL308" s="15" t="n">
        <v>0</v>
      </c>
      <c r="DM308" s="15" t="n">
        <v>0</v>
      </c>
      <c r="DN308" s="15" t="n">
        <v>0</v>
      </c>
      <c r="DO308" s="15" t="n">
        <v>0</v>
      </c>
      <c r="DP308" s="15" t="n">
        <v>0</v>
      </c>
      <c r="DQ308" s="15" t="n">
        <v>0</v>
      </c>
      <c r="DR308" s="15" t="n">
        <v>0</v>
      </c>
      <c r="DS308" s="15" t="n">
        <v>634</v>
      </c>
      <c r="DT308" s="15" t="n">
        <v>1747</v>
      </c>
      <c r="DU308" s="15" t="n">
        <v>353</v>
      </c>
      <c r="DV308" s="15" t="n">
        <v>0</v>
      </c>
      <c r="DW308" s="15" t="n">
        <v>0</v>
      </c>
      <c r="DX308" s="15" t="n">
        <v>0</v>
      </c>
      <c r="DY308" s="15" t="n">
        <v>955</v>
      </c>
      <c r="DZ308" s="15" t="n">
        <v>781</v>
      </c>
      <c r="EA308" s="15" t="n">
        <v>868</v>
      </c>
      <c r="EB308" s="15" t="n">
        <v>868</v>
      </c>
      <c r="EC308" s="15" t="n">
        <v>868</v>
      </c>
      <c r="ED308" s="15" t="n">
        <v>1302</v>
      </c>
      <c r="EE308" s="15" t="n">
        <v>3038</v>
      </c>
      <c r="EF308" s="15" t="n">
        <v>0</v>
      </c>
      <c r="EG308" s="15" t="n">
        <v>0.01</v>
      </c>
      <c r="EH308" s="15" t="n">
        <v>1.6</v>
      </c>
      <c r="EI308" s="15" t="n">
        <v>3</v>
      </c>
      <c r="EJ308" s="15" t="n">
        <v>2.1</v>
      </c>
      <c r="EK308" s="15" t="n">
        <v>10.5</v>
      </c>
    </row>
    <row r="309">
      <c r="A309">
        <f>[1]ingredient!B309</f>
        <v/>
      </c>
      <c r="B309" s="11" t="inlineStr">
        <is>
          <t>https://www.naehrwertrechner.de/naehrwerte/R258211/Pfeffer+wei%C3%9F/?menge=100</t>
        </is>
      </c>
      <c r="C309" s="7">
        <f>_xlfn.XLOOKUP(A309,[1]ingredient!$B$2:$B$521,[1]ingredient!$A$2:$A$521)</f>
        <v/>
      </c>
      <c r="D309" s="15" t="n">
        <v>322</v>
      </c>
      <c r="E309" s="15" t="n">
        <v>2</v>
      </c>
      <c r="F309" s="15" t="n">
        <v>10</v>
      </c>
      <c r="G309" s="15" t="n">
        <v>64</v>
      </c>
      <c r="H309" s="15" t="n">
        <v>4</v>
      </c>
      <c r="I309" s="15" t="n">
        <v>61</v>
      </c>
      <c r="J309" s="15" t="n">
        <v>0.07000000000000001</v>
      </c>
      <c r="K309" s="15" t="n">
        <v>17</v>
      </c>
      <c r="L309" s="15" t="n">
        <v>0</v>
      </c>
      <c r="M309" s="15" t="n">
        <v>0.08</v>
      </c>
      <c r="N309" s="15" t="n">
        <v>0</v>
      </c>
      <c r="O309" s="15" t="n">
        <v>1</v>
      </c>
      <c r="P309" s="15" t="n">
        <v>20</v>
      </c>
      <c r="Q309" s="15" t="n">
        <v>130</v>
      </c>
      <c r="R309" s="15" t="n">
        <v>200</v>
      </c>
      <c r="S309" s="15" t="n">
        <v>2100</v>
      </c>
      <c r="T309" s="15" t="n">
        <v>500</v>
      </c>
      <c r="U309" s="15" t="n">
        <v>200</v>
      </c>
      <c r="V309" s="15" t="n">
        <v>10</v>
      </c>
      <c r="W309" s="15" t="n">
        <v>0</v>
      </c>
      <c r="X309" s="15" t="n">
        <v>0</v>
      </c>
      <c r="Y309" s="15" t="n">
        <v>0</v>
      </c>
      <c r="Z309" s="15" t="n">
        <v>0</v>
      </c>
      <c r="AA309" s="15" t="n">
        <v>0</v>
      </c>
      <c r="AB309" s="15" t="n">
        <v>0</v>
      </c>
      <c r="AC309" s="15" t="n">
        <v>5</v>
      </c>
      <c r="AD309" s="15" t="n">
        <v>73</v>
      </c>
      <c r="AE309" s="15" t="n">
        <v>270</v>
      </c>
      <c r="AF309" s="15" t="n">
        <v>90</v>
      </c>
      <c r="AG309" s="15" t="n">
        <v>180</v>
      </c>
      <c r="AH309" s="15" t="n">
        <v>99</v>
      </c>
      <c r="AI309" s="15" t="n">
        <v>60</v>
      </c>
      <c r="AJ309" s="15" t="n">
        <v>14300</v>
      </c>
      <c r="AK309" s="15" t="n">
        <v>1100</v>
      </c>
      <c r="AL309" s="15" t="n">
        <v>1130</v>
      </c>
      <c r="AM309" s="15" t="n">
        <v>4500</v>
      </c>
      <c r="AN309" s="15" t="n">
        <v>50</v>
      </c>
      <c r="AO309" s="15" t="n">
        <v>5</v>
      </c>
      <c r="AP309" s="15" t="n">
        <v>0</v>
      </c>
      <c r="AQ309" s="15" t="n">
        <v>0</v>
      </c>
      <c r="AR309" s="15" t="n">
        <v>0</v>
      </c>
      <c r="AS309" s="15" t="n">
        <v>0</v>
      </c>
      <c r="AT309" s="15" t="n">
        <v>32150</v>
      </c>
      <c r="AU309" s="15" t="n">
        <v>26363</v>
      </c>
      <c r="AV309" s="15" t="n">
        <v>0</v>
      </c>
      <c r="AW309" s="15" t="n">
        <v>58513</v>
      </c>
      <c r="AX309" s="15" t="n">
        <v>2572</v>
      </c>
      <c r="AY309" s="15" t="n">
        <v>0</v>
      </c>
      <c r="AZ309" s="15" t="n">
        <v>0</v>
      </c>
      <c r="BA309" s="15" t="n">
        <v>2572</v>
      </c>
      <c r="BB309" s="15" t="n">
        <v>0</v>
      </c>
      <c r="BC309" s="15" t="n">
        <v>0</v>
      </c>
      <c r="BD309" s="15" t="n">
        <v>0</v>
      </c>
      <c r="BE309" s="15" t="n">
        <v>3215</v>
      </c>
      <c r="BF309" s="15" t="n">
        <v>3215</v>
      </c>
      <c r="BG309" s="15" t="n">
        <v>99</v>
      </c>
      <c r="BH309" s="15" t="n">
        <v>416</v>
      </c>
      <c r="BI309" s="15" t="n">
        <v>801</v>
      </c>
      <c r="BJ309" s="15" t="n">
        <v>447</v>
      </c>
      <c r="BK309" s="15" t="n">
        <v>125</v>
      </c>
      <c r="BL309" s="15" t="n">
        <v>125</v>
      </c>
      <c r="BM309" s="15" t="n">
        <v>333</v>
      </c>
      <c r="BN309" s="15" t="n">
        <v>302</v>
      </c>
      <c r="BO309" s="15" t="n">
        <v>385</v>
      </c>
      <c r="BP309" s="15" t="n">
        <v>114</v>
      </c>
      <c r="BQ309" s="15" t="n">
        <v>603</v>
      </c>
      <c r="BR309" s="15" t="n">
        <v>1154</v>
      </c>
      <c r="BS309" s="15" t="n">
        <v>229</v>
      </c>
      <c r="BT309" s="15" t="n">
        <v>5034</v>
      </c>
      <c r="BU309" s="15" t="n">
        <v>551</v>
      </c>
      <c r="BV309" s="15" t="n">
        <v>1071</v>
      </c>
      <c r="BW309" s="15" t="n">
        <v>2226</v>
      </c>
      <c r="BX309" s="15" t="n">
        <v>614</v>
      </c>
      <c r="BY309" s="15" t="n">
        <v>530</v>
      </c>
      <c r="BZ309" s="15" t="n">
        <v>322</v>
      </c>
      <c r="CA309" s="15" t="n">
        <v>5314</v>
      </c>
      <c r="CB309" s="15" t="n">
        <v>50</v>
      </c>
      <c r="CC309" s="15" t="n">
        <v>21</v>
      </c>
      <c r="CD309" s="15" t="n">
        <v>91</v>
      </c>
      <c r="CE309" s="15" t="n">
        <v>543</v>
      </c>
      <c r="CF309" s="15" t="n">
        <v>5.97</v>
      </c>
      <c r="CG309" s="15" t="n">
        <v>0</v>
      </c>
      <c r="CH309" s="15" t="n">
        <v>0</v>
      </c>
      <c r="CI309" s="15" t="n">
        <v>0</v>
      </c>
      <c r="CJ309" s="15" t="n">
        <v>0</v>
      </c>
      <c r="CK309" s="15" t="n">
        <v>16</v>
      </c>
      <c r="CL309" s="15" t="n">
        <v>28</v>
      </c>
      <c r="CM309" s="15" t="n">
        <v>0</v>
      </c>
      <c r="CN309" s="15" t="n">
        <v>503</v>
      </c>
      <c r="CO309" s="15" t="n">
        <v>0</v>
      </c>
      <c r="CP309" s="15" t="n">
        <v>0</v>
      </c>
      <c r="CQ309" s="15" t="n">
        <v>0</v>
      </c>
      <c r="CR309" s="15" t="n">
        <v>0</v>
      </c>
      <c r="CS309" s="15" t="n">
        <v>0</v>
      </c>
      <c r="CT309" s="15" t="n">
        <v>547</v>
      </c>
      <c r="CU309" s="15" t="n">
        <v>0</v>
      </c>
      <c r="CV309" s="15" t="n">
        <v>0</v>
      </c>
      <c r="CW309" s="15" t="n">
        <v>0</v>
      </c>
      <c r="CX309" s="15" t="n">
        <v>0</v>
      </c>
      <c r="CY309" s="15" t="n">
        <v>566</v>
      </c>
      <c r="CZ309" s="15" t="n">
        <v>0</v>
      </c>
      <c r="DA309" s="15" t="n">
        <v>0</v>
      </c>
      <c r="DB309" s="15" t="n">
        <v>0</v>
      </c>
      <c r="DC309" s="15" t="n">
        <v>566</v>
      </c>
      <c r="DD309" s="15" t="n">
        <v>0</v>
      </c>
      <c r="DE309" s="15" t="n">
        <v>0</v>
      </c>
      <c r="DF309" s="15" t="n">
        <v>543</v>
      </c>
      <c r="DG309" s="15" t="n">
        <v>91</v>
      </c>
      <c r="DH309" s="15" t="n">
        <v>0</v>
      </c>
      <c r="DI309" s="15" t="n">
        <v>0</v>
      </c>
      <c r="DJ309" s="15" t="n">
        <v>0</v>
      </c>
      <c r="DK309" s="15" t="n">
        <v>0</v>
      </c>
      <c r="DL309" s="15" t="n">
        <v>0</v>
      </c>
      <c r="DM309" s="15" t="n">
        <v>0</v>
      </c>
      <c r="DN309" s="15" t="n">
        <v>0</v>
      </c>
      <c r="DO309" s="15" t="n">
        <v>0</v>
      </c>
      <c r="DP309" s="15" t="n">
        <v>0</v>
      </c>
      <c r="DQ309" s="15" t="n">
        <v>0</v>
      </c>
      <c r="DR309" s="15" t="n">
        <v>0</v>
      </c>
      <c r="DS309" s="15" t="n">
        <v>634</v>
      </c>
      <c r="DT309" s="15" t="n">
        <v>1747</v>
      </c>
      <c r="DU309" s="15" t="n">
        <v>353</v>
      </c>
      <c r="DV309" s="15" t="n">
        <v>0</v>
      </c>
      <c r="DW309" s="15" t="n">
        <v>0</v>
      </c>
      <c r="DX309" s="15" t="n">
        <v>0</v>
      </c>
      <c r="DY309" s="15" t="n">
        <v>955</v>
      </c>
      <c r="DZ309" s="15" t="n">
        <v>781</v>
      </c>
      <c r="EA309" s="15" t="n">
        <v>868</v>
      </c>
      <c r="EB309" s="15" t="n">
        <v>868</v>
      </c>
      <c r="EC309" s="15" t="n">
        <v>868</v>
      </c>
      <c r="ED309" s="15" t="n">
        <v>1302</v>
      </c>
      <c r="EE309" s="15" t="n">
        <v>3038</v>
      </c>
      <c r="EF309" s="15" t="n">
        <v>0</v>
      </c>
      <c r="EG309" s="15" t="n">
        <v>0.01</v>
      </c>
      <c r="EH309" s="15" t="n">
        <v>1.6</v>
      </c>
      <c r="EI309" s="15" t="n">
        <v>3</v>
      </c>
      <c r="EJ309" s="15" t="n">
        <v>2.1</v>
      </c>
      <c r="EK309" s="15" t="n">
        <v>10.5</v>
      </c>
    </row>
    <row r="310">
      <c r="A310">
        <f>[1]ingredient!B310</f>
        <v/>
      </c>
      <c r="B310" t="inlineStr">
        <is>
          <t>https://www.naehrwertrechner.de/naehrwerte/G036011/Pfefferminze/?menge=100</t>
        </is>
      </c>
      <c r="C310" s="7">
        <f>_xlfn.XLOOKUP(A310,[1]ingredient!$B$2:$B$521,[1]ingredient!$A$2:$A$521)</f>
        <v/>
      </c>
      <c r="D310" t="n">
        <v>44</v>
      </c>
      <c r="E310" t="n">
        <v>1</v>
      </c>
      <c r="F310" t="n">
        <v>4</v>
      </c>
      <c r="G310" t="n">
        <v>5</v>
      </c>
      <c r="H310" t="n">
        <v>3</v>
      </c>
      <c r="I310" t="n">
        <v>5</v>
      </c>
      <c r="J310" t="n">
        <v>0.05</v>
      </c>
      <c r="K310" t="n">
        <v>86</v>
      </c>
      <c r="L310" t="n">
        <v>123</v>
      </c>
      <c r="M310" t="n">
        <v>62</v>
      </c>
      <c r="N310" t="n">
        <v>0</v>
      </c>
      <c r="O310" t="n">
        <v>740</v>
      </c>
      <c r="P310" t="n">
        <v>120</v>
      </c>
      <c r="Q310" t="n">
        <v>330</v>
      </c>
      <c r="R310" t="n">
        <v>1100</v>
      </c>
      <c r="S310" t="n">
        <v>1733</v>
      </c>
      <c r="T310" t="n">
        <v>190</v>
      </c>
      <c r="U310" t="n">
        <v>50</v>
      </c>
      <c r="V310" t="n">
        <v>2</v>
      </c>
      <c r="W310" t="n">
        <v>110</v>
      </c>
      <c r="X310" t="n">
        <v>0</v>
      </c>
      <c r="Y310" t="n">
        <v>31000</v>
      </c>
      <c r="Z310" t="n">
        <v>0</v>
      </c>
      <c r="AA310" t="n">
        <v>5000</v>
      </c>
      <c r="AB310" t="n">
        <v>300</v>
      </c>
      <c r="AC310" t="n">
        <v>15</v>
      </c>
      <c r="AD310" t="n">
        <v>260</v>
      </c>
      <c r="AE310" t="n">
        <v>210</v>
      </c>
      <c r="AF310" t="n">
        <v>30</v>
      </c>
      <c r="AG310" t="n">
        <v>75</v>
      </c>
      <c r="AH310" t="n">
        <v>84</v>
      </c>
      <c r="AI310" t="n">
        <v>34</v>
      </c>
      <c r="AJ310" t="n">
        <v>9500</v>
      </c>
      <c r="AK310" t="n">
        <v>1200</v>
      </c>
      <c r="AL310" t="n">
        <v>120</v>
      </c>
      <c r="AM310" t="n">
        <v>1400</v>
      </c>
      <c r="AN310" t="n">
        <v>50</v>
      </c>
      <c r="AO310" t="n">
        <v>4</v>
      </c>
      <c r="AP310" t="n">
        <v>0</v>
      </c>
      <c r="AQ310" t="n">
        <v>0</v>
      </c>
      <c r="AR310" t="n">
        <v>0</v>
      </c>
      <c r="AS310" t="n">
        <v>0</v>
      </c>
      <c r="AT310" t="n">
        <v>2120</v>
      </c>
      <c r="AU310" t="n">
        <v>2120</v>
      </c>
      <c r="AV310" t="n">
        <v>0</v>
      </c>
      <c r="AW310" t="n">
        <v>4240</v>
      </c>
      <c r="AX310" t="n">
        <v>1007</v>
      </c>
      <c r="AY310" t="n">
        <v>0</v>
      </c>
      <c r="AZ310" t="n">
        <v>0</v>
      </c>
      <c r="BA310" t="n">
        <v>1007</v>
      </c>
      <c r="BB310" t="n">
        <v>0</v>
      </c>
      <c r="BC310" t="n">
        <v>0</v>
      </c>
      <c r="BD310" t="n">
        <v>0</v>
      </c>
      <c r="BE310" t="n">
        <v>53</v>
      </c>
      <c r="BF310" t="n">
        <v>53</v>
      </c>
      <c r="BG310">
        <f>IF($F310=0,"0",MIN(
BH310/(30*$F310),
BI310/(61*$F310),
BJ310/(48*$F310),
(BK310+BL310)/(23*$F310),
(BM310+BN310)/(41*$F310),
BO310/(25*$F310),
BP310/(6.6*$F310),
BQ310/(40*$F310),
BS310/(16*$F310)
)*100)</f>
        <v/>
      </c>
      <c r="BH310" t="n">
        <v>152</v>
      </c>
      <c r="BI310" t="n">
        <v>228</v>
      </c>
      <c r="BJ310" t="n">
        <v>190</v>
      </c>
      <c r="BK310" t="n">
        <v>46</v>
      </c>
      <c r="BL310" t="n">
        <v>38</v>
      </c>
      <c r="BM310" t="n">
        <v>114</v>
      </c>
      <c r="BN310" t="n">
        <v>76</v>
      </c>
      <c r="BO310" t="n">
        <v>133</v>
      </c>
      <c r="BP310" t="n">
        <v>38</v>
      </c>
      <c r="BQ310" t="n">
        <v>152</v>
      </c>
      <c r="BR310" t="n">
        <v>152</v>
      </c>
      <c r="BS310" t="n">
        <v>57</v>
      </c>
      <c r="BT310" t="n">
        <v>1376</v>
      </c>
      <c r="BU310" t="n">
        <v>190</v>
      </c>
      <c r="BV310" t="n">
        <v>380</v>
      </c>
      <c r="BW310" t="n">
        <v>570</v>
      </c>
      <c r="BX310" t="n">
        <v>106</v>
      </c>
      <c r="BY310" t="n">
        <v>152</v>
      </c>
      <c r="BZ310" t="n">
        <v>114</v>
      </c>
      <c r="CA310" t="n">
        <v>1512</v>
      </c>
      <c r="CB310" t="n">
        <v>15</v>
      </c>
      <c r="CC310" t="n">
        <v>6</v>
      </c>
      <c r="CD310" t="n">
        <v>168</v>
      </c>
      <c r="CE310" t="n">
        <v>223</v>
      </c>
      <c r="CF310" t="n">
        <v>1.33</v>
      </c>
      <c r="CG310" t="n">
        <v>0</v>
      </c>
      <c r="CH310" t="n">
        <v>0</v>
      </c>
      <c r="CI310" t="n">
        <v>0</v>
      </c>
      <c r="CJ310" t="n">
        <v>0</v>
      </c>
      <c r="CK310" t="n">
        <v>0</v>
      </c>
      <c r="CL310" t="n">
        <v>3</v>
      </c>
      <c r="CM310" t="n">
        <v>0</v>
      </c>
      <c r="CN310" t="n">
        <v>109</v>
      </c>
      <c r="CO310" t="n">
        <v>0</v>
      </c>
      <c r="CP310" t="n">
        <v>17</v>
      </c>
      <c r="CQ310" t="n">
        <v>0</v>
      </c>
      <c r="CR310" t="n">
        <v>0</v>
      </c>
      <c r="CS310" t="n">
        <v>0</v>
      </c>
      <c r="CT310" t="n">
        <v>129</v>
      </c>
      <c r="CU310" t="n">
        <v>0</v>
      </c>
      <c r="CV310" t="n">
        <v>0</v>
      </c>
      <c r="CW310" t="n">
        <v>6</v>
      </c>
      <c r="CX310" t="n">
        <v>0</v>
      </c>
      <c r="CY310" t="n">
        <v>34</v>
      </c>
      <c r="CZ310" t="n">
        <v>0</v>
      </c>
      <c r="DA310" t="n">
        <v>0</v>
      </c>
      <c r="DB310" t="n">
        <v>0</v>
      </c>
      <c r="DC310" t="n">
        <v>40</v>
      </c>
      <c r="DD310" t="n">
        <v>0</v>
      </c>
      <c r="DE310" t="n">
        <v>0</v>
      </c>
      <c r="DF310" t="n">
        <v>223</v>
      </c>
      <c r="DG310" t="n">
        <v>168</v>
      </c>
      <c r="DH310" t="n">
        <v>0</v>
      </c>
      <c r="DI310" t="n">
        <v>0</v>
      </c>
      <c r="DJ310" t="n">
        <v>0</v>
      </c>
      <c r="DK310" t="n">
        <v>0</v>
      </c>
      <c r="DL310" t="n">
        <v>0</v>
      </c>
      <c r="DM310" t="n">
        <v>0</v>
      </c>
      <c r="DN310" t="n">
        <v>0</v>
      </c>
      <c r="DO310" t="n">
        <v>0</v>
      </c>
      <c r="DP310" t="n">
        <v>0</v>
      </c>
      <c r="DQ310" t="n">
        <v>0</v>
      </c>
      <c r="DR310" t="n">
        <v>0</v>
      </c>
      <c r="DS310" t="n">
        <v>391</v>
      </c>
      <c r="DT310" t="n">
        <v>560</v>
      </c>
      <c r="DU310" t="n">
        <v>140</v>
      </c>
      <c r="DV310" t="n">
        <v>0</v>
      </c>
      <c r="DW310" t="n">
        <v>0</v>
      </c>
      <c r="DX310" t="n">
        <v>0</v>
      </c>
      <c r="DY310" t="n">
        <v>450</v>
      </c>
      <c r="DZ310" t="n">
        <v>600</v>
      </c>
      <c r="EA310" t="n">
        <v>810</v>
      </c>
      <c r="EB310" t="n">
        <v>1050</v>
      </c>
      <c r="EC310" t="n">
        <v>90</v>
      </c>
      <c r="ED310" t="n">
        <v>900</v>
      </c>
      <c r="EE310" t="n">
        <v>2100</v>
      </c>
      <c r="EF310" t="n">
        <v>0</v>
      </c>
      <c r="EG310" t="n">
        <v>0.25</v>
      </c>
      <c r="EH310" t="n">
        <v>0.8</v>
      </c>
      <c r="EI310" t="n">
        <v>2.1</v>
      </c>
      <c r="EJ310" t="n">
        <v>0.7</v>
      </c>
      <c r="EK310" t="n">
        <v>2.9</v>
      </c>
    </row>
    <row r="311">
      <c r="A311">
        <f>[1]ingredient!B311</f>
        <v/>
      </c>
      <c r="B311" t="inlineStr">
        <is>
          <t>https://www.naehrwertrechner.de/naehrwerte/K713111/Pfifferling+frisch/?menge=100</t>
        </is>
      </c>
      <c r="C311" s="7">
        <f>_xlfn.XLOOKUP(A311,[1]ingredient!$B$2:$B$521,[1]ingredient!$A$2:$A$521)</f>
        <v/>
      </c>
      <c r="D311" t="n">
        <v>11</v>
      </c>
      <c r="E311" t="n">
        <v>1</v>
      </c>
      <c r="F311" t="n">
        <v>2</v>
      </c>
      <c r="G311" t="n">
        <v>0.2</v>
      </c>
      <c r="H311" t="n">
        <v>6</v>
      </c>
      <c r="I311" t="n">
        <v>0.04</v>
      </c>
      <c r="J311" t="n">
        <v>0.03</v>
      </c>
      <c r="K311" t="n">
        <v>91</v>
      </c>
      <c r="L311" t="n">
        <v>217</v>
      </c>
      <c r="M311" t="n">
        <v>108</v>
      </c>
      <c r="N311" t="n">
        <v>0</v>
      </c>
      <c r="O311" t="n">
        <v>1300</v>
      </c>
      <c r="P311" t="n">
        <v>20</v>
      </c>
      <c r="Q311" t="n">
        <v>230</v>
      </c>
      <c r="R311" t="n">
        <v>6500</v>
      </c>
      <c r="S311" t="n">
        <v>7317</v>
      </c>
      <c r="T311" t="n">
        <v>2500</v>
      </c>
      <c r="U311" t="n">
        <v>40</v>
      </c>
      <c r="V311" t="n">
        <v>15</v>
      </c>
      <c r="W311" t="n">
        <v>25</v>
      </c>
      <c r="X311" t="n">
        <v>0</v>
      </c>
      <c r="Y311" t="n">
        <v>6000</v>
      </c>
      <c r="Z311" t="n">
        <v>2</v>
      </c>
      <c r="AA311" t="n">
        <v>60</v>
      </c>
      <c r="AB311" t="n">
        <v>15</v>
      </c>
      <c r="AC311" t="n">
        <v>3</v>
      </c>
      <c r="AD311" t="n">
        <v>507</v>
      </c>
      <c r="AE311" t="n">
        <v>8</v>
      </c>
      <c r="AF311" t="n">
        <v>14</v>
      </c>
      <c r="AG311" t="n">
        <v>55</v>
      </c>
      <c r="AH311" t="n">
        <v>35</v>
      </c>
      <c r="AI311" t="n">
        <v>30</v>
      </c>
      <c r="AJ311" t="n">
        <v>6500</v>
      </c>
      <c r="AK311" t="n">
        <v>650</v>
      </c>
      <c r="AL311" t="n">
        <v>420</v>
      </c>
      <c r="AM311" t="n">
        <v>180</v>
      </c>
      <c r="AN311" t="n">
        <v>50</v>
      </c>
      <c r="AO311" t="n">
        <v>3</v>
      </c>
      <c r="AP311" t="n">
        <v>160</v>
      </c>
      <c r="AQ311" t="n">
        <v>0</v>
      </c>
      <c r="AR311" t="n">
        <v>0</v>
      </c>
      <c r="AS311" t="n">
        <v>160</v>
      </c>
      <c r="AT311" t="n">
        <v>24</v>
      </c>
      <c r="AU311" t="n">
        <v>10</v>
      </c>
      <c r="AV311" t="n">
        <v>0</v>
      </c>
      <c r="AW311" t="n">
        <v>34</v>
      </c>
      <c r="AX311" t="n">
        <v>6</v>
      </c>
      <c r="AY311" t="n">
        <v>0</v>
      </c>
      <c r="AZ311" t="n">
        <v>0</v>
      </c>
      <c r="BA311" t="n">
        <v>6</v>
      </c>
      <c r="BB311" t="n">
        <v>0</v>
      </c>
      <c r="BC311" t="n">
        <v>0</v>
      </c>
      <c r="BD311" t="n">
        <v>0</v>
      </c>
      <c r="BE311" t="n">
        <v>0</v>
      </c>
      <c r="BF311" t="n">
        <v>0</v>
      </c>
      <c r="BG311">
        <f>IF($F311=0,"0",MIN(
BH311/(30*$F311),
BI311/(61*$F311),
BJ311/(48*$F311),
(BK311+BL311)/(23*$F311),
(BM311+BN311)/(41*$F311),
BO311/(25*$F311),
BP311/(6.6*$F311),
BQ311/(40*$F311),
BS311/(16*$F311)
)*100)</f>
        <v/>
      </c>
      <c r="BH311" t="n">
        <v>39</v>
      </c>
      <c r="BI311" t="n">
        <v>113</v>
      </c>
      <c r="BJ311" t="n">
        <v>39</v>
      </c>
      <c r="BK311" t="n">
        <v>8</v>
      </c>
      <c r="BL311" t="n">
        <v>123</v>
      </c>
      <c r="BM311" t="n">
        <v>91</v>
      </c>
      <c r="BN311" t="n">
        <v>86</v>
      </c>
      <c r="BO311" t="n">
        <v>135</v>
      </c>
      <c r="BP311" t="n">
        <v>49</v>
      </c>
      <c r="BQ311" t="n">
        <v>63</v>
      </c>
      <c r="BR311" t="n">
        <v>94</v>
      </c>
      <c r="BS311" t="n">
        <v>30</v>
      </c>
      <c r="BT311" t="n">
        <v>870</v>
      </c>
      <c r="BU311" t="n">
        <v>79</v>
      </c>
      <c r="BV311" t="n">
        <v>72</v>
      </c>
      <c r="BW311" t="n">
        <v>108</v>
      </c>
      <c r="BX311" t="n">
        <v>42</v>
      </c>
      <c r="BY311" t="n">
        <v>86</v>
      </c>
      <c r="BZ311" t="n">
        <v>47</v>
      </c>
      <c r="CA311" t="n">
        <v>434</v>
      </c>
      <c r="CB311" t="n">
        <v>30</v>
      </c>
      <c r="CC311" t="n">
        <v>13</v>
      </c>
      <c r="CD311" t="n">
        <v>221</v>
      </c>
      <c r="CE311" t="n">
        <v>53</v>
      </c>
      <c r="CF311" t="n">
        <v>0.24</v>
      </c>
      <c r="CG311" t="n">
        <v>0</v>
      </c>
      <c r="CH311" t="n">
        <v>0</v>
      </c>
      <c r="CI311" t="n">
        <v>0</v>
      </c>
      <c r="CJ311" t="n">
        <v>0</v>
      </c>
      <c r="CK311" t="n">
        <v>0</v>
      </c>
      <c r="CL311" t="n">
        <v>2</v>
      </c>
      <c r="CM311" t="n">
        <v>0</v>
      </c>
      <c r="CN311" t="n">
        <v>110</v>
      </c>
      <c r="CO311" t="n">
        <v>0</v>
      </c>
      <c r="CP311" t="n">
        <v>8</v>
      </c>
      <c r="CQ311" t="n">
        <v>0</v>
      </c>
      <c r="CR311" t="n">
        <v>0</v>
      </c>
      <c r="CS311" t="n">
        <v>0</v>
      </c>
      <c r="CT311" t="n">
        <v>120</v>
      </c>
      <c r="CU311" t="n">
        <v>0</v>
      </c>
      <c r="CV311" t="n">
        <v>0</v>
      </c>
      <c r="CW311" t="n">
        <v>1</v>
      </c>
      <c r="CX311" t="n">
        <v>0</v>
      </c>
      <c r="CY311" t="n">
        <v>5</v>
      </c>
      <c r="CZ311" t="n">
        <v>0</v>
      </c>
      <c r="DA311" t="n">
        <v>0</v>
      </c>
      <c r="DB311" t="n">
        <v>0</v>
      </c>
      <c r="DC311" t="n">
        <v>6</v>
      </c>
      <c r="DD311" t="n">
        <v>0</v>
      </c>
      <c r="DE311" t="n">
        <v>0</v>
      </c>
      <c r="DF311" t="n">
        <v>53</v>
      </c>
      <c r="DG311" t="n">
        <v>221</v>
      </c>
      <c r="DH311" t="n">
        <v>0</v>
      </c>
      <c r="DI311" t="n">
        <v>0</v>
      </c>
      <c r="DJ311" t="n">
        <v>0</v>
      </c>
      <c r="DK311" t="n">
        <v>0</v>
      </c>
      <c r="DL311" t="n">
        <v>0</v>
      </c>
      <c r="DM311" t="n">
        <v>0</v>
      </c>
      <c r="DN311" t="n">
        <v>0</v>
      </c>
      <c r="DO311" t="n">
        <v>0</v>
      </c>
      <c r="DP311" t="n">
        <v>0</v>
      </c>
      <c r="DQ311" t="n">
        <v>0</v>
      </c>
      <c r="DR311" t="n">
        <v>0</v>
      </c>
      <c r="DS311" t="n">
        <v>274</v>
      </c>
      <c r="DT311" t="n">
        <v>400</v>
      </c>
      <c r="DU311" t="n">
        <v>100</v>
      </c>
      <c r="DV311" t="n">
        <v>0</v>
      </c>
      <c r="DW311" t="n">
        <v>0</v>
      </c>
      <c r="DX311" t="n">
        <v>0</v>
      </c>
      <c r="DY311" t="n">
        <v>0</v>
      </c>
      <c r="DZ311" t="n">
        <v>2296</v>
      </c>
      <c r="EA311" t="n">
        <v>56</v>
      </c>
      <c r="EB311" t="n">
        <v>3192</v>
      </c>
      <c r="EC311" t="n">
        <v>56</v>
      </c>
      <c r="ED311" t="n">
        <v>1064</v>
      </c>
      <c r="EE311" t="n">
        <v>4536</v>
      </c>
      <c r="EF311" t="n">
        <v>0</v>
      </c>
      <c r="EG311" t="n">
        <v>0.06</v>
      </c>
      <c r="EH311" t="n">
        <v>1</v>
      </c>
      <c r="EI311" t="n">
        <v>4.5</v>
      </c>
      <c r="EJ311" t="n">
        <v>0.5</v>
      </c>
      <c r="EK311" t="n">
        <v>1.4</v>
      </c>
    </row>
    <row r="312">
      <c r="A312">
        <f>[1]ingredient!B312</f>
        <v/>
      </c>
      <c r="B312" t="inlineStr">
        <is>
          <t>https://www.naehrwertrechner.de/naehrwerte/F203111/Pfirsich+frisch/?menge=100</t>
        </is>
      </c>
      <c r="C312" s="7">
        <f>_xlfn.XLOOKUP(A312,[1]ingredient!$B$2:$B$521,[1]ingredient!$A$2:$A$521)</f>
        <v/>
      </c>
      <c r="D312" t="n">
        <v>41</v>
      </c>
      <c r="E312" t="n">
        <v>0.1</v>
      </c>
      <c r="F312" t="n">
        <v>1</v>
      </c>
      <c r="G312" t="n">
        <v>9</v>
      </c>
      <c r="H312" t="n">
        <v>2</v>
      </c>
      <c r="I312" t="n">
        <v>8</v>
      </c>
      <c r="J312" t="n">
        <v>0</v>
      </c>
      <c r="K312" t="n">
        <v>87</v>
      </c>
      <c r="L312" t="n">
        <v>73</v>
      </c>
      <c r="M312" t="n">
        <v>37</v>
      </c>
      <c r="N312" t="n">
        <v>0</v>
      </c>
      <c r="O312" t="n">
        <v>440</v>
      </c>
      <c r="P312" t="n">
        <v>27</v>
      </c>
      <c r="Q312" t="n">
        <v>50</v>
      </c>
      <c r="R312" t="n">
        <v>900</v>
      </c>
      <c r="S312" t="n">
        <v>1000</v>
      </c>
      <c r="T312" t="n">
        <v>140</v>
      </c>
      <c r="U312" t="n">
        <v>25</v>
      </c>
      <c r="V312" t="n">
        <v>2</v>
      </c>
      <c r="W312" t="n">
        <v>3</v>
      </c>
      <c r="X312" t="n">
        <v>0</v>
      </c>
      <c r="Y312" t="n">
        <v>10000</v>
      </c>
      <c r="Z312" t="n">
        <v>0</v>
      </c>
      <c r="AA312" t="n">
        <v>965</v>
      </c>
      <c r="AB312" t="n">
        <v>10</v>
      </c>
      <c r="AC312" t="n">
        <v>1</v>
      </c>
      <c r="AD312" t="n">
        <v>176</v>
      </c>
      <c r="AE312" t="n">
        <v>7</v>
      </c>
      <c r="AF312" t="n">
        <v>9</v>
      </c>
      <c r="AG312" t="n">
        <v>25</v>
      </c>
      <c r="AH312" t="n">
        <v>6</v>
      </c>
      <c r="AI312" t="n">
        <v>3</v>
      </c>
      <c r="AJ312" t="n">
        <v>480</v>
      </c>
      <c r="AK312" t="n">
        <v>145</v>
      </c>
      <c r="AL312" t="n">
        <v>50</v>
      </c>
      <c r="AM312" t="n">
        <v>83</v>
      </c>
      <c r="AN312" t="n">
        <v>20</v>
      </c>
      <c r="AO312" t="n">
        <v>1</v>
      </c>
      <c r="AP312" t="n">
        <v>0</v>
      </c>
      <c r="AQ312" t="n">
        <v>890</v>
      </c>
      <c r="AR312" t="n">
        <v>0</v>
      </c>
      <c r="AS312" t="n">
        <v>890</v>
      </c>
      <c r="AT312" t="n">
        <v>1041</v>
      </c>
      <c r="AU312" t="n">
        <v>1237</v>
      </c>
      <c r="AV312" t="n">
        <v>0</v>
      </c>
      <c r="AW312" t="n">
        <v>2278</v>
      </c>
      <c r="AX312" t="n">
        <v>5732</v>
      </c>
      <c r="AY312" t="n">
        <v>0</v>
      </c>
      <c r="AZ312" t="n">
        <v>0</v>
      </c>
      <c r="BA312" t="n">
        <v>5732</v>
      </c>
      <c r="BB312" t="n">
        <v>0</v>
      </c>
      <c r="BC312" t="n">
        <v>0</v>
      </c>
      <c r="BD312" t="n">
        <v>0</v>
      </c>
      <c r="BE312" t="n">
        <v>0</v>
      </c>
      <c r="BF312" t="n">
        <v>0</v>
      </c>
      <c r="BG312">
        <f>IF($F312=0,"0",MIN(
BH312/(30*$F312),
BI312/(61*$F312),
BJ312/(48*$F312),
(BK312+BL312)/(23*$F312),
(BM312+BN312)/(41*$F312),
BO312/(25*$F312),
BP312/(6.6*$F312),
BQ312/(40*$F312),
BS312/(16*$F312)
)*100)</f>
        <v/>
      </c>
      <c r="BH312" t="n">
        <v>14</v>
      </c>
      <c r="BI312" t="n">
        <v>30</v>
      </c>
      <c r="BJ312" t="n">
        <v>30</v>
      </c>
      <c r="BK312" t="n">
        <v>31</v>
      </c>
      <c r="BL312" t="n">
        <v>10</v>
      </c>
      <c r="BM312" t="n">
        <v>19</v>
      </c>
      <c r="BN312" t="n">
        <v>21</v>
      </c>
      <c r="BO312" t="n">
        <v>29</v>
      </c>
      <c r="BP312" t="n">
        <v>6</v>
      </c>
      <c r="BQ312" t="n">
        <v>41</v>
      </c>
      <c r="BR312" t="n">
        <v>18</v>
      </c>
      <c r="BS312" t="n">
        <v>18</v>
      </c>
      <c r="BT312" t="n">
        <v>267</v>
      </c>
      <c r="BU312" t="n">
        <v>41</v>
      </c>
      <c r="BV312" t="n">
        <v>94</v>
      </c>
      <c r="BW312" t="n">
        <v>145</v>
      </c>
      <c r="BX312" t="n">
        <v>16</v>
      </c>
      <c r="BY312" t="n">
        <v>29</v>
      </c>
      <c r="BZ312" t="n">
        <v>34</v>
      </c>
      <c r="CA312" t="n">
        <v>359</v>
      </c>
      <c r="CB312" t="n">
        <v>18</v>
      </c>
      <c r="CC312" t="n">
        <v>8</v>
      </c>
      <c r="CD312" t="n">
        <v>1</v>
      </c>
      <c r="CE312" t="n">
        <v>39</v>
      </c>
      <c r="CF312" t="n">
        <v>39</v>
      </c>
      <c r="CG312" t="n">
        <v>0</v>
      </c>
      <c r="CH312" t="n">
        <v>0</v>
      </c>
      <c r="CI312" t="n">
        <v>0</v>
      </c>
      <c r="CJ312" t="n">
        <v>0</v>
      </c>
      <c r="CK312" t="n">
        <v>0</v>
      </c>
      <c r="CL312" t="n">
        <v>0</v>
      </c>
      <c r="CM312" t="n">
        <v>0</v>
      </c>
      <c r="CN312" t="n">
        <v>8</v>
      </c>
      <c r="CO312" t="n">
        <v>0</v>
      </c>
      <c r="CP312" t="n">
        <v>1</v>
      </c>
      <c r="CQ312" t="n">
        <v>0</v>
      </c>
      <c r="CR312" t="n">
        <v>0</v>
      </c>
      <c r="CS312" t="n">
        <v>0</v>
      </c>
      <c r="CT312" t="n">
        <v>9</v>
      </c>
      <c r="CU312" t="n">
        <v>0</v>
      </c>
      <c r="CV312" t="n">
        <v>0</v>
      </c>
      <c r="CW312" t="n">
        <v>1</v>
      </c>
      <c r="CX312" t="n">
        <v>0</v>
      </c>
      <c r="CY312" t="n">
        <v>30</v>
      </c>
      <c r="CZ312" t="n">
        <v>0</v>
      </c>
      <c r="DA312" t="n">
        <v>0</v>
      </c>
      <c r="DB312" t="n">
        <v>0</v>
      </c>
      <c r="DC312" t="n">
        <v>31</v>
      </c>
      <c r="DD312" t="n">
        <v>0</v>
      </c>
      <c r="DE312" t="n">
        <v>0</v>
      </c>
      <c r="DF312" t="n">
        <v>39</v>
      </c>
      <c r="DG312" t="n">
        <v>1</v>
      </c>
      <c r="DH312" t="n">
        <v>0</v>
      </c>
      <c r="DI312" t="n">
        <v>0</v>
      </c>
      <c r="DJ312" t="n">
        <v>0</v>
      </c>
      <c r="DK312" t="n">
        <v>0</v>
      </c>
      <c r="DL312" t="n">
        <v>0</v>
      </c>
      <c r="DM312" t="n">
        <v>0</v>
      </c>
      <c r="DN312" t="n">
        <v>0</v>
      </c>
      <c r="DO312" t="n">
        <v>0</v>
      </c>
      <c r="DP312" t="n">
        <v>0</v>
      </c>
      <c r="DQ312" t="n">
        <v>0</v>
      </c>
      <c r="DR312" t="n">
        <v>0</v>
      </c>
      <c r="DS312" t="n">
        <v>40</v>
      </c>
      <c r="DT312" t="n">
        <v>80</v>
      </c>
      <c r="DU312" t="n">
        <v>20</v>
      </c>
      <c r="DV312" t="n">
        <v>0</v>
      </c>
      <c r="DW312" t="n">
        <v>0</v>
      </c>
      <c r="DX312" t="n">
        <v>0</v>
      </c>
      <c r="DY312" t="n">
        <v>1035</v>
      </c>
      <c r="DZ312" t="n">
        <v>115</v>
      </c>
      <c r="EA312" t="n">
        <v>575</v>
      </c>
      <c r="EB312" t="n">
        <v>460</v>
      </c>
      <c r="EC312" t="n">
        <v>115</v>
      </c>
      <c r="ED312" t="n">
        <v>932</v>
      </c>
      <c r="EE312" t="n">
        <v>1369</v>
      </c>
      <c r="EF312" t="n">
        <v>0</v>
      </c>
      <c r="EG312" t="n">
        <v>1</v>
      </c>
      <c r="EH312" t="n">
        <v>0.5</v>
      </c>
      <c r="EI312" t="n">
        <v>1.4</v>
      </c>
      <c r="EJ312" t="n">
        <v>0.1</v>
      </c>
      <c r="EK312" t="n">
        <v>0.7</v>
      </c>
    </row>
    <row r="313">
      <c r="A313">
        <f>[1]ingredient!B313</f>
        <v/>
      </c>
      <c r="B313" t="inlineStr">
        <is>
          <t>https://www.naehrwertrechner.de/naehrwerte/F220111/Pflaumen+roh/?menge=100</t>
        </is>
      </c>
      <c r="C313" s="7">
        <f>_xlfn.XLOOKUP(A313,[1]ingredient!$B$2:$B$521,[1]ingredient!$A$2:$A$521)</f>
        <v/>
      </c>
      <c r="D313" t="n">
        <v>45</v>
      </c>
      <c r="E313" t="n">
        <v>0.17</v>
      </c>
      <c r="F313" t="n">
        <v>1</v>
      </c>
      <c r="G313" t="n">
        <v>10</v>
      </c>
      <c r="H313" t="n">
        <v>2</v>
      </c>
      <c r="I313" t="n">
        <v>9</v>
      </c>
      <c r="J313" t="n">
        <v>0</v>
      </c>
      <c r="K313" t="n">
        <v>86</v>
      </c>
      <c r="L313" t="n">
        <v>61</v>
      </c>
      <c r="M313" t="n">
        <v>31</v>
      </c>
      <c r="N313" t="n">
        <v>0</v>
      </c>
      <c r="O313" t="n">
        <v>366</v>
      </c>
      <c r="P313" t="n">
        <v>72</v>
      </c>
      <c r="Q313" t="n">
        <v>43</v>
      </c>
      <c r="R313" t="n">
        <v>440</v>
      </c>
      <c r="S313" t="n">
        <v>440</v>
      </c>
      <c r="T313" t="n">
        <v>180</v>
      </c>
      <c r="U313" t="n">
        <v>45</v>
      </c>
      <c r="V313" t="n">
        <v>0</v>
      </c>
      <c r="W313" t="n">
        <v>2</v>
      </c>
      <c r="X313" t="n">
        <v>0</v>
      </c>
      <c r="Y313" t="n">
        <v>5400</v>
      </c>
      <c r="Z313" t="n">
        <v>0</v>
      </c>
      <c r="AA313" t="n">
        <v>850</v>
      </c>
      <c r="AB313" t="n">
        <v>8</v>
      </c>
      <c r="AC313" t="n">
        <v>2</v>
      </c>
      <c r="AD313" t="n">
        <v>161</v>
      </c>
      <c r="AE313" t="n">
        <v>8</v>
      </c>
      <c r="AF313" t="n">
        <v>7</v>
      </c>
      <c r="AG313" t="n">
        <v>16</v>
      </c>
      <c r="AH313" t="n">
        <v>6</v>
      </c>
      <c r="AI313" t="n">
        <v>2</v>
      </c>
      <c r="AJ313" t="n">
        <v>256</v>
      </c>
      <c r="AK313" t="n">
        <v>83</v>
      </c>
      <c r="AL313" t="n">
        <v>64</v>
      </c>
      <c r="AM313" t="n">
        <v>64</v>
      </c>
      <c r="AN313" t="n">
        <v>2</v>
      </c>
      <c r="AO313" t="n">
        <v>1</v>
      </c>
      <c r="AP313" t="n">
        <v>0</v>
      </c>
      <c r="AQ313" t="n">
        <v>2610</v>
      </c>
      <c r="AR313" t="n">
        <v>0</v>
      </c>
      <c r="AS313" t="n">
        <v>2610</v>
      </c>
      <c r="AT313" t="n">
        <v>3360</v>
      </c>
      <c r="AU313" t="n">
        <v>2010</v>
      </c>
      <c r="AV313" t="n">
        <v>0</v>
      </c>
      <c r="AW313" t="n">
        <v>5370</v>
      </c>
      <c r="AX313" t="n">
        <v>3380</v>
      </c>
      <c r="AY313" t="n">
        <v>0</v>
      </c>
      <c r="AZ313" t="n">
        <v>0</v>
      </c>
      <c r="BA313" t="n">
        <v>3380</v>
      </c>
      <c r="BB313" t="n">
        <v>0</v>
      </c>
      <c r="BC313" t="n">
        <v>0</v>
      </c>
      <c r="BD313" t="n">
        <v>0</v>
      </c>
      <c r="BE313" t="n">
        <v>0</v>
      </c>
      <c r="BF313" t="n">
        <v>0</v>
      </c>
      <c r="BG313">
        <f>IF($F313=0,"0",MIN(
BH313/(30*$F313),
BI313/(61*$F313),
BJ313/(48*$F313),
(BK313+BL313)/(23*$F313),
(BM313+BN313)/(41*$F313),
BO313/(25*$F313),
BP313/(6.6*$F313),
BQ313/(40*$F313),
BS313/(16*$F313)
)*100)</f>
        <v/>
      </c>
      <c r="BH313" t="n">
        <v>18</v>
      </c>
      <c r="BI313" t="n">
        <v>24</v>
      </c>
      <c r="BJ313" t="n">
        <v>19</v>
      </c>
      <c r="BK313" t="n">
        <v>7</v>
      </c>
      <c r="BL313" t="n">
        <v>4</v>
      </c>
      <c r="BM313" t="n">
        <v>19</v>
      </c>
      <c r="BN313" t="n">
        <v>7</v>
      </c>
      <c r="BO313" t="n">
        <v>18</v>
      </c>
      <c r="BP313" t="n">
        <v>0</v>
      </c>
      <c r="BQ313" t="n">
        <v>21</v>
      </c>
      <c r="BR313" t="n">
        <v>15</v>
      </c>
      <c r="BS313" t="n">
        <v>15</v>
      </c>
      <c r="BT313" t="n">
        <v>167</v>
      </c>
      <c r="BU313" t="n">
        <v>33</v>
      </c>
      <c r="BV313" t="n">
        <v>283</v>
      </c>
      <c r="BW313" t="n">
        <v>42</v>
      </c>
      <c r="BX313" t="n">
        <v>13</v>
      </c>
      <c r="BY313" t="n">
        <v>39</v>
      </c>
      <c r="BZ313" t="n">
        <v>22</v>
      </c>
      <c r="CA313" t="n">
        <v>432</v>
      </c>
      <c r="CB313" t="n">
        <v>24</v>
      </c>
      <c r="CC313" t="n">
        <v>10</v>
      </c>
      <c r="CD313" t="n">
        <v>31</v>
      </c>
      <c r="CE313" t="n">
        <v>47</v>
      </c>
      <c r="CF313" t="n">
        <v>1.52</v>
      </c>
      <c r="CG313" t="n">
        <v>0</v>
      </c>
      <c r="CH313" t="n">
        <v>0</v>
      </c>
      <c r="CI313" t="n">
        <v>0</v>
      </c>
      <c r="CJ313" t="n">
        <v>0</v>
      </c>
      <c r="CK313" t="n">
        <v>0</v>
      </c>
      <c r="CL313" t="n">
        <v>0</v>
      </c>
      <c r="CM313" t="n">
        <v>0</v>
      </c>
      <c r="CN313" t="n">
        <v>17</v>
      </c>
      <c r="CO313" t="n">
        <v>0</v>
      </c>
      <c r="CP313" t="n">
        <v>5</v>
      </c>
      <c r="CQ313" t="n">
        <v>0</v>
      </c>
      <c r="CR313" t="n">
        <v>0</v>
      </c>
      <c r="CS313" t="n">
        <v>0</v>
      </c>
      <c r="CT313" t="n">
        <v>22</v>
      </c>
      <c r="CU313" t="n">
        <v>0</v>
      </c>
      <c r="CV313" t="n">
        <v>0</v>
      </c>
      <c r="CW313" t="n">
        <v>1</v>
      </c>
      <c r="CX313" t="n">
        <v>0</v>
      </c>
      <c r="CY313" t="n">
        <v>51</v>
      </c>
      <c r="CZ313" t="n">
        <v>0</v>
      </c>
      <c r="DA313" t="n">
        <v>0</v>
      </c>
      <c r="DB313" t="n">
        <v>0</v>
      </c>
      <c r="DC313" t="n">
        <v>52</v>
      </c>
      <c r="DD313" t="n">
        <v>0</v>
      </c>
      <c r="DE313" t="n">
        <v>0</v>
      </c>
      <c r="DF313" t="n">
        <v>47</v>
      </c>
      <c r="DG313" t="n">
        <v>31</v>
      </c>
      <c r="DH313" t="n">
        <v>0</v>
      </c>
      <c r="DI313" t="n">
        <v>0</v>
      </c>
      <c r="DJ313" t="n">
        <v>0</v>
      </c>
      <c r="DK313" t="n">
        <v>0</v>
      </c>
      <c r="DL313" t="n">
        <v>0</v>
      </c>
      <c r="DM313" t="n">
        <v>0</v>
      </c>
      <c r="DN313" t="n">
        <v>0</v>
      </c>
      <c r="DO313" t="n">
        <v>0</v>
      </c>
      <c r="DP313" t="n">
        <v>0</v>
      </c>
      <c r="DQ313" t="n">
        <v>0</v>
      </c>
      <c r="DR313" t="n">
        <v>0</v>
      </c>
      <c r="DS313" t="n">
        <v>78</v>
      </c>
      <c r="DT313" t="n">
        <v>152</v>
      </c>
      <c r="DU313" t="n">
        <v>34</v>
      </c>
      <c r="DV313" t="n">
        <v>0</v>
      </c>
      <c r="DW313" t="n">
        <v>0</v>
      </c>
      <c r="DX313" t="n">
        <v>0</v>
      </c>
      <c r="DY313" t="n">
        <v>170</v>
      </c>
      <c r="DZ313" t="n">
        <v>141</v>
      </c>
      <c r="EA313" t="n">
        <v>818</v>
      </c>
      <c r="EB313" t="n">
        <v>230</v>
      </c>
      <c r="EC313" t="n">
        <v>323</v>
      </c>
      <c r="ED313" t="n">
        <v>670</v>
      </c>
      <c r="EE313" t="n">
        <v>910</v>
      </c>
      <c r="EF313" t="n">
        <v>0</v>
      </c>
      <c r="EG313" t="n">
        <v>1</v>
      </c>
      <c r="EH313" t="n">
        <v>0.5</v>
      </c>
      <c r="EI313" t="n">
        <v>0.9</v>
      </c>
      <c r="EJ313" t="n">
        <v>0.2</v>
      </c>
      <c r="EK313" t="n">
        <v>0.7</v>
      </c>
    </row>
    <row r="314">
      <c r="A314">
        <f>[1]ingredient!B314</f>
        <v/>
      </c>
      <c r="B314" t="inlineStr">
        <is>
          <t>https://www.naehrwertrechner.de/naehrwerte/F552111/Kapstachelbeere+frisch/?menge=100</t>
        </is>
      </c>
      <c r="C314" s="7">
        <f>_xlfn.XLOOKUP(A314,[1]ingredient!$B$2:$B$521,[1]ingredient!$A$2:$A$521)</f>
        <v/>
      </c>
      <c r="D314" t="n">
        <v>76</v>
      </c>
      <c r="E314" t="n">
        <v>1</v>
      </c>
      <c r="F314" t="n">
        <v>2</v>
      </c>
      <c r="G314" t="n">
        <v>13</v>
      </c>
      <c r="H314" t="n">
        <v>1</v>
      </c>
      <c r="I314" t="n">
        <v>13</v>
      </c>
      <c r="J314" t="n">
        <v>0.01</v>
      </c>
      <c r="K314" t="n">
        <v>81</v>
      </c>
      <c r="L314" t="n">
        <v>150</v>
      </c>
      <c r="M314" t="n">
        <v>75</v>
      </c>
      <c r="N314" t="n">
        <v>0</v>
      </c>
      <c r="O314" t="n">
        <v>900</v>
      </c>
      <c r="P314" t="n">
        <v>60</v>
      </c>
      <c r="Q314" t="n">
        <v>40</v>
      </c>
      <c r="R314" t="n">
        <v>2000</v>
      </c>
      <c r="S314" t="n">
        <v>2383</v>
      </c>
      <c r="T314" t="n">
        <v>200</v>
      </c>
      <c r="U314" t="n">
        <v>50</v>
      </c>
      <c r="V314" t="n">
        <v>0.1</v>
      </c>
      <c r="W314" t="n">
        <v>8</v>
      </c>
      <c r="X314" t="n">
        <v>0</v>
      </c>
      <c r="Y314" t="n">
        <v>28000</v>
      </c>
      <c r="Z314" t="n">
        <v>0</v>
      </c>
      <c r="AA314" t="n">
        <v>500</v>
      </c>
      <c r="AB314" t="n">
        <v>10</v>
      </c>
      <c r="AC314" t="n">
        <v>5</v>
      </c>
      <c r="AD314" t="n">
        <v>170</v>
      </c>
      <c r="AE314" t="n">
        <v>12</v>
      </c>
      <c r="AF314" t="n">
        <v>8</v>
      </c>
      <c r="AG314" t="n">
        <v>39</v>
      </c>
      <c r="AH314" t="n">
        <v>6</v>
      </c>
      <c r="AI314" t="n">
        <v>2</v>
      </c>
      <c r="AJ314" t="n">
        <v>1300</v>
      </c>
      <c r="AK314" t="n">
        <v>110</v>
      </c>
      <c r="AL314" t="n">
        <v>115</v>
      </c>
      <c r="AM314" t="n">
        <v>350</v>
      </c>
      <c r="AN314" t="n">
        <v>15</v>
      </c>
      <c r="AO314" t="n">
        <v>1</v>
      </c>
      <c r="AP314" t="n">
        <v>0</v>
      </c>
      <c r="AQ314" t="n">
        <v>0</v>
      </c>
      <c r="AR314" t="n">
        <v>0</v>
      </c>
      <c r="AS314" t="n">
        <v>0</v>
      </c>
      <c r="AT314" t="n">
        <v>4655</v>
      </c>
      <c r="AU314" t="n">
        <v>4655</v>
      </c>
      <c r="AV314" t="n">
        <v>0</v>
      </c>
      <c r="AW314" t="n">
        <v>9310</v>
      </c>
      <c r="AX314" t="n">
        <v>3990</v>
      </c>
      <c r="AY314" t="n">
        <v>0</v>
      </c>
      <c r="AZ314" t="n">
        <v>0</v>
      </c>
      <c r="BA314" t="n">
        <v>3990</v>
      </c>
      <c r="BB314" t="n">
        <v>0</v>
      </c>
      <c r="BC314" t="n">
        <v>0</v>
      </c>
      <c r="BD314" t="n">
        <v>0</v>
      </c>
      <c r="BE314" t="n">
        <v>0</v>
      </c>
      <c r="BF314" t="n">
        <v>0</v>
      </c>
      <c r="BG314">
        <f>IF($F314=0,"0",MIN(
BH314/(30*$F314),
BI314/(61*$F314),
BJ314/(48*$F314),
(BK314+BL314)/(23*$F314),
(BM314+BN314)/(41*$F314),
BO314/(25*$F314),
BP314/(6.6*$F314),
BQ314/(40*$F314),
BS314/(16*$F314)
)*100)</f>
        <v/>
      </c>
      <c r="BH314" t="n">
        <v>69</v>
      </c>
      <c r="BI314" t="n">
        <v>115</v>
      </c>
      <c r="BJ314" t="n">
        <v>115</v>
      </c>
      <c r="BK314" t="n">
        <v>23</v>
      </c>
      <c r="BL314" t="n">
        <v>12</v>
      </c>
      <c r="BM314" t="n">
        <v>58</v>
      </c>
      <c r="BN314" t="n">
        <v>46</v>
      </c>
      <c r="BO314" t="n">
        <v>69</v>
      </c>
      <c r="BP314" t="n">
        <v>23</v>
      </c>
      <c r="BQ314" t="n">
        <v>81</v>
      </c>
      <c r="BR314" t="n">
        <v>81</v>
      </c>
      <c r="BS314" t="n">
        <v>35</v>
      </c>
      <c r="BT314" t="n">
        <v>727</v>
      </c>
      <c r="BU314" t="n">
        <v>104</v>
      </c>
      <c r="BV314" t="n">
        <v>207</v>
      </c>
      <c r="BW314" t="n">
        <v>226</v>
      </c>
      <c r="BX314" t="n">
        <v>81</v>
      </c>
      <c r="BY314" t="n">
        <v>81</v>
      </c>
      <c r="BZ314" t="n">
        <v>92</v>
      </c>
      <c r="CA314" t="n">
        <v>791</v>
      </c>
      <c r="CB314" t="n">
        <v>15</v>
      </c>
      <c r="CC314" t="n">
        <v>6</v>
      </c>
      <c r="CD314" t="n">
        <v>84</v>
      </c>
      <c r="CE314" t="n">
        <v>352</v>
      </c>
      <c r="CF314" t="n">
        <v>4.19</v>
      </c>
      <c r="CG314" t="n">
        <v>0</v>
      </c>
      <c r="CH314" t="n">
        <v>0</v>
      </c>
      <c r="CI314" t="n">
        <v>0</v>
      </c>
      <c r="CJ314" t="n">
        <v>0</v>
      </c>
      <c r="CK314" t="n">
        <v>4</v>
      </c>
      <c r="CL314" t="n">
        <v>9</v>
      </c>
      <c r="CM314" t="n">
        <v>0</v>
      </c>
      <c r="CN314" t="n">
        <v>211</v>
      </c>
      <c r="CO314" t="n">
        <v>0</v>
      </c>
      <c r="CP314" t="n">
        <v>35</v>
      </c>
      <c r="CQ314" t="n">
        <v>0</v>
      </c>
      <c r="CR314" t="n">
        <v>0</v>
      </c>
      <c r="CS314" t="n">
        <v>0</v>
      </c>
      <c r="CT314" t="n">
        <v>259</v>
      </c>
      <c r="CU314" t="n">
        <v>0</v>
      </c>
      <c r="CV314" t="n">
        <v>0</v>
      </c>
      <c r="CW314" t="n">
        <v>9</v>
      </c>
      <c r="CX314" t="n">
        <v>0</v>
      </c>
      <c r="CY314" t="n">
        <v>176</v>
      </c>
      <c r="CZ314" t="n">
        <v>0</v>
      </c>
      <c r="DA314" t="n">
        <v>0</v>
      </c>
      <c r="DB314" t="n">
        <v>0</v>
      </c>
      <c r="DC314" t="n">
        <v>185</v>
      </c>
      <c r="DD314" t="n">
        <v>0</v>
      </c>
      <c r="DE314" t="n">
        <v>0</v>
      </c>
      <c r="DF314" t="n">
        <v>352</v>
      </c>
      <c r="DG314" t="n">
        <v>84</v>
      </c>
      <c r="DH314" t="n">
        <v>0</v>
      </c>
      <c r="DI314" t="n">
        <v>0</v>
      </c>
      <c r="DJ314" t="n">
        <v>0</v>
      </c>
      <c r="DK314" t="n">
        <v>0</v>
      </c>
      <c r="DL314" t="n">
        <v>0</v>
      </c>
      <c r="DM314" t="n">
        <v>0</v>
      </c>
      <c r="DN314" t="n">
        <v>0</v>
      </c>
      <c r="DO314" t="n">
        <v>0</v>
      </c>
      <c r="DP314" t="n">
        <v>0</v>
      </c>
      <c r="DQ314" t="n">
        <v>0</v>
      </c>
      <c r="DR314" t="n">
        <v>0</v>
      </c>
      <c r="DS314" t="n">
        <v>436</v>
      </c>
      <c r="DT314" t="n">
        <v>880</v>
      </c>
      <c r="DU314" t="n">
        <v>220</v>
      </c>
      <c r="DV314" t="n">
        <v>0</v>
      </c>
      <c r="DW314" t="n">
        <v>0</v>
      </c>
      <c r="DX314" t="n">
        <v>0</v>
      </c>
      <c r="DY314" t="n">
        <v>75</v>
      </c>
      <c r="DZ314" t="n">
        <v>100</v>
      </c>
      <c r="EA314" t="n">
        <v>100</v>
      </c>
      <c r="EB314" t="n">
        <v>100</v>
      </c>
      <c r="EC314" t="n">
        <v>125</v>
      </c>
      <c r="ED314" t="n">
        <v>125</v>
      </c>
      <c r="EE314" t="n">
        <v>375</v>
      </c>
      <c r="EF314" t="n">
        <v>0</v>
      </c>
      <c r="EG314" t="n">
        <v>1</v>
      </c>
      <c r="EH314" t="n">
        <v>0.8</v>
      </c>
      <c r="EI314" t="n">
        <v>0.4</v>
      </c>
      <c r="EJ314" t="n">
        <v>1.1</v>
      </c>
      <c r="EK314" t="n">
        <v>1.6</v>
      </c>
    </row>
    <row r="315">
      <c r="A315" s="12">
        <f>[1]ingredient!B315</f>
        <v/>
      </c>
      <c r="C315" s="7">
        <f>_xlfn.XLOOKUP(A315,[1]ingredient!$B$2:$B$521,[1]ingredient!$A$2:$A$521)</f>
        <v/>
      </c>
      <c r="D315">
        <f>AVERAGE(D17,D65,D66,D102,D214,D251,D311,D340,D377,D402)</f>
        <v/>
      </c>
      <c r="E315">
        <f>AVERAGE(E17,E65,E66,E102,E214,E251,E311,E340,E377,E402)</f>
        <v/>
      </c>
      <c r="F315">
        <f>AVERAGE(F17,F65,F66,F102,F214,F251,F311,F340,F377,F402)</f>
        <v/>
      </c>
      <c r="G315">
        <f>AVERAGE(G17,G65,G66,G102,G214,G251,G311,G340,G377,G402)</f>
        <v/>
      </c>
      <c r="H315">
        <f>AVERAGE(H17,H65,H66,H102,H214,H251,H311,H340,H377,H402)</f>
        <v/>
      </c>
      <c r="I315">
        <f>AVERAGE(I17,I65,I66,I102,I214,I251,I311,I340,I377,I402)</f>
        <v/>
      </c>
      <c r="J315">
        <f>AVERAGE(J17,J65,J66,J102,J214,J251,J311,J340,J377,J402)</f>
        <v/>
      </c>
      <c r="K315">
        <f>AVERAGE(K17,K65,K66,K102,K214,K251,K311,K340,K377,K402)</f>
        <v/>
      </c>
      <c r="L315">
        <f>AVERAGE(L17,L65,L66,L102,L214,L251,L311,L340,L377,L402)</f>
        <v/>
      </c>
      <c r="M315">
        <f>AVERAGE(M17,M65,M66,M102,M214,M251,M311,M340,M377,M402)</f>
        <v/>
      </c>
      <c r="N315">
        <f>AVERAGE(N17,N65,N66,N102,N214,N251,N311,N340,N377,N402)</f>
        <v/>
      </c>
      <c r="O315">
        <f>AVERAGE(O17,O65,O66,O102,O214,O251,O311,O340,O377,O402)</f>
        <v/>
      </c>
      <c r="P315">
        <f>AVERAGE(P17,P65,P66,P102,P214,P251,P311,P340,P377,P402)</f>
        <v/>
      </c>
      <c r="Q315">
        <f>AVERAGE(Q17,Q65,Q66,Q102,Q214,Q251,Q311,Q340,Q377,Q402)</f>
        <v/>
      </c>
      <c r="R315">
        <f>AVERAGE(R17,R65,R66,R102,R214,R251,R311,R340,R377,R402)</f>
        <v/>
      </c>
      <c r="S315">
        <f>AVERAGE(S17,S65,S66,S102,S214,S251,S311,S340,S377,S402)</f>
        <v/>
      </c>
      <c r="T315">
        <f>AVERAGE(T17,T65,T66,T102,T214,T251,T311,T340,T377,T402)</f>
        <v/>
      </c>
      <c r="U315">
        <f>AVERAGE(U17,U65,U66,U102,U214,U251,U311,U340,U377,U402)</f>
        <v/>
      </c>
      <c r="V315">
        <f>AVERAGE(V17,V65,V66,V102,V214,V251,V311,V340,V377,V402)</f>
        <v/>
      </c>
      <c r="W315">
        <f>AVERAGE(W17,W65,W66,W102,W214,W251,W311,W340,W377,W402)</f>
        <v/>
      </c>
      <c r="X315">
        <f>AVERAGE(X17,X65,X66,X102,X214,X251,X311,X340,X377,X402)</f>
        <v/>
      </c>
      <c r="Y315">
        <f>AVERAGE(Y17,Y65,Y66,Y102,Y214,Y251,Y311,Y340,Y377,Y402)</f>
        <v/>
      </c>
      <c r="Z315">
        <f>AVERAGE(Z17,Z65,Z66,Z102,Z214,Z251,Z311,Z340,Z377,Z402)</f>
        <v/>
      </c>
      <c r="AA315">
        <f>AVERAGE(AA17,AA65,AA66,AA102,AA214,AA251,AA311,AA340,AA377,AA402)</f>
        <v/>
      </c>
      <c r="AB315">
        <f>AVERAGE(AB17,AB65,AB66,AB102,AB214,AB251,AB311,AB340,AB377,AB402)</f>
        <v/>
      </c>
      <c r="AC315">
        <f>AVERAGE(AC17,AC65,AC66,AC102,AC214,AC251,AC311,AC340,AC377,AC402)</f>
        <v/>
      </c>
      <c r="AD315">
        <f>AVERAGE(AD17,AD65,AD66,AD102,AD214,AD251,AD311,AD340,AD377,AD402)</f>
        <v/>
      </c>
      <c r="AE315">
        <f>AVERAGE(AE17,AE65,AE66,AE102,AE214,AE251,AE311,AE340,AE377,AE402)</f>
        <v/>
      </c>
      <c r="AF315">
        <f>AVERAGE(AF17,AF65,AF66,AF102,AF214,AF251,AF311,AF340,AF377,AF402)</f>
        <v/>
      </c>
      <c r="AG315">
        <f>AVERAGE(AG17,AG65,AG66,AG102,AG214,AG251,AG311,AG340,AG377,AG402)</f>
        <v/>
      </c>
      <c r="AH315">
        <f>AVERAGE(AH17,AH65,AH66,AH102,AH214,AH251,AH311,AH340,AH377,AH402)</f>
        <v/>
      </c>
      <c r="AI315">
        <f>AVERAGE(AI17,AI65,AI66,AI102,AI214,AI251,AI311,AI340,AI377,AI402)</f>
        <v/>
      </c>
      <c r="AJ315">
        <f>AVERAGE(AJ17,AJ65,AJ66,AJ102,AJ214,AJ251,AJ311,AJ340,AJ377,AJ402)</f>
        <v/>
      </c>
      <c r="AK315">
        <f>AVERAGE(AK17,AK65,AK66,AK102,AK214,AK251,AK311,AK340,AK377,AK402)</f>
        <v/>
      </c>
      <c r="AL315">
        <f>AVERAGE(AL17,AL65,AL66,AL102,AL214,AL251,AL311,AL340,AL377,AL402)</f>
        <v/>
      </c>
      <c r="AM315">
        <f>AVERAGE(AM17,AM65,AM66,AM102,AM214,AM251,AM311,AM340,AM377,AM402)</f>
        <v/>
      </c>
      <c r="AN315">
        <f>AVERAGE(AN17,AN65,AN66,AN102,AN214,AN251,AN311,AN340,AN377,AN402)</f>
        <v/>
      </c>
      <c r="AO315">
        <f>AVERAGE(AO17,AO65,AO66,AO102,AO214,AO251,AO311,AO340,AO377,AO402)</f>
        <v/>
      </c>
      <c r="AP315">
        <f>AVERAGE(AP17,AP65,AP66,AP102,AP214,AP251,AP311,AP340,AP377,AP402)</f>
        <v/>
      </c>
      <c r="AQ315">
        <f>AVERAGE(AQ17,AQ65,AQ66,AQ102,AQ214,AQ251,AQ311,AQ340,AQ377,AQ402)</f>
        <v/>
      </c>
      <c r="AR315">
        <f>AVERAGE(AR17,AR65,AR66,AR102,AR214,AR251,AR311,AR340,AR377,AR402)</f>
        <v/>
      </c>
      <c r="AS315">
        <f>AVERAGE(AS17,AS65,AS66,AS102,AS214,AS251,AS311,AS340,AS377,AS402)</f>
        <v/>
      </c>
      <c r="AT315">
        <f>AVERAGE(AT17,AT65,AT66,AT102,AT214,AT251,AT311,AT340,AT377,AT402)</f>
        <v/>
      </c>
      <c r="AU315">
        <f>AVERAGE(AU17,AU65,AU66,AU102,AU214,AU251,AU311,AU340,AU377,AU402)</f>
        <v/>
      </c>
      <c r="AV315">
        <f>AVERAGE(AV17,AV65,AV66,AV102,AV214,AV251,AV311,AV340,AV377,AV402)</f>
        <v/>
      </c>
      <c r="AW315">
        <f>AVERAGE(AW17,AW65,AW66,AW102,AW214,AW251,AW311,AW340,AW377,AW402)</f>
        <v/>
      </c>
      <c r="AX315">
        <f>AVERAGE(AX17,AX65,AX66,AX102,AX214,AX251,AX311,AX340,AX377,AX402)</f>
        <v/>
      </c>
      <c r="AY315">
        <f>AVERAGE(AY17,AY65,AY66,AY102,AY214,AY251,AY311,AY340,AY377,AY402)</f>
        <v/>
      </c>
      <c r="AZ315">
        <f>AVERAGE(AZ17,AZ65,AZ66,AZ102,AZ214,AZ251,AZ311,AZ340,AZ377,AZ402)</f>
        <v/>
      </c>
      <c r="BA315">
        <f>AVERAGE(BA17,BA65,BA66,BA102,BA214,BA251,BA311,BA340,BA377,BA402)</f>
        <v/>
      </c>
      <c r="BB315">
        <f>AVERAGE(BB17,BB65,BB66,BB102,BB214,BB251,BB311,BB340,BB377,BB402)</f>
        <v/>
      </c>
      <c r="BC315">
        <f>AVERAGE(BC17,BC65,BC66,BC102,BC214,BC251,BC311,BC340,BC377,BC402)</f>
        <v/>
      </c>
      <c r="BD315">
        <f>AVERAGE(BD17,BD65,BD66,BD102,BD214,BD251,BD311,BD340,BD377,BD402)</f>
        <v/>
      </c>
      <c r="BE315">
        <f>AVERAGE(BE17,BE65,BE66,BE102,BE214,BE251,BE311,BE340,BE377,BE402)</f>
        <v/>
      </c>
      <c r="BF315">
        <f>AVERAGE(BF17,BF65,BF66,BF102,BF214,BF251,BF311,BF340,BF377,BF402)</f>
        <v/>
      </c>
      <c r="BG315">
        <f>IF($F315=0,"0",MIN(
BH315/(30*$F315),
BI315/(61*$F315),
BJ315/(48*$F315),
(BK315+BL315)/(23*$F315),
(BM315+BN315)/(41*$F315),
BO315/(25*$F315),
BP315/(6.6*$F315),
BQ315/(40*$F315),
BS315/(16*$F315)
)*100)</f>
        <v/>
      </c>
      <c r="BH315">
        <f>AVERAGE(BH17,BH65,BH66,BH102,BH214,BH251,BH311,BH340,BH377,BH402)</f>
        <v/>
      </c>
      <c r="BI315">
        <f>AVERAGE(BI17,BI65,BI66,BI102,BI214,BI251,BI311,BI340,BI377,BI402)</f>
        <v/>
      </c>
      <c r="BJ315">
        <f>AVERAGE(BJ17,BJ65,BJ66,BJ102,BJ214,BJ251,BJ311,BJ340,BJ377,BJ402)</f>
        <v/>
      </c>
      <c r="BK315">
        <f>AVERAGE(BK17,BK65,BK66,BK102,BK214,BK251,BK311,BK340,BK377,BK402)</f>
        <v/>
      </c>
      <c r="BL315">
        <f>AVERAGE(BL17,BL65,BL66,BL102,BL214,BL251,BL311,BL340,BL377,BL402)</f>
        <v/>
      </c>
      <c r="BM315">
        <f>AVERAGE(BM17,BM65,BM66,BM102,BM214,BM251,BM311,BM340,BM377,BM402)</f>
        <v/>
      </c>
      <c r="BN315">
        <f>AVERAGE(BN17,BN65,BN66,BN102,BN214,BN251,BN311,BN340,BN377,BN402)</f>
        <v/>
      </c>
      <c r="BO315">
        <f>AVERAGE(BO17,BO65,BO66,BO102,BO214,BO251,BO311,BO340,BO377,BO402)</f>
        <v/>
      </c>
      <c r="BP315">
        <f>AVERAGE(BP17,BP65,BP66,BP102,BP214,BP251,BP311,BP340,BP377,BP402)</f>
        <v/>
      </c>
      <c r="BQ315">
        <f>AVERAGE(BQ17,BQ65,BQ66,BQ102,BQ214,BQ251,BQ311,BQ340,BQ377,BQ402)</f>
        <v/>
      </c>
      <c r="BR315">
        <f>AVERAGE(BR17,BR65,BR66,BR102,BR214,BR251,BR311,BR340,BR377,BR402)</f>
        <v/>
      </c>
      <c r="BS315">
        <f>AVERAGE(BS17,BS65,BS66,BS102,BS214,BS251,BS311,BS340,BS377,BS402)</f>
        <v/>
      </c>
      <c r="BT315">
        <f>AVERAGE(BT17,BT65,BT66,BT102,BT214,BT251,BT311,BT340,BT377,BT402)</f>
        <v/>
      </c>
      <c r="BU315">
        <f>AVERAGE(BU17,BU65,BU66,BU102,BU214,BU251,BU311,BU340,BU377,BU402)</f>
        <v/>
      </c>
      <c r="BV315">
        <f>AVERAGE(BV17,BV65,BV66,BV102,BV214,BV251,BV311,BV340,BV377,BV402)</f>
        <v/>
      </c>
      <c r="BW315">
        <f>AVERAGE(BW17,BW65,BW66,BW102,BW214,BW251,BW311,BW340,BW377,BW402)</f>
        <v/>
      </c>
      <c r="BX315">
        <f>AVERAGE(BX17,BX65,BX66,BX102,BX214,BX251,BX311,BX340,BX377,BX402)</f>
        <v/>
      </c>
      <c r="BY315">
        <f>AVERAGE(BY17,BY65,BY66,BY102,BY214,BY251,BY311,BY340,BY377,BY402)</f>
        <v/>
      </c>
      <c r="BZ315">
        <f>AVERAGE(BZ17,BZ65,BZ66,BZ102,BZ214,BZ251,BZ311,BZ340,BZ377,BZ402)</f>
        <v/>
      </c>
      <c r="CA315">
        <f>AVERAGE(CA17,CA65,CA66,CA102,CA214,CA251,CA311,CA340,CA377,CA402)</f>
        <v/>
      </c>
      <c r="CB315">
        <f>AVERAGE(CB17,CB65,CB66,CB102,CB214,CB251,CB311,CB340,CB377,CB402)</f>
        <v/>
      </c>
      <c r="CC315">
        <f>AVERAGE(CC17,CC65,CC66,CC102,CC214,CC251,CC311,CC340,CC377,CC402)</f>
        <v/>
      </c>
      <c r="CD315">
        <f>AVERAGE(CD17,CD65,CD66,CD102,CD214,CD251,CD311,CD340,CD377,CD402)</f>
        <v/>
      </c>
      <c r="CE315">
        <f>AVERAGE(CE17,CE65,CE66,CE102,CE214,CE251,CE311,CE340,CE377,CE402)</f>
        <v/>
      </c>
      <c r="CF315">
        <f>AVERAGE(CF17,CF65,CF66,CF102,CF214,CF251,CF311,CF340,CF377,CF402)</f>
        <v/>
      </c>
      <c r="CG315">
        <f>AVERAGE(CG17,CG65,CG66,CG102,CG214,CG251,CG311,CG340,CG377,CG402)</f>
        <v/>
      </c>
      <c r="CH315">
        <f>AVERAGE(CH17,CH65,CH66,CH102,CH214,CH251,CH311,CH340,CH377,CH402)</f>
        <v/>
      </c>
      <c r="CI315">
        <f>AVERAGE(CI17,CI65,CI66,CI102,CI214,CI251,CI311,CI340,CI377,CI402)</f>
        <v/>
      </c>
      <c r="CJ315">
        <f>AVERAGE(CJ17,CJ65,CJ66,CJ102,CJ214,CJ251,CJ311,CJ340,CJ377,CJ402)</f>
        <v/>
      </c>
      <c r="CK315">
        <f>AVERAGE(CK17,CK65,CK66,CK102,CK214,CK251,CK311,CK340,CK377,CK402)</f>
        <v/>
      </c>
      <c r="CL315">
        <f>AVERAGE(CL17,CL65,CL66,CL102,CL214,CL251,CL311,CL340,CL377,CL402)</f>
        <v/>
      </c>
      <c r="CM315">
        <f>AVERAGE(CM17,CM65,CM66,CM102,CM214,CM251,CM311,CM340,CM377,CM402)</f>
        <v/>
      </c>
      <c r="CN315">
        <f>AVERAGE(CN17,CN65,CN66,CN102,CN214,CN251,CN311,CN340,CN377,CN402)</f>
        <v/>
      </c>
      <c r="CO315">
        <f>AVERAGE(CO17,CO65,CO66,CO102,CO214,CO251,CO311,CO340,CO377,CO402)</f>
        <v/>
      </c>
      <c r="CP315">
        <f>AVERAGE(CP17,CP65,CP66,CP102,CP214,CP251,CP311,CP340,CP377,CP402)</f>
        <v/>
      </c>
      <c r="CQ315">
        <f>AVERAGE(CQ17,CQ65,CQ66,CQ102,CQ214,CQ251,CQ311,CQ340,CQ377,CQ402)</f>
        <v/>
      </c>
      <c r="CR315">
        <f>AVERAGE(CR17,CR65,CR66,CR102,CR214,CR251,CR311,CR340,CR377,CR402)</f>
        <v/>
      </c>
      <c r="CS315">
        <f>AVERAGE(CS17,CS65,CS66,CS102,CS214,CS251,CS311,CS340,CS377,CS402)</f>
        <v/>
      </c>
      <c r="CT315">
        <f>AVERAGE(CT17,CT65,CT66,CT102,CT214,CT251,CT311,CT340,CT377,CT402)</f>
        <v/>
      </c>
      <c r="CU315">
        <f>AVERAGE(CU17,CU65,CU66,CU102,CU214,CU251,CU311,CU340,CU377,CU402)</f>
        <v/>
      </c>
      <c r="CV315">
        <f>AVERAGE(CV17,CV65,CV66,CV102,CV214,CV251,CV311,CV340,CV377,CV402)</f>
        <v/>
      </c>
      <c r="CW315">
        <f>AVERAGE(CW17,CW65,CW66,CW102,CW214,CW251,CW311,CW340,CW377,CW402)</f>
        <v/>
      </c>
      <c r="CX315">
        <f>AVERAGE(CX17,CX65,CX66,CX102,CX214,CX251,CX311,CX340,CX377,CX402)</f>
        <v/>
      </c>
      <c r="CY315">
        <f>AVERAGE(CY17,CY65,CY66,CY102,CY214,CY251,CY311,CY340,CY377,CY402)</f>
        <v/>
      </c>
      <c r="CZ315">
        <f>AVERAGE(CZ17,CZ65,CZ66,CZ102,CZ214,CZ251,CZ311,CZ340,CZ377,CZ402)</f>
        <v/>
      </c>
      <c r="DA315">
        <f>AVERAGE(DA17,DA65,DA66,DA102,DA214,DA251,DA311,DA340,DA377,DA402)</f>
        <v/>
      </c>
      <c r="DB315">
        <f>AVERAGE(DB17,DB65,DB66,DB102,DB214,DB251,DB311,DB340,DB377,DB402)</f>
        <v/>
      </c>
      <c r="DC315">
        <f>AVERAGE(DC17,DC65,DC66,DC102,DC214,DC251,DC311,DC340,DC377,DC402)</f>
        <v/>
      </c>
      <c r="DD315">
        <f>AVERAGE(DD17,DD65,DD66,DD102,DD214,DD251,DD311,DD340,DD377,DD402)</f>
        <v/>
      </c>
      <c r="DE315">
        <f>AVERAGE(DE17,DE65,DE66,DE102,DE214,DE251,DE311,DE340,DE377,DE402)</f>
        <v/>
      </c>
      <c r="DF315">
        <f>AVERAGE(DF17,DF65,DF66,DF102,DF214,DF251,DF311,DF340,DF377,DF402)</f>
        <v/>
      </c>
      <c r="DG315">
        <f>AVERAGE(DG17,DG65,DG66,DG102,DG214,DG251,DG311,DG340,DG377,DG402)</f>
        <v/>
      </c>
      <c r="DH315">
        <f>AVERAGE(DH17,DH65,DH66,DH102,DH214,DH251,DH311,DH340,DH377,DH402)</f>
        <v/>
      </c>
      <c r="DI315">
        <f>AVERAGE(DI17,DI65,DI66,DI102,DI214,DI251,DI311,DI340,DI377,DI402)</f>
        <v/>
      </c>
      <c r="DJ315">
        <f>AVERAGE(DJ17,DJ65,DJ66,DJ102,DJ214,DJ251,DJ311,DJ340,DJ377,DJ402)</f>
        <v/>
      </c>
      <c r="DK315">
        <f>AVERAGE(DK17,DK65,DK66,DK102,DK214,DK251,DK311,DK340,DK377,DK402)</f>
        <v/>
      </c>
      <c r="DL315">
        <f>AVERAGE(DL17,DL65,DL66,DL102,DL214,DL251,DL311,DL340,DL377,DL402)</f>
        <v/>
      </c>
      <c r="DM315">
        <f>AVERAGE(DM17,DM65,DM66,DM102,DM214,DM251,DM311,DM340,DM377,DM402)</f>
        <v/>
      </c>
      <c r="DN315">
        <f>AVERAGE(DN17,DN65,DN66,DN102,DN214,DN251,DN311,DN340,DN377,DN402)</f>
        <v/>
      </c>
      <c r="DO315">
        <f>AVERAGE(DO17,DO65,DO66,DO102,DO214,DO251,DO311,DO340,DO377,DO402)</f>
        <v/>
      </c>
      <c r="DP315">
        <f>AVERAGE(DP17,DP65,DP66,DP102,DP214,DP251,DP311,DP340,DP377,DP402)</f>
        <v/>
      </c>
      <c r="DQ315">
        <f>AVERAGE(DQ17,DQ65,DQ66,DQ102,DQ214,DQ251,DQ311,DQ340,DQ377,DQ402)</f>
        <v/>
      </c>
      <c r="DR315">
        <f>AVERAGE(DR17,DR65,DR66,DR102,DR214,DR251,DR311,DR340,DR377,DR402)</f>
        <v/>
      </c>
      <c r="DS315">
        <f>AVERAGE(DS17,DS65,DS66,DS102,DS214,DS251,DS311,DS340,DS377,DS402)</f>
        <v/>
      </c>
      <c r="DT315">
        <f>AVERAGE(DT17,DT65,DT66,DT102,DT214,DT251,DT311,DT340,DT377,DT402)</f>
        <v/>
      </c>
      <c r="DU315">
        <f>AVERAGE(DU17,DU65,DU66,DU102,DU214,DU251,DU311,DU340,DU377,DU402)</f>
        <v/>
      </c>
      <c r="DV315">
        <f>AVERAGE(DV17,DV65,DV66,DV102,DV214,DV251,DV311,DV340,DV377,DV402)</f>
        <v/>
      </c>
      <c r="DW315">
        <f>AVERAGE(DW17,DW65,DW66,DW102,DW214,DW251,DW311,DW340,DW377,DW402)</f>
        <v/>
      </c>
      <c r="DX315">
        <f>AVERAGE(DX17,DX65,DX66,DX102,DX214,DX251,DX311,DX340,DX377,DX402)</f>
        <v/>
      </c>
      <c r="DY315">
        <f>AVERAGE(DY17,DY65,DY66,DY102,DY214,DY251,DY311,DY340,DY377,DY402)</f>
        <v/>
      </c>
      <c r="DZ315">
        <f>AVERAGE(DZ17,DZ65,DZ66,DZ102,DZ214,DZ251,DZ311,DZ340,DZ377,DZ402)</f>
        <v/>
      </c>
      <c r="EA315">
        <f>AVERAGE(EA17,EA65,EA66,EA102,EA214,EA251,EA311,EA340,EA377,EA402)</f>
        <v/>
      </c>
      <c r="EB315">
        <f>AVERAGE(EB17,EB65,EB66,EB102,EB214,EB251,EB311,EB340,EB377,EB402)</f>
        <v/>
      </c>
      <c r="EC315">
        <f>AVERAGE(EC17,EC65,EC66,EC102,EC214,EC251,EC311,EC340,EC377,EC402)</f>
        <v/>
      </c>
      <c r="ED315">
        <f>AVERAGE(ED17,ED65,ED66,ED102,ED214,ED251,ED311,ED340,ED377,ED402)</f>
        <v/>
      </c>
      <c r="EE315">
        <f>AVERAGE(EE17,EE65,EE66,EE102,EE214,EE251,EE311,EE340,EE377,EE402)</f>
        <v/>
      </c>
      <c r="EF315">
        <f>AVERAGE(EF17,EF65,EF66,EF102,EF214,EF251,EF311,EF340,EF377,EF402)</f>
        <v/>
      </c>
      <c r="EG315">
        <f>AVERAGE(EG17,EG65,EG66,EG102,EG214,EG251,EG311,EG340,EG377,EG402)</f>
        <v/>
      </c>
      <c r="EH315">
        <f>AVERAGE(EH17,EH65,EH66,EH102,EH214,EH251,EH311,EH340,EH377,EH402)</f>
        <v/>
      </c>
      <c r="EI315">
        <f>AVERAGE(EI17,EI65,EI66,EI102,EI214,EI251,EI311,EI340,EI377,EI402)</f>
        <v/>
      </c>
      <c r="EJ315">
        <f>AVERAGE(EJ17,EJ65,EJ66,EJ102,EJ214,EJ251,EJ311,EJ340,EJ377,EJ402)</f>
        <v/>
      </c>
      <c r="EK315">
        <f>AVERAGE(EK17,EK65,EK66,EK102,EK214,EK251,EK311,EK340,EK377,EK402)</f>
        <v/>
      </c>
    </row>
    <row r="316">
      <c r="A316">
        <f>[1]ingredient!B316</f>
        <v/>
      </c>
      <c r="B316" s="11" t="inlineStr">
        <is>
          <t>https://www.naehrwertrechner.de/naehrwerte/R257011/Piment/?menge=100</t>
        </is>
      </c>
      <c r="C316" s="7">
        <f>_xlfn.XLOOKUP(A316,[1]ingredient!$B$2:$B$521,[1]ingredient!$A$2:$A$521)</f>
        <v/>
      </c>
      <c r="D316" t="n">
        <v>308</v>
      </c>
      <c r="E316" t="n">
        <v>9</v>
      </c>
      <c r="F316" t="n">
        <v>6</v>
      </c>
      <c r="G316" t="n">
        <v>51</v>
      </c>
      <c r="H316" t="n">
        <v>22</v>
      </c>
      <c r="I316" t="n">
        <v>48</v>
      </c>
      <c r="J316" t="n">
        <v>0.14</v>
      </c>
      <c r="K316" t="n">
        <v>8</v>
      </c>
      <c r="L316" t="n">
        <v>54</v>
      </c>
      <c r="M316" t="n">
        <v>27</v>
      </c>
      <c r="N316" t="n">
        <v>0</v>
      </c>
      <c r="O316" t="n">
        <v>325</v>
      </c>
      <c r="P316" t="n">
        <v>100</v>
      </c>
      <c r="Q316" t="n">
        <v>60</v>
      </c>
      <c r="R316" t="n">
        <v>2900</v>
      </c>
      <c r="S316" t="n">
        <v>3917</v>
      </c>
      <c r="T316" t="n">
        <v>500</v>
      </c>
      <c r="U316" t="n">
        <v>200</v>
      </c>
      <c r="V316" t="n">
        <v>10</v>
      </c>
      <c r="W316" t="n">
        <v>0</v>
      </c>
      <c r="X316" t="n">
        <v>0</v>
      </c>
      <c r="Y316" t="n">
        <v>0</v>
      </c>
      <c r="Z316" t="n">
        <v>0</v>
      </c>
      <c r="AA316" t="n">
        <v>0</v>
      </c>
      <c r="AB316" t="n">
        <v>0</v>
      </c>
      <c r="AC316" t="n">
        <v>77</v>
      </c>
      <c r="AD316" t="n">
        <v>1040</v>
      </c>
      <c r="AE316" t="n">
        <v>660</v>
      </c>
      <c r="AF316" t="n">
        <v>130</v>
      </c>
      <c r="AG316" t="n">
        <v>110</v>
      </c>
      <c r="AH316" t="n">
        <v>100</v>
      </c>
      <c r="AI316" t="n">
        <v>60</v>
      </c>
      <c r="AJ316" t="n">
        <v>7100</v>
      </c>
      <c r="AK316" t="n">
        <v>1000</v>
      </c>
      <c r="AL316" t="n">
        <v>550</v>
      </c>
      <c r="AM316" t="n">
        <v>1700</v>
      </c>
      <c r="AN316" t="n">
        <v>50</v>
      </c>
      <c r="AO316" t="n">
        <v>5</v>
      </c>
      <c r="AP316" t="n">
        <v>0</v>
      </c>
      <c r="AQ316" t="n">
        <v>0</v>
      </c>
      <c r="AR316" t="n">
        <v>0</v>
      </c>
      <c r="AS316" t="n">
        <v>0</v>
      </c>
      <c r="AT316" t="n">
        <v>25250</v>
      </c>
      <c r="AU316" t="n">
        <v>20705</v>
      </c>
      <c r="AV316" t="n">
        <v>0</v>
      </c>
      <c r="AW316" t="n">
        <v>45955</v>
      </c>
      <c r="AX316" t="n">
        <v>2020</v>
      </c>
      <c r="AY316" t="n">
        <v>0</v>
      </c>
      <c r="AZ316" t="n">
        <v>0</v>
      </c>
      <c r="BA316" t="n">
        <v>2020</v>
      </c>
      <c r="BB316" t="n">
        <v>0</v>
      </c>
      <c r="BC316" t="n">
        <v>0</v>
      </c>
      <c r="BD316" t="n">
        <v>0</v>
      </c>
      <c r="BE316" t="n">
        <v>2525</v>
      </c>
      <c r="BF316" t="n">
        <v>2525</v>
      </c>
      <c r="BG316">
        <f>IF($F316=0,"0",MIN(
BH316/(30*$F316),
BI316/(61*$F316),
BJ316/(48*$F316),
(BK316+BL316)/(23*$F316),
(BM316+BN316)/(41*$F316),
BO316/(25*$F316),
BP316/(6.6*$F316),
BQ316/(40*$F316),
BS316/(16*$F316)
)*100)</f>
        <v/>
      </c>
      <c r="BH316" t="n">
        <v>183</v>
      </c>
      <c r="BI316" t="n">
        <v>305</v>
      </c>
      <c r="BJ316" t="n">
        <v>305</v>
      </c>
      <c r="BK316" t="n">
        <v>92</v>
      </c>
      <c r="BL316" t="n">
        <v>61</v>
      </c>
      <c r="BM316" t="n">
        <v>214</v>
      </c>
      <c r="BN316" t="n">
        <v>122</v>
      </c>
      <c r="BO316" t="n">
        <v>153</v>
      </c>
      <c r="BP316" t="n">
        <v>61</v>
      </c>
      <c r="BQ316" t="n">
        <v>244</v>
      </c>
      <c r="BR316" t="n">
        <v>275</v>
      </c>
      <c r="BS316" t="n">
        <v>92</v>
      </c>
      <c r="BT316" t="n">
        <v>2107</v>
      </c>
      <c r="BU316" t="n">
        <v>366</v>
      </c>
      <c r="BV316" t="n">
        <v>912</v>
      </c>
      <c r="BW316" t="n">
        <v>854</v>
      </c>
      <c r="BX316" t="n">
        <v>244</v>
      </c>
      <c r="BY316" t="n">
        <v>214</v>
      </c>
      <c r="BZ316" t="n">
        <v>244</v>
      </c>
      <c r="CA316" t="n">
        <v>2834</v>
      </c>
      <c r="CB316" t="n">
        <v>29</v>
      </c>
      <c r="CC316" t="n">
        <v>12</v>
      </c>
      <c r="CD316" t="n">
        <v>80</v>
      </c>
      <c r="CE316" t="n">
        <v>2767</v>
      </c>
      <c r="CF316" t="n">
        <v>34.59</v>
      </c>
      <c r="CG316" t="n">
        <v>0</v>
      </c>
      <c r="CH316" t="n">
        <v>0</v>
      </c>
      <c r="CI316" t="n">
        <v>0</v>
      </c>
      <c r="CJ316" t="n">
        <v>0</v>
      </c>
      <c r="CK316" t="n">
        <v>0</v>
      </c>
      <c r="CL316" t="n">
        <v>20</v>
      </c>
      <c r="CM316" t="n">
        <v>0</v>
      </c>
      <c r="CN316" t="n">
        <v>616</v>
      </c>
      <c r="CO316" t="n">
        <v>0</v>
      </c>
      <c r="CP316" t="n">
        <v>2426</v>
      </c>
      <c r="CQ316" t="n">
        <v>0</v>
      </c>
      <c r="CR316" t="n">
        <v>0</v>
      </c>
      <c r="CS316" t="n">
        <v>0</v>
      </c>
      <c r="CT316" t="n">
        <v>3062</v>
      </c>
      <c r="CU316" t="n">
        <v>0</v>
      </c>
      <c r="CV316" t="n">
        <v>0</v>
      </c>
      <c r="CW316" t="n">
        <v>0</v>
      </c>
      <c r="CX316" t="n">
        <v>0</v>
      </c>
      <c r="CY316" t="n">
        <v>790</v>
      </c>
      <c r="CZ316" t="n">
        <v>0</v>
      </c>
      <c r="DA316" t="n">
        <v>0</v>
      </c>
      <c r="DB316" t="n">
        <v>0</v>
      </c>
      <c r="DC316" t="n">
        <v>790</v>
      </c>
      <c r="DD316" t="n">
        <v>0</v>
      </c>
      <c r="DE316" t="n">
        <v>0</v>
      </c>
      <c r="DF316" t="n">
        <v>2767</v>
      </c>
      <c r="DG316" t="n">
        <v>80</v>
      </c>
      <c r="DH316" t="n">
        <v>0</v>
      </c>
      <c r="DI316" t="n">
        <v>0</v>
      </c>
      <c r="DJ316" t="n">
        <v>0</v>
      </c>
      <c r="DK316" t="n">
        <v>0</v>
      </c>
      <c r="DL316" t="n">
        <v>0</v>
      </c>
      <c r="DM316" t="n">
        <v>0</v>
      </c>
      <c r="DN316" t="n">
        <v>0</v>
      </c>
      <c r="DO316" t="n">
        <v>0</v>
      </c>
      <c r="DP316" t="n">
        <v>0</v>
      </c>
      <c r="DQ316" t="n">
        <v>0</v>
      </c>
      <c r="DR316" t="n">
        <v>0</v>
      </c>
      <c r="DS316" t="n">
        <v>2847</v>
      </c>
      <c r="DT316" t="n">
        <v>6699</v>
      </c>
      <c r="DU316" t="n">
        <v>2001</v>
      </c>
      <c r="DV316" t="n">
        <v>0</v>
      </c>
      <c r="DW316" t="n">
        <v>0</v>
      </c>
      <c r="DX316" t="n">
        <v>0</v>
      </c>
      <c r="DY316" t="n">
        <v>4761</v>
      </c>
      <c r="DZ316" t="n">
        <v>3895</v>
      </c>
      <c r="EA316" t="n">
        <v>4328</v>
      </c>
      <c r="EB316" t="n">
        <v>4328</v>
      </c>
      <c r="EC316" t="n">
        <v>4328</v>
      </c>
      <c r="ED316" t="n">
        <v>6492</v>
      </c>
      <c r="EE316" t="n">
        <v>15148</v>
      </c>
      <c r="EF316" t="n">
        <v>0</v>
      </c>
      <c r="EG316" t="n">
        <v>0.48</v>
      </c>
      <c r="EH316" t="n">
        <v>4.7</v>
      </c>
      <c r="EI316" t="n">
        <v>15.1</v>
      </c>
      <c r="EJ316" t="n">
        <v>8.699999999999999</v>
      </c>
      <c r="EK316" t="n">
        <v>5</v>
      </c>
    </row>
    <row r="317">
      <c r="A317">
        <f>[1]ingredient!B317</f>
        <v/>
      </c>
      <c r="B317" t="inlineStr">
        <is>
          <t>https://www.naehrwertrechner.de/naehrwerte/H320011/Pinienkern/?menge=100</t>
        </is>
      </c>
      <c r="C317" s="7">
        <f>_xlfn.XLOOKUP(A317,[1]ingredient!$B$2:$B$521,[1]ingredient!$A$2:$A$521)</f>
        <v/>
      </c>
      <c r="D317" t="n">
        <v>575</v>
      </c>
      <c r="E317" t="n">
        <v>51</v>
      </c>
      <c r="F317" t="n">
        <v>24</v>
      </c>
      <c r="G317" t="n">
        <v>7</v>
      </c>
      <c r="H317" t="n">
        <v>7</v>
      </c>
      <c r="I317" t="n">
        <v>0.15</v>
      </c>
      <c r="J317" t="n">
        <v>0.05</v>
      </c>
      <c r="K317" t="n">
        <v>6</v>
      </c>
      <c r="L317" t="n">
        <v>3</v>
      </c>
      <c r="M317" t="n">
        <v>2</v>
      </c>
      <c r="N317" t="n">
        <v>0</v>
      </c>
      <c r="O317" t="n">
        <v>18</v>
      </c>
      <c r="P317" t="n">
        <v>810</v>
      </c>
      <c r="Q317" t="n">
        <v>190</v>
      </c>
      <c r="R317" t="n">
        <v>3600</v>
      </c>
      <c r="S317" t="n">
        <v>8400</v>
      </c>
      <c r="T317" t="n">
        <v>208</v>
      </c>
      <c r="U317" t="n">
        <v>110</v>
      </c>
      <c r="V317" t="n">
        <v>10</v>
      </c>
      <c r="W317" t="n">
        <v>57</v>
      </c>
      <c r="X317" t="n">
        <v>0</v>
      </c>
      <c r="Y317" t="n">
        <v>1900</v>
      </c>
      <c r="Z317" t="n">
        <v>0</v>
      </c>
      <c r="AA317" t="n">
        <v>13650</v>
      </c>
      <c r="AB317" t="n">
        <v>0</v>
      </c>
      <c r="AC317" t="n">
        <v>4</v>
      </c>
      <c r="AD317" t="n">
        <v>600</v>
      </c>
      <c r="AE317" t="n">
        <v>26</v>
      </c>
      <c r="AF317" t="n">
        <v>235</v>
      </c>
      <c r="AG317" t="n">
        <v>510</v>
      </c>
      <c r="AH317" t="n">
        <v>150</v>
      </c>
      <c r="AI317" t="n">
        <v>41</v>
      </c>
      <c r="AJ317" t="n">
        <v>9200</v>
      </c>
      <c r="AK317" t="n">
        <v>4250</v>
      </c>
      <c r="AL317" t="n">
        <v>1030</v>
      </c>
      <c r="AM317" t="n">
        <v>4300</v>
      </c>
      <c r="AN317" t="n">
        <v>50</v>
      </c>
      <c r="AO317" t="n">
        <v>2</v>
      </c>
      <c r="AP317" t="n">
        <v>0</v>
      </c>
      <c r="AQ317" t="n">
        <v>0</v>
      </c>
      <c r="AR317" t="n">
        <v>0</v>
      </c>
      <c r="AS317" t="n">
        <v>0</v>
      </c>
      <c r="AT317" t="n">
        <v>0</v>
      </c>
      <c r="AU317" t="n">
        <v>0</v>
      </c>
      <c r="AV317" t="n">
        <v>0</v>
      </c>
      <c r="AW317" t="n">
        <v>0</v>
      </c>
      <c r="AX317" t="n">
        <v>146</v>
      </c>
      <c r="AY317" t="n">
        <v>0</v>
      </c>
      <c r="AZ317" t="n">
        <v>0</v>
      </c>
      <c r="BA317" t="n">
        <v>146</v>
      </c>
      <c r="BB317" t="n">
        <v>0</v>
      </c>
      <c r="BC317" t="n">
        <v>0</v>
      </c>
      <c r="BD317" t="n">
        <v>0</v>
      </c>
      <c r="BE317" t="n">
        <v>7154</v>
      </c>
      <c r="BF317" t="n">
        <v>7154</v>
      </c>
      <c r="BG317">
        <f>IF($F317=0,"0",MIN(
BH317/(30*$F317),
BI317/(61*$F317),
BJ317/(48*$F317),
(BK317+BL317)/(23*$F317),
(BM317+BN317)/(41*$F317),
BO317/(25*$F317),
BP317/(6.6*$F317),
BQ317/(40*$F317),
BS317/(16*$F317)
)*100)</f>
        <v/>
      </c>
      <c r="BH317" t="n">
        <v>888</v>
      </c>
      <c r="BI317" t="n">
        <v>1680</v>
      </c>
      <c r="BJ317" t="n">
        <v>864</v>
      </c>
      <c r="BK317" t="n">
        <v>384</v>
      </c>
      <c r="BL317" t="n">
        <v>408</v>
      </c>
      <c r="BM317" t="n">
        <v>888</v>
      </c>
      <c r="BN317" t="n">
        <v>840</v>
      </c>
      <c r="BO317" t="n">
        <v>720</v>
      </c>
      <c r="BP317" t="n">
        <v>288</v>
      </c>
      <c r="BQ317" t="n">
        <v>1200</v>
      </c>
      <c r="BR317" t="n">
        <v>4488</v>
      </c>
      <c r="BS317" t="n">
        <v>528</v>
      </c>
      <c r="BT317" t="n">
        <v>13176</v>
      </c>
      <c r="BU317" t="n">
        <v>1224</v>
      </c>
      <c r="BV317" t="n">
        <v>2112</v>
      </c>
      <c r="BW317" t="n">
        <v>3960</v>
      </c>
      <c r="BX317" t="n">
        <v>1176</v>
      </c>
      <c r="BY317" t="n">
        <v>1248</v>
      </c>
      <c r="BZ317" t="n">
        <v>984</v>
      </c>
      <c r="CA317" t="n">
        <v>10704</v>
      </c>
      <c r="CB317" t="n">
        <v>0</v>
      </c>
      <c r="CC317" t="n">
        <v>0</v>
      </c>
      <c r="CD317" t="n">
        <v>630</v>
      </c>
      <c r="CE317" t="n">
        <v>22103</v>
      </c>
      <c r="CF317" t="n">
        <v>35.08</v>
      </c>
      <c r="CG317" t="n">
        <v>0</v>
      </c>
      <c r="CH317" t="n">
        <v>0</v>
      </c>
      <c r="CI317" t="n">
        <v>0</v>
      </c>
      <c r="CJ317" t="n">
        <v>0</v>
      </c>
      <c r="CK317" t="n">
        <v>0</v>
      </c>
      <c r="CL317" t="n">
        <v>48</v>
      </c>
      <c r="CM317" t="n">
        <v>0</v>
      </c>
      <c r="CN317" t="n">
        <v>4023</v>
      </c>
      <c r="CO317" t="n">
        <v>0</v>
      </c>
      <c r="CP317" t="n">
        <v>1696</v>
      </c>
      <c r="CQ317" t="n">
        <v>339</v>
      </c>
      <c r="CR317" t="n">
        <v>0</v>
      </c>
      <c r="CS317" t="n">
        <v>0</v>
      </c>
      <c r="CT317" t="n">
        <v>6106</v>
      </c>
      <c r="CU317" t="n">
        <v>0</v>
      </c>
      <c r="CV317" t="n">
        <v>0</v>
      </c>
      <c r="CW317" t="n">
        <v>145</v>
      </c>
      <c r="CX317" t="n">
        <v>0</v>
      </c>
      <c r="CY317" t="n">
        <v>18564</v>
      </c>
      <c r="CZ317" t="n">
        <v>921</v>
      </c>
      <c r="DA317" t="n">
        <v>0</v>
      </c>
      <c r="DB317" t="n">
        <v>0</v>
      </c>
      <c r="DC317" t="n">
        <v>19630</v>
      </c>
      <c r="DD317" t="n">
        <v>0</v>
      </c>
      <c r="DE317" t="n">
        <v>0</v>
      </c>
      <c r="DF317" t="n">
        <v>22103</v>
      </c>
      <c r="DG317" t="n">
        <v>630</v>
      </c>
      <c r="DH317" t="n">
        <v>0</v>
      </c>
      <c r="DI317" t="n">
        <v>0</v>
      </c>
      <c r="DJ317" t="n">
        <v>0</v>
      </c>
      <c r="DK317" t="n">
        <v>0</v>
      </c>
      <c r="DL317" t="n">
        <v>0</v>
      </c>
      <c r="DM317" t="n">
        <v>0</v>
      </c>
      <c r="DN317" t="n">
        <v>0</v>
      </c>
      <c r="DO317" t="n">
        <v>0</v>
      </c>
      <c r="DP317" t="n">
        <v>0</v>
      </c>
      <c r="DQ317" t="n">
        <v>0</v>
      </c>
      <c r="DR317" t="n">
        <v>0</v>
      </c>
      <c r="DS317" t="n">
        <v>22733</v>
      </c>
      <c r="DT317" t="n">
        <v>48469</v>
      </c>
      <c r="DU317" t="n">
        <v>2231</v>
      </c>
      <c r="DV317" t="n">
        <v>0</v>
      </c>
      <c r="DW317" t="n">
        <v>0</v>
      </c>
      <c r="DX317" t="n">
        <v>0</v>
      </c>
      <c r="DY317" t="n">
        <v>1080</v>
      </c>
      <c r="DZ317" t="n">
        <v>4752</v>
      </c>
      <c r="EA317" t="n">
        <v>144</v>
      </c>
      <c r="EB317" t="n">
        <v>1080</v>
      </c>
      <c r="EC317" t="n">
        <v>144</v>
      </c>
      <c r="ED317" t="n">
        <v>1440</v>
      </c>
      <c r="EE317" t="n">
        <v>5760</v>
      </c>
      <c r="EF317" t="n">
        <v>0</v>
      </c>
      <c r="EG317" t="n">
        <v>0</v>
      </c>
      <c r="EH317" t="n">
        <v>4.4</v>
      </c>
      <c r="EI317" t="n">
        <v>5.8</v>
      </c>
      <c r="EJ317" t="n">
        <v>50.7</v>
      </c>
      <c r="EK317" t="n">
        <v>23.9</v>
      </c>
    </row>
    <row r="318">
      <c r="A318">
        <f>[1]ingredient!B318</f>
        <v/>
      </c>
      <c r="B318" t="inlineStr">
        <is>
          <t>https://www.naehrwertrechner.de/naehrwerte/G701511/Wachtelbohnen+%28getrocknet%29/?menge=100</t>
        </is>
      </c>
      <c r="C318" s="7">
        <f>_xlfn.XLOOKUP(A318,[1]ingredient!$B$2:$B$521,[1]ingredient!$A$2:$A$521)</f>
        <v/>
      </c>
      <c r="D318" t="n">
        <v>313</v>
      </c>
      <c r="E318" t="n">
        <v>2</v>
      </c>
      <c r="F318" t="n">
        <v>18</v>
      </c>
      <c r="G318" t="n">
        <v>46</v>
      </c>
      <c r="H318" t="n">
        <v>17</v>
      </c>
      <c r="I318" t="n">
        <v>4</v>
      </c>
      <c r="J318" t="n">
        <v>0.01</v>
      </c>
      <c r="K318" t="n">
        <v>11</v>
      </c>
      <c r="L318" t="n">
        <v>0</v>
      </c>
      <c r="M318" t="n">
        <v>0</v>
      </c>
      <c r="N318" t="n">
        <v>0</v>
      </c>
      <c r="O318" t="n">
        <v>0</v>
      </c>
      <c r="P318" t="n">
        <v>600</v>
      </c>
      <c r="Q318" t="n">
        <v>200</v>
      </c>
      <c r="R318" t="n">
        <v>2200</v>
      </c>
      <c r="S318" t="n">
        <v>5200</v>
      </c>
      <c r="T318" t="n">
        <v>800</v>
      </c>
      <c r="U318" t="n">
        <v>400</v>
      </c>
      <c r="V318" t="n">
        <v>11</v>
      </c>
      <c r="W318" t="n">
        <v>160</v>
      </c>
      <c r="X318" t="n">
        <v>0</v>
      </c>
      <c r="Y318" t="n">
        <v>3900</v>
      </c>
      <c r="Z318" t="n">
        <v>0</v>
      </c>
      <c r="AA318" t="n">
        <v>0</v>
      </c>
      <c r="AB318" t="n">
        <v>0</v>
      </c>
      <c r="AC318" t="n">
        <v>5</v>
      </c>
      <c r="AD318" t="n">
        <v>1502</v>
      </c>
      <c r="AE318" t="n">
        <v>110</v>
      </c>
      <c r="AF318" t="n">
        <v>165</v>
      </c>
      <c r="AG318" t="n">
        <v>450</v>
      </c>
      <c r="AH318" t="n">
        <v>186</v>
      </c>
      <c r="AI318" t="n">
        <v>2</v>
      </c>
      <c r="AJ318" t="n">
        <v>7000</v>
      </c>
      <c r="AK318" t="n">
        <v>3300</v>
      </c>
      <c r="AL318" t="n">
        <v>700</v>
      </c>
      <c r="AM318" t="n">
        <v>1300</v>
      </c>
      <c r="AN318" t="n">
        <v>0</v>
      </c>
      <c r="AO318" t="n">
        <v>1</v>
      </c>
      <c r="AP318" t="n">
        <v>0</v>
      </c>
      <c r="AQ318" t="n">
        <v>0</v>
      </c>
      <c r="AR318" t="n">
        <v>0</v>
      </c>
      <c r="AS318" t="n">
        <v>0</v>
      </c>
      <c r="AT318" t="n">
        <v>0</v>
      </c>
      <c r="AU318" t="n">
        <v>0</v>
      </c>
      <c r="AV318" t="n">
        <v>0</v>
      </c>
      <c r="AW318" t="n">
        <v>0</v>
      </c>
      <c r="AX318" t="n">
        <v>3600</v>
      </c>
      <c r="AY318" t="n">
        <v>0</v>
      </c>
      <c r="AZ318" t="n">
        <v>0</v>
      </c>
      <c r="BA318" t="n">
        <v>3600</v>
      </c>
      <c r="BB318" t="n">
        <v>1400</v>
      </c>
      <c r="BC318" t="n">
        <v>3948</v>
      </c>
      <c r="BD318" t="n">
        <v>0</v>
      </c>
      <c r="BE318" t="n">
        <v>41000</v>
      </c>
      <c r="BF318" t="n">
        <v>0</v>
      </c>
      <c r="BG318">
        <f>IF($F318=0,"0",MIN(
BH318/(30*$F318),
BI318/(61*$F318),
BJ318/(48*$F318),
(BK318+BL318)/(23*$F318),
(BM318+BN318)/(41*$F318),
BO318/(25*$F318),
BP318/(6.6*$F318),
BQ318/(40*$F318),
BS318/(16*$F318)
)*100)</f>
        <v/>
      </c>
      <c r="BH318" t="n">
        <v>820</v>
      </c>
      <c r="BI318" t="n">
        <v>1500</v>
      </c>
      <c r="BJ318" t="n">
        <v>1440</v>
      </c>
      <c r="BK318" t="n">
        <v>220</v>
      </c>
      <c r="BL318" t="n">
        <v>160</v>
      </c>
      <c r="BM318" t="n">
        <v>1039</v>
      </c>
      <c r="BN318" t="n">
        <v>500</v>
      </c>
      <c r="BO318" t="n">
        <v>800</v>
      </c>
      <c r="BP318" t="n">
        <v>180</v>
      </c>
      <c r="BQ318" t="n">
        <v>920</v>
      </c>
      <c r="BR318" t="n">
        <v>1140</v>
      </c>
      <c r="BS318" t="n">
        <v>561</v>
      </c>
      <c r="BT318" t="n">
        <v>9280</v>
      </c>
      <c r="BU318" t="n">
        <v>819</v>
      </c>
      <c r="BV318" t="n">
        <v>2400</v>
      </c>
      <c r="BW318" t="n">
        <v>2920</v>
      </c>
      <c r="BX318" t="n">
        <v>760</v>
      </c>
      <c r="BY318" t="n">
        <v>700</v>
      </c>
      <c r="BZ318" t="n">
        <v>1120</v>
      </c>
      <c r="CA318" t="n">
        <v>8720</v>
      </c>
      <c r="CB318" t="n">
        <v>161</v>
      </c>
      <c r="CC318" t="n">
        <v>54</v>
      </c>
      <c r="CD318" t="n">
        <v>600</v>
      </c>
      <c r="CE318" t="n">
        <v>300</v>
      </c>
      <c r="CF318" t="n">
        <v>0.5</v>
      </c>
      <c r="CG318" t="n">
        <v>0</v>
      </c>
      <c r="CH318" t="n">
        <v>0</v>
      </c>
      <c r="CI318" t="n">
        <v>0</v>
      </c>
      <c r="CJ318" t="n">
        <v>0</v>
      </c>
      <c r="CK318" t="n">
        <v>0</v>
      </c>
      <c r="CL318" t="n">
        <v>0</v>
      </c>
      <c r="CM318" t="n">
        <v>0</v>
      </c>
      <c r="CN318" t="n">
        <v>268</v>
      </c>
      <c r="CO318" t="n">
        <v>0</v>
      </c>
      <c r="CP318" t="n">
        <v>32</v>
      </c>
      <c r="CQ318" t="n">
        <v>0</v>
      </c>
      <c r="CR318" t="n">
        <v>0</v>
      </c>
      <c r="CS318" t="n">
        <v>0</v>
      </c>
      <c r="CT318" t="n">
        <v>300</v>
      </c>
      <c r="CU318" t="n">
        <v>0</v>
      </c>
      <c r="CV318" t="n">
        <v>0</v>
      </c>
      <c r="CW318" t="n">
        <v>0</v>
      </c>
      <c r="CX318" t="n">
        <v>0</v>
      </c>
      <c r="CY318" t="n">
        <v>117</v>
      </c>
      <c r="CZ318" t="n">
        <v>0</v>
      </c>
      <c r="DA318" t="n">
        <v>0</v>
      </c>
      <c r="DB318" t="n">
        <v>0</v>
      </c>
      <c r="DC318" t="n">
        <v>100</v>
      </c>
      <c r="DD318" t="n">
        <v>0</v>
      </c>
      <c r="DE318" t="n">
        <v>0</v>
      </c>
      <c r="DF318" t="n">
        <v>300</v>
      </c>
      <c r="DG318" t="n">
        <v>600</v>
      </c>
      <c r="DH318" t="n">
        <v>0</v>
      </c>
      <c r="DI318" t="n">
        <v>0</v>
      </c>
      <c r="DJ318" t="n">
        <v>0</v>
      </c>
      <c r="DK318" t="n">
        <v>0</v>
      </c>
      <c r="DL318" t="n">
        <v>0</v>
      </c>
      <c r="DM318" t="n">
        <v>0</v>
      </c>
      <c r="DN318" t="n">
        <v>0</v>
      </c>
      <c r="DO318" t="n">
        <v>0</v>
      </c>
      <c r="DP318" t="n">
        <v>0</v>
      </c>
      <c r="DQ318" t="n">
        <v>0</v>
      </c>
      <c r="DR318" t="n">
        <v>0</v>
      </c>
      <c r="DS318" t="n">
        <v>900</v>
      </c>
      <c r="DT318" t="n">
        <v>1342</v>
      </c>
      <c r="DU318" t="n">
        <v>358</v>
      </c>
      <c r="DV318" t="n">
        <v>0</v>
      </c>
      <c r="DW318" t="n">
        <v>0</v>
      </c>
      <c r="DX318" t="n">
        <v>0</v>
      </c>
      <c r="DY318" t="n">
        <v>2210</v>
      </c>
      <c r="DZ318" t="n">
        <v>5950</v>
      </c>
      <c r="EA318" t="n">
        <v>2210</v>
      </c>
      <c r="EB318" t="n">
        <v>6290</v>
      </c>
      <c r="EC318" t="n">
        <v>340</v>
      </c>
      <c r="ED318" t="n">
        <v>8500</v>
      </c>
      <c r="EE318" t="n">
        <v>8500</v>
      </c>
      <c r="EF318" t="n">
        <v>0</v>
      </c>
      <c r="EG318" t="n">
        <v>0</v>
      </c>
      <c r="EH318" t="n">
        <v>2.4</v>
      </c>
      <c r="EI318" t="n">
        <v>8.5</v>
      </c>
      <c r="EJ318" t="n">
        <v>1.7</v>
      </c>
      <c r="EK318" t="n">
        <v>18.5</v>
      </c>
    </row>
    <row r="319">
      <c r="A319">
        <f>[1]ingredient!B319</f>
        <v/>
      </c>
      <c r="B319" t="inlineStr">
        <is>
          <t>https://www.naehrwertrechner.de/naehrwerte/H250000/Pistazie/?menge=100</t>
        </is>
      </c>
      <c r="C319" s="7">
        <f>_xlfn.XLOOKUP(A319,[1]ingredient!$B$2:$B$521,[1]ingredient!$A$2:$A$521)</f>
        <v/>
      </c>
      <c r="D319" t="n">
        <v>587</v>
      </c>
      <c r="E319" t="n">
        <v>52</v>
      </c>
      <c r="F319" t="n">
        <v>21</v>
      </c>
      <c r="G319" t="n">
        <v>12</v>
      </c>
      <c r="H319" t="n">
        <v>11</v>
      </c>
      <c r="I319" t="n">
        <v>2</v>
      </c>
      <c r="J319" t="n">
        <v>0.05</v>
      </c>
      <c r="K319" t="n">
        <v>3</v>
      </c>
      <c r="L319" t="n">
        <v>25</v>
      </c>
      <c r="M319" t="n">
        <v>13</v>
      </c>
      <c r="N319" t="n">
        <v>0</v>
      </c>
      <c r="O319" t="n">
        <v>150</v>
      </c>
      <c r="P319" t="n">
        <v>690</v>
      </c>
      <c r="Q319" t="n">
        <v>200</v>
      </c>
      <c r="R319" t="n">
        <v>1450</v>
      </c>
      <c r="S319" t="n">
        <v>4933</v>
      </c>
      <c r="T319" t="n">
        <v>1190</v>
      </c>
      <c r="U319" t="n">
        <v>250</v>
      </c>
      <c r="V319" t="n">
        <v>18</v>
      </c>
      <c r="W319" t="n">
        <v>58</v>
      </c>
      <c r="X319" t="n">
        <v>0</v>
      </c>
      <c r="Y319" t="n">
        <v>7000</v>
      </c>
      <c r="Z319" t="n">
        <v>0</v>
      </c>
      <c r="AA319" t="n">
        <v>5200</v>
      </c>
      <c r="AB319" t="n">
        <v>59</v>
      </c>
      <c r="AC319" t="n">
        <v>6</v>
      </c>
      <c r="AD319" t="n">
        <v>1020</v>
      </c>
      <c r="AE319" t="n">
        <v>136</v>
      </c>
      <c r="AF319" t="n">
        <v>158</v>
      </c>
      <c r="AG319" t="n">
        <v>500</v>
      </c>
      <c r="AH319" t="n">
        <v>250</v>
      </c>
      <c r="AI319" t="n">
        <v>40</v>
      </c>
      <c r="AJ319" t="n">
        <v>7300</v>
      </c>
      <c r="AK319" t="n">
        <v>3340</v>
      </c>
      <c r="AL319" t="n">
        <v>1180</v>
      </c>
      <c r="AM319" t="n">
        <v>464</v>
      </c>
      <c r="AN319" t="n">
        <v>120</v>
      </c>
      <c r="AO319" t="n">
        <v>5</v>
      </c>
      <c r="AP319" t="n">
        <v>0</v>
      </c>
      <c r="AQ319" t="n">
        <v>0</v>
      </c>
      <c r="AR319" t="n">
        <v>0</v>
      </c>
      <c r="AS319" t="n">
        <v>0</v>
      </c>
      <c r="AT319" t="n">
        <v>0</v>
      </c>
      <c r="AU319" t="n">
        <v>0</v>
      </c>
      <c r="AV319" t="n">
        <v>0</v>
      </c>
      <c r="AW319" t="n">
        <v>0</v>
      </c>
      <c r="AX319" t="n">
        <v>2310</v>
      </c>
      <c r="AY319" t="n">
        <v>0</v>
      </c>
      <c r="AZ319" t="n">
        <v>0</v>
      </c>
      <c r="BA319" t="n">
        <v>2310</v>
      </c>
      <c r="BB319" t="n">
        <v>0</v>
      </c>
      <c r="BC319" t="n">
        <v>0</v>
      </c>
      <c r="BD319" t="n">
        <v>0</v>
      </c>
      <c r="BE319" t="n">
        <v>9240</v>
      </c>
      <c r="BF319" t="n">
        <v>9240</v>
      </c>
      <c r="BG319">
        <f>IF($F319=0,"0",MIN(
BH319/(30*$F319),
BI319/(61*$F319),
BJ319/(48*$F319),
(BK319+BL319)/(23*$F319),
(BM319+BN319)/(41*$F319),
BO319/(25*$F319),
BP319/(6.6*$F319),
BQ319/(40*$F319),
BS319/(16*$F319)
)*100)</f>
        <v/>
      </c>
      <c r="BH319" t="n">
        <v>878</v>
      </c>
      <c r="BI319" t="n">
        <v>1505</v>
      </c>
      <c r="BJ319" t="n">
        <v>1108</v>
      </c>
      <c r="BK319" t="n">
        <v>356</v>
      </c>
      <c r="BL319" t="n">
        <v>397</v>
      </c>
      <c r="BM319" t="n">
        <v>1066</v>
      </c>
      <c r="BN319" t="n">
        <v>648</v>
      </c>
      <c r="BO319" t="n">
        <v>606</v>
      </c>
      <c r="BP319" t="n">
        <v>209</v>
      </c>
      <c r="BQ319" t="n">
        <v>1275</v>
      </c>
      <c r="BR319" t="n">
        <v>1944</v>
      </c>
      <c r="BS319" t="n">
        <v>460</v>
      </c>
      <c r="BT319" t="n">
        <v>10452</v>
      </c>
      <c r="BU319" t="n">
        <v>920</v>
      </c>
      <c r="BV319" t="n">
        <v>1923</v>
      </c>
      <c r="BW319" t="n">
        <v>4432</v>
      </c>
      <c r="BX319" t="n">
        <v>983</v>
      </c>
      <c r="BY319" t="n">
        <v>857</v>
      </c>
      <c r="BZ319" t="n">
        <v>1233</v>
      </c>
      <c r="CA319" t="n">
        <v>10348</v>
      </c>
      <c r="CB319" t="n">
        <v>0</v>
      </c>
      <c r="CC319" t="n">
        <v>0</v>
      </c>
      <c r="CD319" t="n">
        <v>198</v>
      </c>
      <c r="CE319" t="n">
        <v>7539</v>
      </c>
      <c r="CF319" t="n">
        <v>38.08</v>
      </c>
      <c r="CG319" t="n">
        <v>0</v>
      </c>
      <c r="CH319" t="n">
        <v>0</v>
      </c>
      <c r="CI319" t="n">
        <v>0</v>
      </c>
      <c r="CJ319" t="n">
        <v>0</v>
      </c>
      <c r="CK319" t="n">
        <v>51</v>
      </c>
      <c r="CL319" t="n">
        <v>102</v>
      </c>
      <c r="CM319" t="n">
        <v>0</v>
      </c>
      <c r="CN319" t="n">
        <v>4910</v>
      </c>
      <c r="CO319" t="n">
        <v>0</v>
      </c>
      <c r="CP319" t="n">
        <v>1004</v>
      </c>
      <c r="CQ319" t="n">
        <v>178</v>
      </c>
      <c r="CR319" t="n">
        <v>0</v>
      </c>
      <c r="CS319" t="n">
        <v>0</v>
      </c>
      <c r="CT319" t="n">
        <v>6245</v>
      </c>
      <c r="CU319" t="n">
        <v>0</v>
      </c>
      <c r="CV319" t="n">
        <v>0</v>
      </c>
      <c r="CW319" t="n">
        <v>361</v>
      </c>
      <c r="CX319" t="n">
        <v>0</v>
      </c>
      <c r="CY319" t="n">
        <v>34511</v>
      </c>
      <c r="CZ319" t="n">
        <v>281</v>
      </c>
      <c r="DA319" t="n">
        <v>0</v>
      </c>
      <c r="DB319" t="n">
        <v>0</v>
      </c>
      <c r="DC319" t="n">
        <v>35153</v>
      </c>
      <c r="DD319" t="n">
        <v>0</v>
      </c>
      <c r="DE319" t="n">
        <v>0</v>
      </c>
      <c r="DF319" t="n">
        <v>7539</v>
      </c>
      <c r="DG319" t="n">
        <v>198</v>
      </c>
      <c r="DH319" t="n">
        <v>0</v>
      </c>
      <c r="DI319" t="n">
        <v>0</v>
      </c>
      <c r="DJ319" t="n">
        <v>0</v>
      </c>
      <c r="DK319" t="n">
        <v>0</v>
      </c>
      <c r="DL319" t="n">
        <v>0</v>
      </c>
      <c r="DM319" t="n">
        <v>0</v>
      </c>
      <c r="DN319" t="n">
        <v>0</v>
      </c>
      <c r="DO319" t="n">
        <v>0</v>
      </c>
      <c r="DP319" t="n">
        <v>0</v>
      </c>
      <c r="DQ319" t="n">
        <v>0</v>
      </c>
      <c r="DR319" t="n">
        <v>0</v>
      </c>
      <c r="DS319" t="n">
        <v>7737</v>
      </c>
      <c r="DT319" t="n">
        <v>49135</v>
      </c>
      <c r="DU319" t="n">
        <v>2466</v>
      </c>
      <c r="DV319" t="n">
        <v>0</v>
      </c>
      <c r="DW319" t="n">
        <v>0</v>
      </c>
      <c r="DX319" t="n">
        <v>0</v>
      </c>
      <c r="DY319" t="n">
        <v>1592</v>
      </c>
      <c r="DZ319" t="n">
        <v>7002</v>
      </c>
      <c r="EA319" t="n">
        <v>212</v>
      </c>
      <c r="EB319" t="n">
        <v>1592</v>
      </c>
      <c r="EC319" t="n">
        <v>212</v>
      </c>
      <c r="ED319" t="n">
        <v>310</v>
      </c>
      <c r="EE319" t="n">
        <v>10300</v>
      </c>
      <c r="EF319" t="n">
        <v>0</v>
      </c>
      <c r="EG319" t="n">
        <v>0</v>
      </c>
      <c r="EH319" t="n">
        <v>2.7</v>
      </c>
      <c r="EI319" t="n">
        <v>10.3</v>
      </c>
      <c r="EJ319" t="n">
        <v>51.6</v>
      </c>
      <c r="EK319" t="n">
        <v>20.8</v>
      </c>
    </row>
    <row r="320">
      <c r="A320">
        <f>[1]ingredient!B320</f>
        <v/>
      </c>
      <c r="B320" t="inlineStr">
        <is>
          <t>https://www.naehrwertrechner.de/naehrwerte/H830311/Pistazienmark+ungezuckert/?menge=100</t>
        </is>
      </c>
      <c r="C320" s="7">
        <f>_xlfn.XLOOKUP(A320,[1]ingredient!$B$2:$B$521,[1]ingredient!$A$2:$A$521)</f>
        <v/>
      </c>
      <c r="D320" t="n">
        <v>594</v>
      </c>
      <c r="E320" t="n">
        <v>53</v>
      </c>
      <c r="F320" t="n">
        <v>18</v>
      </c>
      <c r="G320" t="n">
        <v>12</v>
      </c>
      <c r="H320" t="n">
        <v>8</v>
      </c>
      <c r="I320" t="n">
        <v>2</v>
      </c>
      <c r="J320" t="n">
        <v>0.05</v>
      </c>
      <c r="K320" t="n">
        <v>6</v>
      </c>
      <c r="L320" t="n">
        <v>21</v>
      </c>
      <c r="M320" t="n">
        <v>10</v>
      </c>
      <c r="N320" t="n">
        <v>0</v>
      </c>
      <c r="O320" t="n">
        <v>124</v>
      </c>
      <c r="P320" t="n">
        <v>357</v>
      </c>
      <c r="Q320" t="n">
        <v>145</v>
      </c>
      <c r="R320" t="n">
        <v>1049</v>
      </c>
      <c r="S320" t="n">
        <v>4082</v>
      </c>
      <c r="T320" t="n">
        <v>738</v>
      </c>
      <c r="U320" t="n">
        <v>155</v>
      </c>
      <c r="V320" t="n">
        <v>9</v>
      </c>
      <c r="W320" t="n">
        <v>30</v>
      </c>
      <c r="X320" t="n">
        <v>0</v>
      </c>
      <c r="Y320" t="n">
        <v>3617</v>
      </c>
      <c r="Z320" t="n">
        <v>0</v>
      </c>
      <c r="AA320" t="n">
        <v>4837</v>
      </c>
      <c r="AB320" t="n">
        <v>51</v>
      </c>
      <c r="AC320" t="n">
        <v>6</v>
      </c>
      <c r="AD320" t="n">
        <v>1054</v>
      </c>
      <c r="AE320" t="n">
        <v>140</v>
      </c>
      <c r="AF320" t="n">
        <v>165</v>
      </c>
      <c r="AG320" t="n">
        <v>517</v>
      </c>
      <c r="AH320" t="n">
        <v>258</v>
      </c>
      <c r="AI320" t="n">
        <v>41</v>
      </c>
      <c r="AJ320" t="n">
        <v>7545</v>
      </c>
      <c r="AK320" t="n">
        <v>837</v>
      </c>
      <c r="AL320" t="n">
        <v>1220</v>
      </c>
      <c r="AM320" t="n">
        <v>480</v>
      </c>
      <c r="AN320" t="n">
        <v>124</v>
      </c>
      <c r="AO320" t="n">
        <v>5</v>
      </c>
      <c r="AP320" t="n">
        <v>0</v>
      </c>
      <c r="AQ320" t="n">
        <v>0</v>
      </c>
      <c r="AR320" t="n">
        <v>0</v>
      </c>
      <c r="AS320" t="n">
        <v>0</v>
      </c>
      <c r="AT320" t="n">
        <v>0</v>
      </c>
      <c r="AU320" t="n">
        <v>0</v>
      </c>
      <c r="AV320" t="n">
        <v>0</v>
      </c>
      <c r="AW320" t="n">
        <v>0</v>
      </c>
      <c r="AX320" t="n">
        <v>2387</v>
      </c>
      <c r="AY320" t="n">
        <v>0</v>
      </c>
      <c r="AZ320" t="n">
        <v>0</v>
      </c>
      <c r="BA320" t="n">
        <v>2387</v>
      </c>
      <c r="BB320" t="n">
        <v>0</v>
      </c>
      <c r="BC320" t="n">
        <v>0</v>
      </c>
      <c r="BD320" t="n">
        <v>0</v>
      </c>
      <c r="BE320" t="n">
        <v>9550</v>
      </c>
      <c r="BF320" t="n">
        <v>9550</v>
      </c>
      <c r="BG320">
        <f>IF($F320=0,"0",MIN(
BH320/(30*$F320),
BI320/(61*$F320),
BJ320/(48*$F320),
(BK320+BL320)/(23*$F320),
(BM320+BN320)/(41*$F320),
BO320/(25*$F320),
BP320/(6.6*$F320),
BQ320/(40*$F320),
BS320/(16*$F320)
)*100)</f>
        <v/>
      </c>
      <c r="BH320" t="n">
        <v>766</v>
      </c>
      <c r="BI320" t="n">
        <v>1313</v>
      </c>
      <c r="BJ320" t="n">
        <v>966</v>
      </c>
      <c r="BK320" t="n">
        <v>310</v>
      </c>
      <c r="BL320" t="n">
        <v>346</v>
      </c>
      <c r="BM320" t="n">
        <v>930</v>
      </c>
      <c r="BN320" t="n">
        <v>565</v>
      </c>
      <c r="BO320" t="n">
        <v>529</v>
      </c>
      <c r="BP320" t="n">
        <v>182</v>
      </c>
      <c r="BQ320" t="n">
        <v>1112</v>
      </c>
      <c r="BR320" t="n">
        <v>1696</v>
      </c>
      <c r="BS320" t="n">
        <v>401</v>
      </c>
      <c r="BT320" t="n">
        <v>9116</v>
      </c>
      <c r="BU320" t="n">
        <v>802</v>
      </c>
      <c r="BV320" t="n">
        <v>1677</v>
      </c>
      <c r="BW320" t="n">
        <v>3865</v>
      </c>
      <c r="BX320" t="n">
        <v>857</v>
      </c>
      <c r="BY320" t="n">
        <v>747</v>
      </c>
      <c r="BZ320" t="n">
        <v>1076</v>
      </c>
      <c r="CA320" t="n">
        <v>9024</v>
      </c>
      <c r="CB320" t="n">
        <v>0</v>
      </c>
      <c r="CC320" t="n">
        <v>0</v>
      </c>
      <c r="CD320" t="n">
        <v>254</v>
      </c>
      <c r="CE320" t="n">
        <v>7623</v>
      </c>
      <c r="CF320" t="n">
        <v>30.01</v>
      </c>
      <c r="CG320" t="n">
        <v>0</v>
      </c>
      <c r="CH320" t="n">
        <v>0</v>
      </c>
      <c r="CI320" t="n">
        <v>0</v>
      </c>
      <c r="CJ320" t="n">
        <v>0</v>
      </c>
      <c r="CK320" t="n">
        <v>51</v>
      </c>
      <c r="CL320" t="n">
        <v>51</v>
      </c>
      <c r="CM320" t="n">
        <v>0</v>
      </c>
      <c r="CN320" t="n">
        <v>5997</v>
      </c>
      <c r="CO320" t="n">
        <v>0</v>
      </c>
      <c r="CP320" t="n">
        <v>660</v>
      </c>
      <c r="CQ320" t="n">
        <v>254</v>
      </c>
      <c r="CR320" t="n">
        <v>0</v>
      </c>
      <c r="CS320" t="n">
        <v>0</v>
      </c>
      <c r="CT320" t="n">
        <v>7013</v>
      </c>
      <c r="CU320" t="n">
        <v>0</v>
      </c>
      <c r="CV320" t="n">
        <v>0</v>
      </c>
      <c r="CW320" t="n">
        <v>254</v>
      </c>
      <c r="CX320" t="n">
        <v>0</v>
      </c>
      <c r="CY320" t="n">
        <v>35475</v>
      </c>
      <c r="CZ320" t="n">
        <v>204</v>
      </c>
      <c r="DA320" t="n">
        <v>0</v>
      </c>
      <c r="DB320" t="n">
        <v>0</v>
      </c>
      <c r="DC320" t="n">
        <v>35933</v>
      </c>
      <c r="DD320" t="n">
        <v>0</v>
      </c>
      <c r="DE320" t="n">
        <v>0</v>
      </c>
      <c r="DF320" t="n">
        <v>7623</v>
      </c>
      <c r="DG320" t="n">
        <v>254</v>
      </c>
      <c r="DH320" t="n">
        <v>0</v>
      </c>
      <c r="DI320" t="n">
        <v>0</v>
      </c>
      <c r="DJ320" t="n">
        <v>0</v>
      </c>
      <c r="DK320" t="n">
        <v>0</v>
      </c>
      <c r="DL320" t="n">
        <v>0</v>
      </c>
      <c r="DM320" t="n">
        <v>0</v>
      </c>
      <c r="DN320" t="n">
        <v>0</v>
      </c>
      <c r="DO320" t="n">
        <v>0</v>
      </c>
      <c r="DP320" t="n">
        <v>0</v>
      </c>
      <c r="DQ320" t="n">
        <v>0</v>
      </c>
      <c r="DR320" t="n">
        <v>0</v>
      </c>
      <c r="DS320" t="n">
        <v>7877</v>
      </c>
      <c r="DT320" t="n">
        <v>50823</v>
      </c>
      <c r="DU320" t="n">
        <v>2506</v>
      </c>
      <c r="DV320" t="n">
        <v>0</v>
      </c>
      <c r="DW320" t="n">
        <v>0</v>
      </c>
      <c r="DX320" t="n">
        <v>0</v>
      </c>
      <c r="DY320" t="n">
        <v>1152</v>
      </c>
      <c r="DZ320" t="n">
        <v>5066</v>
      </c>
      <c r="EA320" t="n">
        <v>153</v>
      </c>
      <c r="EB320" t="n">
        <v>1152</v>
      </c>
      <c r="EC320" t="n">
        <v>153</v>
      </c>
      <c r="ED320" t="n">
        <v>3070</v>
      </c>
      <c r="EE320" t="n">
        <v>4606</v>
      </c>
      <c r="EF320" t="n">
        <v>0</v>
      </c>
      <c r="EG320" t="n">
        <v>0</v>
      </c>
      <c r="EH320" t="n">
        <v>2.8</v>
      </c>
      <c r="EI320" t="n">
        <v>4.6</v>
      </c>
      <c r="EJ320" t="n">
        <v>53.3</v>
      </c>
      <c r="EK320" t="n">
        <v>18.1</v>
      </c>
    </row>
    <row r="321">
      <c r="A321">
        <f>[1]ingredient!B321</f>
        <v/>
      </c>
      <c r="B321" s="11" t="inlineStr">
        <is>
          <t>https://www.naehrwertrechner.de/naehrwerte/G460111/Portulak+frisch/?menge=100</t>
        </is>
      </c>
      <c r="C321" s="7" t="n"/>
      <c r="D321" s="15" t="n">
        <v>27</v>
      </c>
      <c r="E321" s="15" t="n">
        <v>0.34</v>
      </c>
      <c r="F321" s="15" t="n">
        <v>1</v>
      </c>
      <c r="G321" s="15" t="n">
        <v>4</v>
      </c>
      <c r="H321" s="15" t="n">
        <v>3</v>
      </c>
      <c r="I321" s="15" t="n">
        <v>4</v>
      </c>
      <c r="J321" s="15" t="n">
        <v>0.04</v>
      </c>
      <c r="K321" s="15" t="n">
        <v>90</v>
      </c>
      <c r="L321" s="15" t="n">
        <v>177</v>
      </c>
      <c r="M321" s="15" t="n">
        <v>88</v>
      </c>
      <c r="N321" s="15" t="n">
        <v>0</v>
      </c>
      <c r="O321" s="15" t="n">
        <v>1060</v>
      </c>
      <c r="P321" s="15" t="n">
        <v>30</v>
      </c>
      <c r="Q321" s="15" t="n">
        <v>100</v>
      </c>
      <c r="R321" s="15" t="n">
        <v>500</v>
      </c>
      <c r="S321" s="15" t="n">
        <v>750</v>
      </c>
      <c r="T321" s="15" t="n">
        <v>250</v>
      </c>
      <c r="U321" s="15" t="n">
        <v>150</v>
      </c>
      <c r="V321" s="15" t="n">
        <v>2</v>
      </c>
      <c r="W321" s="15" t="n">
        <v>16</v>
      </c>
      <c r="X321" s="15" t="n">
        <v>0</v>
      </c>
      <c r="Y321" s="15" t="n">
        <v>22000</v>
      </c>
      <c r="Z321" s="15" t="n">
        <v>0</v>
      </c>
      <c r="AA321" s="15" t="n">
        <v>500</v>
      </c>
      <c r="AB321" s="15" t="n">
        <v>200</v>
      </c>
      <c r="AC321" s="15" t="n">
        <v>2</v>
      </c>
      <c r="AD321" s="15" t="n">
        <v>390</v>
      </c>
      <c r="AE321" s="15" t="n">
        <v>95</v>
      </c>
      <c r="AF321" s="15" t="n">
        <v>151</v>
      </c>
      <c r="AG321" s="15" t="n">
        <v>35</v>
      </c>
      <c r="AH321" s="15" t="n">
        <v>48</v>
      </c>
      <c r="AI321" s="15" t="n">
        <v>40</v>
      </c>
      <c r="AJ321" s="15" t="n">
        <v>3600</v>
      </c>
      <c r="AK321" s="15" t="n">
        <v>280</v>
      </c>
      <c r="AL321" s="15" t="n">
        <v>280</v>
      </c>
      <c r="AM321" s="15" t="n">
        <v>290</v>
      </c>
      <c r="AN321" s="15" t="n">
        <v>50</v>
      </c>
      <c r="AO321" s="15" t="n">
        <v>4</v>
      </c>
      <c r="AP321" s="15" t="n">
        <v>0</v>
      </c>
      <c r="AQ321" s="15" t="n">
        <v>0</v>
      </c>
      <c r="AR321" s="15" t="n">
        <v>0</v>
      </c>
      <c r="AS321" s="15" t="n">
        <v>0</v>
      </c>
      <c r="AT321" s="15" t="n">
        <v>1495</v>
      </c>
      <c r="AU321" s="15" t="n">
        <v>1921</v>
      </c>
      <c r="AV321" s="15" t="n">
        <v>0</v>
      </c>
      <c r="AW321" s="15" t="n">
        <v>3416</v>
      </c>
      <c r="AX321" s="15" t="n">
        <v>854</v>
      </c>
      <c r="AY321" s="15" t="n">
        <v>0</v>
      </c>
      <c r="AZ321" s="15" t="n">
        <v>0</v>
      </c>
      <c r="BA321" s="15" t="n">
        <v>854</v>
      </c>
      <c r="BB321" s="15" t="n">
        <v>0</v>
      </c>
      <c r="BC321" s="15" t="n">
        <v>0</v>
      </c>
      <c r="BD321" s="15" t="n">
        <v>0</v>
      </c>
      <c r="BE321" s="15" t="n">
        <v>0</v>
      </c>
      <c r="BF321" s="15" t="n">
        <v>0</v>
      </c>
      <c r="BG321" s="15" t="n">
        <v>10</v>
      </c>
      <c r="BH321" s="15" t="n">
        <v>53</v>
      </c>
      <c r="BI321" s="15" t="n">
        <v>91</v>
      </c>
      <c r="BJ321" s="15" t="n">
        <v>64</v>
      </c>
      <c r="BK321" s="15" t="n">
        <v>13</v>
      </c>
      <c r="BL321" s="15" t="n">
        <v>9</v>
      </c>
      <c r="BM321" s="15" t="n">
        <v>58</v>
      </c>
      <c r="BN321" s="15" t="n">
        <v>24</v>
      </c>
      <c r="BO321" s="15" t="n">
        <v>49</v>
      </c>
      <c r="BP321" s="15" t="n">
        <v>15</v>
      </c>
      <c r="BQ321" s="15" t="n">
        <v>71</v>
      </c>
      <c r="BR321" s="15" t="n">
        <v>56</v>
      </c>
      <c r="BS321" s="15" t="n">
        <v>22</v>
      </c>
      <c r="BT321" s="15" t="n">
        <v>525</v>
      </c>
      <c r="BU321" s="15" t="n">
        <v>56</v>
      </c>
      <c r="BV321" s="15" t="n">
        <v>78</v>
      </c>
      <c r="BW321" s="15" t="n">
        <v>219</v>
      </c>
      <c r="BX321" s="15" t="n">
        <v>44</v>
      </c>
      <c r="BY321" s="15" t="n">
        <v>70</v>
      </c>
      <c r="BZ321" s="15" t="n">
        <v>44</v>
      </c>
      <c r="CA321" s="15" t="n">
        <v>511</v>
      </c>
      <c r="CB321" s="15" t="n">
        <v>30</v>
      </c>
      <c r="CC321" s="15" t="n">
        <v>13</v>
      </c>
      <c r="CD321" s="15" t="n">
        <v>49</v>
      </c>
      <c r="CE321" s="15" t="n">
        <v>137</v>
      </c>
      <c r="CF321" s="15" t="n">
        <v>2.8</v>
      </c>
      <c r="CG321" s="15" t="n">
        <v>0</v>
      </c>
      <c r="CH321" s="15" t="n">
        <v>0</v>
      </c>
      <c r="CI321" s="15" t="n">
        <v>0</v>
      </c>
      <c r="CJ321" s="15" t="n">
        <v>0</v>
      </c>
      <c r="CK321" s="15" t="n">
        <v>1</v>
      </c>
      <c r="CL321" s="15" t="n">
        <v>1</v>
      </c>
      <c r="CM321" s="15" t="n">
        <v>0</v>
      </c>
      <c r="CN321" s="15" t="n">
        <v>65</v>
      </c>
      <c r="CO321" s="15" t="n">
        <v>0</v>
      </c>
      <c r="CP321" s="15" t="n">
        <v>5</v>
      </c>
      <c r="CQ321" s="15" t="n">
        <v>0</v>
      </c>
      <c r="CR321" s="15" t="n">
        <v>0</v>
      </c>
      <c r="CS321" s="15" t="n">
        <v>0</v>
      </c>
      <c r="CT321" s="15" t="n">
        <v>72</v>
      </c>
      <c r="CU321" s="15" t="n">
        <v>0</v>
      </c>
      <c r="CV321" s="15" t="n">
        <v>0</v>
      </c>
      <c r="CW321" s="15" t="n">
        <v>0</v>
      </c>
      <c r="CX321" s="15" t="n">
        <v>0</v>
      </c>
      <c r="CY321" s="15" t="n">
        <v>14</v>
      </c>
      <c r="CZ321" s="15" t="n">
        <v>0</v>
      </c>
      <c r="DA321" s="15" t="n">
        <v>0</v>
      </c>
      <c r="DB321" s="15" t="n">
        <v>0</v>
      </c>
      <c r="DC321" s="15" t="n">
        <v>14</v>
      </c>
      <c r="DD321" s="15" t="n">
        <v>0</v>
      </c>
      <c r="DE321" s="15" t="n">
        <v>0</v>
      </c>
      <c r="DF321" s="15" t="n">
        <v>137</v>
      </c>
      <c r="DG321" s="15" t="n">
        <v>49</v>
      </c>
      <c r="DH321" s="15" t="n">
        <v>0</v>
      </c>
      <c r="DI321" s="15" t="n">
        <v>0</v>
      </c>
      <c r="DJ321" s="15" t="n">
        <v>0</v>
      </c>
      <c r="DK321" s="15" t="n">
        <v>0</v>
      </c>
      <c r="DL321" s="15" t="n">
        <v>0</v>
      </c>
      <c r="DM321" s="15" t="n">
        <v>0</v>
      </c>
      <c r="DN321" s="15" t="n">
        <v>0</v>
      </c>
      <c r="DO321" s="15" t="n">
        <v>0</v>
      </c>
      <c r="DP321" s="15" t="n">
        <v>0</v>
      </c>
      <c r="DQ321" s="15" t="n">
        <v>0</v>
      </c>
      <c r="DR321" s="15" t="n">
        <v>0</v>
      </c>
      <c r="DS321" s="15" t="n">
        <v>186</v>
      </c>
      <c r="DT321" s="15" t="n">
        <v>272</v>
      </c>
      <c r="DU321" s="15" t="n">
        <v>68</v>
      </c>
      <c r="DV321" s="15" t="n">
        <v>0</v>
      </c>
      <c r="DW321" s="15" t="n">
        <v>0</v>
      </c>
      <c r="DX321" s="15" t="n">
        <v>0</v>
      </c>
      <c r="DY321" s="15" t="n">
        <v>375</v>
      </c>
      <c r="DZ321" s="15" t="n">
        <v>500</v>
      </c>
      <c r="EA321" s="15" t="n">
        <v>675</v>
      </c>
      <c r="EB321" s="15" t="n">
        <v>875</v>
      </c>
      <c r="EC321" s="15" t="n">
        <v>75</v>
      </c>
      <c r="ED321" s="15" t="n">
        <v>750</v>
      </c>
      <c r="EE321" s="15" t="n">
        <v>1750</v>
      </c>
      <c r="EF321" s="15" t="n">
        <v>0</v>
      </c>
      <c r="EG321" s="15" t="n">
        <v>0.2</v>
      </c>
      <c r="EH321" s="15" t="n">
        <v>1.4</v>
      </c>
      <c r="EI321" s="15" t="n">
        <v>1.8</v>
      </c>
      <c r="EJ321" s="15" t="n">
        <v>0.3</v>
      </c>
      <c r="EK321" s="15" t="n">
        <v>1.1</v>
      </c>
    </row>
    <row r="322">
      <c r="A322">
        <f>[1]ingredient!B322</f>
        <v/>
      </c>
      <c r="B322" t="inlineStr">
        <is>
          <t>https://www.naehrwertrechner.de/naehrwerte/H731111/Linsen+gr%C3%BCn/?menge=100</t>
        </is>
      </c>
      <c r="C322" s="7">
        <f>_xlfn.XLOOKUP(A322,[1]ingredient!$B$2:$B$521,[1]ingredient!$A$2:$A$521)</f>
        <v/>
      </c>
      <c r="D322" t="n">
        <v>336</v>
      </c>
      <c r="E322" t="n">
        <v>2</v>
      </c>
      <c r="F322" t="n">
        <v>25</v>
      </c>
      <c r="G322" t="n">
        <v>48</v>
      </c>
      <c r="H322" t="n">
        <v>12</v>
      </c>
      <c r="I322" t="n">
        <v>1</v>
      </c>
      <c r="J322" t="n">
        <v>0.09</v>
      </c>
      <c r="K322" t="n">
        <v>9</v>
      </c>
      <c r="L322" t="n">
        <v>0</v>
      </c>
      <c r="M322" t="n">
        <v>8</v>
      </c>
      <c r="N322" t="n">
        <v>0</v>
      </c>
      <c r="O322" t="n">
        <v>100</v>
      </c>
      <c r="P322" t="n">
        <v>400</v>
      </c>
      <c r="Q322" t="n">
        <v>300</v>
      </c>
      <c r="R322" t="n">
        <v>2200</v>
      </c>
      <c r="S322" t="n">
        <v>6200</v>
      </c>
      <c r="T322" t="n">
        <v>1600</v>
      </c>
      <c r="U322" t="n">
        <v>600</v>
      </c>
      <c r="V322" t="n">
        <v>9</v>
      </c>
      <c r="W322" t="n">
        <v>132</v>
      </c>
      <c r="X322" t="n">
        <v>0</v>
      </c>
      <c r="Y322" t="n">
        <v>1000</v>
      </c>
      <c r="Z322" t="n">
        <v>0</v>
      </c>
      <c r="AA322" t="n">
        <v>0</v>
      </c>
      <c r="AB322" t="n">
        <v>22</v>
      </c>
      <c r="AC322" t="n">
        <v>4</v>
      </c>
      <c r="AD322" t="n">
        <v>840</v>
      </c>
      <c r="AE322" t="n">
        <v>71</v>
      </c>
      <c r="AF322" t="n">
        <v>129</v>
      </c>
      <c r="AG322" t="n">
        <v>411</v>
      </c>
      <c r="AH322" t="n">
        <v>120</v>
      </c>
      <c r="AI322" t="n">
        <v>84</v>
      </c>
      <c r="AJ322" t="n">
        <v>7500</v>
      </c>
      <c r="AK322" t="n">
        <v>3600</v>
      </c>
      <c r="AL322" t="n">
        <v>700</v>
      </c>
      <c r="AM322" t="n">
        <v>1400</v>
      </c>
      <c r="AN322" t="n">
        <v>0</v>
      </c>
      <c r="AO322" t="n">
        <v>1</v>
      </c>
      <c r="AP322" t="n">
        <v>0</v>
      </c>
      <c r="AQ322" t="n">
        <v>0</v>
      </c>
      <c r="AR322" t="n">
        <v>0</v>
      </c>
      <c r="AS322" t="n">
        <v>0</v>
      </c>
      <c r="AT322" t="n">
        <v>0</v>
      </c>
      <c r="AU322" t="n">
        <v>0</v>
      </c>
      <c r="AV322" t="n">
        <v>0</v>
      </c>
      <c r="AW322" t="n">
        <v>0</v>
      </c>
      <c r="AX322" t="n">
        <v>1200</v>
      </c>
      <c r="AY322" t="n">
        <v>0</v>
      </c>
      <c r="AZ322" t="n">
        <v>0</v>
      </c>
      <c r="BA322" t="n">
        <v>1200</v>
      </c>
      <c r="BB322" t="n">
        <v>4700</v>
      </c>
      <c r="BC322" t="n">
        <v>2380</v>
      </c>
      <c r="BD322" t="n">
        <v>0</v>
      </c>
      <c r="BE322" t="n">
        <v>42100</v>
      </c>
      <c r="BF322" t="n">
        <v>0</v>
      </c>
      <c r="BG322">
        <f>IF($F322=0,"0",MIN(
BH322/(30*$F322),
BI322/(61*$F322),
BJ322/(48*$F322),
(BK322+BL322)/(23*$F322),
(BM322+BN322)/(41*$F322),
BO322/(25*$F322),
BP322/(6.6*$F322),
BQ322/(40*$F322),
BS322/(16*$F322)
)*100)</f>
        <v/>
      </c>
      <c r="BH322" t="n">
        <v>1184</v>
      </c>
      <c r="BI322" t="n">
        <v>1895</v>
      </c>
      <c r="BJ322" t="n">
        <v>1841</v>
      </c>
      <c r="BK322" t="n">
        <v>211</v>
      </c>
      <c r="BL322" t="n">
        <v>237</v>
      </c>
      <c r="BM322" t="n">
        <v>1316</v>
      </c>
      <c r="BN322" t="n">
        <v>842</v>
      </c>
      <c r="BO322" t="n">
        <v>1052</v>
      </c>
      <c r="BP322" t="n">
        <v>237</v>
      </c>
      <c r="BQ322" t="n">
        <v>1421</v>
      </c>
      <c r="BR322" t="n">
        <v>2079</v>
      </c>
      <c r="BS322" t="n">
        <v>632</v>
      </c>
      <c r="BT322" t="n">
        <v>12946</v>
      </c>
      <c r="BU322" t="n">
        <v>1132</v>
      </c>
      <c r="BV322" t="n">
        <v>3027</v>
      </c>
      <c r="BW322" t="n">
        <v>4342</v>
      </c>
      <c r="BX322" t="n">
        <v>1080</v>
      </c>
      <c r="BY322" t="n">
        <v>1105</v>
      </c>
      <c r="BZ322" t="n">
        <v>1368</v>
      </c>
      <c r="CA322" t="n">
        <v>12054</v>
      </c>
      <c r="CB322" t="n">
        <v>200</v>
      </c>
      <c r="CC322" t="n">
        <v>67</v>
      </c>
      <c r="CD322" t="n">
        <v>100</v>
      </c>
      <c r="CE322" t="n">
        <v>600</v>
      </c>
      <c r="CF322" t="n">
        <v>6</v>
      </c>
      <c r="CG322" t="n">
        <v>0</v>
      </c>
      <c r="CH322" t="n">
        <v>0</v>
      </c>
      <c r="CI322" t="n">
        <v>0</v>
      </c>
      <c r="CJ322" t="n">
        <v>0</v>
      </c>
      <c r="CK322" t="n">
        <v>0</v>
      </c>
      <c r="CL322" t="n">
        <v>0</v>
      </c>
      <c r="CM322" t="n">
        <v>0</v>
      </c>
      <c r="CN322" t="n">
        <v>353</v>
      </c>
      <c r="CO322" t="n">
        <v>0</v>
      </c>
      <c r="CP322" t="n">
        <v>23</v>
      </c>
      <c r="CQ322" t="n">
        <v>23</v>
      </c>
      <c r="CR322" t="n">
        <v>0</v>
      </c>
      <c r="CS322" t="n">
        <v>0</v>
      </c>
      <c r="CT322" t="n">
        <v>400</v>
      </c>
      <c r="CU322" t="n">
        <v>0</v>
      </c>
      <c r="CV322" t="n">
        <v>0</v>
      </c>
      <c r="CW322" t="n">
        <v>0</v>
      </c>
      <c r="CX322" t="n">
        <v>0</v>
      </c>
      <c r="CY322" t="n">
        <v>248</v>
      </c>
      <c r="CZ322" t="n">
        <v>12</v>
      </c>
      <c r="DA322" t="n">
        <v>0</v>
      </c>
      <c r="DB322" t="n">
        <v>0</v>
      </c>
      <c r="DC322" t="n">
        <v>300</v>
      </c>
      <c r="DD322" t="n">
        <v>0</v>
      </c>
      <c r="DE322" t="n">
        <v>0</v>
      </c>
      <c r="DF322" t="n">
        <v>600</v>
      </c>
      <c r="DG322" t="n">
        <v>100</v>
      </c>
      <c r="DH322" t="n">
        <v>0</v>
      </c>
      <c r="DI322" t="n">
        <v>0</v>
      </c>
      <c r="DJ322" t="n">
        <v>0</v>
      </c>
      <c r="DK322" t="n">
        <v>0</v>
      </c>
      <c r="DL322" t="n">
        <v>0</v>
      </c>
      <c r="DM322" t="n">
        <v>0</v>
      </c>
      <c r="DN322" t="n">
        <v>0</v>
      </c>
      <c r="DO322" t="n">
        <v>0</v>
      </c>
      <c r="DP322" t="n">
        <v>0</v>
      </c>
      <c r="DQ322" t="n">
        <v>0</v>
      </c>
      <c r="DR322" t="n">
        <v>0</v>
      </c>
      <c r="DS322" t="n">
        <v>700</v>
      </c>
      <c r="DT322" t="n">
        <v>1357</v>
      </c>
      <c r="DU322" t="n">
        <v>343</v>
      </c>
      <c r="DV322" t="n">
        <v>0</v>
      </c>
      <c r="DW322" t="n">
        <v>0</v>
      </c>
      <c r="DX322" t="n">
        <v>0</v>
      </c>
      <c r="DY322" t="n">
        <v>1560</v>
      </c>
      <c r="DZ322" t="n">
        <v>4200</v>
      </c>
      <c r="EA322" t="n">
        <v>1560</v>
      </c>
      <c r="EB322" t="n">
        <v>4440</v>
      </c>
      <c r="EC322" t="n">
        <v>240</v>
      </c>
      <c r="ED322" t="n">
        <v>4800</v>
      </c>
      <c r="EE322" t="n">
        <v>7200</v>
      </c>
      <c r="EF322" t="n">
        <v>0</v>
      </c>
      <c r="EG322" t="n">
        <v>0</v>
      </c>
      <c r="EH322" t="n">
        <v>1.7</v>
      </c>
      <c r="EI322" t="n">
        <v>7.2</v>
      </c>
      <c r="EJ322" t="n">
        <v>1.7</v>
      </c>
      <c r="EK322" t="n">
        <v>25.6</v>
      </c>
    </row>
    <row r="323">
      <c r="A323">
        <f>[1]ingredient!B323</f>
        <v/>
      </c>
      <c r="B323" t="inlineStr">
        <is>
          <t>https://www.naehrwertrechner.de/naehrwerte/C118000/Quinoa+roh/?menge=100</t>
        </is>
      </c>
      <c r="C323" s="7">
        <f>_xlfn.XLOOKUP(A323,[1]ingredient!$B$2:$B$521,[1]ingredient!$A$2:$A$521)</f>
        <v/>
      </c>
      <c r="D323" t="n">
        <v>366</v>
      </c>
      <c r="E323" t="n">
        <v>6</v>
      </c>
      <c r="F323" t="n">
        <v>13</v>
      </c>
      <c r="G323" t="n">
        <v>64</v>
      </c>
      <c r="H323" t="n">
        <v>7</v>
      </c>
      <c r="I323" t="n">
        <v>2</v>
      </c>
      <c r="J323" t="n">
        <v>0.11</v>
      </c>
      <c r="K323" t="n">
        <v>11</v>
      </c>
      <c r="L323" t="n">
        <v>0</v>
      </c>
      <c r="M323" t="n">
        <v>0</v>
      </c>
      <c r="N323" t="n">
        <v>0</v>
      </c>
      <c r="O323" t="n">
        <v>0</v>
      </c>
      <c r="P323" t="n">
        <v>474</v>
      </c>
      <c r="Q323" t="n">
        <v>46</v>
      </c>
      <c r="R323" t="n">
        <v>464</v>
      </c>
      <c r="S323" t="n">
        <v>3296</v>
      </c>
      <c r="T323" t="n">
        <v>1078</v>
      </c>
      <c r="U323" t="n">
        <v>143</v>
      </c>
      <c r="V323" t="n">
        <v>1</v>
      </c>
      <c r="W323" t="n">
        <v>50</v>
      </c>
      <c r="X323" t="n">
        <v>0</v>
      </c>
      <c r="Y323" t="n">
        <v>4326</v>
      </c>
      <c r="Z323" t="n">
        <v>0</v>
      </c>
      <c r="AA323" t="n">
        <v>103</v>
      </c>
      <c r="AB323" t="n">
        <v>1</v>
      </c>
      <c r="AC323" t="n">
        <v>3</v>
      </c>
      <c r="AD323" t="n">
        <v>579</v>
      </c>
      <c r="AE323" t="n">
        <v>26</v>
      </c>
      <c r="AF323" t="n">
        <v>204</v>
      </c>
      <c r="AG323" t="n">
        <v>610</v>
      </c>
      <c r="AH323" t="n">
        <v>66</v>
      </c>
      <c r="AI323" t="n">
        <v>108</v>
      </c>
      <c r="AJ323" t="n">
        <v>3006</v>
      </c>
      <c r="AK323" t="n">
        <v>2314</v>
      </c>
      <c r="AL323" t="n">
        <v>496</v>
      </c>
      <c r="AM323" t="n">
        <v>1578</v>
      </c>
      <c r="AN323" t="n">
        <v>24</v>
      </c>
      <c r="AO323" t="n">
        <v>2</v>
      </c>
      <c r="AP323" t="n">
        <v>0</v>
      </c>
      <c r="AQ323" t="n">
        <v>0</v>
      </c>
      <c r="AR323" t="n">
        <v>0</v>
      </c>
      <c r="AS323" t="n">
        <v>0</v>
      </c>
      <c r="AT323" t="n">
        <v>0</v>
      </c>
      <c r="AU323" t="n">
        <v>0</v>
      </c>
      <c r="AV323" t="n">
        <v>0</v>
      </c>
      <c r="AW323" t="n">
        <v>0</v>
      </c>
      <c r="AX323" t="n">
        <v>1647</v>
      </c>
      <c r="AY323" t="n">
        <v>224</v>
      </c>
      <c r="AZ323" t="n">
        <v>0</v>
      </c>
      <c r="BA323" t="n">
        <v>1870</v>
      </c>
      <c r="BB323" t="n">
        <v>742</v>
      </c>
      <c r="BC323" t="n">
        <v>340</v>
      </c>
      <c r="BD323" t="n">
        <v>0</v>
      </c>
      <c r="BE323" t="n">
        <v>61701</v>
      </c>
      <c r="BF323" t="n">
        <v>61701</v>
      </c>
      <c r="BG323">
        <f>IF($F323=0,"0",MIN(
BH323/(30*$F323),
BI323/(61*$F323),
BJ323/(48*$F323),
(BK323+BL323)/(23*$F323),
(BM323+BN323)/(41*$F323),
BO323/(25*$F323),
BP323/(6.6*$F323),
BQ323/(40*$F323),
BS323/(16*$F323)
)*100)</f>
        <v/>
      </c>
      <c r="BH323" t="n">
        <v>740</v>
      </c>
      <c r="BI323" t="n">
        <v>958</v>
      </c>
      <c r="BJ323" t="n">
        <v>886</v>
      </c>
      <c r="BK323" t="n">
        <v>194</v>
      </c>
      <c r="BL323" t="n">
        <v>201</v>
      </c>
      <c r="BM323" t="n">
        <v>546</v>
      </c>
      <c r="BN323" t="n">
        <v>436</v>
      </c>
      <c r="BO323" t="n">
        <v>608</v>
      </c>
      <c r="BP323" t="n">
        <v>170</v>
      </c>
      <c r="BQ323" t="n">
        <v>652</v>
      </c>
      <c r="BR323" t="n">
        <v>1136</v>
      </c>
      <c r="BS323" t="n">
        <v>379</v>
      </c>
      <c r="BT323" t="n">
        <v>6901</v>
      </c>
      <c r="BU323" t="n">
        <v>618</v>
      </c>
      <c r="BV323" t="n">
        <v>1154</v>
      </c>
      <c r="BW323" t="n">
        <v>2112</v>
      </c>
      <c r="BX323" t="n">
        <v>814</v>
      </c>
      <c r="BY323" t="n">
        <v>525</v>
      </c>
      <c r="BZ323" t="n">
        <v>649</v>
      </c>
      <c r="CA323" t="n">
        <v>5871</v>
      </c>
      <c r="CB323" t="n">
        <v>68</v>
      </c>
      <c r="CC323" t="n">
        <v>28</v>
      </c>
      <c r="CD323" t="n">
        <v>206</v>
      </c>
      <c r="CE323" t="n">
        <v>2503</v>
      </c>
      <c r="CF323" t="n">
        <v>12.15</v>
      </c>
      <c r="CG323" t="n">
        <v>0</v>
      </c>
      <c r="CH323" t="n">
        <v>0</v>
      </c>
      <c r="CI323" t="n">
        <v>0</v>
      </c>
      <c r="CJ323" t="n">
        <v>0</v>
      </c>
      <c r="CK323" t="n">
        <v>0</v>
      </c>
      <c r="CL323" t="n">
        <v>5</v>
      </c>
      <c r="CM323" t="n">
        <v>0</v>
      </c>
      <c r="CN323" t="n">
        <v>422</v>
      </c>
      <c r="CO323" t="n">
        <v>62</v>
      </c>
      <c r="CP323" t="n">
        <v>34</v>
      </c>
      <c r="CQ323" t="n">
        <v>25</v>
      </c>
      <c r="CR323" t="n">
        <v>0</v>
      </c>
      <c r="CS323" t="n">
        <v>0</v>
      </c>
      <c r="CT323" t="n">
        <v>548</v>
      </c>
      <c r="CU323" t="n">
        <v>0</v>
      </c>
      <c r="CV323" t="n">
        <v>0</v>
      </c>
      <c r="CW323" t="n">
        <v>4</v>
      </c>
      <c r="CX323" t="n">
        <v>0</v>
      </c>
      <c r="CY323" t="n">
        <v>1257</v>
      </c>
      <c r="CZ323" t="n">
        <v>82</v>
      </c>
      <c r="DA323" t="n">
        <v>8</v>
      </c>
      <c r="DB323" t="n">
        <v>0</v>
      </c>
      <c r="DC323" t="n">
        <v>1351</v>
      </c>
      <c r="DD323" t="n">
        <v>0</v>
      </c>
      <c r="DE323" t="n">
        <v>0</v>
      </c>
      <c r="DF323" t="n">
        <v>2503</v>
      </c>
      <c r="DG323" t="n">
        <v>206</v>
      </c>
      <c r="DH323" t="n">
        <v>0</v>
      </c>
      <c r="DI323" t="n">
        <v>0</v>
      </c>
      <c r="DJ323" t="n">
        <v>0</v>
      </c>
      <c r="DK323" t="n">
        <v>0</v>
      </c>
      <c r="DL323" t="n">
        <v>0</v>
      </c>
      <c r="DM323" t="n">
        <v>0</v>
      </c>
      <c r="DN323" t="n">
        <v>0</v>
      </c>
      <c r="DO323" t="n">
        <v>0</v>
      </c>
      <c r="DP323" t="n">
        <v>0</v>
      </c>
      <c r="DQ323" t="n">
        <v>0</v>
      </c>
      <c r="DR323" t="n">
        <v>0</v>
      </c>
      <c r="DS323" t="n">
        <v>2709</v>
      </c>
      <c r="DT323" t="n">
        <v>4608</v>
      </c>
      <c r="DU323" t="n">
        <v>803</v>
      </c>
      <c r="DV323" t="n">
        <v>0</v>
      </c>
      <c r="DW323" t="n">
        <v>0</v>
      </c>
      <c r="DX323" t="n">
        <v>0</v>
      </c>
      <c r="DY323" t="n">
        <v>778</v>
      </c>
      <c r="DZ323" t="n">
        <v>3674</v>
      </c>
      <c r="EA323" t="n">
        <v>1131</v>
      </c>
      <c r="EB323" t="n">
        <v>919</v>
      </c>
      <c r="EC323" t="n">
        <v>565</v>
      </c>
      <c r="ED323" t="n">
        <v>1298</v>
      </c>
      <c r="EE323" t="n">
        <v>5541</v>
      </c>
      <c r="EF323" t="n">
        <v>0</v>
      </c>
      <c r="EG323" t="n">
        <v>0</v>
      </c>
      <c r="EH323" t="n">
        <v>1.4</v>
      </c>
      <c r="EI323" t="n">
        <v>5.5</v>
      </c>
      <c r="EJ323" t="n">
        <v>6.1</v>
      </c>
      <c r="EK323" t="n">
        <v>13</v>
      </c>
    </row>
    <row r="324">
      <c r="A324">
        <f>[1]ingredient!B324</f>
        <v/>
      </c>
      <c r="B324" t="inlineStr">
        <is>
          <t>https://www.naehrwertrechner.de/naehrwerte/C118000/Quinoa+roh/?menge=100</t>
        </is>
      </c>
      <c r="C324" s="7">
        <f>_xlfn.XLOOKUP(A324,[1]ingredient!$B$2:$B$521,[1]ingredient!$A$2:$A$521)</f>
        <v/>
      </c>
      <c r="D324" t="n">
        <v>366</v>
      </c>
      <c r="E324" t="n">
        <v>6</v>
      </c>
      <c r="F324" t="n">
        <v>13</v>
      </c>
      <c r="G324" t="n">
        <v>64</v>
      </c>
      <c r="H324" t="n">
        <v>7</v>
      </c>
      <c r="I324" t="n">
        <v>2</v>
      </c>
      <c r="J324" t="n">
        <v>0.11</v>
      </c>
      <c r="K324" t="n">
        <v>11</v>
      </c>
      <c r="L324" t="n">
        <v>0</v>
      </c>
      <c r="M324" t="n">
        <v>0</v>
      </c>
      <c r="N324" t="n">
        <v>0</v>
      </c>
      <c r="O324" t="n">
        <v>0</v>
      </c>
      <c r="P324" t="n">
        <v>474</v>
      </c>
      <c r="Q324" t="n">
        <v>46</v>
      </c>
      <c r="R324" t="n">
        <v>464</v>
      </c>
      <c r="S324" t="n">
        <v>3296</v>
      </c>
      <c r="T324" t="n">
        <v>1078</v>
      </c>
      <c r="U324" t="n">
        <v>143</v>
      </c>
      <c r="V324" t="n">
        <v>1</v>
      </c>
      <c r="W324" t="n">
        <v>50</v>
      </c>
      <c r="X324" t="n">
        <v>0</v>
      </c>
      <c r="Y324" t="n">
        <v>4326</v>
      </c>
      <c r="Z324" t="n">
        <v>0</v>
      </c>
      <c r="AA324" t="n">
        <v>103</v>
      </c>
      <c r="AB324" t="n">
        <v>1</v>
      </c>
      <c r="AC324" t="n">
        <v>3</v>
      </c>
      <c r="AD324" t="n">
        <v>579</v>
      </c>
      <c r="AE324" t="n">
        <v>26</v>
      </c>
      <c r="AF324" t="n">
        <v>204</v>
      </c>
      <c r="AG324" t="n">
        <v>610</v>
      </c>
      <c r="AH324" t="n">
        <v>66</v>
      </c>
      <c r="AI324" t="n">
        <v>108</v>
      </c>
      <c r="AJ324" t="n">
        <v>3006</v>
      </c>
      <c r="AK324" t="n">
        <v>2314</v>
      </c>
      <c r="AL324" t="n">
        <v>496</v>
      </c>
      <c r="AM324" t="n">
        <v>1578</v>
      </c>
      <c r="AN324" t="n">
        <v>24</v>
      </c>
      <c r="AO324" t="n">
        <v>2</v>
      </c>
      <c r="AP324" t="n">
        <v>0</v>
      </c>
      <c r="AQ324" t="n">
        <v>0</v>
      </c>
      <c r="AR324" t="n">
        <v>0</v>
      </c>
      <c r="AS324" t="n">
        <v>0</v>
      </c>
      <c r="AT324" t="n">
        <v>0</v>
      </c>
      <c r="AU324" t="n">
        <v>0</v>
      </c>
      <c r="AV324" t="n">
        <v>0</v>
      </c>
      <c r="AW324" t="n">
        <v>0</v>
      </c>
      <c r="AX324" t="n">
        <v>1647</v>
      </c>
      <c r="AY324" t="n">
        <v>224</v>
      </c>
      <c r="AZ324" t="n">
        <v>0</v>
      </c>
      <c r="BA324" t="n">
        <v>1870</v>
      </c>
      <c r="BB324" t="n">
        <v>742</v>
      </c>
      <c r="BC324" t="n">
        <v>340</v>
      </c>
      <c r="BD324" t="n">
        <v>0</v>
      </c>
      <c r="BE324" t="n">
        <v>61701</v>
      </c>
      <c r="BF324" t="n">
        <v>61701</v>
      </c>
      <c r="BG324">
        <f>IF($F324=0,"0",MIN(
BH324/(30*$F324),
BI324/(61*$F324),
BJ324/(48*$F324),
(BK324+BL324)/(23*$F324),
(BM324+BN324)/(41*$F324),
BO324/(25*$F324),
BP324/(6.6*$F324),
BQ324/(40*$F324),
BS324/(16*$F324)
)*100)</f>
        <v/>
      </c>
      <c r="BH324" t="n">
        <v>740</v>
      </c>
      <c r="BI324" t="n">
        <v>958</v>
      </c>
      <c r="BJ324" t="n">
        <v>886</v>
      </c>
      <c r="BK324" t="n">
        <v>194</v>
      </c>
      <c r="BL324" t="n">
        <v>201</v>
      </c>
      <c r="BM324" t="n">
        <v>546</v>
      </c>
      <c r="BN324" t="n">
        <v>436</v>
      </c>
      <c r="BO324" t="n">
        <v>608</v>
      </c>
      <c r="BP324" t="n">
        <v>170</v>
      </c>
      <c r="BQ324" t="n">
        <v>652</v>
      </c>
      <c r="BR324" t="n">
        <v>1136</v>
      </c>
      <c r="BS324" t="n">
        <v>379</v>
      </c>
      <c r="BT324" t="n">
        <v>6901</v>
      </c>
      <c r="BU324" t="n">
        <v>618</v>
      </c>
      <c r="BV324" t="n">
        <v>1154</v>
      </c>
      <c r="BW324" t="n">
        <v>2112</v>
      </c>
      <c r="BX324" t="n">
        <v>814</v>
      </c>
      <c r="BY324" t="n">
        <v>525</v>
      </c>
      <c r="BZ324" t="n">
        <v>649</v>
      </c>
      <c r="CA324" t="n">
        <v>5871</v>
      </c>
      <c r="CB324" t="n">
        <v>68</v>
      </c>
      <c r="CC324" t="n">
        <v>28</v>
      </c>
      <c r="CD324" t="n">
        <v>206</v>
      </c>
      <c r="CE324" t="n">
        <v>2503</v>
      </c>
      <c r="CF324" t="n">
        <v>12.15</v>
      </c>
      <c r="CG324" t="n">
        <v>0</v>
      </c>
      <c r="CH324" t="n">
        <v>0</v>
      </c>
      <c r="CI324" t="n">
        <v>0</v>
      </c>
      <c r="CJ324" t="n">
        <v>0</v>
      </c>
      <c r="CK324" t="n">
        <v>0</v>
      </c>
      <c r="CL324" t="n">
        <v>5</v>
      </c>
      <c r="CM324" t="n">
        <v>0</v>
      </c>
      <c r="CN324" t="n">
        <v>422</v>
      </c>
      <c r="CO324" t="n">
        <v>62</v>
      </c>
      <c r="CP324" t="n">
        <v>34</v>
      </c>
      <c r="CQ324" t="n">
        <v>25</v>
      </c>
      <c r="CR324" t="n">
        <v>0</v>
      </c>
      <c r="CS324" t="n">
        <v>0</v>
      </c>
      <c r="CT324" t="n">
        <v>548</v>
      </c>
      <c r="CU324" t="n">
        <v>0</v>
      </c>
      <c r="CV324" t="n">
        <v>0</v>
      </c>
      <c r="CW324" t="n">
        <v>4</v>
      </c>
      <c r="CX324" t="n">
        <v>0</v>
      </c>
      <c r="CY324" t="n">
        <v>1257</v>
      </c>
      <c r="CZ324" t="n">
        <v>82</v>
      </c>
      <c r="DA324" t="n">
        <v>8</v>
      </c>
      <c r="DB324" t="n">
        <v>0</v>
      </c>
      <c r="DC324" t="n">
        <v>1351</v>
      </c>
      <c r="DD324" t="n">
        <v>0</v>
      </c>
      <c r="DE324" t="n">
        <v>0</v>
      </c>
      <c r="DF324" t="n">
        <v>2503</v>
      </c>
      <c r="DG324" t="n">
        <v>206</v>
      </c>
      <c r="DH324" t="n">
        <v>0</v>
      </c>
      <c r="DI324" t="n">
        <v>0</v>
      </c>
      <c r="DJ324" t="n">
        <v>0</v>
      </c>
      <c r="DK324" t="n">
        <v>0</v>
      </c>
      <c r="DL324" t="n">
        <v>0</v>
      </c>
      <c r="DM324" t="n">
        <v>0</v>
      </c>
      <c r="DN324" t="n">
        <v>0</v>
      </c>
      <c r="DO324" t="n">
        <v>0</v>
      </c>
      <c r="DP324" t="n">
        <v>0</v>
      </c>
      <c r="DQ324" t="n">
        <v>0</v>
      </c>
      <c r="DR324" t="n">
        <v>0</v>
      </c>
      <c r="DS324" t="n">
        <v>2709</v>
      </c>
      <c r="DT324" t="n">
        <v>4608</v>
      </c>
      <c r="DU324" t="n">
        <v>803</v>
      </c>
      <c r="DV324" t="n">
        <v>0</v>
      </c>
      <c r="DW324" t="n">
        <v>0</v>
      </c>
      <c r="DX324" t="n">
        <v>0</v>
      </c>
      <c r="DY324" t="n">
        <v>778</v>
      </c>
      <c r="DZ324" t="n">
        <v>3674</v>
      </c>
      <c r="EA324" t="n">
        <v>1131</v>
      </c>
      <c r="EB324" t="n">
        <v>919</v>
      </c>
      <c r="EC324" t="n">
        <v>565</v>
      </c>
      <c r="ED324" t="n">
        <v>1298</v>
      </c>
      <c r="EE324" t="n">
        <v>5541</v>
      </c>
      <c r="EF324" t="n">
        <v>0</v>
      </c>
      <c r="EG324" t="n">
        <v>0</v>
      </c>
      <c r="EH324" t="n">
        <v>1.4</v>
      </c>
      <c r="EI324" t="n">
        <v>5.5</v>
      </c>
      <c r="EJ324" t="n">
        <v>6.1</v>
      </c>
      <c r="EK324" t="n">
        <v>13</v>
      </c>
    </row>
    <row r="325">
      <c r="A325">
        <f>[1]ingredient!B325</f>
        <v/>
      </c>
      <c r="B325" t="inlineStr">
        <is>
          <t>https://www.naehrwertrechner.de/naehrwerte/C118000/Quinoa+roh/?menge=100</t>
        </is>
      </c>
      <c r="C325" s="7">
        <f>_xlfn.XLOOKUP(A325,[1]ingredient!$B$2:$B$521,[1]ingredient!$A$2:$A$521)</f>
        <v/>
      </c>
      <c r="D325" t="n">
        <v>366</v>
      </c>
      <c r="E325" t="n">
        <v>6</v>
      </c>
      <c r="F325" t="n">
        <v>13</v>
      </c>
      <c r="G325" t="n">
        <v>64</v>
      </c>
      <c r="H325" t="n">
        <v>7</v>
      </c>
      <c r="I325" t="n">
        <v>2</v>
      </c>
      <c r="J325" t="n">
        <v>0.11</v>
      </c>
      <c r="K325" t="n">
        <v>11</v>
      </c>
      <c r="L325" t="n">
        <v>0</v>
      </c>
      <c r="M325" t="n">
        <v>0</v>
      </c>
      <c r="N325" t="n">
        <v>0</v>
      </c>
      <c r="O325" t="n">
        <v>0</v>
      </c>
      <c r="P325" t="n">
        <v>474</v>
      </c>
      <c r="Q325" t="n">
        <v>46</v>
      </c>
      <c r="R325" t="n">
        <v>464</v>
      </c>
      <c r="S325" t="n">
        <v>3296</v>
      </c>
      <c r="T325" t="n">
        <v>1078</v>
      </c>
      <c r="U325" t="n">
        <v>143</v>
      </c>
      <c r="V325" t="n">
        <v>1</v>
      </c>
      <c r="W325" t="n">
        <v>50</v>
      </c>
      <c r="X325" t="n">
        <v>0</v>
      </c>
      <c r="Y325" t="n">
        <v>4326</v>
      </c>
      <c r="Z325" t="n">
        <v>0</v>
      </c>
      <c r="AA325" t="n">
        <v>103</v>
      </c>
      <c r="AB325" t="n">
        <v>1</v>
      </c>
      <c r="AC325" t="n">
        <v>3</v>
      </c>
      <c r="AD325" t="n">
        <v>579</v>
      </c>
      <c r="AE325" t="n">
        <v>26</v>
      </c>
      <c r="AF325" t="n">
        <v>204</v>
      </c>
      <c r="AG325" t="n">
        <v>610</v>
      </c>
      <c r="AH325" t="n">
        <v>66</v>
      </c>
      <c r="AI325" t="n">
        <v>108</v>
      </c>
      <c r="AJ325" t="n">
        <v>3006</v>
      </c>
      <c r="AK325" t="n">
        <v>2314</v>
      </c>
      <c r="AL325" t="n">
        <v>496</v>
      </c>
      <c r="AM325" t="n">
        <v>1578</v>
      </c>
      <c r="AN325" t="n">
        <v>24</v>
      </c>
      <c r="AO325" t="n">
        <v>2</v>
      </c>
      <c r="AP325" t="n">
        <v>0</v>
      </c>
      <c r="AQ325" t="n">
        <v>0</v>
      </c>
      <c r="AR325" t="n">
        <v>0</v>
      </c>
      <c r="AS325" t="n">
        <v>0</v>
      </c>
      <c r="AT325" t="n">
        <v>0</v>
      </c>
      <c r="AU325" t="n">
        <v>0</v>
      </c>
      <c r="AV325" t="n">
        <v>0</v>
      </c>
      <c r="AW325" t="n">
        <v>0</v>
      </c>
      <c r="AX325" t="n">
        <v>1647</v>
      </c>
      <c r="AY325" t="n">
        <v>224</v>
      </c>
      <c r="AZ325" t="n">
        <v>0</v>
      </c>
      <c r="BA325" t="n">
        <v>1870</v>
      </c>
      <c r="BB325" t="n">
        <v>742</v>
      </c>
      <c r="BC325" t="n">
        <v>340</v>
      </c>
      <c r="BD325" t="n">
        <v>0</v>
      </c>
      <c r="BE325" t="n">
        <v>61701</v>
      </c>
      <c r="BF325" t="n">
        <v>61701</v>
      </c>
      <c r="BG325">
        <f>IF($F325=0,"0",MIN(
BH325/(30*$F325),
BI325/(61*$F325),
BJ325/(48*$F325),
(BK325+BL325)/(23*$F325),
(BM325+BN325)/(41*$F325),
BO325/(25*$F325),
BP325/(6.6*$F325),
BQ325/(40*$F325),
BS325/(16*$F325)
)*100)</f>
        <v/>
      </c>
      <c r="BH325" t="n">
        <v>740</v>
      </c>
      <c r="BI325" t="n">
        <v>958</v>
      </c>
      <c r="BJ325" t="n">
        <v>886</v>
      </c>
      <c r="BK325" t="n">
        <v>194</v>
      </c>
      <c r="BL325" t="n">
        <v>201</v>
      </c>
      <c r="BM325" t="n">
        <v>546</v>
      </c>
      <c r="BN325" t="n">
        <v>436</v>
      </c>
      <c r="BO325" t="n">
        <v>608</v>
      </c>
      <c r="BP325" t="n">
        <v>170</v>
      </c>
      <c r="BQ325" t="n">
        <v>652</v>
      </c>
      <c r="BR325" t="n">
        <v>1136</v>
      </c>
      <c r="BS325" t="n">
        <v>379</v>
      </c>
      <c r="BT325" t="n">
        <v>6901</v>
      </c>
      <c r="BU325" t="n">
        <v>618</v>
      </c>
      <c r="BV325" t="n">
        <v>1154</v>
      </c>
      <c r="BW325" t="n">
        <v>2112</v>
      </c>
      <c r="BX325" t="n">
        <v>814</v>
      </c>
      <c r="BY325" t="n">
        <v>525</v>
      </c>
      <c r="BZ325" t="n">
        <v>649</v>
      </c>
      <c r="CA325" t="n">
        <v>5871</v>
      </c>
      <c r="CB325" t="n">
        <v>68</v>
      </c>
      <c r="CC325" t="n">
        <v>28</v>
      </c>
      <c r="CD325" t="n">
        <v>206</v>
      </c>
      <c r="CE325" t="n">
        <v>2503</v>
      </c>
      <c r="CF325" t="n">
        <v>12.15</v>
      </c>
      <c r="CG325" t="n">
        <v>0</v>
      </c>
      <c r="CH325" t="n">
        <v>0</v>
      </c>
      <c r="CI325" t="n">
        <v>0</v>
      </c>
      <c r="CJ325" t="n">
        <v>0</v>
      </c>
      <c r="CK325" t="n">
        <v>0</v>
      </c>
      <c r="CL325" t="n">
        <v>5</v>
      </c>
      <c r="CM325" t="n">
        <v>0</v>
      </c>
      <c r="CN325" t="n">
        <v>422</v>
      </c>
      <c r="CO325" t="n">
        <v>62</v>
      </c>
      <c r="CP325" t="n">
        <v>34</v>
      </c>
      <c r="CQ325" t="n">
        <v>25</v>
      </c>
      <c r="CR325" t="n">
        <v>0</v>
      </c>
      <c r="CS325" t="n">
        <v>0</v>
      </c>
      <c r="CT325" t="n">
        <v>548</v>
      </c>
      <c r="CU325" t="n">
        <v>0</v>
      </c>
      <c r="CV325" t="n">
        <v>0</v>
      </c>
      <c r="CW325" t="n">
        <v>4</v>
      </c>
      <c r="CX325" t="n">
        <v>0</v>
      </c>
      <c r="CY325" t="n">
        <v>1257</v>
      </c>
      <c r="CZ325" t="n">
        <v>82</v>
      </c>
      <c r="DA325" t="n">
        <v>8</v>
      </c>
      <c r="DB325" t="n">
        <v>0</v>
      </c>
      <c r="DC325" t="n">
        <v>1351</v>
      </c>
      <c r="DD325" t="n">
        <v>0</v>
      </c>
      <c r="DE325" t="n">
        <v>0</v>
      </c>
      <c r="DF325" t="n">
        <v>2503</v>
      </c>
      <c r="DG325" t="n">
        <v>206</v>
      </c>
      <c r="DH325" t="n">
        <v>0</v>
      </c>
      <c r="DI325" t="n">
        <v>0</v>
      </c>
      <c r="DJ325" t="n">
        <v>0</v>
      </c>
      <c r="DK325" t="n">
        <v>0</v>
      </c>
      <c r="DL325" t="n">
        <v>0</v>
      </c>
      <c r="DM325" t="n">
        <v>0</v>
      </c>
      <c r="DN325" t="n">
        <v>0</v>
      </c>
      <c r="DO325" t="n">
        <v>0</v>
      </c>
      <c r="DP325" t="n">
        <v>0</v>
      </c>
      <c r="DQ325" t="n">
        <v>0</v>
      </c>
      <c r="DR325" t="n">
        <v>0</v>
      </c>
      <c r="DS325" t="n">
        <v>2709</v>
      </c>
      <c r="DT325" t="n">
        <v>4608</v>
      </c>
      <c r="DU325" t="n">
        <v>803</v>
      </c>
      <c r="DV325" t="n">
        <v>0</v>
      </c>
      <c r="DW325" t="n">
        <v>0</v>
      </c>
      <c r="DX325" t="n">
        <v>0</v>
      </c>
      <c r="DY325" t="n">
        <v>778</v>
      </c>
      <c r="DZ325" t="n">
        <v>3674</v>
      </c>
      <c r="EA325" t="n">
        <v>1131</v>
      </c>
      <c r="EB325" t="n">
        <v>919</v>
      </c>
      <c r="EC325" t="n">
        <v>565</v>
      </c>
      <c r="ED325" t="n">
        <v>1298</v>
      </c>
      <c r="EE325" t="n">
        <v>5541</v>
      </c>
      <c r="EF325" t="n">
        <v>0</v>
      </c>
      <c r="EG325" t="n">
        <v>0</v>
      </c>
      <c r="EH325" t="n">
        <v>1.4</v>
      </c>
      <c r="EI325" t="n">
        <v>5.5</v>
      </c>
      <c r="EJ325" t="n">
        <v>6.1</v>
      </c>
      <c r="EK325" t="n">
        <v>13</v>
      </c>
    </row>
    <row r="326">
      <c r="A326">
        <f>[1]ingredient!B326</f>
        <v/>
      </c>
      <c r="B326" t="inlineStr">
        <is>
          <t>https://www.naehrwertrechner.de/naehrwerte/C118000/Quinoa+roh/?menge=100</t>
        </is>
      </c>
      <c r="C326" s="7">
        <f>_xlfn.XLOOKUP(A326,[1]ingredient!$B$2:$B$521,[1]ingredient!$A$2:$A$521)</f>
        <v/>
      </c>
      <c r="D326" t="n">
        <v>366</v>
      </c>
      <c r="E326" t="n">
        <v>6</v>
      </c>
      <c r="F326" t="n">
        <v>13</v>
      </c>
      <c r="G326" t="n">
        <v>64</v>
      </c>
      <c r="H326" t="n">
        <v>7</v>
      </c>
      <c r="I326" t="n">
        <v>2</v>
      </c>
      <c r="J326" t="n">
        <v>0.11</v>
      </c>
      <c r="K326" t="n">
        <v>11</v>
      </c>
      <c r="L326" t="n">
        <v>0</v>
      </c>
      <c r="M326" t="n">
        <v>0</v>
      </c>
      <c r="N326" t="n">
        <v>0</v>
      </c>
      <c r="O326" t="n">
        <v>0</v>
      </c>
      <c r="P326" t="n">
        <v>474</v>
      </c>
      <c r="Q326" t="n">
        <v>46</v>
      </c>
      <c r="R326" t="n">
        <v>464</v>
      </c>
      <c r="S326" t="n">
        <v>3296</v>
      </c>
      <c r="T326" t="n">
        <v>1078</v>
      </c>
      <c r="U326" t="n">
        <v>143</v>
      </c>
      <c r="V326" t="n">
        <v>1</v>
      </c>
      <c r="W326" t="n">
        <v>50</v>
      </c>
      <c r="X326" t="n">
        <v>0</v>
      </c>
      <c r="Y326" t="n">
        <v>4326</v>
      </c>
      <c r="Z326" t="n">
        <v>0</v>
      </c>
      <c r="AA326" t="n">
        <v>103</v>
      </c>
      <c r="AB326" t="n">
        <v>1</v>
      </c>
      <c r="AC326" t="n">
        <v>3</v>
      </c>
      <c r="AD326" t="n">
        <v>579</v>
      </c>
      <c r="AE326" t="n">
        <v>26</v>
      </c>
      <c r="AF326" t="n">
        <v>204</v>
      </c>
      <c r="AG326" t="n">
        <v>610</v>
      </c>
      <c r="AH326" t="n">
        <v>66</v>
      </c>
      <c r="AI326" t="n">
        <v>108</v>
      </c>
      <c r="AJ326" t="n">
        <v>3006</v>
      </c>
      <c r="AK326" t="n">
        <v>2314</v>
      </c>
      <c r="AL326" t="n">
        <v>496</v>
      </c>
      <c r="AM326" t="n">
        <v>1578</v>
      </c>
      <c r="AN326" t="n">
        <v>24</v>
      </c>
      <c r="AO326" t="n">
        <v>2</v>
      </c>
      <c r="AP326" t="n">
        <v>0</v>
      </c>
      <c r="AQ326" t="n">
        <v>0</v>
      </c>
      <c r="AR326" t="n">
        <v>0</v>
      </c>
      <c r="AS326" t="n">
        <v>0</v>
      </c>
      <c r="AT326" t="n">
        <v>0</v>
      </c>
      <c r="AU326" t="n">
        <v>0</v>
      </c>
      <c r="AV326" t="n">
        <v>0</v>
      </c>
      <c r="AW326" t="n">
        <v>0</v>
      </c>
      <c r="AX326" t="n">
        <v>1647</v>
      </c>
      <c r="AY326" t="n">
        <v>224</v>
      </c>
      <c r="AZ326" t="n">
        <v>0</v>
      </c>
      <c r="BA326" t="n">
        <v>1870</v>
      </c>
      <c r="BB326" t="n">
        <v>742</v>
      </c>
      <c r="BC326" t="n">
        <v>340</v>
      </c>
      <c r="BD326" t="n">
        <v>0</v>
      </c>
      <c r="BE326" t="n">
        <v>61701</v>
      </c>
      <c r="BF326" t="n">
        <v>61701</v>
      </c>
      <c r="BG326">
        <f>IF($F326=0,"0",MIN(
BH326/(30*$F326),
BI326/(61*$F326),
BJ326/(48*$F326),
(BK326+BL326)/(23*$F326),
(BM326+BN326)/(41*$F326),
BO326/(25*$F326),
BP326/(6.6*$F326),
BQ326/(40*$F326),
BS326/(16*$F326)
)*100)</f>
        <v/>
      </c>
      <c r="BH326" t="n">
        <v>740</v>
      </c>
      <c r="BI326" t="n">
        <v>958</v>
      </c>
      <c r="BJ326" t="n">
        <v>886</v>
      </c>
      <c r="BK326" t="n">
        <v>194</v>
      </c>
      <c r="BL326" t="n">
        <v>201</v>
      </c>
      <c r="BM326" t="n">
        <v>546</v>
      </c>
      <c r="BN326" t="n">
        <v>436</v>
      </c>
      <c r="BO326" t="n">
        <v>608</v>
      </c>
      <c r="BP326" t="n">
        <v>170</v>
      </c>
      <c r="BQ326" t="n">
        <v>652</v>
      </c>
      <c r="BR326" t="n">
        <v>1136</v>
      </c>
      <c r="BS326" t="n">
        <v>379</v>
      </c>
      <c r="BT326" t="n">
        <v>6901</v>
      </c>
      <c r="BU326" t="n">
        <v>618</v>
      </c>
      <c r="BV326" t="n">
        <v>1154</v>
      </c>
      <c r="BW326" t="n">
        <v>2112</v>
      </c>
      <c r="BX326" t="n">
        <v>814</v>
      </c>
      <c r="BY326" t="n">
        <v>525</v>
      </c>
      <c r="BZ326" t="n">
        <v>649</v>
      </c>
      <c r="CA326" t="n">
        <v>5871</v>
      </c>
      <c r="CB326" t="n">
        <v>68</v>
      </c>
      <c r="CC326" t="n">
        <v>28</v>
      </c>
      <c r="CD326" t="n">
        <v>206</v>
      </c>
      <c r="CE326" t="n">
        <v>2503</v>
      </c>
      <c r="CF326" t="n">
        <v>12.15</v>
      </c>
      <c r="CG326" t="n">
        <v>0</v>
      </c>
      <c r="CH326" t="n">
        <v>0</v>
      </c>
      <c r="CI326" t="n">
        <v>0</v>
      </c>
      <c r="CJ326" t="n">
        <v>0</v>
      </c>
      <c r="CK326" t="n">
        <v>0</v>
      </c>
      <c r="CL326" t="n">
        <v>5</v>
      </c>
      <c r="CM326" t="n">
        <v>0</v>
      </c>
      <c r="CN326" t="n">
        <v>422</v>
      </c>
      <c r="CO326" t="n">
        <v>62</v>
      </c>
      <c r="CP326" t="n">
        <v>34</v>
      </c>
      <c r="CQ326" t="n">
        <v>25</v>
      </c>
      <c r="CR326" t="n">
        <v>0</v>
      </c>
      <c r="CS326" t="n">
        <v>0</v>
      </c>
      <c r="CT326" t="n">
        <v>548</v>
      </c>
      <c r="CU326" t="n">
        <v>0</v>
      </c>
      <c r="CV326" t="n">
        <v>0</v>
      </c>
      <c r="CW326" t="n">
        <v>4</v>
      </c>
      <c r="CX326" t="n">
        <v>0</v>
      </c>
      <c r="CY326" t="n">
        <v>1257</v>
      </c>
      <c r="CZ326" t="n">
        <v>82</v>
      </c>
      <c r="DA326" t="n">
        <v>8</v>
      </c>
      <c r="DB326" t="n">
        <v>0</v>
      </c>
      <c r="DC326" t="n">
        <v>1351</v>
      </c>
      <c r="DD326" t="n">
        <v>0</v>
      </c>
      <c r="DE326" t="n">
        <v>0</v>
      </c>
      <c r="DF326" t="n">
        <v>2503</v>
      </c>
      <c r="DG326" t="n">
        <v>206</v>
      </c>
      <c r="DH326" t="n">
        <v>0</v>
      </c>
      <c r="DI326" t="n">
        <v>0</v>
      </c>
      <c r="DJ326" t="n">
        <v>0</v>
      </c>
      <c r="DK326" t="n">
        <v>0</v>
      </c>
      <c r="DL326" t="n">
        <v>0</v>
      </c>
      <c r="DM326" t="n">
        <v>0</v>
      </c>
      <c r="DN326" t="n">
        <v>0</v>
      </c>
      <c r="DO326" t="n">
        <v>0</v>
      </c>
      <c r="DP326" t="n">
        <v>0</v>
      </c>
      <c r="DQ326" t="n">
        <v>0</v>
      </c>
      <c r="DR326" t="n">
        <v>0</v>
      </c>
      <c r="DS326" t="n">
        <v>2709</v>
      </c>
      <c r="DT326" t="n">
        <v>4608</v>
      </c>
      <c r="DU326" t="n">
        <v>803</v>
      </c>
      <c r="DV326" t="n">
        <v>0</v>
      </c>
      <c r="DW326" t="n">
        <v>0</v>
      </c>
      <c r="DX326" t="n">
        <v>0</v>
      </c>
      <c r="DY326" t="n">
        <v>778</v>
      </c>
      <c r="DZ326" t="n">
        <v>3674</v>
      </c>
      <c r="EA326" t="n">
        <v>1131</v>
      </c>
      <c r="EB326" t="n">
        <v>919</v>
      </c>
      <c r="EC326" t="n">
        <v>565</v>
      </c>
      <c r="ED326" t="n">
        <v>1298</v>
      </c>
      <c r="EE326" t="n">
        <v>5541</v>
      </c>
      <c r="EF326" t="n">
        <v>0</v>
      </c>
      <c r="EG326" t="n">
        <v>0</v>
      </c>
      <c r="EH326" t="n">
        <v>1.4</v>
      </c>
      <c r="EI326" t="n">
        <v>5.5</v>
      </c>
      <c r="EJ326" t="n">
        <v>6.1</v>
      </c>
      <c r="EK326" t="n">
        <v>13</v>
      </c>
    </row>
    <row r="327">
      <c r="A327">
        <f>[1]ingredient!B327</f>
        <v/>
      </c>
      <c r="B327" t="inlineStr">
        <is>
          <t>https://www.naehrwertrechner.de/naehrwerte/H670111/Getreidesprossen+frisch/?menge=100</t>
        </is>
      </c>
      <c r="C327" s="7">
        <f>_xlfn.XLOOKUP(A327,[1]ingredient!$B$2:$B$521,[1]ingredient!$A$2:$A$521)</f>
        <v/>
      </c>
      <c r="D327" t="n">
        <v>70</v>
      </c>
      <c r="E327" t="n">
        <v>0.4</v>
      </c>
      <c r="F327" t="n">
        <v>3</v>
      </c>
      <c r="G327" t="n">
        <v>13</v>
      </c>
      <c r="H327" t="n">
        <v>3</v>
      </c>
      <c r="I327" t="n">
        <v>6</v>
      </c>
      <c r="J327" t="n">
        <v>0.02</v>
      </c>
      <c r="K327" t="n">
        <v>80</v>
      </c>
      <c r="L327" t="n">
        <v>1</v>
      </c>
      <c r="M327" t="n">
        <v>0.42</v>
      </c>
      <c r="N327" t="n">
        <v>0</v>
      </c>
      <c r="O327" t="n">
        <v>5</v>
      </c>
      <c r="P327" t="n">
        <v>120</v>
      </c>
      <c r="Q327" t="n">
        <v>40</v>
      </c>
      <c r="R327" t="n">
        <v>2350</v>
      </c>
      <c r="S327" t="n">
        <v>2883</v>
      </c>
      <c r="T327" t="n">
        <v>300</v>
      </c>
      <c r="U327" t="n">
        <v>110</v>
      </c>
      <c r="V327" t="n">
        <v>2</v>
      </c>
      <c r="W327" t="n">
        <v>6</v>
      </c>
      <c r="X327" t="n">
        <v>0</v>
      </c>
      <c r="Y327" t="n">
        <v>0</v>
      </c>
      <c r="Z327" t="n">
        <v>0</v>
      </c>
      <c r="AA327" t="n">
        <v>330</v>
      </c>
      <c r="AB327" t="n">
        <v>5</v>
      </c>
      <c r="AC327" t="n">
        <v>1</v>
      </c>
      <c r="AD327" t="n">
        <v>100</v>
      </c>
      <c r="AE327" t="n">
        <v>11</v>
      </c>
      <c r="AF327" t="n">
        <v>50</v>
      </c>
      <c r="AG327" t="n">
        <v>100</v>
      </c>
      <c r="AH327" t="n">
        <v>30</v>
      </c>
      <c r="AI327" t="n">
        <v>15</v>
      </c>
      <c r="AJ327" t="n">
        <v>800</v>
      </c>
      <c r="AK327" t="n">
        <v>950</v>
      </c>
      <c r="AL327" t="n">
        <v>150</v>
      </c>
      <c r="AM327" t="n">
        <v>700</v>
      </c>
      <c r="AN327" t="n">
        <v>25</v>
      </c>
      <c r="AO327" t="n">
        <v>0.2</v>
      </c>
      <c r="AP327" t="n">
        <v>0</v>
      </c>
      <c r="AQ327" t="n">
        <v>0</v>
      </c>
      <c r="AR327" t="n">
        <v>0</v>
      </c>
      <c r="AS327" t="n">
        <v>0</v>
      </c>
      <c r="AT327" t="n">
        <v>2600</v>
      </c>
      <c r="AU327" t="n">
        <v>2600</v>
      </c>
      <c r="AV327" t="n">
        <v>0</v>
      </c>
      <c r="AW327" t="n">
        <v>5200</v>
      </c>
      <c r="AX327" t="n">
        <v>650</v>
      </c>
      <c r="AY327" t="n">
        <v>0</v>
      </c>
      <c r="AZ327" t="n">
        <v>0</v>
      </c>
      <c r="BA327" t="n">
        <v>650</v>
      </c>
      <c r="BB327" t="n">
        <v>0</v>
      </c>
      <c r="BC327" t="n">
        <v>0</v>
      </c>
      <c r="BD327" t="n">
        <v>0</v>
      </c>
      <c r="BE327" t="n">
        <v>7150</v>
      </c>
      <c r="BF327" t="n">
        <v>7150</v>
      </c>
      <c r="BG327">
        <f>IF($F327=0,"0",MIN(
BH327/(30*$F327),
BI327/(61*$F327),
BJ327/(48*$F327),
(BK327+BL327)/(23*$F327),
(BM327+BN327)/(41*$F327),
BO327/(25*$F327),
BP327/(6.6*$F327),
BQ327/(40*$F327),
BS327/(16*$F327)
)*100)</f>
        <v/>
      </c>
      <c r="BH327" t="n">
        <v>125</v>
      </c>
      <c r="BI327" t="n">
        <v>214</v>
      </c>
      <c r="BJ327" t="n">
        <v>86</v>
      </c>
      <c r="BK327" t="n">
        <v>48</v>
      </c>
      <c r="BL327" t="n">
        <v>64</v>
      </c>
      <c r="BM327" t="n">
        <v>147</v>
      </c>
      <c r="BN327" t="n">
        <v>96</v>
      </c>
      <c r="BO327" t="n">
        <v>93</v>
      </c>
      <c r="BP327" t="n">
        <v>32</v>
      </c>
      <c r="BQ327" t="n">
        <v>144</v>
      </c>
      <c r="BR327" t="n">
        <v>144</v>
      </c>
      <c r="BS327" t="n">
        <v>61</v>
      </c>
      <c r="BT327" t="n">
        <v>1254</v>
      </c>
      <c r="BU327" t="n">
        <v>112</v>
      </c>
      <c r="BV327" t="n">
        <v>157</v>
      </c>
      <c r="BW327" t="n">
        <v>970</v>
      </c>
      <c r="BX327" t="n">
        <v>147</v>
      </c>
      <c r="BY327" t="n">
        <v>365</v>
      </c>
      <c r="BZ327" t="n">
        <v>163</v>
      </c>
      <c r="CA327" t="n">
        <v>1914</v>
      </c>
      <c r="CB327" t="n">
        <v>15</v>
      </c>
      <c r="CC327" t="n">
        <v>6</v>
      </c>
      <c r="CD327" t="n">
        <v>20</v>
      </c>
      <c r="CE327" t="n">
        <v>146</v>
      </c>
      <c r="CF327" t="n">
        <v>7.3</v>
      </c>
      <c r="CG327" t="n">
        <v>0</v>
      </c>
      <c r="CH327" t="n">
        <v>0</v>
      </c>
      <c r="CI327" t="n">
        <v>0</v>
      </c>
      <c r="CJ327" t="n">
        <v>0</v>
      </c>
      <c r="CK327" t="n">
        <v>0</v>
      </c>
      <c r="CL327" t="n">
        <v>0</v>
      </c>
      <c r="CM327" t="n">
        <v>0</v>
      </c>
      <c r="CN327" t="n">
        <v>58</v>
      </c>
      <c r="CO327" t="n">
        <v>0</v>
      </c>
      <c r="CP327" t="n">
        <v>2</v>
      </c>
      <c r="CQ327" t="n">
        <v>2</v>
      </c>
      <c r="CR327" t="n">
        <v>0</v>
      </c>
      <c r="CS327" t="n">
        <v>0</v>
      </c>
      <c r="CT327" t="n">
        <v>62</v>
      </c>
      <c r="CU327" t="n">
        <v>0</v>
      </c>
      <c r="CV327" t="n">
        <v>0</v>
      </c>
      <c r="CW327" t="n">
        <v>1</v>
      </c>
      <c r="CX327" t="n">
        <v>0</v>
      </c>
      <c r="CY327" t="n">
        <v>51</v>
      </c>
      <c r="CZ327" t="n">
        <v>0</v>
      </c>
      <c r="DA327" t="n">
        <v>0</v>
      </c>
      <c r="DB327" t="n">
        <v>0</v>
      </c>
      <c r="DC327" t="n">
        <v>52</v>
      </c>
      <c r="DD327" t="n">
        <v>0</v>
      </c>
      <c r="DE327" t="n">
        <v>0</v>
      </c>
      <c r="DF327" t="n">
        <v>146</v>
      </c>
      <c r="DG327" t="n">
        <v>20</v>
      </c>
      <c r="DH327" t="n">
        <v>0</v>
      </c>
      <c r="DI327" t="n">
        <v>0</v>
      </c>
      <c r="DJ327" t="n">
        <v>0</v>
      </c>
      <c r="DK327" t="n">
        <v>0</v>
      </c>
      <c r="DL327" t="n">
        <v>0</v>
      </c>
      <c r="DM327" t="n">
        <v>0</v>
      </c>
      <c r="DN327" t="n">
        <v>0</v>
      </c>
      <c r="DO327" t="n">
        <v>0</v>
      </c>
      <c r="DP327" t="n">
        <v>0</v>
      </c>
      <c r="DQ327" t="n">
        <v>0</v>
      </c>
      <c r="DR327" t="n">
        <v>0</v>
      </c>
      <c r="DS327" t="n">
        <v>166</v>
      </c>
      <c r="DT327" t="n">
        <v>280</v>
      </c>
      <c r="DU327" t="n">
        <v>120</v>
      </c>
      <c r="DV327" t="n">
        <v>0</v>
      </c>
      <c r="DW327" t="n">
        <v>0</v>
      </c>
      <c r="DX327" t="n">
        <v>0</v>
      </c>
      <c r="DY327" t="n">
        <v>1000</v>
      </c>
      <c r="DZ327" t="n">
        <v>1000</v>
      </c>
      <c r="EA327" t="n">
        <v>200</v>
      </c>
      <c r="EB327" t="n">
        <v>250</v>
      </c>
      <c r="EC327" t="n">
        <v>50</v>
      </c>
      <c r="ED327" t="n">
        <v>750</v>
      </c>
      <c r="EE327" t="n">
        <v>1750</v>
      </c>
      <c r="EF327" t="n">
        <v>0</v>
      </c>
      <c r="EG327" t="n">
        <v>0.05</v>
      </c>
      <c r="EH327" t="n">
        <v>0.5</v>
      </c>
      <c r="EI327" t="n">
        <v>1.8</v>
      </c>
      <c r="EJ327" t="n">
        <v>0.4</v>
      </c>
      <c r="EK327" t="n">
        <v>3.2</v>
      </c>
    </row>
    <row r="328">
      <c r="A328">
        <f>[1]ingredient!B328</f>
        <v/>
      </c>
      <c r="B328" t="inlineStr">
        <is>
          <t>https://www.naehrwertrechner.de/naehrwerte/G106111/Radicchio+frisch/?menge=100</t>
        </is>
      </c>
      <c r="C328" s="7">
        <f>_xlfn.XLOOKUP(A328,[1]ingredient!$B$2:$B$521,[1]ingredient!$A$2:$A$521)</f>
        <v/>
      </c>
      <c r="D328" t="n">
        <v>14</v>
      </c>
      <c r="E328" t="n">
        <v>0.22</v>
      </c>
      <c r="F328" t="n">
        <v>1</v>
      </c>
      <c r="G328" t="n">
        <v>2</v>
      </c>
      <c r="H328" t="n">
        <v>2</v>
      </c>
      <c r="I328" t="n">
        <v>1</v>
      </c>
      <c r="J328" t="n">
        <v>0.07000000000000001</v>
      </c>
      <c r="K328" t="n">
        <v>95</v>
      </c>
      <c r="L328" t="n">
        <v>133</v>
      </c>
      <c r="M328" t="n">
        <v>67</v>
      </c>
      <c r="N328" t="n">
        <v>0</v>
      </c>
      <c r="O328" t="n">
        <v>800</v>
      </c>
      <c r="P328" t="n">
        <v>70</v>
      </c>
      <c r="Q328" t="n">
        <v>30</v>
      </c>
      <c r="R328" t="n">
        <v>250</v>
      </c>
      <c r="S328" t="n">
        <v>467</v>
      </c>
      <c r="T328" t="n">
        <v>180</v>
      </c>
      <c r="U328" t="n">
        <v>45</v>
      </c>
      <c r="V328" t="n">
        <v>2</v>
      </c>
      <c r="W328" t="n">
        <v>34</v>
      </c>
      <c r="X328" t="n">
        <v>0</v>
      </c>
      <c r="Y328" t="n">
        <v>28000</v>
      </c>
      <c r="Z328" t="n">
        <v>0</v>
      </c>
      <c r="AA328" t="n">
        <v>500</v>
      </c>
      <c r="AB328" t="n">
        <v>200</v>
      </c>
      <c r="AC328" t="n">
        <v>10</v>
      </c>
      <c r="AD328" t="n">
        <v>240</v>
      </c>
      <c r="AE328" t="n">
        <v>40</v>
      </c>
      <c r="AF328" t="n">
        <v>11</v>
      </c>
      <c r="AG328" t="n">
        <v>27</v>
      </c>
      <c r="AH328" t="n">
        <v>12</v>
      </c>
      <c r="AI328" t="n">
        <v>55</v>
      </c>
      <c r="AJ328" t="n">
        <v>1500</v>
      </c>
      <c r="AK328" t="n">
        <v>200</v>
      </c>
      <c r="AL328" t="n">
        <v>50</v>
      </c>
      <c r="AM328" t="n">
        <v>350</v>
      </c>
      <c r="AN328" t="n">
        <v>32</v>
      </c>
      <c r="AO328" t="n">
        <v>3</v>
      </c>
      <c r="AP328" t="n">
        <v>0</v>
      </c>
      <c r="AQ328" t="n">
        <v>0</v>
      </c>
      <c r="AR328" t="n">
        <v>0</v>
      </c>
      <c r="AS328" t="n">
        <v>0</v>
      </c>
      <c r="AT328" t="n">
        <v>600</v>
      </c>
      <c r="AU328" t="n">
        <v>600</v>
      </c>
      <c r="AV328" t="n">
        <v>0</v>
      </c>
      <c r="AW328" t="n">
        <v>1200</v>
      </c>
      <c r="AX328" t="n">
        <v>285</v>
      </c>
      <c r="AY328" t="n">
        <v>0</v>
      </c>
      <c r="AZ328" t="n">
        <v>0</v>
      </c>
      <c r="BA328" t="n">
        <v>285</v>
      </c>
      <c r="BB328" t="n">
        <v>0</v>
      </c>
      <c r="BC328" t="n">
        <v>0</v>
      </c>
      <c r="BD328" t="n">
        <v>0</v>
      </c>
      <c r="BE328" t="n">
        <v>15</v>
      </c>
      <c r="BF328" t="n">
        <v>15</v>
      </c>
      <c r="BG328">
        <f>IF($F328=0,"0",MIN(
BH328/(30*$F328),
BI328/(61*$F328),
BJ328/(48*$F328),
(BK328+BL328)/(23*$F328),
(BM328+BN328)/(41*$F328),
BO328/(25*$F328),
BP328/(6.6*$F328),
BQ328/(40*$F328),
BS328/(16*$F328)
)*100)</f>
        <v/>
      </c>
      <c r="BH328" t="n">
        <v>78</v>
      </c>
      <c r="BI328" t="n">
        <v>82</v>
      </c>
      <c r="BJ328" t="n">
        <v>60</v>
      </c>
      <c r="BK328" t="n">
        <v>14</v>
      </c>
      <c r="BL328" t="n">
        <v>8</v>
      </c>
      <c r="BM328" t="n">
        <v>54</v>
      </c>
      <c r="BN328" t="n">
        <v>34</v>
      </c>
      <c r="BO328" t="n">
        <v>46</v>
      </c>
      <c r="BP328" t="n">
        <v>13</v>
      </c>
      <c r="BQ328" t="n">
        <v>60</v>
      </c>
      <c r="BR328" t="n">
        <v>58</v>
      </c>
      <c r="BS328" t="n">
        <v>19</v>
      </c>
      <c r="BT328" t="n">
        <v>526</v>
      </c>
      <c r="BU328" t="n">
        <v>52</v>
      </c>
      <c r="BV328" t="n">
        <v>132</v>
      </c>
      <c r="BW328" t="n">
        <v>146</v>
      </c>
      <c r="BX328" t="n">
        <v>48</v>
      </c>
      <c r="BY328" t="n">
        <v>62</v>
      </c>
      <c r="BZ328" t="n">
        <v>42</v>
      </c>
      <c r="CA328" t="n">
        <v>482</v>
      </c>
      <c r="CB328" t="n">
        <v>10</v>
      </c>
      <c r="CC328" t="n">
        <v>4</v>
      </c>
      <c r="CD328" t="n">
        <v>88</v>
      </c>
      <c r="CE328" t="n">
        <v>39</v>
      </c>
      <c r="CF328" t="n">
        <v>0.44</v>
      </c>
      <c r="CG328" t="n">
        <v>0</v>
      </c>
      <c r="CH328" t="n">
        <v>0</v>
      </c>
      <c r="CI328" t="n">
        <v>0</v>
      </c>
      <c r="CJ328" t="n">
        <v>0</v>
      </c>
      <c r="CK328" t="n">
        <v>0</v>
      </c>
      <c r="CL328" t="n">
        <v>4</v>
      </c>
      <c r="CM328" t="n">
        <v>0</v>
      </c>
      <c r="CN328" t="n">
        <v>35</v>
      </c>
      <c r="CO328" t="n">
        <v>0</v>
      </c>
      <c r="CP328" t="n">
        <v>3</v>
      </c>
      <c r="CQ328" t="n">
        <v>0</v>
      </c>
      <c r="CR328" t="n">
        <v>0</v>
      </c>
      <c r="CS328" t="n">
        <v>0</v>
      </c>
      <c r="CT328" t="n">
        <v>42</v>
      </c>
      <c r="CU328" t="n">
        <v>0</v>
      </c>
      <c r="CV328" t="n">
        <v>0</v>
      </c>
      <c r="CW328" t="n">
        <v>2</v>
      </c>
      <c r="CX328" t="n">
        <v>0</v>
      </c>
      <c r="CY328" t="n">
        <v>6</v>
      </c>
      <c r="CZ328" t="n">
        <v>0</v>
      </c>
      <c r="DA328" t="n">
        <v>0</v>
      </c>
      <c r="DB328" t="n">
        <v>0</v>
      </c>
      <c r="DC328" t="n">
        <v>8</v>
      </c>
      <c r="DD328" t="n">
        <v>0</v>
      </c>
      <c r="DE328" t="n">
        <v>0</v>
      </c>
      <c r="DF328" t="n">
        <v>39</v>
      </c>
      <c r="DG328" t="n">
        <v>88</v>
      </c>
      <c r="DH328" t="n">
        <v>0</v>
      </c>
      <c r="DI328" t="n">
        <v>0</v>
      </c>
      <c r="DJ328" t="n">
        <v>0</v>
      </c>
      <c r="DK328" t="n">
        <v>0</v>
      </c>
      <c r="DL328" t="n">
        <v>0</v>
      </c>
      <c r="DM328" t="n">
        <v>0</v>
      </c>
      <c r="DN328" t="n">
        <v>0</v>
      </c>
      <c r="DO328" t="n">
        <v>0</v>
      </c>
      <c r="DP328" t="n">
        <v>0</v>
      </c>
      <c r="DQ328" t="n">
        <v>0</v>
      </c>
      <c r="DR328" t="n">
        <v>0</v>
      </c>
      <c r="DS328" t="n">
        <v>127</v>
      </c>
      <c r="DT328" t="n">
        <v>177</v>
      </c>
      <c r="DU328" t="n">
        <v>44</v>
      </c>
      <c r="DV328" t="n">
        <v>0</v>
      </c>
      <c r="DW328" t="n">
        <v>0</v>
      </c>
      <c r="DX328" t="n">
        <v>0</v>
      </c>
      <c r="DY328" t="n">
        <v>192</v>
      </c>
      <c r="DZ328" t="n">
        <v>160</v>
      </c>
      <c r="EA328" t="n">
        <v>432</v>
      </c>
      <c r="EB328" t="n">
        <v>800</v>
      </c>
      <c r="EC328" t="n">
        <v>16</v>
      </c>
      <c r="ED328" t="n">
        <v>240</v>
      </c>
      <c r="EE328" t="n">
        <v>1360</v>
      </c>
      <c r="EF328" t="n">
        <v>0</v>
      </c>
      <c r="EG328" t="n">
        <v>0.2</v>
      </c>
      <c r="EH328" t="n">
        <v>0.6</v>
      </c>
      <c r="EI328" t="n">
        <v>1.4</v>
      </c>
      <c r="EJ328" t="n">
        <v>0.2</v>
      </c>
      <c r="EK328" t="n">
        <v>1</v>
      </c>
    </row>
    <row r="329">
      <c r="A329">
        <f>[1]ingredient!B329</f>
        <v/>
      </c>
      <c r="B329" t="inlineStr">
        <is>
          <t>https://www.naehrwertrechner.de/naehrwerte/G691111/Radieschen+frisch/?menge=100</t>
        </is>
      </c>
      <c r="C329" s="7">
        <f>_xlfn.XLOOKUP(A329,[1]ingredient!$B$2:$B$521,[1]ingredient!$A$2:$A$521)</f>
        <v/>
      </c>
      <c r="D329" t="n">
        <v>15</v>
      </c>
      <c r="E329" t="n">
        <v>0.14</v>
      </c>
      <c r="F329" t="n">
        <v>1</v>
      </c>
      <c r="G329" t="n">
        <v>2</v>
      </c>
      <c r="H329" t="n">
        <v>2</v>
      </c>
      <c r="I329" t="n">
        <v>2</v>
      </c>
      <c r="J329" t="n">
        <v>0.06</v>
      </c>
      <c r="K329" t="n">
        <v>94</v>
      </c>
      <c r="L329" t="n">
        <v>4</v>
      </c>
      <c r="M329" t="n">
        <v>2</v>
      </c>
      <c r="N329" t="n">
        <v>0</v>
      </c>
      <c r="O329" t="n">
        <v>23</v>
      </c>
      <c r="P329" t="n">
        <v>33</v>
      </c>
      <c r="Q329" t="n">
        <v>30</v>
      </c>
      <c r="R329" t="n">
        <v>250</v>
      </c>
      <c r="S329" t="n">
        <v>333</v>
      </c>
      <c r="T329" t="n">
        <v>180</v>
      </c>
      <c r="U329" t="n">
        <v>60</v>
      </c>
      <c r="V329" t="n">
        <v>1</v>
      </c>
      <c r="W329" t="n">
        <v>24</v>
      </c>
      <c r="X329" t="n">
        <v>0</v>
      </c>
      <c r="Y329" t="n">
        <v>29000</v>
      </c>
      <c r="Z329" t="n">
        <v>0</v>
      </c>
      <c r="AA329" t="n">
        <v>10</v>
      </c>
      <c r="AB329" t="n">
        <v>50</v>
      </c>
      <c r="AC329" t="n">
        <v>17</v>
      </c>
      <c r="AD329" t="n">
        <v>255</v>
      </c>
      <c r="AE329" t="n">
        <v>34</v>
      </c>
      <c r="AF329" t="n">
        <v>8</v>
      </c>
      <c r="AG329" t="n">
        <v>26</v>
      </c>
      <c r="AH329" t="n">
        <v>37</v>
      </c>
      <c r="AI329" t="n">
        <v>44</v>
      </c>
      <c r="AJ329" t="n">
        <v>1500</v>
      </c>
      <c r="AK329" t="n">
        <v>160</v>
      </c>
      <c r="AL329" t="n">
        <v>53</v>
      </c>
      <c r="AM329" t="n">
        <v>125</v>
      </c>
      <c r="AN329" t="n">
        <v>70</v>
      </c>
      <c r="AO329" t="n">
        <v>8</v>
      </c>
      <c r="AP329" t="n">
        <v>0</v>
      </c>
      <c r="AQ329" t="n">
        <v>0</v>
      </c>
      <c r="AR329" t="n">
        <v>0</v>
      </c>
      <c r="AS329" t="n">
        <v>0</v>
      </c>
      <c r="AT329" t="n">
        <v>1384</v>
      </c>
      <c r="AU329" t="n">
        <v>639</v>
      </c>
      <c r="AV329" t="n">
        <v>0</v>
      </c>
      <c r="AW329" t="n">
        <v>2023</v>
      </c>
      <c r="AX329" t="n">
        <v>107</v>
      </c>
      <c r="AY329" t="n">
        <v>0</v>
      </c>
      <c r="AZ329" t="n">
        <v>0</v>
      </c>
      <c r="BA329" t="n">
        <v>107</v>
      </c>
      <c r="BB329" t="n">
        <v>0</v>
      </c>
      <c r="BC329" t="n">
        <v>0</v>
      </c>
      <c r="BD329" t="n">
        <v>0</v>
      </c>
      <c r="BE329" t="n">
        <v>0</v>
      </c>
      <c r="BF329" t="n">
        <v>0</v>
      </c>
      <c r="BG329">
        <f>IF($F329=0,"0",MIN(
BH329/(30*$F329),
BI329/(61*$F329),
BJ329/(48*$F329),
(BK329+BL329)/(23*$F329),
(BM329+BN329)/(41*$F329),
BO329/(25*$F329),
BP329/(6.6*$F329),
BQ329/(40*$F329),
BS329/(16*$F329)
)*100)</f>
        <v/>
      </c>
      <c r="BH329" t="n">
        <v>47</v>
      </c>
      <c r="BI329" t="n">
        <v>59</v>
      </c>
      <c r="BJ329" t="n">
        <v>58</v>
      </c>
      <c r="BK329" t="n">
        <v>11</v>
      </c>
      <c r="BL329" t="n">
        <v>11</v>
      </c>
      <c r="BM329" t="n">
        <v>37</v>
      </c>
      <c r="BN329" t="n">
        <v>21</v>
      </c>
      <c r="BO329" t="n">
        <v>47</v>
      </c>
      <c r="BP329" t="n">
        <v>5</v>
      </c>
      <c r="BQ329" t="n">
        <v>53</v>
      </c>
      <c r="BR329" t="n">
        <v>60</v>
      </c>
      <c r="BS329" t="n">
        <v>21</v>
      </c>
      <c r="BT329" t="n">
        <v>430</v>
      </c>
      <c r="BU329" t="n">
        <v>37</v>
      </c>
      <c r="BV329" t="n">
        <v>79</v>
      </c>
      <c r="BW329" t="n">
        <v>210</v>
      </c>
      <c r="BX329" t="n">
        <v>35</v>
      </c>
      <c r="BY329" t="n">
        <v>27</v>
      </c>
      <c r="BZ329" t="n">
        <v>32</v>
      </c>
      <c r="CA329" t="n">
        <v>420</v>
      </c>
      <c r="CB329" t="n">
        <v>10</v>
      </c>
      <c r="CC329" t="n">
        <v>4</v>
      </c>
      <c r="CD329" t="n">
        <v>43</v>
      </c>
      <c r="CE329" t="n">
        <v>13</v>
      </c>
      <c r="CF329" t="n">
        <v>0.3</v>
      </c>
      <c r="CG329" t="n">
        <v>0</v>
      </c>
      <c r="CH329" t="n">
        <v>0</v>
      </c>
      <c r="CI329" t="n">
        <v>0</v>
      </c>
      <c r="CJ329" t="n">
        <v>0</v>
      </c>
      <c r="CK329" t="n">
        <v>0</v>
      </c>
      <c r="CL329" t="n">
        <v>0</v>
      </c>
      <c r="CM329" t="n">
        <v>0</v>
      </c>
      <c r="CN329" t="n">
        <v>32</v>
      </c>
      <c r="CO329" t="n">
        <v>0</v>
      </c>
      <c r="CP329" t="n">
        <v>5</v>
      </c>
      <c r="CQ329" t="n">
        <v>0</v>
      </c>
      <c r="CR329" t="n">
        <v>0</v>
      </c>
      <c r="CS329" t="n">
        <v>0</v>
      </c>
      <c r="CT329" t="n">
        <v>37</v>
      </c>
      <c r="CU329" t="n">
        <v>0</v>
      </c>
      <c r="CV329" t="n">
        <v>0</v>
      </c>
      <c r="CW329" t="n">
        <v>1</v>
      </c>
      <c r="CX329" t="n">
        <v>0</v>
      </c>
      <c r="CY329" t="n">
        <v>18</v>
      </c>
      <c r="CZ329" t="n">
        <v>0</v>
      </c>
      <c r="DA329" t="n">
        <v>0</v>
      </c>
      <c r="DB329" t="n">
        <v>0</v>
      </c>
      <c r="DC329" t="n">
        <v>19</v>
      </c>
      <c r="DD329" t="n">
        <v>0</v>
      </c>
      <c r="DE329" t="n">
        <v>0</v>
      </c>
      <c r="DF329" t="n">
        <v>13</v>
      </c>
      <c r="DG329" t="n">
        <v>43</v>
      </c>
      <c r="DH329" t="n">
        <v>0</v>
      </c>
      <c r="DI329" t="n">
        <v>0</v>
      </c>
      <c r="DJ329" t="n">
        <v>0</v>
      </c>
      <c r="DK329" t="n">
        <v>0</v>
      </c>
      <c r="DL329" t="n">
        <v>0</v>
      </c>
      <c r="DM329" t="n">
        <v>0</v>
      </c>
      <c r="DN329" t="n">
        <v>0</v>
      </c>
      <c r="DO329" t="n">
        <v>0</v>
      </c>
      <c r="DP329" t="n">
        <v>0</v>
      </c>
      <c r="DQ329" t="n">
        <v>0</v>
      </c>
      <c r="DR329" t="n">
        <v>0</v>
      </c>
      <c r="DS329" t="n">
        <v>56</v>
      </c>
      <c r="DT329" t="n">
        <v>112</v>
      </c>
      <c r="DU329" t="n">
        <v>28</v>
      </c>
      <c r="DV329" t="n">
        <v>0</v>
      </c>
      <c r="DW329" t="n">
        <v>0</v>
      </c>
      <c r="DX329" t="n">
        <v>0</v>
      </c>
      <c r="DY329" t="n">
        <v>163</v>
      </c>
      <c r="DZ329" t="n">
        <v>245</v>
      </c>
      <c r="EA329" t="n">
        <v>440</v>
      </c>
      <c r="EB329" t="n">
        <v>733</v>
      </c>
      <c r="EC329" t="n">
        <v>49</v>
      </c>
      <c r="ED329" t="n">
        <v>489</v>
      </c>
      <c r="EE329" t="n">
        <v>1141</v>
      </c>
      <c r="EF329" t="n">
        <v>0</v>
      </c>
      <c r="EG329" t="n">
        <v>0.1</v>
      </c>
      <c r="EH329" t="n">
        <v>0.9</v>
      </c>
      <c r="EI329" t="n">
        <v>1.1</v>
      </c>
      <c r="EJ329" t="n">
        <v>0.1</v>
      </c>
      <c r="EK329" t="n">
        <v>0.9</v>
      </c>
    </row>
    <row r="330">
      <c r="A330">
        <f>[1]ingredient!B330</f>
        <v/>
      </c>
      <c r="B330" t="inlineStr">
        <is>
          <t>https://www.naehrwertrechner.de/naehrwerte/H990511/Radieschensprossen/?menge=100</t>
        </is>
      </c>
      <c r="C330" s="7">
        <f>_xlfn.XLOOKUP(A330,[1]ingredient!$B$2:$B$521,[1]ingredient!$A$2:$A$521)</f>
        <v/>
      </c>
      <c r="D330" t="n">
        <v>12</v>
      </c>
      <c r="E330" t="n">
        <v>0</v>
      </c>
      <c r="F330" t="n">
        <v>0.1</v>
      </c>
      <c r="G330" t="n">
        <v>1</v>
      </c>
      <c r="H330" t="n">
        <v>3</v>
      </c>
      <c r="I330" t="n">
        <v>1</v>
      </c>
      <c r="J330" t="n">
        <v>0.07000000000000001</v>
      </c>
      <c r="K330" t="n">
        <v>96</v>
      </c>
      <c r="L330" t="n">
        <v>0</v>
      </c>
      <c r="M330" t="n">
        <v>0</v>
      </c>
      <c r="N330" t="n">
        <v>0</v>
      </c>
      <c r="O330" t="n">
        <v>0</v>
      </c>
      <c r="P330" t="n">
        <v>0</v>
      </c>
      <c r="Q330" t="n">
        <v>0</v>
      </c>
      <c r="R330" t="n">
        <v>100</v>
      </c>
      <c r="S330" t="n">
        <v>100</v>
      </c>
      <c r="T330" t="n">
        <v>0</v>
      </c>
      <c r="U330" t="n">
        <v>0</v>
      </c>
      <c r="V330" t="n">
        <v>0.3</v>
      </c>
      <c r="W330" t="n">
        <v>8</v>
      </c>
      <c r="X330" t="n">
        <v>0</v>
      </c>
      <c r="Y330" t="n">
        <v>20000</v>
      </c>
      <c r="Z330" t="n">
        <v>0</v>
      </c>
      <c r="AA330" t="n">
        <v>0</v>
      </c>
      <c r="AB330" t="n">
        <v>0</v>
      </c>
      <c r="AC330" t="n">
        <v>12</v>
      </c>
      <c r="AD330" t="n">
        <v>250</v>
      </c>
      <c r="AE330" t="n">
        <v>1</v>
      </c>
      <c r="AF330" t="n">
        <v>1</v>
      </c>
      <c r="AG330" t="n">
        <v>2</v>
      </c>
      <c r="AH330" t="n">
        <v>14</v>
      </c>
      <c r="AI330" t="n">
        <v>55</v>
      </c>
      <c r="AJ330" t="n">
        <v>0</v>
      </c>
      <c r="AK330" t="n">
        <v>0</v>
      </c>
      <c r="AL330" t="n">
        <v>0</v>
      </c>
      <c r="AM330" t="n">
        <v>0</v>
      </c>
      <c r="AN330" t="n">
        <v>0</v>
      </c>
      <c r="AO330" t="n">
        <v>0.3</v>
      </c>
      <c r="AP330" t="n">
        <v>0</v>
      </c>
      <c r="AQ330" t="n">
        <v>0</v>
      </c>
      <c r="AR330" t="n">
        <v>0</v>
      </c>
      <c r="AS330" t="n">
        <v>0</v>
      </c>
      <c r="AT330" t="n">
        <v>350</v>
      </c>
      <c r="AU330" t="n">
        <v>410</v>
      </c>
      <c r="AV330" t="n">
        <v>0</v>
      </c>
      <c r="AW330" t="n">
        <v>760</v>
      </c>
      <c r="AX330" t="n">
        <v>200</v>
      </c>
      <c r="AY330" t="n">
        <v>0</v>
      </c>
      <c r="AZ330" t="n">
        <v>0</v>
      </c>
      <c r="BA330" t="n">
        <v>200</v>
      </c>
      <c r="BB330" t="n">
        <v>48</v>
      </c>
      <c r="BC330" t="n">
        <v>0</v>
      </c>
      <c r="BD330" t="n">
        <v>0</v>
      </c>
      <c r="BE330" t="n">
        <v>432</v>
      </c>
      <c r="BF330" t="n">
        <v>0</v>
      </c>
      <c r="BG330">
        <f>IF($F330=0,"0",MIN(
BH330/(30*$F330),
BI330/(61*$F330),
BJ330/(48*$F330),
(BK330+BL330)/(23*$F330),
(BM330+BN330)/(41*$F330),
BO330/(25*$F330),
BP330/(6.6*$F330),
BQ330/(40*$F330),
BS330/(16*$F330)
)*100)</f>
        <v/>
      </c>
      <c r="BH330" t="n">
        <v>5</v>
      </c>
      <c r="BI330" t="n">
        <v>14</v>
      </c>
      <c r="BJ330" t="n">
        <v>8</v>
      </c>
      <c r="BK330" t="n">
        <v>3</v>
      </c>
      <c r="BL330" t="n">
        <v>0</v>
      </c>
      <c r="BM330" t="n">
        <v>5</v>
      </c>
      <c r="BN330" t="n">
        <v>5</v>
      </c>
      <c r="BO330" t="n">
        <v>13</v>
      </c>
      <c r="BP330" t="n">
        <v>2</v>
      </c>
      <c r="BQ330" t="n">
        <v>11</v>
      </c>
      <c r="BR330" t="n">
        <v>11</v>
      </c>
      <c r="BS330" t="n">
        <v>2</v>
      </c>
      <c r="BT330" t="n">
        <v>80</v>
      </c>
      <c r="BU330" t="n">
        <v>7</v>
      </c>
      <c r="BV330" t="n">
        <v>22</v>
      </c>
      <c r="BW330" t="n">
        <v>14</v>
      </c>
      <c r="BX330" t="n">
        <v>4</v>
      </c>
      <c r="BY330" t="n">
        <v>5</v>
      </c>
      <c r="BZ330" t="n">
        <v>12</v>
      </c>
      <c r="CA330" t="n">
        <v>65</v>
      </c>
      <c r="CB330" t="n">
        <v>1</v>
      </c>
      <c r="CC330" t="n">
        <v>0.2</v>
      </c>
      <c r="CD330" t="n">
        <v>0</v>
      </c>
      <c r="CE330" t="n">
        <v>0</v>
      </c>
      <c r="CF330" t="n">
        <v>1</v>
      </c>
      <c r="CG330" t="n">
        <v>0</v>
      </c>
      <c r="CH330" t="n">
        <v>0</v>
      </c>
      <c r="CI330" t="n">
        <v>0</v>
      </c>
      <c r="CJ330" t="n">
        <v>0</v>
      </c>
      <c r="CK330" t="n">
        <v>0</v>
      </c>
      <c r="CL330" t="n">
        <v>0</v>
      </c>
      <c r="CM330" t="n">
        <v>0</v>
      </c>
      <c r="CN330" t="n">
        <v>9</v>
      </c>
      <c r="CO330" t="n">
        <v>0</v>
      </c>
      <c r="CP330" t="n">
        <v>2</v>
      </c>
      <c r="CQ330" t="n">
        <v>0</v>
      </c>
      <c r="CR330" t="n">
        <v>0</v>
      </c>
      <c r="CS330" t="n">
        <v>0</v>
      </c>
      <c r="CT330" t="n">
        <v>0</v>
      </c>
      <c r="CU330" t="n">
        <v>0</v>
      </c>
      <c r="CV330" t="n">
        <v>0</v>
      </c>
      <c r="CW330" t="n">
        <v>0</v>
      </c>
      <c r="CX330" t="n">
        <v>0</v>
      </c>
      <c r="CY330" t="n">
        <v>3</v>
      </c>
      <c r="CZ330" t="n">
        <v>0</v>
      </c>
      <c r="DA330" t="n">
        <v>0</v>
      </c>
      <c r="DB330" t="n">
        <v>0</v>
      </c>
      <c r="DC330" t="n">
        <v>0</v>
      </c>
      <c r="DD330" t="n">
        <v>0</v>
      </c>
      <c r="DE330" t="n">
        <v>0</v>
      </c>
      <c r="DF330" t="n">
        <v>0</v>
      </c>
      <c r="DG330" t="n">
        <v>0</v>
      </c>
      <c r="DH330" t="n">
        <v>0</v>
      </c>
      <c r="DI330" t="n">
        <v>0</v>
      </c>
      <c r="DJ330" t="n">
        <v>0</v>
      </c>
      <c r="DK330" t="n">
        <v>0</v>
      </c>
      <c r="DL330" t="n">
        <v>0</v>
      </c>
      <c r="DM330" t="n">
        <v>0</v>
      </c>
      <c r="DN330" t="n">
        <v>0</v>
      </c>
      <c r="DO330" t="n">
        <v>0</v>
      </c>
      <c r="DP330" t="n">
        <v>0</v>
      </c>
      <c r="DQ330" t="n">
        <v>0</v>
      </c>
      <c r="DR330" t="n">
        <v>0</v>
      </c>
      <c r="DS330" t="n">
        <v>0</v>
      </c>
      <c r="DT330" t="n">
        <v>22</v>
      </c>
      <c r="DU330" t="n">
        <v>0</v>
      </c>
      <c r="DV330" t="n">
        <v>0</v>
      </c>
      <c r="DW330" t="n">
        <v>0</v>
      </c>
      <c r="DX330" t="n">
        <v>0</v>
      </c>
      <c r="DY330" t="n">
        <v>338</v>
      </c>
      <c r="DZ330" t="n">
        <v>910</v>
      </c>
      <c r="EA330" t="n">
        <v>338</v>
      </c>
      <c r="EB330" t="n">
        <v>962</v>
      </c>
      <c r="EC330" t="n">
        <v>52</v>
      </c>
      <c r="ED330" t="n">
        <v>0</v>
      </c>
      <c r="EE330" t="n">
        <v>1300</v>
      </c>
      <c r="EF330" t="n">
        <v>0</v>
      </c>
      <c r="EG330" t="n">
        <v>0</v>
      </c>
      <c r="EH330" t="n">
        <v>0.3</v>
      </c>
      <c r="EI330" t="n">
        <v>1.3</v>
      </c>
      <c r="EJ330" t="n">
        <v>0</v>
      </c>
      <c r="EK330" t="n">
        <v>0.1</v>
      </c>
    </row>
    <row r="331">
      <c r="A331">
        <f>[1]ingredient!B331</f>
        <v/>
      </c>
      <c r="B331" t="inlineStr">
        <is>
          <t>https://www.naehrwertrechner.de/naehrwerte/Q180000/R%C3%BCb%C3%B6l+%28Raps%C3%B6l%29/?menge=100</t>
        </is>
      </c>
      <c r="C331" s="7">
        <f>_xlfn.XLOOKUP(A331,[1]ingredient!$B$2:$B$521,[1]ingredient!$A$2:$A$521)</f>
        <v/>
      </c>
      <c r="D331" t="n">
        <v>875</v>
      </c>
      <c r="E331" t="n">
        <v>99</v>
      </c>
      <c r="F331" t="n">
        <v>0</v>
      </c>
      <c r="G331" t="n">
        <v>0</v>
      </c>
      <c r="H331" t="n">
        <v>0</v>
      </c>
      <c r="I331" t="n">
        <v>0</v>
      </c>
      <c r="J331" t="n">
        <v>0</v>
      </c>
      <c r="K331" t="n">
        <v>1</v>
      </c>
      <c r="L331" t="n">
        <v>550</v>
      </c>
      <c r="M331" t="n">
        <v>275</v>
      </c>
      <c r="N331" t="n">
        <v>0</v>
      </c>
      <c r="O331" t="n">
        <v>3300</v>
      </c>
      <c r="P331" t="n">
        <v>0</v>
      </c>
      <c r="Q331" t="n">
        <v>0</v>
      </c>
      <c r="R331" t="n">
        <v>0</v>
      </c>
      <c r="S331" t="n">
        <v>0</v>
      </c>
      <c r="T331" t="n">
        <v>0</v>
      </c>
      <c r="U331" t="n">
        <v>0</v>
      </c>
      <c r="V331" t="n">
        <v>0</v>
      </c>
      <c r="W331" t="n">
        <v>0</v>
      </c>
      <c r="X331" t="n">
        <v>0</v>
      </c>
      <c r="Y331" t="n">
        <v>0</v>
      </c>
      <c r="Z331" t="n">
        <v>0</v>
      </c>
      <c r="AA331" t="n">
        <v>22814</v>
      </c>
      <c r="AB331" t="n">
        <v>150</v>
      </c>
      <c r="AC331" t="n">
        <v>1</v>
      </c>
      <c r="AD331" t="n">
        <v>1</v>
      </c>
      <c r="AE331" t="n">
        <v>1</v>
      </c>
      <c r="AF331" t="n">
        <v>1</v>
      </c>
      <c r="AG331" t="n">
        <v>1</v>
      </c>
      <c r="AH331" t="n">
        <v>0</v>
      </c>
      <c r="AI331" t="n">
        <v>1</v>
      </c>
      <c r="AJ331" t="n">
        <v>100</v>
      </c>
      <c r="AK331" t="n">
        <v>1</v>
      </c>
      <c r="AL331" t="n">
        <v>1</v>
      </c>
      <c r="AM331" t="n">
        <v>1</v>
      </c>
      <c r="AN331" t="n">
        <v>0</v>
      </c>
      <c r="AO331" t="n">
        <v>0</v>
      </c>
      <c r="AP331" t="n">
        <v>0</v>
      </c>
      <c r="AQ331" t="n">
        <v>0</v>
      </c>
      <c r="AR331" t="n">
        <v>0</v>
      </c>
      <c r="AS331" t="n">
        <v>0</v>
      </c>
      <c r="AT331" t="n">
        <v>0</v>
      </c>
      <c r="AU331" t="n">
        <v>0</v>
      </c>
      <c r="AV331" t="n">
        <v>0</v>
      </c>
      <c r="AW331" t="n">
        <v>0</v>
      </c>
      <c r="AX331" t="n">
        <v>0</v>
      </c>
      <c r="AY331" t="n">
        <v>0</v>
      </c>
      <c r="AZ331" t="n">
        <v>0</v>
      </c>
      <c r="BA331" t="n">
        <v>0</v>
      </c>
      <c r="BB331" t="n">
        <v>0</v>
      </c>
      <c r="BC331" t="n">
        <v>0</v>
      </c>
      <c r="BD331" t="n">
        <v>0</v>
      </c>
      <c r="BE331" t="n">
        <v>0</v>
      </c>
      <c r="BF331" t="n">
        <v>0</v>
      </c>
      <c r="BG331">
        <f>IF($F331=0,"0",MIN(
BH331/(30*$F331),
BI331/(61*$F331),
BJ331/(48*$F331),
(BK331+BL331)/(23*$F331),
(BM331+BN331)/(41*$F331),
BO331/(25*$F331),
BP331/(6.6*$F331),
BQ331/(40*$F331),
BS331/(16*$F331)
)*100)</f>
        <v/>
      </c>
      <c r="BH331" t="n">
        <v>0</v>
      </c>
      <c r="BI331" t="n">
        <v>0</v>
      </c>
      <c r="BJ331" t="n">
        <v>0</v>
      </c>
      <c r="BK331" t="n">
        <v>0</v>
      </c>
      <c r="BL331" t="n">
        <v>0</v>
      </c>
      <c r="BM331" t="n">
        <v>0</v>
      </c>
      <c r="BN331" t="n">
        <v>0</v>
      </c>
      <c r="BO331" t="n">
        <v>0</v>
      </c>
      <c r="BP331" t="n">
        <v>0</v>
      </c>
      <c r="BQ331" t="n">
        <v>0</v>
      </c>
      <c r="BR331" t="n">
        <v>0</v>
      </c>
      <c r="BS331" t="n">
        <v>0</v>
      </c>
      <c r="BT331" t="n">
        <v>0</v>
      </c>
      <c r="BU331" t="n">
        <v>0</v>
      </c>
      <c r="BV331" t="n">
        <v>0</v>
      </c>
      <c r="BW331" t="n">
        <v>0</v>
      </c>
      <c r="BX331" t="n">
        <v>0</v>
      </c>
      <c r="BY331" t="n">
        <v>0</v>
      </c>
      <c r="BZ331" t="n">
        <v>0</v>
      </c>
      <c r="CA331" t="n">
        <v>0</v>
      </c>
      <c r="CB331" t="n">
        <v>0</v>
      </c>
      <c r="CC331" t="n">
        <v>0</v>
      </c>
      <c r="CD331" t="n">
        <v>9464</v>
      </c>
      <c r="CE331" t="n">
        <v>22431</v>
      </c>
      <c r="CF331" t="n">
        <v>2.37</v>
      </c>
      <c r="CG331" t="n">
        <v>0</v>
      </c>
      <c r="CH331" t="n">
        <v>0</v>
      </c>
      <c r="CI331" t="n">
        <v>0</v>
      </c>
      <c r="CJ331" t="n">
        <v>0</v>
      </c>
      <c r="CK331" t="n">
        <v>0</v>
      </c>
      <c r="CL331" t="n">
        <v>473</v>
      </c>
      <c r="CM331" t="n">
        <v>0</v>
      </c>
      <c r="CN331" t="n">
        <v>3313</v>
      </c>
      <c r="CO331" t="n">
        <v>95</v>
      </c>
      <c r="CP331" t="n">
        <v>1893</v>
      </c>
      <c r="CQ331" t="n">
        <v>946</v>
      </c>
      <c r="CR331" t="n">
        <v>473</v>
      </c>
      <c r="CS331" t="n">
        <v>473</v>
      </c>
      <c r="CT331" t="n">
        <v>7666</v>
      </c>
      <c r="CU331" t="n">
        <v>0</v>
      </c>
      <c r="CV331" t="n">
        <v>0</v>
      </c>
      <c r="CW331" t="n">
        <v>473</v>
      </c>
      <c r="CX331" t="n">
        <v>0</v>
      </c>
      <c r="CY331" t="n">
        <v>52055</v>
      </c>
      <c r="CZ331" t="n">
        <v>1420</v>
      </c>
      <c r="DA331" t="n">
        <v>189</v>
      </c>
      <c r="DB331" t="n">
        <v>946</v>
      </c>
      <c r="DC331" t="n">
        <v>55083</v>
      </c>
      <c r="DD331" t="n">
        <v>0</v>
      </c>
      <c r="DE331" t="n">
        <v>0</v>
      </c>
      <c r="DF331" t="n">
        <v>22052</v>
      </c>
      <c r="DG331" t="n">
        <v>9464</v>
      </c>
      <c r="DH331" t="n">
        <v>0</v>
      </c>
      <c r="DI331" t="n">
        <v>0</v>
      </c>
      <c r="DJ331" t="n">
        <v>379</v>
      </c>
      <c r="DK331" t="n">
        <v>0</v>
      </c>
      <c r="DL331" t="n">
        <v>0</v>
      </c>
      <c r="DM331" t="n">
        <v>0</v>
      </c>
      <c r="DN331" t="n">
        <v>0</v>
      </c>
      <c r="DO331" t="n">
        <v>0</v>
      </c>
      <c r="DP331" t="n">
        <v>0</v>
      </c>
      <c r="DQ331" t="n">
        <v>0</v>
      </c>
      <c r="DR331" t="n">
        <v>0</v>
      </c>
      <c r="DS331" t="n">
        <v>31895</v>
      </c>
      <c r="DT331" t="n">
        <v>94644</v>
      </c>
      <c r="DU331" t="n">
        <v>4356</v>
      </c>
      <c r="DV331" t="n">
        <v>2</v>
      </c>
      <c r="DW331" t="n">
        <v>0</v>
      </c>
      <c r="DX331" t="n">
        <v>0</v>
      </c>
      <c r="DY331" t="n">
        <v>0</v>
      </c>
      <c r="DZ331" t="n">
        <v>0</v>
      </c>
      <c r="EA331" t="n">
        <v>0</v>
      </c>
      <c r="EB331" t="n">
        <v>0</v>
      </c>
      <c r="EC331" t="n">
        <v>0</v>
      </c>
      <c r="ED331" t="n">
        <v>0</v>
      </c>
      <c r="EE331" t="n">
        <v>0</v>
      </c>
      <c r="EF331" t="n">
        <v>0</v>
      </c>
      <c r="EG331" t="n">
        <v>0</v>
      </c>
      <c r="EH331" t="n">
        <v>0</v>
      </c>
      <c r="EI331" t="n">
        <v>0</v>
      </c>
      <c r="EJ331" t="n">
        <v>99</v>
      </c>
      <c r="EK331" t="n">
        <v>0</v>
      </c>
    </row>
    <row r="332">
      <c r="A332" s="9">
        <f>[1]ingredient!B332</f>
        <v/>
      </c>
      <c r="C332" s="7">
        <f>_xlfn.XLOOKUP(A332,[1]ingredient!$B$2:$B$521,[1]ingredient!$A$2:$A$521)</f>
        <v/>
      </c>
      <c r="D332">
        <f>(3*D212+2*D217+2*D177+2*D307+D225+D296+D166+D461+2*D280+D71)/16</f>
        <v/>
      </c>
      <c r="E332">
        <f>(3*E212+2*E217+2*E177+2*E307+E225+E296+E166+E461+2*E280+E71)/16</f>
        <v/>
      </c>
      <c r="F332">
        <f>(3*F212+2*F217+2*F177+2*F307+F225+F296+F166+F461+2*F280+F71)/16</f>
        <v/>
      </c>
      <c r="G332">
        <f>(3*G212+2*G217+2*G177+2*G307+G225+G296+G166+G461+2*G280+G71)/16</f>
        <v/>
      </c>
      <c r="H332">
        <f>(3*H212+2*H217+2*H177+2*H307+H225+H296+H166+H461+2*H280+H71)/16</f>
        <v/>
      </c>
      <c r="I332">
        <f>(3*I212+2*I217+2*I177+2*I307+I225+I296+I166+I461+2*I280+I71)/16</f>
        <v/>
      </c>
      <c r="J332">
        <f>(3*J212+2*J217+2*J177+2*J307+J225+J296+J166+J461+2*J280+J71)/16</f>
        <v/>
      </c>
      <c r="K332">
        <f>(3*K212+2*K217+2*K177+2*K307+K225+K296+K166+K461+2*K280+K71)/16</f>
        <v/>
      </c>
      <c r="L332">
        <f>(3*L212+2*L217+2*L177+2*L307+L225+L296+L166+L461+2*L280+L71)/16</f>
        <v/>
      </c>
      <c r="M332">
        <f>(3*M212+2*M217+2*M177+2*M307+M225+M296+M166+M461+2*M280+M71)/16</f>
        <v/>
      </c>
      <c r="N332">
        <f>(3*N212+2*N217+2*N177+2*N307+N225+N296+N166+N461+2*N280+N71)/16</f>
        <v/>
      </c>
      <c r="O332">
        <f>(3*O212+2*O217+2*O177+2*O307+O225+O296+O166+O461+2*O280+O71)/16</f>
        <v/>
      </c>
      <c r="P332">
        <f>(3*P212+2*P217+2*P177+2*P307+P225+P296+P166+P461+2*P280+P71)/16</f>
        <v/>
      </c>
      <c r="Q332">
        <f>(3*Q212+2*Q217+2*Q177+2*Q307+Q225+Q296+Q166+Q461+2*Q280+Q71)/16</f>
        <v/>
      </c>
      <c r="R332">
        <f>(3*R212+2*R217+2*R177+2*R307+R225+R296+R166+R461+2*R280+R71)/16</f>
        <v/>
      </c>
      <c r="S332">
        <f>(3*S212+2*S217+2*S177+2*S307+S225+S296+S166+S461+2*S280+S71)/16</f>
        <v/>
      </c>
      <c r="T332">
        <f>(3*T212+2*T217+2*T177+2*T307+T225+T296+T166+T461+2*T280+T71)/16</f>
        <v/>
      </c>
      <c r="U332">
        <f>(3*U212+2*U217+2*U177+2*U307+U225+U296+U166+U461+2*U280+U71)/16</f>
        <v/>
      </c>
      <c r="V332">
        <f>(3*V212+2*V217+2*V177+2*V307+V225+V296+V166+V461+2*V280+V71)/16</f>
        <v/>
      </c>
      <c r="W332">
        <f>(3*W212+2*W217+2*W177+2*W307+W225+W296+W166+W461+2*W280+W71)/16</f>
        <v/>
      </c>
      <c r="X332">
        <f>(3*X212+2*X217+2*X177+2*X307+X225+X296+X166+X461+2*X280+X71)/16</f>
        <v/>
      </c>
      <c r="Y332">
        <f>(3*Y212+2*Y217+2*Y177+2*Y307+Y225+Y296+Y166+Y461+2*Y280+Y71)/16</f>
        <v/>
      </c>
      <c r="Z332">
        <f>(3*Z212+2*Z217+2*Z177+2*Z307+Z225+Z296+Z166+Z461+2*Z280+Z71)/16</f>
        <v/>
      </c>
      <c r="AA332">
        <f>(3*AA212+2*AA217+2*AA177+2*AA307+AA225+AA296+AA166+AA461+2*AA280+AA71)/16</f>
        <v/>
      </c>
      <c r="AB332">
        <f>(3*AB212+2*AB217+2*AB177+2*AB307+AB225+AB296+AB166+AB461+2*AB280+AB71)/16</f>
        <v/>
      </c>
      <c r="AC332">
        <f>(3*AC212+2*AC217+2*AC177+2*AC307+AC225+AC296+AC166+AC461+2*AC280+AC71)/16</f>
        <v/>
      </c>
      <c r="AD332">
        <f>(3*AD212+2*AD217+2*AD177+2*AD307+AD225+AD296+AD166+AD461+2*AD280+AD71)/16</f>
        <v/>
      </c>
      <c r="AE332">
        <f>(3*AE212+2*AE217+2*AE177+2*AE307+AE225+AE296+AE166+AE461+2*AE280+AE71)/16</f>
        <v/>
      </c>
      <c r="AF332">
        <f>(3*AF212+2*AF217+2*AF177+2*AF307+AF225+AF296+AF166+AF461+2*AF280+AF71)/16</f>
        <v/>
      </c>
      <c r="AG332">
        <f>(3*AG212+2*AG217+2*AG177+2*AG307+AG225+AG296+AG166+AG461+2*AG280+AG71)/16</f>
        <v/>
      </c>
      <c r="AH332">
        <f>(3*AH212+2*AH217+2*AH177+2*AH307+AH225+AH296+AH166+AH461+2*AH280+AH71)/16</f>
        <v/>
      </c>
      <c r="AI332">
        <f>(3*AI212+2*AI217+2*AI177+2*AI307+AI225+AI296+AI166+AI461+2*AI280+AI71)/16</f>
        <v/>
      </c>
      <c r="AJ332">
        <f>(3*AJ212+2*AJ217+2*AJ177+2*AJ307+AJ225+AJ296+AJ166+AJ461+2*AJ280+AJ71)/16</f>
        <v/>
      </c>
      <c r="AK332">
        <f>(3*AK212+2*AK217+2*AK177+2*AK307+AK225+AK296+AK166+AK461+2*AK280+AK71)/16</f>
        <v/>
      </c>
      <c r="AL332">
        <f>(3*AL212+2*AL217+2*AL177+2*AL307+AL225+AL296+AL166+AL461+2*AL280+AL71)/16</f>
        <v/>
      </c>
      <c r="AM332">
        <f>(3*AM212+2*AM217+2*AM177+2*AM307+AM225+AM296+AM166+AM461+2*AM280+AM71)/16</f>
        <v/>
      </c>
      <c r="AN332">
        <f>(3*AN212+2*AN217+2*AN177+2*AN307+AN225+AN296+AN166+AN461+2*AN280+AN71)/16</f>
        <v/>
      </c>
      <c r="AO332">
        <f>(3*AO212+2*AO217+2*AO177+2*AO307+AO225+AO296+AO166+AO461+2*AO280+AO71)/16</f>
        <v/>
      </c>
      <c r="AP332">
        <f>(3*AP212+2*AP217+2*AP177+2*AP307+AP225+AP296+AP166+AP461+2*AP280+AP71)/16</f>
        <v/>
      </c>
      <c r="AQ332">
        <f>(3*AQ212+2*AQ217+2*AQ177+2*AQ307+AQ225+AQ296+AQ166+AQ461+2*AQ280+AQ71)/16</f>
        <v/>
      </c>
      <c r="AR332">
        <f>(3*AR212+2*AR217+2*AR177+2*AR307+AR225+AR296+AR166+AR461+2*AR280+AR71)/16</f>
        <v/>
      </c>
      <c r="AS332">
        <f>(3*AS212+2*AS217+2*AS177+2*AS307+AS225+AS296+AS166+AS461+2*AS280+AS71)/16</f>
        <v/>
      </c>
      <c r="AT332">
        <f>(3*AT212+2*AT217+2*AT177+2*AT307+AT225+AT296+AT166+AT461+2*AT280+AT71)/16</f>
        <v/>
      </c>
      <c r="AU332">
        <f>(3*AU212+2*AU217+2*AU177+2*AU307+AU225+AU296+AU166+AU461+2*AU280+AU71)/16</f>
        <v/>
      </c>
      <c r="AV332">
        <f>(3*AV212+2*AV217+2*AV177+2*AV307+AV225+AV296+AV166+AV461+2*AV280+AV71)/16</f>
        <v/>
      </c>
      <c r="AW332">
        <f>(3*AW212+2*AW217+2*AW177+2*AW307+AW225+AW296+AW166+AW461+2*AW280+AW71)/16</f>
        <v/>
      </c>
      <c r="AX332">
        <f>(3*AX212+2*AX217+2*AX177+2*AX307+AX225+AX296+AX166+AX461+2*AX280+AX71)/16</f>
        <v/>
      </c>
      <c r="AY332">
        <f>(3*AY212+2*AY217+2*AY177+2*AY307+AY225+AY296+AY166+AY461+2*AY280+AY71)/16</f>
        <v/>
      </c>
      <c r="AZ332">
        <f>(3*AZ212+2*AZ217+2*AZ177+2*AZ307+AZ225+AZ296+AZ166+AZ461+2*AZ280+AZ71)/16</f>
        <v/>
      </c>
      <c r="BA332">
        <f>(3*BA212+2*BA217+2*BA177+2*BA307+BA225+BA296+BA166+BA461+2*BA280+BA71)/16</f>
        <v/>
      </c>
      <c r="BB332">
        <f>(3*BB212+2*BB217+2*BB177+2*BB307+BB225+BB296+BB166+BB461+2*BB280+BB71)/16</f>
        <v/>
      </c>
      <c r="BC332">
        <f>(3*BC212+2*BC217+2*BC177+2*BC307+BC225+BC296+BC166+BC461+2*BC280+BC71)/16</f>
        <v/>
      </c>
      <c r="BD332">
        <f>(3*BD212+2*BD217+2*BD177+2*BD307+BD225+BD296+BD166+BD461+2*BD280+BD71)/16</f>
        <v/>
      </c>
      <c r="BE332">
        <f>(3*BE212+2*BE217+2*BE177+2*BE307+BE225+BE296+BE166+BE461+2*BE280+BE71)/16</f>
        <v/>
      </c>
      <c r="BF332">
        <f>(3*BF212+2*BF217+2*BF177+2*BF307+BF225+BF296+BF166+BF461+2*BF280+BF71)/16</f>
        <v/>
      </c>
      <c r="BG332">
        <f>IF($F332=0,"0",MIN(
BH332/(30*$F332),
BI332/(61*$F332),
BJ332/(48*$F332),
(BK332+BL332)/(23*$F332),
(BM332+BN332)/(41*$F332),
BO332/(25*$F332),
BP332/(6.6*$F332),
BQ332/(40*$F332),
BS332/(16*$F332)
)*100)</f>
        <v/>
      </c>
      <c r="BH332">
        <f>(3*BH212+2*BH217+2*BH177+2*BH307+BH225+BH296+BH166+BH461+2*BH280+BH71)/16</f>
        <v/>
      </c>
      <c r="BI332">
        <f>(3*BI212+2*BI217+2*BI177+2*BI307+BI225+BI296+BI166+BI461+2*BI280+BI71)/16</f>
        <v/>
      </c>
      <c r="BJ332">
        <f>(3*BJ212+2*BJ217+2*BJ177+2*BJ307+BJ225+BJ296+BJ166+BJ461+2*BJ280+BJ71)/16</f>
        <v/>
      </c>
      <c r="BK332">
        <f>(3*BK212+2*BK217+2*BK177+2*BK307+BK225+BK296+BK166+BK461+2*BK280+BK71)/16</f>
        <v/>
      </c>
      <c r="BL332">
        <f>(3*BL212+2*BL217+2*BL177+2*BL307+BL225+BL296+BL166+BL461+2*BL280+BL71)/16</f>
        <v/>
      </c>
      <c r="BM332">
        <f>(3*BM212+2*BM217+2*BM177+2*BM307+BM225+BM296+BM166+BM461+2*BM280+BM71)/16</f>
        <v/>
      </c>
      <c r="BN332">
        <f>(3*BN212+2*BN217+2*BN177+2*BN307+BN225+BN296+BN166+BN461+2*BN280+BN71)/16</f>
        <v/>
      </c>
      <c r="BO332">
        <f>(3*BO212+2*BO217+2*BO177+2*BO307+BO225+BO296+BO166+BO461+2*BO280+BO71)/16</f>
        <v/>
      </c>
      <c r="BP332">
        <f>(3*BP212+2*BP217+2*BP177+2*BP307+BP225+BP296+BP166+BP461+2*BP280+BP71)/16</f>
        <v/>
      </c>
      <c r="BQ332">
        <f>(3*BQ212+2*BQ217+2*BQ177+2*BQ307+BQ225+BQ296+BQ166+BQ461+2*BQ280+BQ71)/16</f>
        <v/>
      </c>
      <c r="BR332">
        <f>(3*BR212+2*BR217+2*BR177+2*BR307+BR225+BR296+BR166+BR461+2*BR280+BR71)/16</f>
        <v/>
      </c>
      <c r="BS332">
        <f>(3*BS212+2*BS217+2*BS177+2*BS307+BS225+BS296+BS166+BS461+2*BS280+BS71)/16</f>
        <v/>
      </c>
      <c r="BT332">
        <f>(3*BT212+2*BT217+2*BT177+2*BT307+BT225+BT296+BT166+BT461+2*BT280+BT71)/16</f>
        <v/>
      </c>
      <c r="BU332">
        <f>(3*BU212+2*BU217+2*BU177+2*BU307+BU225+BU296+BU166+BU461+2*BU280+BU71)/16</f>
        <v/>
      </c>
      <c r="BV332">
        <f>(3*BV212+2*BV217+2*BV177+2*BV307+BV225+BV296+BV166+BV461+2*BV280+BV71)/16</f>
        <v/>
      </c>
      <c r="BW332">
        <f>(3*BW212+2*BW217+2*BW177+2*BW307+BW225+BW296+BW166+BW461+2*BW280+BW71)/16</f>
        <v/>
      </c>
      <c r="BX332">
        <f>(3*BX212+2*BX217+2*BX177+2*BX307+BX225+BX296+BX166+BX461+2*BX280+BX71)/16</f>
        <v/>
      </c>
      <c r="BY332">
        <f>(3*BY212+2*BY217+2*BY177+2*BY307+BY225+BY296+BY166+BY461+2*BY280+BY71)/16</f>
        <v/>
      </c>
      <c r="BZ332">
        <f>(3*BZ212+2*BZ217+2*BZ177+2*BZ307+BZ225+BZ296+BZ166+BZ461+2*BZ280+BZ71)/16</f>
        <v/>
      </c>
      <c r="CA332">
        <f>(3*CA212+2*CA217+2*CA177+2*CA307+CA225+CA296+CA166+CA461+2*CA280+CA71)/16</f>
        <v/>
      </c>
      <c r="CB332">
        <f>(3*CB212+2*CB217+2*CB177+2*CB307+CB225+CB296+CB166+CB461+2*CB280+CB71)/16</f>
        <v/>
      </c>
      <c r="CC332">
        <f>(3*CC212+2*CC217+2*CC177+2*CC307+CC225+CC296+CC166+CC461+2*CC280+CC71)/16</f>
        <v/>
      </c>
      <c r="CD332">
        <f>(3*CD212+2*CD217+2*CD177+2*CD307+CD225+CD296+CD166+CD461+2*CD280+CD71)/16</f>
        <v/>
      </c>
      <c r="CE332">
        <f>(3*CE212+2*CE217+2*CE177+2*CE307+CE225+CE296+CE166+CE461+2*CE280+CE71)/16</f>
        <v/>
      </c>
      <c r="CF332">
        <f>(3*CF212+2*CF217+2*CF177+2*CF307+CF225+CF296+CF166+CF461+2*CF280+CF71)/16</f>
        <v/>
      </c>
      <c r="CG332">
        <f>(3*CG212+2*CG217+2*CG177+2*CG307+CG225+CG296+CG166+CG461+2*CG280+CG71)/16</f>
        <v/>
      </c>
      <c r="CH332">
        <f>(3*CH212+2*CH217+2*CH177+2*CH307+CH225+CH296+CH166+CH461+2*CH280+CH71)/16</f>
        <v/>
      </c>
      <c r="CI332">
        <f>(3*CI212+2*CI217+2*CI177+2*CI307+CI225+CI296+CI166+CI461+2*CI280+CI71)/16</f>
        <v/>
      </c>
      <c r="CJ332">
        <f>(3*CJ212+2*CJ217+2*CJ177+2*CJ307+CJ225+CJ296+CJ166+CJ461+2*CJ280+CJ71)/16</f>
        <v/>
      </c>
      <c r="CK332">
        <f>(3*CK212+2*CK217+2*CK177+2*CK307+CK225+CK296+CK166+CK461+2*CK280+CK71)/16</f>
        <v/>
      </c>
      <c r="CL332">
        <f>(3*CL212+2*CL217+2*CL177+2*CL307+CL225+CL296+CL166+CL461+2*CL280+CL71)/16</f>
        <v/>
      </c>
      <c r="CM332">
        <f>(3*CM212+2*CM217+2*CM177+2*CM307+CM225+CM296+CM166+CM461+2*CM280+CM71)/16</f>
        <v/>
      </c>
      <c r="CN332">
        <f>(3*CN212+2*CN217+2*CN177+2*CN307+CN225+CN296+CN166+CN461+2*CN280+CN71)/16</f>
        <v/>
      </c>
      <c r="CO332">
        <f>(3*CO212+2*CO217+2*CO177+2*CO307+CO225+CO296+CO166+CO461+2*CO280+CO71)/16</f>
        <v/>
      </c>
      <c r="CP332">
        <f>(3*CP212+2*CP217+2*CP177+2*CP307+CP225+CP296+CP166+CP461+2*CP280+CP71)/16</f>
        <v/>
      </c>
      <c r="CQ332">
        <f>(3*CQ212+2*CQ217+2*CQ177+2*CQ307+CQ225+CQ296+CQ166+CQ461+2*CQ280+CQ71)/16</f>
        <v/>
      </c>
      <c r="CR332">
        <f>(3*CR212+2*CR217+2*CR177+2*CR307+CR225+CR296+CR166+CR461+2*CR280+CR71)/16</f>
        <v/>
      </c>
      <c r="CS332">
        <f>(3*CS212+2*CS217+2*CS177+2*CS307+CS225+CS296+CS166+CS461+2*CS280+CS71)/16</f>
        <v/>
      </c>
      <c r="CT332">
        <f>(3*CT212+2*CT217+2*CT177+2*CT307+CT225+CT296+CT166+CT461+2*CT280+CT71)/16</f>
        <v/>
      </c>
      <c r="CU332">
        <f>(3*CU212+2*CU217+2*CU177+2*CU307+CU225+CU296+CU166+CU461+2*CU280+CU71)/16</f>
        <v/>
      </c>
      <c r="CV332">
        <f>(3*CV212+2*CV217+2*CV177+2*CV307+CV225+CV296+CV166+CV461+2*CV280+CV71)/16</f>
        <v/>
      </c>
      <c r="CW332">
        <f>(3*CW212+2*CW217+2*CW177+2*CW307+CW225+CW296+CW166+CW461+2*CW280+CW71)/16</f>
        <v/>
      </c>
      <c r="CX332">
        <f>(3*CX212+2*CX217+2*CX177+2*CX307+CX225+CX296+CX166+CX461+2*CX280+CX71)/16</f>
        <v/>
      </c>
      <c r="CY332">
        <f>(3*CY212+2*CY217+2*CY177+2*CY307+CY225+CY296+CY166+CY461+2*CY280+CY71)/16</f>
        <v/>
      </c>
      <c r="CZ332">
        <f>(3*CZ212+2*CZ217+2*CZ177+2*CZ307+CZ225+CZ296+CZ166+CZ461+2*CZ280+CZ71)/16</f>
        <v/>
      </c>
      <c r="DA332">
        <f>(3*DA212+2*DA217+2*DA177+2*DA307+DA225+DA296+DA166+DA461+2*DA280+DA71)/16</f>
        <v/>
      </c>
      <c r="DB332">
        <f>(3*DB212+2*DB217+2*DB177+2*DB307+DB225+DB296+DB166+DB461+2*DB280+DB71)/16</f>
        <v/>
      </c>
      <c r="DC332">
        <f>(3*DC212+2*DC217+2*DC177+2*DC307+DC225+DC296+DC166+DC461+2*DC280+DC71)/16</f>
        <v/>
      </c>
      <c r="DD332">
        <f>(3*DD212+2*DD217+2*DD177+2*DD307+DD225+DD296+DD166+DD461+2*DD280+DD71)/16</f>
        <v/>
      </c>
      <c r="DE332">
        <f>(3*DE212+2*DE217+2*DE177+2*DE307+DE225+DE296+DE166+DE461+2*DE280+DE71)/16</f>
        <v/>
      </c>
      <c r="DF332">
        <f>(3*DF212+2*DF217+2*DF177+2*DF307+DF225+DF296+DF166+DF461+2*DF280+DF71)/16</f>
        <v/>
      </c>
      <c r="DG332">
        <f>(3*DG212+2*DG217+2*DG177+2*DG307+DG225+DG296+DG166+DG461+2*DG280+DG71)/16</f>
        <v/>
      </c>
      <c r="DH332">
        <f>(3*DH212+2*DH217+2*DH177+2*DH307+DH225+DH296+DH166+DH461+2*DH280+DH71)/16</f>
        <v/>
      </c>
      <c r="DI332">
        <f>(3*DI212+2*DI217+2*DI177+2*DI307+DI225+DI296+DI166+DI461+2*DI280+DI71)/16</f>
        <v/>
      </c>
      <c r="DJ332">
        <f>(3*DJ212+2*DJ217+2*DJ177+2*DJ307+DJ225+DJ296+DJ166+DJ461+2*DJ280+DJ71)/16</f>
        <v/>
      </c>
      <c r="DK332">
        <f>(3*DK212+2*DK217+2*DK177+2*DK307+DK225+DK296+DK166+DK461+2*DK280+DK71)/16</f>
        <v/>
      </c>
      <c r="DL332">
        <f>(3*DL212+2*DL217+2*DL177+2*DL307+DL225+DL296+DL166+DL461+2*DL280+DL71)/16</f>
        <v/>
      </c>
      <c r="DM332">
        <f>(3*DM212+2*DM217+2*DM177+2*DM307+DM225+DM296+DM166+DM461+2*DM280+DM71)/16</f>
        <v/>
      </c>
      <c r="DN332">
        <f>(3*DN212+2*DN217+2*DN177+2*DN307+DN225+DN296+DN166+DN461+2*DN280+DN71)/16</f>
        <v/>
      </c>
      <c r="DO332">
        <f>(3*DO212+2*DO217+2*DO177+2*DO307+DO225+DO296+DO166+DO461+2*DO280+DO71)/16</f>
        <v/>
      </c>
      <c r="DP332">
        <f>(3*DP212+2*DP217+2*DP177+2*DP307+DP225+DP296+DP166+DP461+2*DP280+DP71)/16</f>
        <v/>
      </c>
      <c r="DQ332">
        <f>(3*DQ212+2*DQ217+2*DQ177+2*DQ307+DQ225+DQ296+DQ166+DQ461+2*DQ280+DQ71)/16</f>
        <v/>
      </c>
      <c r="DR332">
        <f>(3*DR212+2*DR217+2*DR177+2*DR307+DR225+DR296+DR166+DR461+2*DR280+DR71)/16</f>
        <v/>
      </c>
      <c r="DS332">
        <f>(3*DS212+2*DS217+2*DS177+2*DS307+DS225+DS296+DS166+DS461+2*DS280+DS71)/16</f>
        <v/>
      </c>
      <c r="DT332">
        <f>(3*DT212+2*DT217+2*DT177+2*DT307+DT225+DT296+DT166+DT461+2*DT280+DT71)/16</f>
        <v/>
      </c>
      <c r="DU332">
        <f>(3*DU212+2*DU217+2*DU177+2*DU307+DU225+DU296+DU166+DU461+2*DU280+DU71)/16</f>
        <v/>
      </c>
      <c r="DV332">
        <f>(3*DV212+2*DV217+2*DV177+2*DV307+DV225+DV296+DV166+DV461+2*DV280+DV71)/16</f>
        <v/>
      </c>
      <c r="DW332">
        <f>(3*DW212+2*DW217+2*DW177+2*DW307+DW225+DW296+DW166+DW461+2*DW280+DW71)/16</f>
        <v/>
      </c>
      <c r="DX332">
        <f>(3*DX212+2*DX217+2*DX177+2*DX307+DX225+DX296+DX166+DX461+2*DX280+DX71)/16</f>
        <v/>
      </c>
      <c r="DY332">
        <f>(3*DY212+2*DY217+2*DY177+2*DY307+DY225+DY296+DY166+DY461+2*DY280+DY71)/16</f>
        <v/>
      </c>
      <c r="DZ332">
        <f>(3*DZ212+2*DZ217+2*DZ177+2*DZ307+DZ225+DZ296+DZ166+DZ461+2*DZ280+DZ71)/16</f>
        <v/>
      </c>
      <c r="EA332">
        <f>(3*EA212+2*EA217+2*EA177+2*EA307+EA225+EA296+EA166+EA461+2*EA280+EA71)/16</f>
        <v/>
      </c>
      <c r="EB332">
        <f>(3*EB212+2*EB217+2*EB177+2*EB307+EB225+EB296+EB166+EB461+2*EB280+EB71)/16</f>
        <v/>
      </c>
      <c r="EC332">
        <f>(3*EC212+2*EC217+2*EC177+2*EC307+EC225+EC296+EC166+EC461+2*EC280+EC71)/16</f>
        <v/>
      </c>
      <c r="ED332">
        <f>(3*ED212+2*ED217+2*ED177+2*ED307+ED225+ED296+ED166+ED461+2*ED280+ED71)/16</f>
        <v/>
      </c>
      <c r="EE332">
        <f>(3*EE212+2*EE217+2*EE177+2*EE307+EE225+EE296+EE166+EE461+2*EE280+EE71)/16</f>
        <v/>
      </c>
      <c r="EF332">
        <f>(3*EF212+2*EF217+2*EF177+2*EF307+EF225+EF296+EF166+EF461+2*EF280+EF71)/16</f>
        <v/>
      </c>
      <c r="EG332">
        <f>(3*EG212+2*EG217+2*EG177+2*EG307+EG225+EG296+EG166+EG461+2*EG280+EG71)/16</f>
        <v/>
      </c>
      <c r="EH332">
        <f>(3*EH212+2*EH217+2*EH177+2*EH307+EH225+EH296+EH166+EH461+2*EH280+EH71)/16</f>
        <v/>
      </c>
      <c r="EI332">
        <f>(3*EI212+2*EI217+2*EI177+2*EI307+EI225+EI296+EI166+EI461+2*EI280+EI71)/16</f>
        <v/>
      </c>
      <c r="EJ332">
        <f>(3*EJ212+2*EJ217+2*EJ177+2*EJ307+EJ225+EJ296+EJ166+EJ461+2*EJ280+EJ71)/16</f>
        <v/>
      </c>
      <c r="EK332">
        <f>(3*EK212+2*EK217+2*EK177+2*EK307+EK225+EK296+EK166+EK461+2*EK280+EK71)/16</f>
        <v/>
      </c>
    </row>
    <row r="333">
      <c r="A333">
        <f>[1]ingredient!B333</f>
        <v/>
      </c>
      <c r="B333" t="inlineStr">
        <is>
          <t>https://www.naehrwertrechner.de/naehrwerte/J350011/Tofu/?menge=100</t>
        </is>
      </c>
      <c r="C333" s="7">
        <f>_xlfn.XLOOKUP(A333,[1]ingredient!$B$2:$B$521,[1]ingredient!$A$2:$A$521)</f>
        <v/>
      </c>
      <c r="D333" t="n">
        <v>144</v>
      </c>
      <c r="E333" t="n">
        <v>9</v>
      </c>
      <c r="F333" t="n">
        <v>16</v>
      </c>
      <c r="G333" t="n">
        <v>1</v>
      </c>
      <c r="H333" t="n">
        <v>1</v>
      </c>
      <c r="I333" t="n">
        <v>1</v>
      </c>
      <c r="J333" t="n">
        <v>0.02</v>
      </c>
      <c r="K333" t="n">
        <v>73</v>
      </c>
      <c r="L333" t="n">
        <v>4</v>
      </c>
      <c r="M333" t="n">
        <v>2</v>
      </c>
      <c r="N333" t="n">
        <v>0</v>
      </c>
      <c r="O333" t="n">
        <v>25</v>
      </c>
      <c r="P333" t="n">
        <v>20</v>
      </c>
      <c r="Q333" t="n">
        <v>20</v>
      </c>
      <c r="R333" t="n">
        <v>600</v>
      </c>
      <c r="S333" t="n">
        <v>4017</v>
      </c>
      <c r="T333" t="n">
        <v>280</v>
      </c>
      <c r="U333" t="n">
        <v>155</v>
      </c>
      <c r="V333" t="n">
        <v>7</v>
      </c>
      <c r="W333" t="n">
        <v>84</v>
      </c>
      <c r="X333" t="n">
        <v>0</v>
      </c>
      <c r="Y333" t="n">
        <v>0</v>
      </c>
      <c r="Z333" t="n">
        <v>0</v>
      </c>
      <c r="AA333" t="n">
        <v>600</v>
      </c>
      <c r="AB333" t="n">
        <v>50</v>
      </c>
      <c r="AC333" t="n">
        <v>7</v>
      </c>
      <c r="AD333" t="n">
        <v>375</v>
      </c>
      <c r="AE333" t="n">
        <v>159</v>
      </c>
      <c r="AF333" t="n">
        <v>50</v>
      </c>
      <c r="AG333" t="n">
        <v>109</v>
      </c>
      <c r="AH333" t="n">
        <v>33</v>
      </c>
      <c r="AI333" t="n">
        <v>10</v>
      </c>
      <c r="AJ333" t="n">
        <v>2500</v>
      </c>
      <c r="AK333" t="n">
        <v>220</v>
      </c>
      <c r="AL333" t="n">
        <v>22</v>
      </c>
      <c r="AM333" t="n">
        <v>620</v>
      </c>
      <c r="AN333" t="n">
        <v>13</v>
      </c>
      <c r="AO333" t="n">
        <v>1</v>
      </c>
      <c r="AP333" t="n">
        <v>0</v>
      </c>
      <c r="AQ333" t="n">
        <v>0</v>
      </c>
      <c r="AR333" t="n">
        <v>0</v>
      </c>
      <c r="AS333" t="n">
        <v>0</v>
      </c>
      <c r="AT333" t="n">
        <v>0</v>
      </c>
      <c r="AU333" t="n">
        <v>0</v>
      </c>
      <c r="AV333" t="n">
        <v>0</v>
      </c>
      <c r="AW333" t="n">
        <v>0</v>
      </c>
      <c r="AX333" t="n">
        <v>614</v>
      </c>
      <c r="AY333" t="n">
        <v>0</v>
      </c>
      <c r="AZ333" t="n">
        <v>0</v>
      </c>
      <c r="BA333" t="n">
        <v>614</v>
      </c>
      <c r="BB333" t="n">
        <v>0</v>
      </c>
      <c r="BC333" t="n">
        <v>0</v>
      </c>
      <c r="BD333" t="n">
        <v>0</v>
      </c>
      <c r="BE333" t="n">
        <v>6</v>
      </c>
      <c r="BF333" t="n">
        <v>6</v>
      </c>
      <c r="BG333">
        <f>IF($F333=0,"0",MIN(
BH333/(30*$F333),
BI333/(61*$F333),
BJ333/(48*$F333),
(BK333+BL333)/(23*$F333),
(BM333+BN333)/(41*$F333),
BO333/(25*$F333),
BP333/(6.6*$F333),
BQ333/(40*$F333),
BS333/(16*$F333)
)*100)</f>
        <v/>
      </c>
      <c r="BH333" t="n">
        <v>789</v>
      </c>
      <c r="BI333" t="n">
        <v>1184</v>
      </c>
      <c r="BJ333" t="n">
        <v>789</v>
      </c>
      <c r="BK333" t="n">
        <v>205</v>
      </c>
      <c r="BL333" t="n">
        <v>126</v>
      </c>
      <c r="BM333" t="n">
        <v>789</v>
      </c>
      <c r="BN333" t="n">
        <v>521</v>
      </c>
      <c r="BO333" t="n">
        <v>757</v>
      </c>
      <c r="BP333" t="n">
        <v>205</v>
      </c>
      <c r="BQ333" t="n">
        <v>868</v>
      </c>
      <c r="BR333" t="n">
        <v>978</v>
      </c>
      <c r="BS333" t="n">
        <v>347</v>
      </c>
      <c r="BT333" t="n">
        <v>7558</v>
      </c>
      <c r="BU333" t="n">
        <v>679</v>
      </c>
      <c r="BV333" t="n">
        <v>1704</v>
      </c>
      <c r="BW333" t="n">
        <v>2683</v>
      </c>
      <c r="BX333" t="n">
        <v>757</v>
      </c>
      <c r="BY333" t="n">
        <v>1152</v>
      </c>
      <c r="BZ333" t="n">
        <v>852</v>
      </c>
      <c r="CA333" t="n">
        <v>7827</v>
      </c>
      <c r="CB333" t="n">
        <v>65</v>
      </c>
      <c r="CC333" t="n">
        <v>27</v>
      </c>
      <c r="CD333" t="n">
        <v>633</v>
      </c>
      <c r="CE333" t="n">
        <v>4648</v>
      </c>
      <c r="CF333" t="n">
        <v>7.34</v>
      </c>
      <c r="CG333" t="n">
        <v>0</v>
      </c>
      <c r="CH333" t="n">
        <v>0</v>
      </c>
      <c r="CI333" t="n">
        <v>0</v>
      </c>
      <c r="CJ333" t="n">
        <v>0</v>
      </c>
      <c r="CK333" t="n">
        <v>8</v>
      </c>
      <c r="CL333" t="n">
        <v>16</v>
      </c>
      <c r="CM333" t="n">
        <v>0</v>
      </c>
      <c r="CN333" t="n">
        <v>892</v>
      </c>
      <c r="CO333" t="n">
        <v>0</v>
      </c>
      <c r="CP333" t="n">
        <v>308</v>
      </c>
      <c r="CQ333" t="n">
        <v>24</v>
      </c>
      <c r="CR333" t="n">
        <v>8</v>
      </c>
      <c r="CS333" t="n">
        <v>0</v>
      </c>
      <c r="CT333" t="n">
        <v>1256</v>
      </c>
      <c r="CU333" t="n">
        <v>0</v>
      </c>
      <c r="CV333" t="n">
        <v>0</v>
      </c>
      <c r="CW333" t="n">
        <v>16</v>
      </c>
      <c r="CX333" t="n">
        <v>0</v>
      </c>
      <c r="CY333" t="n">
        <v>1541</v>
      </c>
      <c r="CZ333" t="n">
        <v>16</v>
      </c>
      <c r="DA333" t="n">
        <v>0</v>
      </c>
      <c r="DB333" t="n">
        <v>0</v>
      </c>
      <c r="DC333" t="n">
        <v>1573</v>
      </c>
      <c r="DD333" t="n">
        <v>0</v>
      </c>
      <c r="DE333" t="n">
        <v>0</v>
      </c>
      <c r="DF333" t="n">
        <v>4648</v>
      </c>
      <c r="DG333" t="n">
        <v>633</v>
      </c>
      <c r="DH333" t="n">
        <v>0</v>
      </c>
      <c r="DI333" t="n">
        <v>0</v>
      </c>
      <c r="DJ333" t="n">
        <v>0</v>
      </c>
      <c r="DK333" t="n">
        <v>0</v>
      </c>
      <c r="DL333" t="n">
        <v>0</v>
      </c>
      <c r="DM333" t="n">
        <v>0</v>
      </c>
      <c r="DN333" t="n">
        <v>0</v>
      </c>
      <c r="DO333" t="n">
        <v>0</v>
      </c>
      <c r="DP333" t="n">
        <v>0</v>
      </c>
      <c r="DQ333" t="n">
        <v>0</v>
      </c>
      <c r="DR333" t="n">
        <v>0</v>
      </c>
      <c r="DS333" t="n">
        <v>5281</v>
      </c>
      <c r="DT333" t="n">
        <v>8110</v>
      </c>
      <c r="DU333" t="n">
        <v>610</v>
      </c>
      <c r="DV333" t="n">
        <v>0</v>
      </c>
      <c r="DW333" t="n">
        <v>0</v>
      </c>
      <c r="DX333" t="n">
        <v>0</v>
      </c>
      <c r="DY333" t="n">
        <v>150</v>
      </c>
      <c r="DZ333" t="n">
        <v>219</v>
      </c>
      <c r="EA333" t="n">
        <v>84</v>
      </c>
      <c r="EB333" t="n">
        <v>144</v>
      </c>
      <c r="EC333" t="n">
        <v>3</v>
      </c>
      <c r="ED333" t="n">
        <v>300</v>
      </c>
      <c r="EE333" t="n">
        <v>300</v>
      </c>
      <c r="EF333" t="n">
        <v>0</v>
      </c>
      <c r="EG333" t="n">
        <v>0</v>
      </c>
      <c r="EH333" t="n">
        <v>1.4</v>
      </c>
      <c r="EI333" t="n">
        <v>0.3</v>
      </c>
      <c r="EJ333" t="n">
        <v>8.699999999999999</v>
      </c>
      <c r="EK333" t="n">
        <v>15.6</v>
      </c>
    </row>
    <row r="334">
      <c r="A334">
        <f>[1]ingredient!B334</f>
        <v/>
      </c>
      <c r="B334" t="inlineStr">
        <is>
          <t>https://www.naehrwertrechner.de/naehrwerte/C351001/Reis+ungesch%C3%A4lt/?menge=100</t>
        </is>
      </c>
      <c r="C334" s="7">
        <f>_xlfn.XLOOKUP(A334,[1]ingredient!$B$2:$B$521,[1]ingredient!$A$2:$A$521)</f>
        <v/>
      </c>
      <c r="D334" t="n">
        <v>349</v>
      </c>
      <c r="E334" t="n">
        <v>2</v>
      </c>
      <c r="F334" t="n">
        <v>7</v>
      </c>
      <c r="G334" t="n">
        <v>74</v>
      </c>
      <c r="H334" t="n">
        <v>2</v>
      </c>
      <c r="I334" t="n">
        <v>0.22</v>
      </c>
      <c r="J334" t="n">
        <v>0.24</v>
      </c>
      <c r="K334" t="n">
        <v>13</v>
      </c>
      <c r="L334" t="n">
        <v>0</v>
      </c>
      <c r="M334" t="n">
        <v>0</v>
      </c>
      <c r="N334" t="n">
        <v>0</v>
      </c>
      <c r="O334" t="n">
        <v>0</v>
      </c>
      <c r="P334" t="n">
        <v>410</v>
      </c>
      <c r="Q334" t="n">
        <v>91</v>
      </c>
      <c r="R334" t="n">
        <v>5200</v>
      </c>
      <c r="S334" t="n">
        <v>6400</v>
      </c>
      <c r="T334" t="n">
        <v>1700</v>
      </c>
      <c r="U334" t="n">
        <v>670</v>
      </c>
      <c r="V334" t="n">
        <v>12</v>
      </c>
      <c r="W334" t="n">
        <v>16</v>
      </c>
      <c r="X334" t="n">
        <v>0</v>
      </c>
      <c r="Y334" t="n">
        <v>0</v>
      </c>
      <c r="Z334" t="n">
        <v>0</v>
      </c>
      <c r="AA334" t="n">
        <v>740</v>
      </c>
      <c r="AB334" t="n">
        <v>1</v>
      </c>
      <c r="AC334" t="n">
        <v>10</v>
      </c>
      <c r="AD334" t="n">
        <v>150</v>
      </c>
      <c r="AE334" t="n">
        <v>23</v>
      </c>
      <c r="AF334" t="n">
        <v>157</v>
      </c>
      <c r="AG334" t="n">
        <v>325</v>
      </c>
      <c r="AH334" t="n">
        <v>90</v>
      </c>
      <c r="AI334" t="n">
        <v>230</v>
      </c>
      <c r="AJ334" t="n">
        <v>2600</v>
      </c>
      <c r="AK334" t="n">
        <v>1520</v>
      </c>
      <c r="AL334" t="n">
        <v>240</v>
      </c>
      <c r="AM334" t="n">
        <v>1100</v>
      </c>
      <c r="AN334" t="n">
        <v>50</v>
      </c>
      <c r="AO334" t="n">
        <v>2</v>
      </c>
      <c r="AP334" t="n">
        <v>0</v>
      </c>
      <c r="AQ334" t="n">
        <v>0</v>
      </c>
      <c r="AR334" t="n">
        <v>0</v>
      </c>
      <c r="AS334" t="n">
        <v>0</v>
      </c>
      <c r="AT334" t="n">
        <v>74</v>
      </c>
      <c r="AU334" t="n">
        <v>74</v>
      </c>
      <c r="AV334" t="n">
        <v>0</v>
      </c>
      <c r="AW334" t="n">
        <v>148</v>
      </c>
      <c r="AX334" t="n">
        <v>74</v>
      </c>
      <c r="AY334" t="n">
        <v>0</v>
      </c>
      <c r="AZ334" t="n">
        <v>0</v>
      </c>
      <c r="BA334" t="n">
        <v>74</v>
      </c>
      <c r="BB334" t="n">
        <v>0</v>
      </c>
      <c r="BC334" t="n">
        <v>0</v>
      </c>
      <c r="BD334" t="n">
        <v>0</v>
      </c>
      <c r="BE334" t="n">
        <v>73838</v>
      </c>
      <c r="BF334" t="n">
        <v>73838</v>
      </c>
      <c r="BG334">
        <f>IF($F334=0,"0",MIN(
BH334/(30*$F334),
BI334/(61*$F334),
BJ334/(48*$F334),
(BK334+BL334)/(23*$F334),
(BM334+BN334)/(41*$F334),
BO334/(25*$F334),
BP334/(6.6*$F334),
BQ334/(40*$F334),
BS334/(16*$F334)
)*100)</f>
        <v/>
      </c>
      <c r="BH334" t="n">
        <v>339</v>
      </c>
      <c r="BI334" t="n">
        <v>621</v>
      </c>
      <c r="BJ334" t="n">
        <v>274</v>
      </c>
      <c r="BK334" t="n">
        <v>130</v>
      </c>
      <c r="BL334" t="n">
        <v>87</v>
      </c>
      <c r="BM334" t="n">
        <v>361</v>
      </c>
      <c r="BN334" t="n">
        <v>325</v>
      </c>
      <c r="BO334" t="n">
        <v>282</v>
      </c>
      <c r="BP334" t="n">
        <v>72</v>
      </c>
      <c r="BQ334" t="n">
        <v>484</v>
      </c>
      <c r="BR334" t="n">
        <v>419</v>
      </c>
      <c r="BS334" t="n">
        <v>116</v>
      </c>
      <c r="BT334" t="n">
        <v>3510</v>
      </c>
      <c r="BU334" t="n">
        <v>433</v>
      </c>
      <c r="BV334" t="n">
        <v>686</v>
      </c>
      <c r="BW334" t="n">
        <v>1407</v>
      </c>
      <c r="BX334" t="n">
        <v>325</v>
      </c>
      <c r="BY334" t="n">
        <v>361</v>
      </c>
      <c r="BZ334" t="n">
        <v>354</v>
      </c>
      <c r="CA334" t="n">
        <v>3566</v>
      </c>
      <c r="CB334" t="n">
        <v>134</v>
      </c>
      <c r="CC334" t="n">
        <v>56</v>
      </c>
      <c r="CD334" t="n">
        <v>28</v>
      </c>
      <c r="CE334" t="n">
        <v>751</v>
      </c>
      <c r="CF334" t="n">
        <v>26.82</v>
      </c>
      <c r="CG334" t="n">
        <v>0</v>
      </c>
      <c r="CH334" t="n">
        <v>0</v>
      </c>
      <c r="CI334" t="n">
        <v>0</v>
      </c>
      <c r="CJ334" t="n">
        <v>0</v>
      </c>
      <c r="CK334" t="n">
        <v>2</v>
      </c>
      <c r="CL334" t="n">
        <v>24</v>
      </c>
      <c r="CM334" t="n">
        <v>0</v>
      </c>
      <c r="CN334" t="n">
        <v>486</v>
      </c>
      <c r="CO334" t="n">
        <v>0</v>
      </c>
      <c r="CP334" t="n">
        <v>39</v>
      </c>
      <c r="CQ334" t="n">
        <v>7</v>
      </c>
      <c r="CR334" t="n">
        <v>0</v>
      </c>
      <c r="CS334" t="n">
        <v>0</v>
      </c>
      <c r="CT334" t="n">
        <v>558</v>
      </c>
      <c r="CU334" t="n">
        <v>0</v>
      </c>
      <c r="CV334" t="n">
        <v>0</v>
      </c>
      <c r="CW334" t="n">
        <v>9</v>
      </c>
      <c r="CX334" t="n">
        <v>0</v>
      </c>
      <c r="CY334" t="n">
        <v>524</v>
      </c>
      <c r="CZ334" t="n">
        <v>0</v>
      </c>
      <c r="DA334" t="n">
        <v>0</v>
      </c>
      <c r="DB334" t="n">
        <v>0</v>
      </c>
      <c r="DC334" t="n">
        <v>533</v>
      </c>
      <c r="DD334" t="n">
        <v>0</v>
      </c>
      <c r="DE334" t="n">
        <v>0</v>
      </c>
      <c r="DF334" t="n">
        <v>749</v>
      </c>
      <c r="DG334" t="n">
        <v>28</v>
      </c>
      <c r="DH334" t="n">
        <v>0</v>
      </c>
      <c r="DI334" t="n">
        <v>0</v>
      </c>
      <c r="DJ334" t="n">
        <v>0</v>
      </c>
      <c r="DK334" t="n">
        <v>0</v>
      </c>
      <c r="DL334" t="n">
        <v>2</v>
      </c>
      <c r="DM334" t="n">
        <v>0</v>
      </c>
      <c r="DN334" t="n">
        <v>0</v>
      </c>
      <c r="DO334" t="n">
        <v>0</v>
      </c>
      <c r="DP334" t="n">
        <v>0</v>
      </c>
      <c r="DQ334" t="n">
        <v>0</v>
      </c>
      <c r="DR334" t="n">
        <v>0</v>
      </c>
      <c r="DS334" t="n">
        <v>779</v>
      </c>
      <c r="DT334" t="n">
        <v>1870</v>
      </c>
      <c r="DU334" t="n">
        <v>330</v>
      </c>
      <c r="DV334" t="n">
        <v>0</v>
      </c>
      <c r="DW334" t="n">
        <v>0</v>
      </c>
      <c r="DX334" t="n">
        <v>0</v>
      </c>
      <c r="DY334" t="n">
        <v>244</v>
      </c>
      <c r="DZ334" t="n">
        <v>1422</v>
      </c>
      <c r="EA334" t="n">
        <v>156</v>
      </c>
      <c r="EB334" t="n">
        <v>244</v>
      </c>
      <c r="EC334" t="n">
        <v>156</v>
      </c>
      <c r="ED334" t="n">
        <v>711</v>
      </c>
      <c r="EE334" t="n">
        <v>1511</v>
      </c>
      <c r="EF334" t="n">
        <v>0</v>
      </c>
      <c r="EG334" t="n">
        <v>0</v>
      </c>
      <c r="EH334" t="n">
        <v>1.2</v>
      </c>
      <c r="EI334" t="n">
        <v>1.5</v>
      </c>
      <c r="EJ334" t="n">
        <v>2.2</v>
      </c>
      <c r="EK334" t="n">
        <v>7.5</v>
      </c>
    </row>
    <row r="335">
      <c r="A335">
        <f>[1]ingredient!B335</f>
        <v/>
      </c>
      <c r="B335" t="inlineStr">
        <is>
          <t>https://www.naehrwertrechner.de/naehrwerte/R125000/Reisessig/?menge=100</t>
        </is>
      </c>
      <c r="C335" s="7">
        <f>_xlfn.XLOOKUP(A335,[1]ingredient!$B$2:$B$521,[1]ingredient!$A$2:$A$521)</f>
        <v/>
      </c>
      <c r="D335" t="n">
        <v>15</v>
      </c>
      <c r="E335" t="n">
        <v>0</v>
      </c>
      <c r="F335" t="n">
        <v>0</v>
      </c>
      <c r="G335" t="n">
        <v>0</v>
      </c>
      <c r="H335" t="n">
        <v>0</v>
      </c>
      <c r="I335" t="n">
        <v>0.02</v>
      </c>
      <c r="J335" t="n">
        <v>0.05</v>
      </c>
      <c r="K335" t="n">
        <v>95</v>
      </c>
      <c r="L335" t="n">
        <v>0</v>
      </c>
      <c r="M335" t="n">
        <v>0</v>
      </c>
      <c r="N335" t="n">
        <v>0</v>
      </c>
      <c r="O335" t="n">
        <v>0</v>
      </c>
      <c r="P335" t="n">
        <v>0</v>
      </c>
      <c r="Q335" t="n">
        <v>0</v>
      </c>
      <c r="R335" t="n">
        <v>0</v>
      </c>
      <c r="S335" t="n">
        <v>0</v>
      </c>
      <c r="T335" t="n">
        <v>0</v>
      </c>
      <c r="U335" t="n">
        <v>0</v>
      </c>
      <c r="V335" t="n">
        <v>0</v>
      </c>
      <c r="W335" t="n">
        <v>0</v>
      </c>
      <c r="X335" t="n">
        <v>0</v>
      </c>
      <c r="Y335" t="n">
        <v>0</v>
      </c>
      <c r="Z335" t="n">
        <v>0</v>
      </c>
      <c r="AA335" t="n">
        <v>0</v>
      </c>
      <c r="AB335" t="n">
        <v>0</v>
      </c>
      <c r="AC335" t="n">
        <v>0</v>
      </c>
      <c r="AD335" t="n">
        <v>89</v>
      </c>
      <c r="AE335" t="n">
        <v>15</v>
      </c>
      <c r="AF335" t="n">
        <v>22</v>
      </c>
      <c r="AG335" t="n">
        <v>32</v>
      </c>
      <c r="AH335" t="n">
        <v>19</v>
      </c>
      <c r="AI335" t="n">
        <v>47</v>
      </c>
      <c r="AJ335" t="n">
        <v>500</v>
      </c>
      <c r="AK335" t="n">
        <v>100</v>
      </c>
      <c r="AL335" t="n">
        <v>0</v>
      </c>
      <c r="AM335" t="n">
        <v>200</v>
      </c>
      <c r="AN335" t="n">
        <v>0</v>
      </c>
      <c r="AO335" t="n">
        <v>1</v>
      </c>
      <c r="AP335" t="n">
        <v>0</v>
      </c>
      <c r="AQ335" t="n">
        <v>0</v>
      </c>
      <c r="AR335" t="n">
        <v>0</v>
      </c>
      <c r="AS335" t="n">
        <v>0</v>
      </c>
      <c r="AT335" t="n">
        <v>10</v>
      </c>
      <c r="AU335" t="n">
        <v>10</v>
      </c>
      <c r="AV335" t="n">
        <v>0</v>
      </c>
      <c r="AW335" t="n">
        <v>20</v>
      </c>
      <c r="AX335" t="n">
        <v>0</v>
      </c>
      <c r="AY335" t="n">
        <v>0</v>
      </c>
      <c r="AZ335" t="n">
        <v>0</v>
      </c>
      <c r="BA335" t="n">
        <v>0</v>
      </c>
      <c r="BB335" t="n">
        <v>0</v>
      </c>
      <c r="BC335" t="n">
        <v>0</v>
      </c>
      <c r="BD335" t="n">
        <v>0</v>
      </c>
      <c r="BE335" t="n">
        <v>0</v>
      </c>
      <c r="BF335" t="n">
        <v>0</v>
      </c>
      <c r="BG335">
        <f>IF($F335=0,"0",MIN(
BH335/(30*$F335),
BI335/(61*$F335),
BJ335/(48*$F335),
(BK335+BL335)/(23*$F335),
(BM335+BN335)/(41*$F335),
BO335/(25*$F335),
BP335/(6.6*$F335),
BQ335/(40*$F335),
BS335/(16*$F335)
)*100)</f>
        <v/>
      </c>
      <c r="BH335" t="n">
        <v>1</v>
      </c>
      <c r="BI335" t="n">
        <v>0.4</v>
      </c>
      <c r="BJ335" t="n">
        <v>1</v>
      </c>
      <c r="BK335" t="n">
        <v>0.1</v>
      </c>
      <c r="BL335" t="n">
        <v>0.4</v>
      </c>
      <c r="BM335" t="n">
        <v>0.4</v>
      </c>
      <c r="BN335" t="n">
        <v>0.2</v>
      </c>
      <c r="BO335" t="n">
        <v>3</v>
      </c>
      <c r="BP335" t="n">
        <v>0.1</v>
      </c>
      <c r="BQ335" t="n">
        <v>1</v>
      </c>
      <c r="BR335" t="n">
        <v>2</v>
      </c>
      <c r="BS335" t="n">
        <v>0.3</v>
      </c>
      <c r="BT335" t="n">
        <v>9</v>
      </c>
      <c r="BU335" t="n">
        <v>1</v>
      </c>
      <c r="BV335" t="n">
        <v>1</v>
      </c>
      <c r="BW335" t="n">
        <v>4</v>
      </c>
      <c r="BX335" t="n">
        <v>1</v>
      </c>
      <c r="BY335" t="n">
        <v>3</v>
      </c>
      <c r="BZ335" t="n">
        <v>1</v>
      </c>
      <c r="CA335" t="n">
        <v>11</v>
      </c>
      <c r="CB335" t="n">
        <v>0</v>
      </c>
      <c r="CC335" t="n">
        <v>0</v>
      </c>
      <c r="CD335" t="n">
        <v>0</v>
      </c>
      <c r="CE335" t="n">
        <v>0</v>
      </c>
      <c r="CF335" t="n">
        <v>1</v>
      </c>
      <c r="CG335" t="n">
        <v>0</v>
      </c>
      <c r="CH335" t="n">
        <v>0</v>
      </c>
      <c r="CI335" t="n">
        <v>0</v>
      </c>
      <c r="CJ335" t="n">
        <v>0</v>
      </c>
      <c r="CK335" t="n">
        <v>0</v>
      </c>
      <c r="CL335" t="n">
        <v>0</v>
      </c>
      <c r="CM335" t="n">
        <v>0</v>
      </c>
      <c r="CN335" t="n">
        <v>0</v>
      </c>
      <c r="CO335" t="n">
        <v>0</v>
      </c>
      <c r="CP335" t="n">
        <v>0</v>
      </c>
      <c r="CQ335" t="n">
        <v>0</v>
      </c>
      <c r="CR335" t="n">
        <v>0</v>
      </c>
      <c r="CS335" t="n">
        <v>0</v>
      </c>
      <c r="CT335" t="n">
        <v>0</v>
      </c>
      <c r="CU335" t="n">
        <v>0</v>
      </c>
      <c r="CV335" t="n">
        <v>0</v>
      </c>
      <c r="CW335" t="n">
        <v>0</v>
      </c>
      <c r="CX335" t="n">
        <v>0</v>
      </c>
      <c r="CY335" t="n">
        <v>0</v>
      </c>
      <c r="CZ335" t="n">
        <v>0</v>
      </c>
      <c r="DA335" t="n">
        <v>0</v>
      </c>
      <c r="DB335" t="n">
        <v>0</v>
      </c>
      <c r="DC335" t="n">
        <v>0</v>
      </c>
      <c r="DD335" t="n">
        <v>0</v>
      </c>
      <c r="DE335" t="n">
        <v>0</v>
      </c>
      <c r="DF335" t="n">
        <v>0</v>
      </c>
      <c r="DG335" t="n">
        <v>0</v>
      </c>
      <c r="DH335" t="n">
        <v>0</v>
      </c>
      <c r="DI335" t="n">
        <v>0</v>
      </c>
      <c r="DJ335" t="n">
        <v>0</v>
      </c>
      <c r="DK335" t="n">
        <v>0</v>
      </c>
      <c r="DL335" t="n">
        <v>0</v>
      </c>
      <c r="DM335" t="n">
        <v>0</v>
      </c>
      <c r="DN335" t="n">
        <v>0</v>
      </c>
      <c r="DO335" t="n">
        <v>0</v>
      </c>
      <c r="DP335" t="n">
        <v>0</v>
      </c>
      <c r="DQ335" t="n">
        <v>0</v>
      </c>
      <c r="DR335" t="n">
        <v>0</v>
      </c>
      <c r="DS335" t="n">
        <v>0</v>
      </c>
      <c r="DT335" t="n">
        <v>0</v>
      </c>
      <c r="DU335" t="n">
        <v>0</v>
      </c>
      <c r="DV335" t="n">
        <v>0</v>
      </c>
      <c r="DW335" t="n">
        <v>0</v>
      </c>
      <c r="DX335" t="n">
        <v>0</v>
      </c>
      <c r="DY335" t="n">
        <v>0</v>
      </c>
      <c r="DZ335" t="n">
        <v>0</v>
      </c>
      <c r="EA335" t="n">
        <v>0</v>
      </c>
      <c r="EB335" t="n">
        <v>0</v>
      </c>
      <c r="EC335" t="n">
        <v>0</v>
      </c>
      <c r="ED335" t="n">
        <v>0</v>
      </c>
      <c r="EE335" t="n">
        <v>0</v>
      </c>
      <c r="EF335" t="n">
        <v>0</v>
      </c>
      <c r="EG335" t="n">
        <v>5000</v>
      </c>
      <c r="EH335" t="n">
        <v>0.2</v>
      </c>
      <c r="EI335" t="n">
        <v>0</v>
      </c>
      <c r="EJ335" t="n">
        <v>0</v>
      </c>
      <c r="EK335" t="n">
        <v>0</v>
      </c>
    </row>
    <row r="336">
      <c r="A336">
        <f>[1]ingredient!B336</f>
        <v/>
      </c>
      <c r="B336" t="inlineStr">
        <is>
          <t>https://www.naehrwertrechner.de/naehrwerte/C457021/Reisdrink/?menge=100</t>
        </is>
      </c>
      <c r="C336" s="7">
        <f>_xlfn.XLOOKUP(A336,[1]ingredient!$B$2:$B$521,[1]ingredient!$A$2:$A$521)</f>
        <v/>
      </c>
      <c r="D336" t="n">
        <v>52</v>
      </c>
      <c r="E336" t="n">
        <v>1</v>
      </c>
      <c r="F336" t="n">
        <v>1</v>
      </c>
      <c r="G336" t="n">
        <v>10</v>
      </c>
      <c r="H336" t="n">
        <v>1</v>
      </c>
      <c r="I336" t="n">
        <v>7</v>
      </c>
      <c r="J336" t="n">
        <v>0.33</v>
      </c>
      <c r="K336" t="n">
        <v>88</v>
      </c>
      <c r="L336" t="n">
        <v>0</v>
      </c>
      <c r="M336" t="n">
        <v>0</v>
      </c>
      <c r="N336" t="n">
        <v>0</v>
      </c>
      <c r="O336" t="n">
        <v>0</v>
      </c>
      <c r="P336" t="n">
        <v>0</v>
      </c>
      <c r="Q336" t="n">
        <v>0</v>
      </c>
      <c r="R336" t="n">
        <v>0</v>
      </c>
      <c r="S336" t="n">
        <v>100</v>
      </c>
      <c r="T336" t="n">
        <v>0</v>
      </c>
      <c r="U336" t="n">
        <v>0</v>
      </c>
      <c r="V336" t="n">
        <v>0</v>
      </c>
      <c r="W336" t="n">
        <v>0</v>
      </c>
      <c r="X336" t="n">
        <v>0</v>
      </c>
      <c r="Y336" t="n">
        <v>0</v>
      </c>
      <c r="Z336" t="n">
        <v>0</v>
      </c>
      <c r="AA336" t="n">
        <v>0</v>
      </c>
      <c r="AB336" t="n">
        <v>0.1</v>
      </c>
      <c r="AC336" t="n">
        <v>28</v>
      </c>
      <c r="AD336" t="n">
        <v>1</v>
      </c>
      <c r="AE336" t="n">
        <v>9</v>
      </c>
      <c r="AF336" t="n">
        <v>4</v>
      </c>
      <c r="AG336" t="n">
        <v>1</v>
      </c>
      <c r="AH336" t="n">
        <v>2</v>
      </c>
      <c r="AI336" t="n">
        <v>301</v>
      </c>
      <c r="AJ336" t="n">
        <v>0</v>
      </c>
      <c r="AK336" t="n">
        <v>0</v>
      </c>
      <c r="AL336" t="n">
        <v>0</v>
      </c>
      <c r="AM336" t="n">
        <v>0</v>
      </c>
      <c r="AN336" t="n">
        <v>0</v>
      </c>
      <c r="AO336" t="n">
        <v>10</v>
      </c>
      <c r="AP336" t="n">
        <v>0</v>
      </c>
      <c r="AQ336" t="n">
        <v>0</v>
      </c>
      <c r="AR336" t="n">
        <v>0</v>
      </c>
      <c r="AS336" t="n">
        <v>0</v>
      </c>
      <c r="AT336" t="n">
        <v>7100</v>
      </c>
      <c r="AU336" t="n">
        <v>0</v>
      </c>
      <c r="AV336" t="n">
        <v>0</v>
      </c>
      <c r="AW336" t="n">
        <v>7100</v>
      </c>
      <c r="AX336" t="n">
        <v>0</v>
      </c>
      <c r="AY336" t="n">
        <v>0</v>
      </c>
      <c r="AZ336" t="n">
        <v>0</v>
      </c>
      <c r="BA336" t="n">
        <v>0</v>
      </c>
      <c r="BB336" t="n">
        <v>0</v>
      </c>
      <c r="BC336" t="n">
        <v>0</v>
      </c>
      <c r="BD336" t="n">
        <v>0</v>
      </c>
      <c r="BE336" t="n">
        <v>2800</v>
      </c>
      <c r="BF336" t="n">
        <v>0</v>
      </c>
      <c r="BG336">
        <f>IF($F336=0,"0",MIN(
BH336/(30*$F336),
BI336/(61*$F336),
BJ336/(48*$F336),
(BK336+BL336)/(23*$F336),
(BM336+BN336)/(41*$F336),
BO336/(25*$F336),
BP336/(6.6*$F336),
BQ336/(40*$F336),
BS336/(16*$F336)
)*100)</f>
        <v/>
      </c>
      <c r="BH336" t="n">
        <v>24</v>
      </c>
      <c r="BI336" t="n">
        <v>43</v>
      </c>
      <c r="BJ336" t="n">
        <v>20</v>
      </c>
      <c r="BK336" t="n">
        <v>9</v>
      </c>
      <c r="BL336" t="n">
        <v>6</v>
      </c>
      <c r="BM336" t="n">
        <v>26</v>
      </c>
      <c r="BN336" t="n">
        <v>23</v>
      </c>
      <c r="BO336" t="n">
        <v>20</v>
      </c>
      <c r="BP336" t="n">
        <v>5</v>
      </c>
      <c r="BQ336" t="n">
        <v>34</v>
      </c>
      <c r="BR336" t="n">
        <v>30</v>
      </c>
      <c r="BS336" t="n">
        <v>8</v>
      </c>
      <c r="BT336" t="n">
        <v>248</v>
      </c>
      <c r="BU336" t="n">
        <v>31</v>
      </c>
      <c r="BV336" t="n">
        <v>49</v>
      </c>
      <c r="BW336" t="n">
        <v>99</v>
      </c>
      <c r="BX336" t="n">
        <v>23</v>
      </c>
      <c r="BY336" t="n">
        <v>26</v>
      </c>
      <c r="BZ336" t="n">
        <v>25</v>
      </c>
      <c r="CA336" t="n">
        <v>252</v>
      </c>
      <c r="CB336" t="n">
        <v>0</v>
      </c>
      <c r="CC336" t="n">
        <v>0</v>
      </c>
      <c r="CD336" t="n">
        <v>0</v>
      </c>
      <c r="CE336" t="n">
        <v>700</v>
      </c>
      <c r="CG336" t="n">
        <v>0</v>
      </c>
      <c r="CH336" t="n">
        <v>0</v>
      </c>
      <c r="CI336" t="n">
        <v>0</v>
      </c>
      <c r="CJ336" t="n">
        <v>0</v>
      </c>
      <c r="CK336" t="n">
        <v>0</v>
      </c>
      <c r="CL336" t="n">
        <v>1</v>
      </c>
      <c r="CM336" t="n">
        <v>0</v>
      </c>
      <c r="CN336" t="n">
        <v>49</v>
      </c>
      <c r="CO336" t="n">
        <v>0</v>
      </c>
      <c r="CP336" t="n">
        <v>39</v>
      </c>
      <c r="CQ336" t="n">
        <v>3</v>
      </c>
      <c r="CR336" t="n">
        <v>6</v>
      </c>
      <c r="CS336" t="n">
        <v>2</v>
      </c>
      <c r="CT336" t="n">
        <v>100</v>
      </c>
      <c r="CU336" t="n">
        <v>0</v>
      </c>
      <c r="CV336" t="n">
        <v>0</v>
      </c>
      <c r="CW336" t="n">
        <v>1</v>
      </c>
      <c r="CX336" t="n">
        <v>0</v>
      </c>
      <c r="CY336" t="n">
        <v>255</v>
      </c>
      <c r="CZ336" t="n">
        <v>2</v>
      </c>
      <c r="DA336" t="n">
        <v>1</v>
      </c>
      <c r="DB336" t="n">
        <v>0</v>
      </c>
      <c r="DC336" t="n">
        <v>300</v>
      </c>
      <c r="DD336" t="n">
        <v>0</v>
      </c>
      <c r="DE336" t="n">
        <v>0</v>
      </c>
      <c r="DF336" t="n">
        <v>700</v>
      </c>
      <c r="DG336" t="n">
        <v>0</v>
      </c>
      <c r="DH336" t="n">
        <v>0</v>
      </c>
      <c r="DI336" t="n">
        <v>0</v>
      </c>
      <c r="DJ336" t="n">
        <v>0</v>
      </c>
      <c r="DK336" t="n">
        <v>0</v>
      </c>
      <c r="DL336" t="n">
        <v>0</v>
      </c>
      <c r="DM336" t="n">
        <v>0</v>
      </c>
      <c r="DN336" t="n">
        <v>0</v>
      </c>
      <c r="DO336" t="n">
        <v>0</v>
      </c>
      <c r="DP336" t="n">
        <v>0</v>
      </c>
      <c r="DQ336" t="n">
        <v>0</v>
      </c>
      <c r="DR336" t="n">
        <v>0</v>
      </c>
      <c r="DS336" t="n">
        <v>700</v>
      </c>
      <c r="DT336" t="n">
        <v>1100</v>
      </c>
      <c r="DU336" t="n">
        <v>0</v>
      </c>
      <c r="DV336" t="n">
        <v>0</v>
      </c>
      <c r="DW336" t="n">
        <v>0</v>
      </c>
      <c r="DX336" t="n">
        <v>0</v>
      </c>
      <c r="DY336" t="n">
        <v>18</v>
      </c>
      <c r="DZ336" t="n">
        <v>295</v>
      </c>
      <c r="EA336" t="n">
        <v>65</v>
      </c>
      <c r="EB336" t="n">
        <v>75</v>
      </c>
      <c r="EC336" t="n">
        <v>48</v>
      </c>
      <c r="ED336" t="n">
        <v>313</v>
      </c>
      <c r="EE336" t="n">
        <v>188</v>
      </c>
      <c r="EF336" t="n">
        <v>0</v>
      </c>
      <c r="EG336" t="n">
        <v>0</v>
      </c>
      <c r="EH336" t="n">
        <v>0.3</v>
      </c>
      <c r="EI336" t="n">
        <v>0.2</v>
      </c>
      <c r="EJ336" t="n">
        <v>1.1</v>
      </c>
      <c r="EK336" t="n">
        <v>0.5</v>
      </c>
    </row>
    <row r="337">
      <c r="A337">
        <f>[1]ingredient!B337</f>
        <v/>
      </c>
      <c r="B337" t="inlineStr">
        <is>
          <t>https://www.naehrwertrechner.de/naehrwerte/C354200/Reispapier/?menge=100</t>
        </is>
      </c>
      <c r="C337" s="7">
        <f>_xlfn.XLOOKUP(A337,[1]ingredient!$B$2:$B$521,[1]ingredient!$A$2:$A$521)</f>
        <v/>
      </c>
      <c r="D337" t="n">
        <v>350</v>
      </c>
      <c r="E337" t="n">
        <v>1</v>
      </c>
      <c r="F337" t="n">
        <v>4</v>
      </c>
      <c r="G337" t="n">
        <v>81</v>
      </c>
      <c r="H337" t="n">
        <v>1</v>
      </c>
      <c r="I337" t="n">
        <v>0.4</v>
      </c>
      <c r="J337" t="n">
        <v>2</v>
      </c>
      <c r="K337" t="n">
        <v>11</v>
      </c>
      <c r="L337" t="n">
        <v>0</v>
      </c>
      <c r="M337" t="n">
        <v>0</v>
      </c>
      <c r="N337" t="n">
        <v>0</v>
      </c>
      <c r="O337" t="n">
        <v>0</v>
      </c>
      <c r="P337" t="n">
        <v>100</v>
      </c>
      <c r="Q337" t="n">
        <v>0</v>
      </c>
      <c r="R337" t="n">
        <v>1400</v>
      </c>
      <c r="S337" t="n">
        <v>2200</v>
      </c>
      <c r="T337" t="n">
        <v>500</v>
      </c>
      <c r="U337" t="n">
        <v>200</v>
      </c>
      <c r="V337" t="n">
        <v>1</v>
      </c>
      <c r="W337" t="n">
        <v>10</v>
      </c>
      <c r="X337" t="n">
        <v>0</v>
      </c>
      <c r="Y337" t="n">
        <v>0</v>
      </c>
      <c r="Z337" t="n">
        <v>0</v>
      </c>
      <c r="AA337" t="n">
        <v>0</v>
      </c>
      <c r="AB337" t="n">
        <v>0</v>
      </c>
      <c r="AC337" t="n">
        <v>532</v>
      </c>
      <c r="AD337" t="n">
        <v>103</v>
      </c>
      <c r="AE337" t="n">
        <v>8</v>
      </c>
      <c r="AF337" t="n">
        <v>23</v>
      </c>
      <c r="AG337" t="n">
        <v>88</v>
      </c>
      <c r="AH337" t="n">
        <v>49</v>
      </c>
      <c r="AI337" t="n">
        <v>1440</v>
      </c>
      <c r="AJ337" t="n">
        <v>500</v>
      </c>
      <c r="AK337" t="n">
        <v>400</v>
      </c>
      <c r="AL337" t="n">
        <v>200</v>
      </c>
      <c r="AM337" t="n">
        <v>600</v>
      </c>
      <c r="AN337" t="n">
        <v>0</v>
      </c>
      <c r="AO337" t="n">
        <v>49</v>
      </c>
      <c r="AP337" t="n">
        <v>0</v>
      </c>
      <c r="AQ337" t="n">
        <v>0</v>
      </c>
      <c r="AR337" t="n">
        <v>0</v>
      </c>
      <c r="AS337" t="n">
        <v>0</v>
      </c>
      <c r="AT337" t="n">
        <v>133</v>
      </c>
      <c r="AU337" t="n">
        <v>133</v>
      </c>
      <c r="AV337" t="n">
        <v>0</v>
      </c>
      <c r="AW337" t="n">
        <v>267</v>
      </c>
      <c r="AX337" t="n">
        <v>100</v>
      </c>
      <c r="AY337" t="n">
        <v>0</v>
      </c>
      <c r="AZ337" t="n">
        <v>0</v>
      </c>
      <c r="BA337" t="n">
        <v>133</v>
      </c>
      <c r="BB337" t="n">
        <v>0</v>
      </c>
      <c r="BC337" t="n">
        <v>0</v>
      </c>
      <c r="BD337" t="n">
        <v>0</v>
      </c>
      <c r="BE337" t="n">
        <v>80600</v>
      </c>
      <c r="BF337" t="n">
        <v>0</v>
      </c>
      <c r="BG337">
        <f>IF($F337=0,"0",MIN(
BH337/(30*$F337),
BI337/(61*$F337),
BJ337/(48*$F337),
(BK337+BL337)/(23*$F337),
(BM337+BN337)/(41*$F337),
BO337/(25*$F337),
BP337/(6.6*$F337),
BQ337/(40*$F337),
BS337/(16*$F337)
)*100)</f>
        <v/>
      </c>
      <c r="BH337" t="n">
        <v>167</v>
      </c>
      <c r="BI337" t="n">
        <v>314</v>
      </c>
      <c r="BJ337" t="n">
        <v>142</v>
      </c>
      <c r="BK337" t="n">
        <v>96</v>
      </c>
      <c r="BL337" t="n">
        <v>46</v>
      </c>
      <c r="BM337" t="n">
        <v>197</v>
      </c>
      <c r="BN337" t="n">
        <v>142</v>
      </c>
      <c r="BO337" t="n">
        <v>121</v>
      </c>
      <c r="BP337" t="n">
        <v>51</v>
      </c>
      <c r="BQ337" t="n">
        <v>253</v>
      </c>
      <c r="BR337" t="n">
        <v>293</v>
      </c>
      <c r="BS337" t="n">
        <v>91</v>
      </c>
      <c r="BT337" t="n">
        <v>1911</v>
      </c>
      <c r="BU337" t="n">
        <v>223</v>
      </c>
      <c r="BV337" t="n">
        <v>339</v>
      </c>
      <c r="BW337" t="n">
        <v>582</v>
      </c>
      <c r="BX337" t="n">
        <v>172</v>
      </c>
      <c r="BY337" t="n">
        <v>167</v>
      </c>
      <c r="BZ337" t="n">
        <v>207</v>
      </c>
      <c r="CA337" t="n">
        <v>1689</v>
      </c>
      <c r="CB337" t="n">
        <v>83</v>
      </c>
      <c r="CC337" t="n">
        <v>28</v>
      </c>
      <c r="CD337" t="n">
        <v>0</v>
      </c>
      <c r="CE337" t="n">
        <v>300</v>
      </c>
      <c r="CG337" t="n">
        <v>0</v>
      </c>
      <c r="CH337" t="n">
        <v>0</v>
      </c>
      <c r="CI337" t="n">
        <v>0</v>
      </c>
      <c r="CJ337" t="n">
        <v>0</v>
      </c>
      <c r="CK337" t="n">
        <v>0</v>
      </c>
      <c r="CL337" t="n">
        <v>13</v>
      </c>
      <c r="CM337" t="n">
        <v>0</v>
      </c>
      <c r="CN337" t="n">
        <v>346</v>
      </c>
      <c r="CO337" t="n">
        <v>0</v>
      </c>
      <c r="CP337" t="n">
        <v>36</v>
      </c>
      <c r="CQ337" t="n">
        <v>5</v>
      </c>
      <c r="CR337" t="n">
        <v>0</v>
      </c>
      <c r="CS337" t="n">
        <v>0</v>
      </c>
      <c r="CT337" t="n">
        <v>400</v>
      </c>
      <c r="CU337" t="n">
        <v>0</v>
      </c>
      <c r="CV337" t="n">
        <v>0</v>
      </c>
      <c r="CW337" t="n">
        <v>1</v>
      </c>
      <c r="CX337" t="n">
        <v>0</v>
      </c>
      <c r="CY337" t="n">
        <v>198</v>
      </c>
      <c r="CZ337" t="n">
        <v>0</v>
      </c>
      <c r="DA337" t="n">
        <v>0</v>
      </c>
      <c r="DB337" t="n">
        <v>0</v>
      </c>
      <c r="DC337" t="n">
        <v>200</v>
      </c>
      <c r="DD337" t="n">
        <v>0</v>
      </c>
      <c r="DE337" t="n">
        <v>0</v>
      </c>
      <c r="DF337" t="n">
        <v>300</v>
      </c>
      <c r="DG337" t="n">
        <v>0</v>
      </c>
      <c r="DH337" t="n">
        <v>0</v>
      </c>
      <c r="DI337" t="n">
        <v>0</v>
      </c>
      <c r="DJ337" t="n">
        <v>0</v>
      </c>
      <c r="DK337" t="n">
        <v>0</v>
      </c>
      <c r="DL337" t="n">
        <v>0</v>
      </c>
      <c r="DM337" t="n">
        <v>0</v>
      </c>
      <c r="DN337" t="n">
        <v>0</v>
      </c>
      <c r="DO337" t="n">
        <v>0</v>
      </c>
      <c r="DP337" t="n">
        <v>0</v>
      </c>
      <c r="DQ337" t="n">
        <v>0</v>
      </c>
      <c r="DR337" t="n">
        <v>0</v>
      </c>
      <c r="DS337" t="n">
        <v>300</v>
      </c>
      <c r="DT337" t="n">
        <v>882</v>
      </c>
      <c r="DU337" t="n">
        <v>119</v>
      </c>
      <c r="DV337" t="n">
        <v>0</v>
      </c>
      <c r="DW337" t="n">
        <v>0</v>
      </c>
      <c r="DX337" t="n">
        <v>0</v>
      </c>
      <c r="DY337" t="n">
        <v>35</v>
      </c>
      <c r="DZ337" t="n">
        <v>590</v>
      </c>
      <c r="EA337" t="n">
        <v>130</v>
      </c>
      <c r="EB337" t="n">
        <v>150</v>
      </c>
      <c r="EC337" t="n">
        <v>95</v>
      </c>
      <c r="ED337" t="n">
        <v>625</v>
      </c>
      <c r="EE337" t="n">
        <v>375</v>
      </c>
      <c r="EF337" t="n">
        <v>0</v>
      </c>
      <c r="EG337" t="n">
        <v>0</v>
      </c>
      <c r="EH337" t="n">
        <v>2.2</v>
      </c>
      <c r="EI337" t="n">
        <v>0.4</v>
      </c>
      <c r="EJ337" t="n">
        <v>1</v>
      </c>
      <c r="EK337" t="n">
        <v>3.9</v>
      </c>
    </row>
    <row r="338">
      <c r="A338">
        <f>[1]ingredient!B338</f>
        <v/>
      </c>
      <c r="B338" t="inlineStr">
        <is>
          <t>https://www.naehrwertrechner.de/naehrwerte/G681111/Rettich+wei%C3%9F+frisch/?menge=100</t>
        </is>
      </c>
      <c r="C338" s="7">
        <f>_xlfn.XLOOKUP(A338,[1]ingredient!$B$2:$B$521,[1]ingredient!$A$2:$A$521)</f>
        <v/>
      </c>
      <c r="D338" t="n">
        <v>14</v>
      </c>
      <c r="E338" t="n">
        <v>0.15</v>
      </c>
      <c r="F338" t="n">
        <v>1</v>
      </c>
      <c r="G338" t="n">
        <v>2</v>
      </c>
      <c r="H338" t="n">
        <v>3</v>
      </c>
      <c r="I338" t="n">
        <v>2</v>
      </c>
      <c r="J338" t="n">
        <v>0.04</v>
      </c>
      <c r="K338" t="n">
        <v>94</v>
      </c>
      <c r="L338" t="n">
        <v>2</v>
      </c>
      <c r="M338" t="n">
        <v>1</v>
      </c>
      <c r="N338" t="n">
        <v>0</v>
      </c>
      <c r="O338" t="n">
        <v>9</v>
      </c>
      <c r="P338" t="n">
        <v>30</v>
      </c>
      <c r="Q338" t="n">
        <v>30</v>
      </c>
      <c r="R338" t="n">
        <v>400</v>
      </c>
      <c r="S338" t="n">
        <v>467</v>
      </c>
      <c r="T338" t="n">
        <v>180</v>
      </c>
      <c r="U338" t="n">
        <v>60</v>
      </c>
      <c r="V338" t="n">
        <v>1</v>
      </c>
      <c r="W338" t="n">
        <v>24</v>
      </c>
      <c r="X338" t="n">
        <v>0</v>
      </c>
      <c r="Y338" t="n">
        <v>27000</v>
      </c>
      <c r="Z338" t="n">
        <v>0</v>
      </c>
      <c r="AA338" t="n">
        <v>10</v>
      </c>
      <c r="AB338" t="n">
        <v>50</v>
      </c>
      <c r="AC338" t="n">
        <v>18</v>
      </c>
      <c r="AD338" t="n">
        <v>322</v>
      </c>
      <c r="AE338" t="n">
        <v>33</v>
      </c>
      <c r="AF338" t="n">
        <v>15</v>
      </c>
      <c r="AG338" t="n">
        <v>29</v>
      </c>
      <c r="AH338" t="n">
        <v>25</v>
      </c>
      <c r="AI338" t="n">
        <v>19</v>
      </c>
      <c r="AJ338" t="n">
        <v>800</v>
      </c>
      <c r="AK338" t="n">
        <v>265</v>
      </c>
      <c r="AL338" t="n">
        <v>37</v>
      </c>
      <c r="AM338" t="n">
        <v>50</v>
      </c>
      <c r="AN338" t="n">
        <v>30</v>
      </c>
      <c r="AO338" t="n">
        <v>8</v>
      </c>
      <c r="AP338" t="n">
        <v>0</v>
      </c>
      <c r="AQ338" t="n">
        <v>0</v>
      </c>
      <c r="AR338" t="n">
        <v>0</v>
      </c>
      <c r="AS338" t="n">
        <v>0</v>
      </c>
      <c r="AT338" t="n">
        <v>1228</v>
      </c>
      <c r="AU338" t="n">
        <v>567</v>
      </c>
      <c r="AV338" t="n">
        <v>0</v>
      </c>
      <c r="AW338" t="n">
        <v>1795</v>
      </c>
      <c r="AX338" t="n">
        <v>95</v>
      </c>
      <c r="AY338" t="n">
        <v>0</v>
      </c>
      <c r="AZ338" t="n">
        <v>0</v>
      </c>
      <c r="BA338" t="n">
        <v>95</v>
      </c>
      <c r="BB338" t="n">
        <v>0</v>
      </c>
      <c r="BC338" t="n">
        <v>0</v>
      </c>
      <c r="BD338" t="n">
        <v>0</v>
      </c>
      <c r="BE338" t="n">
        <v>0</v>
      </c>
      <c r="BF338" t="n">
        <v>0</v>
      </c>
      <c r="BG338">
        <f>IF($F338=0,"0",MIN(
BH338/(30*$F338),
BI338/(61*$F338),
BJ338/(48*$F338),
(BK338+BL338)/(23*$F338),
(BM338+BN338)/(41*$F338),
BO338/(25*$F338),
BP338/(6.6*$F338),
BQ338/(40*$F338),
BS338/(16*$F338)
)*100)</f>
        <v/>
      </c>
      <c r="BH338" t="n">
        <v>50</v>
      </c>
      <c r="BI338" t="n">
        <v>64</v>
      </c>
      <c r="BJ338" t="n">
        <v>49</v>
      </c>
      <c r="BK338" t="n">
        <v>9</v>
      </c>
      <c r="BL338" t="n">
        <v>8</v>
      </c>
      <c r="BM338" t="n">
        <v>40</v>
      </c>
      <c r="BN338" t="n">
        <v>21</v>
      </c>
      <c r="BO338" t="n">
        <v>42</v>
      </c>
      <c r="BP338" t="n">
        <v>4</v>
      </c>
      <c r="BQ338" t="n">
        <v>58</v>
      </c>
      <c r="BR338" t="n">
        <v>74</v>
      </c>
      <c r="BS338" t="n">
        <v>25</v>
      </c>
      <c r="BT338" t="n">
        <v>444</v>
      </c>
      <c r="BU338" t="n">
        <v>38</v>
      </c>
      <c r="BV338" t="n">
        <v>79</v>
      </c>
      <c r="BW338" t="n">
        <v>231</v>
      </c>
      <c r="BX338" t="n">
        <v>33</v>
      </c>
      <c r="BY338" t="n">
        <v>30</v>
      </c>
      <c r="BZ338" t="n">
        <v>37</v>
      </c>
      <c r="CA338" t="n">
        <v>448</v>
      </c>
      <c r="CB338" t="n">
        <v>10</v>
      </c>
      <c r="CC338" t="n">
        <v>4</v>
      </c>
      <c r="CD338" t="n">
        <v>54</v>
      </c>
      <c r="CE338" t="n">
        <v>18</v>
      </c>
      <c r="CF338" t="n">
        <v>0.33</v>
      </c>
      <c r="CG338" t="n">
        <v>0</v>
      </c>
      <c r="CH338" t="n">
        <v>0</v>
      </c>
      <c r="CI338" t="n">
        <v>0</v>
      </c>
      <c r="CJ338" t="n">
        <v>0</v>
      </c>
      <c r="CK338" t="n">
        <v>0</v>
      </c>
      <c r="CL338" t="n">
        <v>0</v>
      </c>
      <c r="CM338" t="n">
        <v>0</v>
      </c>
      <c r="CN338" t="n">
        <v>29</v>
      </c>
      <c r="CO338" t="n">
        <v>0</v>
      </c>
      <c r="CP338" t="n">
        <v>4</v>
      </c>
      <c r="CQ338" t="n">
        <v>0</v>
      </c>
      <c r="CR338" t="n">
        <v>0</v>
      </c>
      <c r="CS338" t="n">
        <v>0</v>
      </c>
      <c r="CT338" t="n">
        <v>33</v>
      </c>
      <c r="CU338" t="n">
        <v>0</v>
      </c>
      <c r="CV338" t="n">
        <v>0</v>
      </c>
      <c r="CW338" t="n">
        <v>0</v>
      </c>
      <c r="CX338" t="n">
        <v>0</v>
      </c>
      <c r="CY338" t="n">
        <v>15</v>
      </c>
      <c r="CZ338" t="n">
        <v>0</v>
      </c>
      <c r="DA338" t="n">
        <v>0</v>
      </c>
      <c r="DB338" t="n">
        <v>0</v>
      </c>
      <c r="DC338" t="n">
        <v>15</v>
      </c>
      <c r="DD338" t="n">
        <v>0</v>
      </c>
      <c r="DE338" t="n">
        <v>0</v>
      </c>
      <c r="DF338" t="n">
        <v>18</v>
      </c>
      <c r="DG338" t="n">
        <v>54</v>
      </c>
      <c r="DH338" t="n">
        <v>0</v>
      </c>
      <c r="DI338" t="n">
        <v>0</v>
      </c>
      <c r="DJ338" t="n">
        <v>0</v>
      </c>
      <c r="DK338" t="n">
        <v>0</v>
      </c>
      <c r="DL338" t="n">
        <v>0</v>
      </c>
      <c r="DM338" t="n">
        <v>0</v>
      </c>
      <c r="DN338" t="n">
        <v>0</v>
      </c>
      <c r="DO338" t="n">
        <v>0</v>
      </c>
      <c r="DP338" t="n">
        <v>0</v>
      </c>
      <c r="DQ338" t="n">
        <v>0</v>
      </c>
      <c r="DR338" t="n">
        <v>0</v>
      </c>
      <c r="DS338" t="n">
        <v>72</v>
      </c>
      <c r="DT338" t="n">
        <v>120</v>
      </c>
      <c r="DU338" t="n">
        <v>30</v>
      </c>
      <c r="DV338" t="n">
        <v>0</v>
      </c>
      <c r="DW338" t="n">
        <v>0</v>
      </c>
      <c r="DX338" t="n">
        <v>0</v>
      </c>
      <c r="DY338" t="n">
        <v>250</v>
      </c>
      <c r="DZ338" t="n">
        <v>375</v>
      </c>
      <c r="EA338" t="n">
        <v>675</v>
      </c>
      <c r="EB338" t="n">
        <v>1125</v>
      </c>
      <c r="EC338" t="n">
        <v>75</v>
      </c>
      <c r="ED338" t="n">
        <v>575</v>
      </c>
      <c r="EE338" t="n">
        <v>1925</v>
      </c>
      <c r="EF338" t="n">
        <v>0</v>
      </c>
      <c r="EG338" t="n">
        <v>0.12</v>
      </c>
      <c r="EH338" t="n">
        <v>0.7</v>
      </c>
      <c r="EI338" t="n">
        <v>1.9</v>
      </c>
      <c r="EJ338" t="n">
        <v>0.2</v>
      </c>
      <c r="EK338" t="n">
        <v>0.9</v>
      </c>
    </row>
    <row r="339">
      <c r="A339">
        <f>[1]ingredient!B339</f>
        <v/>
      </c>
      <c r="B339" t="inlineStr">
        <is>
          <t>https://www.naehrwertrechner.de/naehrwerte/F081111/Rhabarber+frisch/?menge=100</t>
        </is>
      </c>
      <c r="C339" s="7">
        <f>_xlfn.XLOOKUP(A339,[1]ingredient!$B$2:$B$521,[1]ingredient!$A$2:$A$521)</f>
        <v/>
      </c>
      <c r="D339" t="n">
        <v>13</v>
      </c>
      <c r="E339" t="n">
        <v>0.1</v>
      </c>
      <c r="F339" t="n">
        <v>1</v>
      </c>
      <c r="G339" t="n">
        <v>1</v>
      </c>
      <c r="H339" t="n">
        <v>2</v>
      </c>
      <c r="I339" t="n">
        <v>1</v>
      </c>
      <c r="J339" t="n">
        <v>0.06</v>
      </c>
      <c r="K339" t="n">
        <v>94</v>
      </c>
      <c r="L339" t="n">
        <v>12</v>
      </c>
      <c r="M339" t="n">
        <v>6</v>
      </c>
      <c r="N339" t="n">
        <v>0</v>
      </c>
      <c r="O339" t="n">
        <v>70</v>
      </c>
      <c r="P339" t="n">
        <v>30</v>
      </c>
      <c r="Q339" t="n">
        <v>30</v>
      </c>
      <c r="R339" t="n">
        <v>250</v>
      </c>
      <c r="S339" t="n">
        <v>367</v>
      </c>
      <c r="T339" t="n">
        <v>85</v>
      </c>
      <c r="U339" t="n">
        <v>30</v>
      </c>
      <c r="V339" t="n">
        <v>1</v>
      </c>
      <c r="W339" t="n">
        <v>3</v>
      </c>
      <c r="X339" t="n">
        <v>0</v>
      </c>
      <c r="Y339" t="n">
        <v>10000</v>
      </c>
      <c r="Z339" t="n">
        <v>0</v>
      </c>
      <c r="AA339" t="n">
        <v>250</v>
      </c>
      <c r="AB339" t="n">
        <v>11</v>
      </c>
      <c r="AC339" t="n">
        <v>2</v>
      </c>
      <c r="AD339" t="n">
        <v>270</v>
      </c>
      <c r="AE339" t="n">
        <v>52</v>
      </c>
      <c r="AF339" t="n">
        <v>13</v>
      </c>
      <c r="AG339" t="n">
        <v>24</v>
      </c>
      <c r="AH339" t="n">
        <v>8</v>
      </c>
      <c r="AI339" t="n">
        <v>60</v>
      </c>
      <c r="AJ339" t="n">
        <v>500</v>
      </c>
      <c r="AK339" t="n">
        <v>150</v>
      </c>
      <c r="AL339" t="n">
        <v>50</v>
      </c>
      <c r="AM339" t="n">
        <v>130</v>
      </c>
      <c r="AN339" t="n">
        <v>40</v>
      </c>
      <c r="AO339" t="n">
        <v>1</v>
      </c>
      <c r="AP339" t="n">
        <v>0</v>
      </c>
      <c r="AQ339" t="n">
        <v>0</v>
      </c>
      <c r="AR339" t="n">
        <v>0</v>
      </c>
      <c r="AS339" t="n">
        <v>0</v>
      </c>
      <c r="AT339" t="n">
        <v>408</v>
      </c>
      <c r="AU339" t="n">
        <v>386</v>
      </c>
      <c r="AV339" t="n">
        <v>0</v>
      </c>
      <c r="AW339" t="n">
        <v>794</v>
      </c>
      <c r="AX339" t="n">
        <v>335</v>
      </c>
      <c r="AY339" t="n">
        <v>0</v>
      </c>
      <c r="AZ339" t="n">
        <v>0</v>
      </c>
      <c r="BA339" t="n">
        <v>335</v>
      </c>
      <c r="BB339" t="n">
        <v>0</v>
      </c>
      <c r="BC339" t="n">
        <v>0</v>
      </c>
      <c r="BD339" t="n">
        <v>0</v>
      </c>
      <c r="BE339" t="n">
        <v>231</v>
      </c>
      <c r="BF339" t="n">
        <v>231</v>
      </c>
      <c r="BG339">
        <f>IF($F339=0,"0",MIN(
BH339/(30*$F339),
BI339/(61*$F339),
BJ339/(48*$F339),
(BK339+BL339)/(23*$F339),
(BM339+BN339)/(41*$F339),
BO339/(25*$F339),
BP339/(6.6*$F339),
BQ339/(40*$F339),
BS339/(16*$F339)
)*100)</f>
        <v/>
      </c>
      <c r="BH339" t="n">
        <v>17</v>
      </c>
      <c r="BI339" t="n">
        <v>24</v>
      </c>
      <c r="BJ339" t="n">
        <v>25</v>
      </c>
      <c r="BK339" t="n">
        <v>7</v>
      </c>
      <c r="BL339" t="n">
        <v>1</v>
      </c>
      <c r="BM339" t="n">
        <v>17</v>
      </c>
      <c r="BN339" t="n">
        <v>11</v>
      </c>
      <c r="BO339" t="n">
        <v>14</v>
      </c>
      <c r="BP339" t="n">
        <v>7</v>
      </c>
      <c r="BQ339" t="n">
        <v>25</v>
      </c>
      <c r="BR339" t="n">
        <v>20</v>
      </c>
      <c r="BS339" t="n">
        <v>11</v>
      </c>
      <c r="BT339" t="n">
        <v>179</v>
      </c>
      <c r="BU339" t="n">
        <v>18</v>
      </c>
      <c r="BV339" t="n">
        <v>29</v>
      </c>
      <c r="BW339" t="n">
        <v>48</v>
      </c>
      <c r="BX339" t="n">
        <v>17</v>
      </c>
      <c r="BY339" t="n">
        <v>15</v>
      </c>
      <c r="BZ339" t="n">
        <v>17</v>
      </c>
      <c r="CA339" t="n">
        <v>144</v>
      </c>
      <c r="CB339" t="n">
        <v>5</v>
      </c>
      <c r="CC339" t="n">
        <v>2</v>
      </c>
      <c r="CD339" t="n">
        <v>12</v>
      </c>
      <c r="CE339" t="n">
        <v>38</v>
      </c>
      <c r="CF339" t="n">
        <v>3.17</v>
      </c>
      <c r="CG339" t="n">
        <v>0</v>
      </c>
      <c r="CH339" t="n">
        <v>0</v>
      </c>
      <c r="CI339" t="n">
        <v>0</v>
      </c>
      <c r="CJ339" t="n">
        <v>0</v>
      </c>
      <c r="CK339" t="n">
        <v>0</v>
      </c>
      <c r="CL339" t="n">
        <v>0</v>
      </c>
      <c r="CM339" t="n">
        <v>0</v>
      </c>
      <c r="CN339" t="n">
        <v>21</v>
      </c>
      <c r="CO339" t="n">
        <v>0</v>
      </c>
      <c r="CP339" t="n">
        <v>4</v>
      </c>
      <c r="CQ339" t="n">
        <v>0</v>
      </c>
      <c r="CR339" t="n">
        <v>0</v>
      </c>
      <c r="CS339" t="n">
        <v>0</v>
      </c>
      <c r="CT339" t="n">
        <v>25</v>
      </c>
      <c r="CU339" t="n">
        <v>0</v>
      </c>
      <c r="CV339" t="n">
        <v>0</v>
      </c>
      <c r="CW339" t="n">
        <v>0</v>
      </c>
      <c r="CX339" t="n">
        <v>0</v>
      </c>
      <c r="CY339" t="n">
        <v>5</v>
      </c>
      <c r="CZ339" t="n">
        <v>0</v>
      </c>
      <c r="DA339" t="n">
        <v>0</v>
      </c>
      <c r="DB339" t="n">
        <v>0</v>
      </c>
      <c r="DC339" t="n">
        <v>5</v>
      </c>
      <c r="DD339" t="n">
        <v>0</v>
      </c>
      <c r="DE339" t="n">
        <v>0</v>
      </c>
      <c r="DF339" t="n">
        <v>38</v>
      </c>
      <c r="DG339" t="n">
        <v>12</v>
      </c>
      <c r="DH339" t="n">
        <v>0</v>
      </c>
      <c r="DI339" t="n">
        <v>0</v>
      </c>
      <c r="DJ339" t="n">
        <v>0</v>
      </c>
      <c r="DK339" t="n">
        <v>0</v>
      </c>
      <c r="DL339" t="n">
        <v>0</v>
      </c>
      <c r="DM339" t="n">
        <v>0</v>
      </c>
      <c r="DN339" t="n">
        <v>0</v>
      </c>
      <c r="DO339" t="n">
        <v>0</v>
      </c>
      <c r="DP339" t="n">
        <v>0</v>
      </c>
      <c r="DQ339" t="n">
        <v>0</v>
      </c>
      <c r="DR339" t="n">
        <v>0</v>
      </c>
      <c r="DS339" t="n">
        <v>50</v>
      </c>
      <c r="DT339" t="n">
        <v>80</v>
      </c>
      <c r="DU339" t="n">
        <v>20</v>
      </c>
      <c r="DV339" t="n">
        <v>0</v>
      </c>
      <c r="DW339" t="n">
        <v>0</v>
      </c>
      <c r="DX339" t="n">
        <v>0</v>
      </c>
      <c r="DY339" t="n">
        <v>253</v>
      </c>
      <c r="DZ339" t="n">
        <v>584</v>
      </c>
      <c r="EA339" t="n">
        <v>435</v>
      </c>
      <c r="EB339" t="n">
        <v>941</v>
      </c>
      <c r="EC339" t="n">
        <v>87</v>
      </c>
      <c r="ED339" t="n">
        <v>766</v>
      </c>
      <c r="EE339" t="n">
        <v>1534</v>
      </c>
      <c r="EF339" t="n">
        <v>0</v>
      </c>
      <c r="EG339" t="n">
        <v>1</v>
      </c>
      <c r="EH339" t="n">
        <v>0.6</v>
      </c>
      <c r="EI339" t="n">
        <v>1.5</v>
      </c>
      <c r="EJ339" t="n">
        <v>0.1</v>
      </c>
      <c r="EK339" t="n">
        <v>0.3</v>
      </c>
    </row>
    <row r="340">
      <c r="A340">
        <f>[1]ingredient!B340</f>
        <v/>
      </c>
      <c r="B340" t="inlineStr">
        <is>
          <t>https://www.naehrwertrechner.de/naehrwerte/K701111/Champignon+frisch/?menge=100</t>
        </is>
      </c>
      <c r="C340" s="7">
        <f>_xlfn.XLOOKUP(A340,[1]ingredient!$B$2:$B$521,[1]ingredient!$A$2:$A$521)</f>
        <v/>
      </c>
      <c r="D340" t="n">
        <v>15</v>
      </c>
      <c r="E340" t="n">
        <v>0.24</v>
      </c>
      <c r="F340" t="n">
        <v>3</v>
      </c>
      <c r="G340" t="n">
        <v>1</v>
      </c>
      <c r="H340" t="n">
        <v>2</v>
      </c>
      <c r="I340" t="n">
        <v>0.11</v>
      </c>
      <c r="J340" t="n">
        <v>0.08</v>
      </c>
      <c r="K340" t="n">
        <v>93</v>
      </c>
      <c r="L340" t="n">
        <v>2</v>
      </c>
      <c r="M340" t="n">
        <v>1</v>
      </c>
      <c r="N340" t="n">
        <v>0</v>
      </c>
      <c r="O340" t="n">
        <v>10</v>
      </c>
      <c r="P340" t="n">
        <v>100</v>
      </c>
      <c r="Q340" t="n">
        <v>440</v>
      </c>
      <c r="R340" t="n">
        <v>5200</v>
      </c>
      <c r="S340" t="n">
        <v>5567</v>
      </c>
      <c r="T340" t="n">
        <v>2100</v>
      </c>
      <c r="U340" t="n">
        <v>65</v>
      </c>
      <c r="V340" t="n">
        <v>16</v>
      </c>
      <c r="W340" t="n">
        <v>25</v>
      </c>
      <c r="X340" t="n">
        <v>0</v>
      </c>
      <c r="Y340" t="n">
        <v>4900</v>
      </c>
      <c r="Z340" t="n">
        <v>2</v>
      </c>
      <c r="AA340" t="n">
        <v>116</v>
      </c>
      <c r="AB340" t="n">
        <v>14</v>
      </c>
      <c r="AC340" t="n">
        <v>8</v>
      </c>
      <c r="AD340" t="n">
        <v>422</v>
      </c>
      <c r="AE340" t="n">
        <v>11</v>
      </c>
      <c r="AF340" t="n">
        <v>13</v>
      </c>
      <c r="AG340" t="n">
        <v>123</v>
      </c>
      <c r="AH340" t="n">
        <v>34</v>
      </c>
      <c r="AI340" t="n">
        <v>67</v>
      </c>
      <c r="AJ340" t="n">
        <v>1186</v>
      </c>
      <c r="AK340" t="n">
        <v>540</v>
      </c>
      <c r="AL340" t="n">
        <v>400</v>
      </c>
      <c r="AM340" t="n">
        <v>89</v>
      </c>
      <c r="AN340" t="n">
        <v>31</v>
      </c>
      <c r="AO340" t="n">
        <v>18</v>
      </c>
      <c r="AP340" t="n">
        <v>448</v>
      </c>
      <c r="AQ340" t="n">
        <v>0</v>
      </c>
      <c r="AR340" t="n">
        <v>0</v>
      </c>
      <c r="AS340" t="n">
        <v>448</v>
      </c>
      <c r="AT340" t="n">
        <v>67</v>
      </c>
      <c r="AU340" t="n">
        <v>28</v>
      </c>
      <c r="AV340" t="n">
        <v>0</v>
      </c>
      <c r="AW340" t="n">
        <v>95</v>
      </c>
      <c r="AX340" t="n">
        <v>17</v>
      </c>
      <c r="AY340" t="n">
        <v>0</v>
      </c>
      <c r="AZ340" t="n">
        <v>0</v>
      </c>
      <c r="BA340" t="n">
        <v>17</v>
      </c>
      <c r="BB340" t="n">
        <v>0</v>
      </c>
      <c r="BC340" t="n">
        <v>0</v>
      </c>
      <c r="BD340" t="n">
        <v>0</v>
      </c>
      <c r="BE340" t="n">
        <v>0</v>
      </c>
      <c r="BF340" t="n">
        <v>0</v>
      </c>
      <c r="BG340">
        <f>IF($F340=0,"0",MIN(
BH340/(30*$F340),
BI340/(61*$F340),
BJ340/(48*$F340),
(BK340+BL340)/(23*$F340),
(BM340+BN340)/(41*$F340),
BO340/(25*$F340),
BP340/(6.6*$F340),
BQ340/(40*$F340),
BS340/(16*$F340)
)*100)</f>
        <v/>
      </c>
      <c r="BH340" t="n">
        <v>110</v>
      </c>
      <c r="BI340" t="n">
        <v>118</v>
      </c>
      <c r="BJ340" t="n">
        <v>170</v>
      </c>
      <c r="BK340" t="n">
        <v>25</v>
      </c>
      <c r="BL340" t="n">
        <v>16</v>
      </c>
      <c r="BM340" t="n">
        <v>74</v>
      </c>
      <c r="BN340" t="n">
        <v>66</v>
      </c>
      <c r="BO340" t="n">
        <v>85</v>
      </c>
      <c r="BP340" t="n">
        <v>22</v>
      </c>
      <c r="BQ340" t="n">
        <v>88</v>
      </c>
      <c r="BR340" t="n">
        <v>190</v>
      </c>
      <c r="BS340" t="n">
        <v>55</v>
      </c>
      <c r="BT340" t="n">
        <v>1019</v>
      </c>
      <c r="BU340" t="n">
        <v>137</v>
      </c>
      <c r="BV340" t="n">
        <v>126</v>
      </c>
      <c r="BW340" t="n">
        <v>192</v>
      </c>
      <c r="BX340" t="n">
        <v>74</v>
      </c>
      <c r="BY340" t="n">
        <v>151</v>
      </c>
      <c r="BZ340" t="n">
        <v>82</v>
      </c>
      <c r="CA340" t="n">
        <v>762</v>
      </c>
      <c r="CB340" t="n">
        <v>60</v>
      </c>
      <c r="CC340" t="n">
        <v>25</v>
      </c>
      <c r="CD340" t="n">
        <v>106</v>
      </c>
      <c r="CE340" t="n">
        <v>25</v>
      </c>
      <c r="CF340" t="n">
        <v>0.24</v>
      </c>
      <c r="CG340" t="n">
        <v>0</v>
      </c>
      <c r="CH340" t="n">
        <v>0</v>
      </c>
      <c r="CI340" t="n">
        <v>0</v>
      </c>
      <c r="CJ340" t="n">
        <v>0</v>
      </c>
      <c r="CK340" t="n">
        <v>0</v>
      </c>
      <c r="CL340" t="n">
        <v>1</v>
      </c>
      <c r="CM340" t="n">
        <v>0</v>
      </c>
      <c r="CN340" t="n">
        <v>53</v>
      </c>
      <c r="CO340" t="n">
        <v>0</v>
      </c>
      <c r="CP340" t="n">
        <v>4</v>
      </c>
      <c r="CQ340" t="n">
        <v>0</v>
      </c>
      <c r="CR340" t="n">
        <v>0</v>
      </c>
      <c r="CS340" t="n">
        <v>0</v>
      </c>
      <c r="CT340" t="n">
        <v>58</v>
      </c>
      <c r="CU340" t="n">
        <v>0</v>
      </c>
      <c r="CV340" t="n">
        <v>0</v>
      </c>
      <c r="CW340" t="n">
        <v>1</v>
      </c>
      <c r="CX340" t="n">
        <v>0</v>
      </c>
      <c r="CY340" t="n">
        <v>2</v>
      </c>
      <c r="CZ340" t="n">
        <v>0</v>
      </c>
      <c r="DA340" t="n">
        <v>0</v>
      </c>
      <c r="DB340" t="n">
        <v>0</v>
      </c>
      <c r="DC340" t="n">
        <v>3</v>
      </c>
      <c r="DD340" t="n">
        <v>0</v>
      </c>
      <c r="DE340" t="n">
        <v>0</v>
      </c>
      <c r="DF340" t="n">
        <v>25</v>
      </c>
      <c r="DG340" t="n">
        <v>106</v>
      </c>
      <c r="DH340" t="n">
        <v>0</v>
      </c>
      <c r="DI340" t="n">
        <v>0</v>
      </c>
      <c r="DJ340" t="n">
        <v>0</v>
      </c>
      <c r="DK340" t="n">
        <v>0</v>
      </c>
      <c r="DL340" t="n">
        <v>0</v>
      </c>
      <c r="DM340" t="n">
        <v>0</v>
      </c>
      <c r="DN340" t="n">
        <v>0</v>
      </c>
      <c r="DO340" t="n">
        <v>0</v>
      </c>
      <c r="DP340" t="n">
        <v>0</v>
      </c>
      <c r="DQ340" t="n">
        <v>0</v>
      </c>
      <c r="DR340" t="n">
        <v>0</v>
      </c>
      <c r="DS340" t="n">
        <v>131</v>
      </c>
      <c r="DT340" t="n">
        <v>192</v>
      </c>
      <c r="DU340" t="n">
        <v>48</v>
      </c>
      <c r="DV340" t="n">
        <v>0</v>
      </c>
      <c r="DW340" t="n">
        <v>0</v>
      </c>
      <c r="DX340" t="n">
        <v>0</v>
      </c>
      <c r="DY340" t="n">
        <v>0</v>
      </c>
      <c r="DZ340" t="n">
        <v>832</v>
      </c>
      <c r="EA340" t="n">
        <v>20</v>
      </c>
      <c r="EB340" t="n">
        <v>1158</v>
      </c>
      <c r="EC340" t="n">
        <v>20</v>
      </c>
      <c r="ED340" t="n">
        <v>386</v>
      </c>
      <c r="EE340" t="n">
        <v>1644</v>
      </c>
      <c r="EF340" t="n">
        <v>0</v>
      </c>
      <c r="EG340" t="n">
        <v>0.13</v>
      </c>
      <c r="EH340" t="n">
        <v>1</v>
      </c>
      <c r="EI340" t="n">
        <v>1.6</v>
      </c>
      <c r="EJ340" t="n">
        <v>0.2</v>
      </c>
      <c r="EK340" t="n">
        <v>2</v>
      </c>
    </row>
    <row r="341">
      <c r="A341">
        <f>[1]ingredient!B341</f>
        <v/>
      </c>
      <c r="B341" t="inlineStr">
        <is>
          <t>https://www.naehrwertrechner.de/naehrwerte/G613111/Rote+R%C3%BCbe+frisch/?menge=100</t>
        </is>
      </c>
      <c r="C341" s="7">
        <f>_xlfn.XLOOKUP(A341,[1]ingredient!$B$2:$B$521,[1]ingredient!$A$2:$A$521)</f>
        <v/>
      </c>
      <c r="D341" t="n">
        <v>42</v>
      </c>
      <c r="E341" t="n">
        <v>0.1</v>
      </c>
      <c r="F341" t="n">
        <v>2</v>
      </c>
      <c r="G341" t="n">
        <v>8</v>
      </c>
      <c r="H341" t="n">
        <v>3</v>
      </c>
      <c r="I341" t="n">
        <v>8</v>
      </c>
      <c r="J341" t="n">
        <v>0.14</v>
      </c>
      <c r="K341" t="n">
        <v>86</v>
      </c>
      <c r="L341" t="n">
        <v>2</v>
      </c>
      <c r="M341" t="n">
        <v>1</v>
      </c>
      <c r="N341" t="n">
        <v>0</v>
      </c>
      <c r="O341" t="n">
        <v>11</v>
      </c>
      <c r="P341" t="n">
        <v>22</v>
      </c>
      <c r="Q341" t="n">
        <v>42</v>
      </c>
      <c r="R341" t="n">
        <v>230</v>
      </c>
      <c r="S341" t="n">
        <v>430</v>
      </c>
      <c r="T341" t="n">
        <v>130</v>
      </c>
      <c r="U341" t="n">
        <v>50</v>
      </c>
      <c r="V341" t="n">
        <v>0.1</v>
      </c>
      <c r="W341" t="n">
        <v>93</v>
      </c>
      <c r="X341" t="n">
        <v>0</v>
      </c>
      <c r="Y341" t="n">
        <v>10000</v>
      </c>
      <c r="Z341" t="n">
        <v>0</v>
      </c>
      <c r="AA341" t="n">
        <v>47</v>
      </c>
      <c r="AB341" t="n">
        <v>5</v>
      </c>
      <c r="AC341" t="n">
        <v>58</v>
      </c>
      <c r="AD341" t="n">
        <v>336</v>
      </c>
      <c r="AE341" t="n">
        <v>29</v>
      </c>
      <c r="AF341" t="n">
        <v>25</v>
      </c>
      <c r="AG341" t="n">
        <v>45</v>
      </c>
      <c r="AH341" t="n">
        <v>16</v>
      </c>
      <c r="AI341" t="n">
        <v>82</v>
      </c>
      <c r="AJ341" t="n">
        <v>930</v>
      </c>
      <c r="AK341" t="n">
        <v>344</v>
      </c>
      <c r="AL341" t="n">
        <v>80</v>
      </c>
      <c r="AM341" t="n">
        <v>155</v>
      </c>
      <c r="AN341" t="n">
        <v>20</v>
      </c>
      <c r="AO341" t="n">
        <v>0.4</v>
      </c>
      <c r="AP341" t="n">
        <v>0</v>
      </c>
      <c r="AQ341" t="n">
        <v>0</v>
      </c>
      <c r="AR341" t="n">
        <v>0</v>
      </c>
      <c r="AS341" t="n">
        <v>0</v>
      </c>
      <c r="AT341" t="n">
        <v>335</v>
      </c>
      <c r="AU341" t="n">
        <v>335</v>
      </c>
      <c r="AV341" t="n">
        <v>0</v>
      </c>
      <c r="AW341" t="n">
        <v>670</v>
      </c>
      <c r="AX341" t="n">
        <v>7710</v>
      </c>
      <c r="AY341" t="n">
        <v>0</v>
      </c>
      <c r="AZ341" t="n">
        <v>0</v>
      </c>
      <c r="BA341" t="n">
        <v>7710</v>
      </c>
      <c r="BB341" t="n">
        <v>0</v>
      </c>
      <c r="BC341" t="n">
        <v>0</v>
      </c>
      <c r="BD341" t="n">
        <v>0</v>
      </c>
      <c r="BE341" t="n">
        <v>0</v>
      </c>
      <c r="BF341" t="n">
        <v>0</v>
      </c>
      <c r="BG341">
        <f>IF($F341=0,"0",MIN(
BH341/(30*$F341),
BI341/(61*$F341),
BJ341/(48*$F341),
(BK341+BL341)/(23*$F341),
(BM341+BN341)/(41*$F341),
BO341/(25*$F341),
BP341/(6.6*$F341),
BQ341/(40*$F341),
BS341/(16*$F341)
)*100)</f>
        <v/>
      </c>
      <c r="BH341" t="n">
        <v>38</v>
      </c>
      <c r="BI341" t="n">
        <v>61</v>
      </c>
      <c r="BJ341" t="n">
        <v>80</v>
      </c>
      <c r="BK341" t="n">
        <v>28</v>
      </c>
      <c r="BL341" t="n">
        <v>17</v>
      </c>
      <c r="BM341" t="n">
        <v>46</v>
      </c>
      <c r="BN341" t="n">
        <v>54</v>
      </c>
      <c r="BO341" t="n">
        <v>44</v>
      </c>
      <c r="BP341" t="n">
        <v>12</v>
      </c>
      <c r="BQ341" t="n">
        <v>38</v>
      </c>
      <c r="BR341" t="n">
        <v>31</v>
      </c>
      <c r="BS341" t="n">
        <v>18</v>
      </c>
      <c r="BT341" t="n">
        <v>467</v>
      </c>
      <c r="BU341" t="n">
        <v>35</v>
      </c>
      <c r="BV341" t="n">
        <v>110</v>
      </c>
      <c r="BW341" t="n">
        <v>398</v>
      </c>
      <c r="BX341" t="n">
        <v>31</v>
      </c>
      <c r="BY341" t="n">
        <v>38</v>
      </c>
      <c r="BZ341" t="n">
        <v>38</v>
      </c>
      <c r="CA341" t="n">
        <v>650</v>
      </c>
      <c r="CB341" t="n">
        <v>20</v>
      </c>
      <c r="CC341" t="n">
        <v>8</v>
      </c>
      <c r="CD341" t="n">
        <v>8</v>
      </c>
      <c r="CE341" t="n">
        <v>42</v>
      </c>
      <c r="CF341" t="n">
        <v>5.25</v>
      </c>
      <c r="CG341" t="n">
        <v>0</v>
      </c>
      <c r="CH341" t="n">
        <v>0</v>
      </c>
      <c r="CI341" t="n">
        <v>0</v>
      </c>
      <c r="CJ341" t="n">
        <v>0</v>
      </c>
      <c r="CK341" t="n">
        <v>0</v>
      </c>
      <c r="CL341" t="n">
        <v>0</v>
      </c>
      <c r="CM341" t="n">
        <v>0</v>
      </c>
      <c r="CN341" t="n">
        <v>19</v>
      </c>
      <c r="CO341" t="n">
        <v>0</v>
      </c>
      <c r="CP341" t="n">
        <v>1</v>
      </c>
      <c r="CQ341" t="n">
        <v>0</v>
      </c>
      <c r="CR341" t="n">
        <v>0</v>
      </c>
      <c r="CS341" t="n">
        <v>0</v>
      </c>
      <c r="CT341" t="n">
        <v>20</v>
      </c>
      <c r="CU341" t="n">
        <v>0</v>
      </c>
      <c r="CV341" t="n">
        <v>0</v>
      </c>
      <c r="CW341" t="n">
        <v>0</v>
      </c>
      <c r="CX341" t="n">
        <v>0</v>
      </c>
      <c r="CY341" t="n">
        <v>10</v>
      </c>
      <c r="CZ341" t="n">
        <v>0</v>
      </c>
      <c r="DA341" t="n">
        <v>0</v>
      </c>
      <c r="DB341" t="n">
        <v>0</v>
      </c>
      <c r="DC341" t="n">
        <v>10</v>
      </c>
      <c r="DD341" t="n">
        <v>0</v>
      </c>
      <c r="DE341" t="n">
        <v>0</v>
      </c>
      <c r="DF341" t="n">
        <v>42</v>
      </c>
      <c r="DG341" t="n">
        <v>8</v>
      </c>
      <c r="DH341" t="n">
        <v>0</v>
      </c>
      <c r="DI341" t="n">
        <v>0</v>
      </c>
      <c r="DJ341" t="n">
        <v>0</v>
      </c>
      <c r="DK341" t="n">
        <v>0</v>
      </c>
      <c r="DL341" t="n">
        <v>0</v>
      </c>
      <c r="DM341" t="n">
        <v>0</v>
      </c>
      <c r="DN341" t="n">
        <v>0</v>
      </c>
      <c r="DO341" t="n">
        <v>0</v>
      </c>
      <c r="DP341" t="n">
        <v>0</v>
      </c>
      <c r="DQ341" t="n">
        <v>0</v>
      </c>
      <c r="DR341" t="n">
        <v>0</v>
      </c>
      <c r="DS341" t="n">
        <v>50</v>
      </c>
      <c r="DT341" t="n">
        <v>80</v>
      </c>
      <c r="DU341" t="n">
        <v>20</v>
      </c>
      <c r="DV341" t="n">
        <v>0</v>
      </c>
      <c r="DW341" t="n">
        <v>0</v>
      </c>
      <c r="DX341" t="n">
        <v>0</v>
      </c>
      <c r="DY341" t="n">
        <v>1000</v>
      </c>
      <c r="DZ341" t="n">
        <v>500</v>
      </c>
      <c r="EA341" t="n">
        <v>225</v>
      </c>
      <c r="EB341" t="n">
        <v>750</v>
      </c>
      <c r="EC341" t="n">
        <v>25</v>
      </c>
      <c r="ED341" t="n">
        <v>625</v>
      </c>
      <c r="EE341" t="n">
        <v>1875</v>
      </c>
      <c r="EF341" t="n">
        <v>0</v>
      </c>
      <c r="EG341" t="n">
        <v>0.23</v>
      </c>
      <c r="EH341" t="n">
        <v>1</v>
      </c>
      <c r="EI341" t="n">
        <v>1.9</v>
      </c>
      <c r="EJ341" t="n">
        <v>0.1</v>
      </c>
      <c r="EK341" t="n">
        <v>1.2</v>
      </c>
    </row>
    <row r="342">
      <c r="A342">
        <f>[1]ingredient!B342</f>
        <v/>
      </c>
      <c r="B342" t="inlineStr">
        <is>
          <t>https://www.naehrwertrechner.de/naehrwerte/C121001/Roggen+Vollkorn/?menge=100</t>
        </is>
      </c>
      <c r="C342" s="7">
        <f>_xlfn.XLOOKUP(A342,[1]ingredient!$B$2:$B$521,[1]ingredient!$A$2:$A$521)</f>
        <v/>
      </c>
      <c r="D342" t="n">
        <v>294</v>
      </c>
      <c r="E342" t="n">
        <v>2</v>
      </c>
      <c r="F342" t="n">
        <v>9</v>
      </c>
      <c r="G342" t="n">
        <v>60</v>
      </c>
      <c r="H342" t="n">
        <v>14</v>
      </c>
      <c r="I342" t="n">
        <v>1</v>
      </c>
      <c r="J342" t="n">
        <v>0.02</v>
      </c>
      <c r="K342" t="n">
        <v>14</v>
      </c>
      <c r="L342" t="n">
        <v>2</v>
      </c>
      <c r="M342" t="n">
        <v>1</v>
      </c>
      <c r="N342" t="n">
        <v>0</v>
      </c>
      <c r="O342" t="n">
        <v>12</v>
      </c>
      <c r="P342" t="n">
        <v>350</v>
      </c>
      <c r="Q342" t="n">
        <v>170</v>
      </c>
      <c r="R342" t="n">
        <v>1810</v>
      </c>
      <c r="S342" t="n">
        <v>3310</v>
      </c>
      <c r="T342" t="n">
        <v>1500</v>
      </c>
      <c r="U342" t="n">
        <v>290</v>
      </c>
      <c r="V342" t="n">
        <v>5</v>
      </c>
      <c r="W342" t="n">
        <v>56</v>
      </c>
      <c r="X342" t="n">
        <v>0</v>
      </c>
      <c r="Y342" t="n">
        <v>0</v>
      </c>
      <c r="Z342" t="n">
        <v>0</v>
      </c>
      <c r="AA342" t="n">
        <v>1959</v>
      </c>
      <c r="AB342" t="n">
        <v>30</v>
      </c>
      <c r="AC342" t="n">
        <v>4</v>
      </c>
      <c r="AD342" t="n">
        <v>510</v>
      </c>
      <c r="AE342" t="n">
        <v>64</v>
      </c>
      <c r="AF342" t="n">
        <v>120</v>
      </c>
      <c r="AG342" t="n">
        <v>360</v>
      </c>
      <c r="AH342" t="n">
        <v>130</v>
      </c>
      <c r="AI342" t="n">
        <v>20</v>
      </c>
      <c r="AJ342" t="n">
        <v>4855</v>
      </c>
      <c r="AK342" t="n">
        <v>3886</v>
      </c>
      <c r="AL342" t="n">
        <v>463</v>
      </c>
      <c r="AM342" t="n">
        <v>4176</v>
      </c>
      <c r="AN342" t="n">
        <v>150</v>
      </c>
      <c r="AO342" t="n">
        <v>7</v>
      </c>
      <c r="AP342" t="n">
        <v>0</v>
      </c>
      <c r="AQ342" t="n">
        <v>0</v>
      </c>
      <c r="AR342" t="n">
        <v>0</v>
      </c>
      <c r="AS342" t="n">
        <v>0</v>
      </c>
      <c r="AT342" t="n">
        <v>60</v>
      </c>
      <c r="AU342" t="n">
        <v>60</v>
      </c>
      <c r="AV342" t="n">
        <v>0</v>
      </c>
      <c r="AW342" t="n">
        <v>120</v>
      </c>
      <c r="AX342" t="n">
        <v>896</v>
      </c>
      <c r="AY342" t="n">
        <v>0</v>
      </c>
      <c r="AZ342" t="n">
        <v>0</v>
      </c>
      <c r="BA342" t="n">
        <v>896</v>
      </c>
      <c r="BB342" t="n">
        <v>597</v>
      </c>
      <c r="BC342" t="n">
        <v>0</v>
      </c>
      <c r="BD342" t="n">
        <v>0</v>
      </c>
      <c r="BE342" t="n">
        <v>58087</v>
      </c>
      <c r="BF342" t="n">
        <v>58087</v>
      </c>
      <c r="BG342">
        <f>IF($F342=0,"0",MIN(
BH342/(30*$F342),
BI342/(61*$F342),
BJ342/(48*$F342),
(BK342+BL342)/(23*$F342),
(BM342+BN342)/(41*$F342),
BO342/(25*$F342),
BP342/(6.6*$F342),
BQ342/(40*$F342),
BS342/(16*$F342)
)*100)</f>
        <v/>
      </c>
      <c r="BH342" t="n">
        <v>333</v>
      </c>
      <c r="BI342" t="n">
        <v>594</v>
      </c>
      <c r="BJ342" t="n">
        <v>351</v>
      </c>
      <c r="BK342" t="n">
        <v>126</v>
      </c>
      <c r="BL342" t="n">
        <v>162</v>
      </c>
      <c r="BM342" t="n">
        <v>414</v>
      </c>
      <c r="BN342" t="n">
        <v>180</v>
      </c>
      <c r="BO342" t="n">
        <v>315</v>
      </c>
      <c r="BP342" t="n">
        <v>90</v>
      </c>
      <c r="BQ342" t="n">
        <v>459</v>
      </c>
      <c r="BR342" t="n">
        <v>441</v>
      </c>
      <c r="BS342" t="n">
        <v>162</v>
      </c>
      <c r="BT342" t="n">
        <v>3627</v>
      </c>
      <c r="BU342" t="n">
        <v>414</v>
      </c>
      <c r="BV342" t="n">
        <v>612</v>
      </c>
      <c r="BW342" t="n">
        <v>2331</v>
      </c>
      <c r="BX342" t="n">
        <v>405</v>
      </c>
      <c r="BY342" t="n">
        <v>1035</v>
      </c>
      <c r="BZ342" t="n">
        <v>396</v>
      </c>
      <c r="CA342" t="n">
        <v>5193</v>
      </c>
      <c r="CB342" t="n">
        <v>70</v>
      </c>
      <c r="CC342" t="n">
        <v>29</v>
      </c>
      <c r="CD342" t="n">
        <v>105</v>
      </c>
      <c r="CE342" t="n">
        <v>697</v>
      </c>
      <c r="CF342" t="n">
        <v>6.64</v>
      </c>
      <c r="CG342" t="n">
        <v>0</v>
      </c>
      <c r="CH342" t="n">
        <v>0</v>
      </c>
      <c r="CI342" t="n">
        <v>0</v>
      </c>
      <c r="CJ342" t="n">
        <v>0</v>
      </c>
      <c r="CK342" t="n">
        <v>1</v>
      </c>
      <c r="CL342" t="n">
        <v>1</v>
      </c>
      <c r="CM342" t="n">
        <v>0</v>
      </c>
      <c r="CN342" t="n">
        <v>228</v>
      </c>
      <c r="CO342" t="n">
        <v>0</v>
      </c>
      <c r="CP342" t="n">
        <v>7</v>
      </c>
      <c r="CQ342" t="n">
        <v>1</v>
      </c>
      <c r="CR342" t="n">
        <v>0</v>
      </c>
      <c r="CS342" t="n">
        <v>0</v>
      </c>
      <c r="CT342" t="n">
        <v>238</v>
      </c>
      <c r="CU342" t="n">
        <v>0</v>
      </c>
      <c r="CV342" t="n">
        <v>0</v>
      </c>
      <c r="CW342" t="n">
        <v>6</v>
      </c>
      <c r="CX342" t="n">
        <v>0</v>
      </c>
      <c r="CY342" t="n">
        <v>168</v>
      </c>
      <c r="CZ342" t="n">
        <v>10</v>
      </c>
      <c r="DA342" t="n">
        <v>0</v>
      </c>
      <c r="DB342" t="n">
        <v>0</v>
      </c>
      <c r="DC342" t="n">
        <v>184</v>
      </c>
      <c r="DD342" t="n">
        <v>0</v>
      </c>
      <c r="DE342" t="n">
        <v>0</v>
      </c>
      <c r="DF342" t="n">
        <v>695</v>
      </c>
      <c r="DG342" t="n">
        <v>105</v>
      </c>
      <c r="DH342" t="n">
        <v>0</v>
      </c>
      <c r="DI342" t="n">
        <v>0</v>
      </c>
      <c r="DJ342" t="n">
        <v>0</v>
      </c>
      <c r="DK342" t="n">
        <v>0</v>
      </c>
      <c r="DL342" t="n">
        <v>2</v>
      </c>
      <c r="DM342" t="n">
        <v>0</v>
      </c>
      <c r="DN342" t="n">
        <v>0</v>
      </c>
      <c r="DO342" t="n">
        <v>0</v>
      </c>
      <c r="DP342" t="n">
        <v>0</v>
      </c>
      <c r="DQ342" t="n">
        <v>0</v>
      </c>
      <c r="DR342" t="n">
        <v>0</v>
      </c>
      <c r="DS342" t="n">
        <v>802</v>
      </c>
      <c r="DT342" t="n">
        <v>1224</v>
      </c>
      <c r="DU342" t="n">
        <v>476</v>
      </c>
      <c r="DV342" t="n">
        <v>0</v>
      </c>
      <c r="DW342" t="n">
        <v>0</v>
      </c>
      <c r="DX342" t="n">
        <v>0</v>
      </c>
      <c r="DY342" t="n">
        <v>7000</v>
      </c>
      <c r="DZ342" t="n">
        <v>4200</v>
      </c>
      <c r="EA342" t="n">
        <v>700</v>
      </c>
      <c r="EB342" t="n">
        <v>1400</v>
      </c>
      <c r="EC342" t="n">
        <v>700</v>
      </c>
      <c r="ED342" t="n">
        <v>4970</v>
      </c>
      <c r="EE342" t="n">
        <v>9030</v>
      </c>
      <c r="EF342" t="n">
        <v>0</v>
      </c>
      <c r="EG342" t="n">
        <v>0</v>
      </c>
      <c r="EH342" t="n">
        <v>1.9</v>
      </c>
      <c r="EI342" t="n">
        <v>9</v>
      </c>
      <c r="EJ342" t="n">
        <v>1.7</v>
      </c>
      <c r="EK342" t="n">
        <v>9.1</v>
      </c>
    </row>
    <row r="343">
      <c r="A343">
        <f>[1]ingredient!B343</f>
        <v/>
      </c>
      <c r="B343" t="inlineStr">
        <is>
          <t>https://www.naehrwertrechner.de/naehrwerte/C123001/Roggen+Flocken/?menge=100</t>
        </is>
      </c>
      <c r="C343" s="7">
        <f>_xlfn.XLOOKUP(A343,[1]ingredient!$B$2:$B$521,[1]ingredient!$A$2:$A$521)</f>
        <v/>
      </c>
      <c r="D343" t="n">
        <v>295</v>
      </c>
      <c r="E343" t="n">
        <v>2</v>
      </c>
      <c r="F343" t="n">
        <v>9</v>
      </c>
      <c r="G343" t="n">
        <v>60</v>
      </c>
      <c r="H343" t="n">
        <v>14</v>
      </c>
      <c r="I343" t="n">
        <v>1</v>
      </c>
      <c r="J343" t="n">
        <v>0.02</v>
      </c>
      <c r="K343" t="n">
        <v>14</v>
      </c>
      <c r="L343" t="n">
        <v>2</v>
      </c>
      <c r="M343" t="n">
        <v>1</v>
      </c>
      <c r="N343" t="n">
        <v>0</v>
      </c>
      <c r="O343" t="n">
        <v>12</v>
      </c>
      <c r="P343" t="n">
        <v>350</v>
      </c>
      <c r="Q343" t="n">
        <v>170</v>
      </c>
      <c r="R343" t="n">
        <v>1800</v>
      </c>
      <c r="S343" t="n">
        <v>3300</v>
      </c>
      <c r="T343" t="n">
        <v>1500</v>
      </c>
      <c r="U343" t="n">
        <v>290</v>
      </c>
      <c r="V343" t="n">
        <v>5</v>
      </c>
      <c r="W343" t="n">
        <v>56</v>
      </c>
      <c r="X343" t="n">
        <v>0</v>
      </c>
      <c r="Y343" t="n">
        <v>0</v>
      </c>
      <c r="Z343" t="n">
        <v>0</v>
      </c>
      <c r="AA343" t="n">
        <v>1800</v>
      </c>
      <c r="AB343" t="n">
        <v>30</v>
      </c>
      <c r="AC343" t="n">
        <v>2</v>
      </c>
      <c r="AD343" t="n">
        <v>450</v>
      </c>
      <c r="AE343" t="n">
        <v>64</v>
      </c>
      <c r="AF343" t="n">
        <v>120</v>
      </c>
      <c r="AG343" t="n">
        <v>350</v>
      </c>
      <c r="AH343" t="n">
        <v>130</v>
      </c>
      <c r="AI343" t="n">
        <v>20</v>
      </c>
      <c r="AJ343" t="n">
        <v>3700</v>
      </c>
      <c r="AK343" t="n">
        <v>2480</v>
      </c>
      <c r="AL343" t="n">
        <v>295</v>
      </c>
      <c r="AM343" t="n">
        <v>2670</v>
      </c>
      <c r="AN343" t="n">
        <v>150</v>
      </c>
      <c r="AO343" t="n">
        <v>7</v>
      </c>
      <c r="AP343" t="n">
        <v>0</v>
      </c>
      <c r="AQ343" t="n">
        <v>0</v>
      </c>
      <c r="AR343" t="n">
        <v>0</v>
      </c>
      <c r="AS343" t="n">
        <v>0</v>
      </c>
      <c r="AT343" t="n">
        <v>60</v>
      </c>
      <c r="AU343" t="n">
        <v>60</v>
      </c>
      <c r="AV343" t="n">
        <v>0</v>
      </c>
      <c r="AW343" t="n">
        <v>120</v>
      </c>
      <c r="AX343" t="n">
        <v>901</v>
      </c>
      <c r="AY343" t="n">
        <v>0</v>
      </c>
      <c r="AZ343" t="n">
        <v>0</v>
      </c>
      <c r="BA343" t="n">
        <v>901</v>
      </c>
      <c r="BB343" t="n">
        <v>601</v>
      </c>
      <c r="BC343" t="n">
        <v>0</v>
      </c>
      <c r="BD343" t="n">
        <v>0</v>
      </c>
      <c r="BE343" t="n">
        <v>58464</v>
      </c>
      <c r="BF343" t="n">
        <v>58464</v>
      </c>
      <c r="BG343">
        <f>IF($F343=0,"0",MIN(
BH343/(30*$F343),
BI343/(61*$F343),
BJ343/(48*$F343),
(BK343+BL343)/(23*$F343),
(BM343+BN343)/(41*$F343),
BO343/(25*$F343),
BP343/(6.6*$F343),
BQ343/(40*$F343),
BS343/(16*$F343)
)*100)</f>
        <v/>
      </c>
      <c r="BH343" t="n">
        <v>333</v>
      </c>
      <c r="BI343" t="n">
        <v>594</v>
      </c>
      <c r="BJ343" t="n">
        <v>351</v>
      </c>
      <c r="BK343" t="n">
        <v>126</v>
      </c>
      <c r="BL343" t="n">
        <v>162</v>
      </c>
      <c r="BM343" t="n">
        <v>414</v>
      </c>
      <c r="BN343" t="n">
        <v>180</v>
      </c>
      <c r="BO343" t="n">
        <v>315</v>
      </c>
      <c r="BP343" t="n">
        <v>90</v>
      </c>
      <c r="BQ343" t="n">
        <v>459</v>
      </c>
      <c r="BR343" t="n">
        <v>441</v>
      </c>
      <c r="BS343" t="n">
        <v>162</v>
      </c>
      <c r="BT343" t="n">
        <v>3627</v>
      </c>
      <c r="BU343" t="n">
        <v>414</v>
      </c>
      <c r="BV343" t="n">
        <v>612</v>
      </c>
      <c r="BW343" t="n">
        <v>2331</v>
      </c>
      <c r="BX343" t="n">
        <v>405</v>
      </c>
      <c r="BY343" t="n">
        <v>1035</v>
      </c>
      <c r="BZ343" t="n">
        <v>396</v>
      </c>
      <c r="CA343" t="n">
        <v>5193</v>
      </c>
      <c r="CB343" t="n">
        <v>70</v>
      </c>
      <c r="CC343" t="n">
        <v>29</v>
      </c>
      <c r="CD343" t="n">
        <v>105</v>
      </c>
      <c r="CE343" t="n">
        <v>697</v>
      </c>
      <c r="CF343" t="n">
        <v>6.64</v>
      </c>
      <c r="CG343" t="n">
        <v>0</v>
      </c>
      <c r="CH343" t="n">
        <v>0</v>
      </c>
      <c r="CI343" t="n">
        <v>0</v>
      </c>
      <c r="CJ343" t="n">
        <v>0</v>
      </c>
      <c r="CK343" t="n">
        <v>1</v>
      </c>
      <c r="CL343" t="n">
        <v>1</v>
      </c>
      <c r="CM343" t="n">
        <v>0</v>
      </c>
      <c r="CN343" t="n">
        <v>228</v>
      </c>
      <c r="CO343" t="n">
        <v>0</v>
      </c>
      <c r="CP343" t="n">
        <v>7</v>
      </c>
      <c r="CQ343" t="n">
        <v>1</v>
      </c>
      <c r="CR343" t="n">
        <v>0</v>
      </c>
      <c r="CS343" t="n">
        <v>0</v>
      </c>
      <c r="CT343" t="n">
        <v>238</v>
      </c>
      <c r="CU343" t="n">
        <v>0</v>
      </c>
      <c r="CV343" t="n">
        <v>0</v>
      </c>
      <c r="CW343" t="n">
        <v>6</v>
      </c>
      <c r="CX343" t="n">
        <v>0</v>
      </c>
      <c r="CY343" t="n">
        <v>168</v>
      </c>
      <c r="CZ343" t="n">
        <v>10</v>
      </c>
      <c r="DA343" t="n">
        <v>0</v>
      </c>
      <c r="DB343" t="n">
        <v>0</v>
      </c>
      <c r="DC343" t="n">
        <v>184</v>
      </c>
      <c r="DD343" t="n">
        <v>0</v>
      </c>
      <c r="DE343" t="n">
        <v>0</v>
      </c>
      <c r="DF343" t="n">
        <v>695</v>
      </c>
      <c r="DG343" t="n">
        <v>105</v>
      </c>
      <c r="DH343" t="n">
        <v>0</v>
      </c>
      <c r="DI343" t="n">
        <v>0</v>
      </c>
      <c r="DJ343" t="n">
        <v>0</v>
      </c>
      <c r="DK343" t="n">
        <v>0</v>
      </c>
      <c r="DL343" t="n">
        <v>2</v>
      </c>
      <c r="DM343" t="n">
        <v>0</v>
      </c>
      <c r="DN343" t="n">
        <v>0</v>
      </c>
      <c r="DO343" t="n">
        <v>0</v>
      </c>
      <c r="DP343" t="n">
        <v>0</v>
      </c>
      <c r="DQ343" t="n">
        <v>0</v>
      </c>
      <c r="DR343" t="n">
        <v>0</v>
      </c>
      <c r="DS343" t="n">
        <v>802</v>
      </c>
      <c r="DT343" t="n">
        <v>1224</v>
      </c>
      <c r="DU343" t="n">
        <v>476</v>
      </c>
      <c r="DV343" t="n">
        <v>0</v>
      </c>
      <c r="DW343" t="n">
        <v>0</v>
      </c>
      <c r="DX343" t="n">
        <v>0</v>
      </c>
      <c r="DY343" t="n">
        <v>7000</v>
      </c>
      <c r="DZ343" t="n">
        <v>4200</v>
      </c>
      <c r="EA343" t="n">
        <v>700</v>
      </c>
      <c r="EB343" t="n">
        <v>1400</v>
      </c>
      <c r="EC343" t="n">
        <v>700</v>
      </c>
      <c r="ED343" t="n">
        <v>4970</v>
      </c>
      <c r="EE343" t="n">
        <v>9030</v>
      </c>
      <c r="EF343" t="n">
        <v>0</v>
      </c>
      <c r="EG343" t="n">
        <v>0</v>
      </c>
      <c r="EH343" t="n">
        <v>1.2</v>
      </c>
      <c r="EI343" t="n">
        <v>9</v>
      </c>
      <c r="EJ343" t="n">
        <v>1.7</v>
      </c>
      <c r="EK343" t="n">
        <v>9.1</v>
      </c>
    </row>
    <row r="344">
      <c r="A344">
        <f>[1]ingredient!B344</f>
        <v/>
      </c>
      <c r="B344" t="inlineStr">
        <is>
          <t>https://www.naehrwertrechner.de/naehrwerte/C221011/Roggen+Vollkornmehl/?menge=100</t>
        </is>
      </c>
      <c r="C344" s="7">
        <f>_xlfn.XLOOKUP(A344,[1]ingredient!$B$2:$B$521,[1]ingredient!$A$2:$A$521)</f>
        <v/>
      </c>
      <c r="D344" t="n">
        <v>294</v>
      </c>
      <c r="E344" t="n">
        <v>2</v>
      </c>
      <c r="F344" t="n">
        <v>9</v>
      </c>
      <c r="G344" t="n">
        <v>60</v>
      </c>
      <c r="H344" t="n">
        <v>14</v>
      </c>
      <c r="I344" t="n">
        <v>1</v>
      </c>
      <c r="J344" t="n">
        <v>0.02</v>
      </c>
      <c r="K344" t="n">
        <v>14</v>
      </c>
      <c r="L344" t="n">
        <v>2</v>
      </c>
      <c r="M344" t="n">
        <v>1</v>
      </c>
      <c r="N344" t="n">
        <v>0</v>
      </c>
      <c r="O344" t="n">
        <v>12</v>
      </c>
      <c r="P344" t="n">
        <v>350</v>
      </c>
      <c r="Q344" t="n">
        <v>170</v>
      </c>
      <c r="R344" t="n">
        <v>1810</v>
      </c>
      <c r="S344" t="n">
        <v>3310</v>
      </c>
      <c r="T344" t="n">
        <v>1500</v>
      </c>
      <c r="U344" t="n">
        <v>290</v>
      </c>
      <c r="V344" t="n">
        <v>5</v>
      </c>
      <c r="W344" t="n">
        <v>56</v>
      </c>
      <c r="X344" t="n">
        <v>0</v>
      </c>
      <c r="Y344" t="n">
        <v>0</v>
      </c>
      <c r="Z344" t="n">
        <v>0</v>
      </c>
      <c r="AA344" t="n">
        <v>1959</v>
      </c>
      <c r="AB344" t="n">
        <v>30</v>
      </c>
      <c r="AC344" t="n">
        <v>4</v>
      </c>
      <c r="AD344" t="n">
        <v>510</v>
      </c>
      <c r="AE344" t="n">
        <v>64</v>
      </c>
      <c r="AF344" t="n">
        <v>120</v>
      </c>
      <c r="AG344" t="n">
        <v>360</v>
      </c>
      <c r="AH344" t="n">
        <v>130</v>
      </c>
      <c r="AI344" t="n">
        <v>20</v>
      </c>
      <c r="AJ344" t="n">
        <v>4855</v>
      </c>
      <c r="AK344" t="n">
        <v>3886</v>
      </c>
      <c r="AL344" t="n">
        <v>463</v>
      </c>
      <c r="AM344" t="n">
        <v>4176</v>
      </c>
      <c r="AN344" t="n">
        <v>150</v>
      </c>
      <c r="AO344" t="n">
        <v>7</v>
      </c>
      <c r="AP344" t="n">
        <v>0</v>
      </c>
      <c r="AQ344" t="n">
        <v>0</v>
      </c>
      <c r="AR344" t="n">
        <v>0</v>
      </c>
      <c r="AS344" t="n">
        <v>0</v>
      </c>
      <c r="AT344" t="n">
        <v>60</v>
      </c>
      <c r="AU344" t="n">
        <v>60</v>
      </c>
      <c r="AV344" t="n">
        <v>0</v>
      </c>
      <c r="AW344" t="n">
        <v>120</v>
      </c>
      <c r="AX344" t="n">
        <v>896</v>
      </c>
      <c r="AY344" t="n">
        <v>0</v>
      </c>
      <c r="AZ344" t="n">
        <v>0</v>
      </c>
      <c r="BA344" t="n">
        <v>896</v>
      </c>
      <c r="BB344" t="n">
        <v>597</v>
      </c>
      <c r="BC344" t="n">
        <v>0</v>
      </c>
      <c r="BD344" t="n">
        <v>0</v>
      </c>
      <c r="BE344" t="n">
        <v>58087</v>
      </c>
      <c r="BF344" t="n">
        <v>58087</v>
      </c>
      <c r="BG344">
        <f>IF($F344=0,"0",MIN(
BH344/(30*$F344),
BI344/(61*$F344),
BJ344/(48*$F344),
(BK344+BL344)/(23*$F344),
(BM344+BN344)/(41*$F344),
BO344/(25*$F344),
BP344/(6.6*$F344),
BQ344/(40*$F344),
BS344/(16*$F344)
)*100)</f>
        <v/>
      </c>
      <c r="BH344" t="n">
        <v>333</v>
      </c>
      <c r="BI344" t="n">
        <v>594</v>
      </c>
      <c r="BJ344" t="n">
        <v>351</v>
      </c>
      <c r="BK344" t="n">
        <v>126</v>
      </c>
      <c r="BL344" t="n">
        <v>162</v>
      </c>
      <c r="BM344" t="n">
        <v>414</v>
      </c>
      <c r="BN344" t="n">
        <v>180</v>
      </c>
      <c r="BO344" t="n">
        <v>315</v>
      </c>
      <c r="BP344" t="n">
        <v>90</v>
      </c>
      <c r="BQ344" t="n">
        <v>459</v>
      </c>
      <c r="BR344" t="n">
        <v>441</v>
      </c>
      <c r="BS344" t="n">
        <v>162</v>
      </c>
      <c r="BT344" t="n">
        <v>3627</v>
      </c>
      <c r="BU344" t="n">
        <v>414</v>
      </c>
      <c r="BV344" t="n">
        <v>612</v>
      </c>
      <c r="BW344" t="n">
        <v>2331</v>
      </c>
      <c r="BX344" t="n">
        <v>405</v>
      </c>
      <c r="BY344" t="n">
        <v>1035</v>
      </c>
      <c r="BZ344" t="n">
        <v>396</v>
      </c>
      <c r="CA344" t="n">
        <v>5193</v>
      </c>
      <c r="CB344" t="n">
        <v>70</v>
      </c>
      <c r="CC344" t="n">
        <v>29</v>
      </c>
      <c r="CD344" t="n">
        <v>105</v>
      </c>
      <c r="CE344" t="n">
        <v>697</v>
      </c>
      <c r="CF344" t="n">
        <v>6.64</v>
      </c>
      <c r="CG344" t="n">
        <v>0</v>
      </c>
      <c r="CH344" t="n">
        <v>0</v>
      </c>
      <c r="CI344" t="n">
        <v>0</v>
      </c>
      <c r="CJ344" t="n">
        <v>0</v>
      </c>
      <c r="CK344" t="n">
        <v>1</v>
      </c>
      <c r="CL344" t="n">
        <v>1</v>
      </c>
      <c r="CM344" t="n">
        <v>0</v>
      </c>
      <c r="CN344" t="n">
        <v>228</v>
      </c>
      <c r="CO344" t="n">
        <v>0</v>
      </c>
      <c r="CP344" t="n">
        <v>7</v>
      </c>
      <c r="CQ344" t="n">
        <v>1</v>
      </c>
      <c r="CR344" t="n">
        <v>0</v>
      </c>
      <c r="CS344" t="n">
        <v>0</v>
      </c>
      <c r="CT344" t="n">
        <v>238</v>
      </c>
      <c r="CU344" t="n">
        <v>0</v>
      </c>
      <c r="CV344" t="n">
        <v>0</v>
      </c>
      <c r="CW344" t="n">
        <v>6</v>
      </c>
      <c r="CX344" t="n">
        <v>0</v>
      </c>
      <c r="CY344" t="n">
        <v>168</v>
      </c>
      <c r="CZ344" t="n">
        <v>10</v>
      </c>
      <c r="DA344" t="n">
        <v>0</v>
      </c>
      <c r="DB344" t="n">
        <v>0</v>
      </c>
      <c r="DC344" t="n">
        <v>184</v>
      </c>
      <c r="DD344" t="n">
        <v>0</v>
      </c>
      <c r="DE344" t="n">
        <v>0</v>
      </c>
      <c r="DF344" t="n">
        <v>695</v>
      </c>
      <c r="DG344" t="n">
        <v>105</v>
      </c>
      <c r="DH344" t="n">
        <v>0</v>
      </c>
      <c r="DI344" t="n">
        <v>0</v>
      </c>
      <c r="DJ344" t="n">
        <v>0</v>
      </c>
      <c r="DK344" t="n">
        <v>0</v>
      </c>
      <c r="DL344" t="n">
        <v>2</v>
      </c>
      <c r="DM344" t="n">
        <v>0</v>
      </c>
      <c r="DN344" t="n">
        <v>0</v>
      </c>
      <c r="DO344" t="n">
        <v>0</v>
      </c>
      <c r="DP344" t="n">
        <v>0</v>
      </c>
      <c r="DQ344" t="n">
        <v>0</v>
      </c>
      <c r="DR344" t="n">
        <v>0</v>
      </c>
      <c r="DS344" t="n">
        <v>802</v>
      </c>
      <c r="DT344" t="n">
        <v>1224</v>
      </c>
      <c r="DU344" t="n">
        <v>476</v>
      </c>
      <c r="DV344" t="n">
        <v>0</v>
      </c>
      <c r="DW344" t="n">
        <v>0</v>
      </c>
      <c r="DX344" t="n">
        <v>0</v>
      </c>
      <c r="DY344" t="n">
        <v>7000</v>
      </c>
      <c r="DZ344" t="n">
        <v>4200</v>
      </c>
      <c r="EA344" t="n">
        <v>700</v>
      </c>
      <c r="EB344" t="n">
        <v>1400</v>
      </c>
      <c r="EC344" t="n">
        <v>700</v>
      </c>
      <c r="ED344" t="n">
        <v>4970</v>
      </c>
      <c r="EE344" t="n">
        <v>9030</v>
      </c>
      <c r="EF344" t="n">
        <v>0</v>
      </c>
      <c r="EG344" t="n">
        <v>0</v>
      </c>
      <c r="EH344" t="n">
        <v>1.9</v>
      </c>
      <c r="EI344" t="n">
        <v>9</v>
      </c>
      <c r="EJ344" t="n">
        <v>1.7</v>
      </c>
      <c r="EK344" t="n">
        <v>9.1</v>
      </c>
    </row>
    <row r="345">
      <c r="A345">
        <f>[1]ingredient!B345</f>
        <v/>
      </c>
      <c r="B345" t="inlineStr">
        <is>
          <t>https://www.naehrwertrechner.de/naehrwerte/C139000/Haferdrink/?menge=100</t>
        </is>
      </c>
      <c r="C345" s="7">
        <f>_xlfn.XLOOKUP(A345,[1]ingredient!$B$2:$B$521,[1]ingredient!$A$2:$A$521)</f>
        <v/>
      </c>
      <c r="D345" t="n">
        <v>46</v>
      </c>
      <c r="E345" t="n">
        <v>2</v>
      </c>
      <c r="F345" t="n">
        <v>1</v>
      </c>
      <c r="G345" t="n">
        <v>7</v>
      </c>
      <c r="H345" t="n">
        <v>1</v>
      </c>
      <c r="I345" t="n">
        <v>4</v>
      </c>
      <c r="J345" t="n">
        <v>0.11</v>
      </c>
      <c r="K345" t="n">
        <v>90</v>
      </c>
      <c r="L345" t="n">
        <v>0</v>
      </c>
      <c r="M345" t="n">
        <v>0</v>
      </c>
      <c r="N345" t="n">
        <v>0</v>
      </c>
      <c r="O345" t="n">
        <v>0</v>
      </c>
      <c r="P345" t="n">
        <v>100</v>
      </c>
      <c r="Q345" t="n">
        <v>200</v>
      </c>
      <c r="R345" t="n">
        <v>100</v>
      </c>
      <c r="S345" t="n">
        <v>400</v>
      </c>
      <c r="T345" t="n">
        <v>100</v>
      </c>
      <c r="U345" t="n">
        <v>0</v>
      </c>
      <c r="V345" t="n">
        <v>2</v>
      </c>
      <c r="W345" t="n">
        <v>6</v>
      </c>
      <c r="X345" t="n">
        <v>0.4</v>
      </c>
      <c r="Y345" t="n">
        <v>0</v>
      </c>
      <c r="Z345" t="n">
        <v>1</v>
      </c>
      <c r="AA345" t="n">
        <v>0</v>
      </c>
      <c r="AB345" t="n">
        <v>2</v>
      </c>
      <c r="AC345" t="n">
        <v>40</v>
      </c>
      <c r="AD345" t="n">
        <v>27</v>
      </c>
      <c r="AE345" t="n">
        <v>120</v>
      </c>
      <c r="AF345" t="n">
        <v>14</v>
      </c>
      <c r="AG345" t="n">
        <v>41</v>
      </c>
      <c r="AH345" t="n">
        <v>17</v>
      </c>
      <c r="AI345" t="n">
        <v>70</v>
      </c>
      <c r="AJ345" t="n">
        <v>400</v>
      </c>
      <c r="AK345" t="n">
        <v>300</v>
      </c>
      <c r="AL345" t="n">
        <v>0</v>
      </c>
      <c r="AM345" t="n">
        <v>400</v>
      </c>
      <c r="AN345" t="n">
        <v>0</v>
      </c>
      <c r="AO345" t="n">
        <v>23</v>
      </c>
      <c r="AP345" t="n">
        <v>0</v>
      </c>
      <c r="AQ345" t="n">
        <v>0</v>
      </c>
      <c r="AR345" t="n">
        <v>0</v>
      </c>
      <c r="AS345" t="n">
        <v>0</v>
      </c>
      <c r="AT345" t="n">
        <v>1900</v>
      </c>
      <c r="AU345" t="n">
        <v>100</v>
      </c>
      <c r="AV345" t="n">
        <v>0</v>
      </c>
      <c r="AW345" t="n">
        <v>2000</v>
      </c>
      <c r="AX345" t="n">
        <v>200</v>
      </c>
      <c r="AY345" t="n">
        <v>1900</v>
      </c>
      <c r="AZ345" t="n">
        <v>0</v>
      </c>
      <c r="BA345" t="n">
        <v>2100</v>
      </c>
      <c r="BB345" t="n">
        <v>600</v>
      </c>
      <c r="BC345" t="n">
        <v>28</v>
      </c>
      <c r="BD345" t="n">
        <v>0</v>
      </c>
      <c r="BE345" t="n">
        <v>2000</v>
      </c>
      <c r="BF345" t="n">
        <v>0</v>
      </c>
      <c r="BG345">
        <f>IF($F345=0,"0",MIN(
BH345/(30*$F345),
BI345/(61*$F345),
BJ345/(48*$F345),
(BK345+BL345)/(23*$F345),
(BM345+BN345)/(41*$F345),
BO345/(25*$F345),
BP345/(6.6*$F345),
BQ345/(40*$F345),
BS345/(16*$F345)
)*100)</f>
        <v/>
      </c>
      <c r="BH345" t="n">
        <v>41</v>
      </c>
      <c r="BI345" t="n">
        <v>77</v>
      </c>
      <c r="BJ345" t="n">
        <v>40</v>
      </c>
      <c r="BK345" t="n">
        <v>18</v>
      </c>
      <c r="BL345" t="n">
        <v>34</v>
      </c>
      <c r="BM345" t="n">
        <v>52</v>
      </c>
      <c r="BN345" t="n">
        <v>31</v>
      </c>
      <c r="BO345" t="n">
        <v>36</v>
      </c>
      <c r="BP345" t="n">
        <v>15</v>
      </c>
      <c r="BQ345" t="n">
        <v>54</v>
      </c>
      <c r="BR345" t="n">
        <v>62</v>
      </c>
      <c r="BS345" t="n">
        <v>20</v>
      </c>
      <c r="BT345" t="n">
        <v>480</v>
      </c>
      <c r="BU345" t="n">
        <v>53</v>
      </c>
      <c r="BV345" t="n">
        <v>83</v>
      </c>
      <c r="BW345" t="n">
        <v>217</v>
      </c>
      <c r="BX345" t="n">
        <v>53</v>
      </c>
      <c r="BY345" t="n">
        <v>59</v>
      </c>
      <c r="BZ345" t="n">
        <v>54</v>
      </c>
      <c r="CA345" t="n">
        <v>520</v>
      </c>
      <c r="CB345" t="n">
        <v>15</v>
      </c>
      <c r="CC345" t="n">
        <v>6</v>
      </c>
      <c r="CD345" t="n">
        <v>100</v>
      </c>
      <c r="CE345" t="n">
        <v>401</v>
      </c>
      <c r="CF345" t="n">
        <v>4.01</v>
      </c>
      <c r="CG345" t="n">
        <v>0</v>
      </c>
      <c r="CH345" t="n">
        <v>0</v>
      </c>
      <c r="CI345" t="n">
        <v>0</v>
      </c>
      <c r="CJ345" t="n">
        <v>0</v>
      </c>
      <c r="CK345" t="n">
        <v>1</v>
      </c>
      <c r="CL345" t="n">
        <v>2</v>
      </c>
      <c r="CM345" t="n">
        <v>0.3</v>
      </c>
      <c r="CN345" t="n">
        <v>160</v>
      </c>
      <c r="CO345" t="n">
        <v>1</v>
      </c>
      <c r="CP345" t="n">
        <v>27</v>
      </c>
      <c r="CQ345" t="n">
        <v>6</v>
      </c>
      <c r="CR345" t="n">
        <v>3</v>
      </c>
      <c r="CS345" t="n">
        <v>1</v>
      </c>
      <c r="CT345" t="n">
        <v>200</v>
      </c>
      <c r="CU345" t="n">
        <v>0</v>
      </c>
      <c r="CV345" t="n">
        <v>0</v>
      </c>
      <c r="CW345" t="n">
        <v>5</v>
      </c>
      <c r="CX345" t="n">
        <v>0</v>
      </c>
      <c r="CY345" t="n">
        <v>673</v>
      </c>
      <c r="CZ345" t="n">
        <v>28</v>
      </c>
      <c r="DA345" t="n">
        <v>3</v>
      </c>
      <c r="DB345" t="n">
        <v>1</v>
      </c>
      <c r="DC345" t="n">
        <v>700</v>
      </c>
      <c r="DD345" t="n">
        <v>0</v>
      </c>
      <c r="DE345" t="n">
        <v>0</v>
      </c>
      <c r="DF345" t="n">
        <v>400</v>
      </c>
      <c r="DG345" t="n">
        <v>100</v>
      </c>
      <c r="DH345" t="n">
        <v>0</v>
      </c>
      <c r="DI345" t="n">
        <v>0</v>
      </c>
      <c r="DJ345" t="n">
        <v>0.1</v>
      </c>
      <c r="DK345" t="n">
        <v>0</v>
      </c>
      <c r="DL345" t="n">
        <v>1</v>
      </c>
      <c r="DM345" t="n">
        <v>0</v>
      </c>
      <c r="DN345" t="n">
        <v>0</v>
      </c>
      <c r="DO345" t="n">
        <v>0</v>
      </c>
      <c r="DP345" t="n">
        <v>0</v>
      </c>
      <c r="DQ345" t="n">
        <v>0</v>
      </c>
      <c r="DR345" t="n">
        <v>0</v>
      </c>
      <c r="DS345" t="n">
        <v>500</v>
      </c>
      <c r="DT345" t="n">
        <v>1418</v>
      </c>
      <c r="DU345" t="n">
        <v>82</v>
      </c>
      <c r="DV345" t="n">
        <v>0</v>
      </c>
      <c r="DW345" t="n">
        <v>0</v>
      </c>
      <c r="DX345" t="n">
        <v>0</v>
      </c>
      <c r="DY345" t="n">
        <v>256</v>
      </c>
      <c r="DZ345" t="n">
        <v>360</v>
      </c>
      <c r="EA345" t="n">
        <v>40</v>
      </c>
      <c r="EB345" t="n">
        <v>96</v>
      </c>
      <c r="EC345" t="n">
        <v>48</v>
      </c>
      <c r="ED345" t="n">
        <v>240</v>
      </c>
      <c r="EE345" t="n">
        <v>560</v>
      </c>
      <c r="EF345" t="n">
        <v>0</v>
      </c>
      <c r="EG345" t="n">
        <v>20</v>
      </c>
      <c r="EH345" t="n">
        <v>0.3</v>
      </c>
      <c r="EI345" t="n">
        <v>0.6</v>
      </c>
      <c r="EJ345" t="n">
        <v>1.5</v>
      </c>
      <c r="EK345" t="n">
        <v>1</v>
      </c>
    </row>
    <row r="346">
      <c r="A346">
        <f>[1]ingredient!B346</f>
        <v/>
      </c>
      <c r="B346" t="inlineStr">
        <is>
          <t>https://www.naehrwertrechner.de/naehrwerte/G107111/Romanosalat+frisch/?menge=100</t>
        </is>
      </c>
      <c r="C346" s="7" t="n"/>
      <c r="D346" s="15" t="n">
        <v>16</v>
      </c>
      <c r="E346" s="15" t="n">
        <v>0.2</v>
      </c>
      <c r="F346" s="15" t="n">
        <v>2</v>
      </c>
      <c r="G346" s="15" t="n">
        <v>2</v>
      </c>
      <c r="H346" s="15" t="n">
        <v>1</v>
      </c>
      <c r="I346" s="15" t="n">
        <v>2</v>
      </c>
      <c r="J346" s="15" t="n">
        <v>0.06</v>
      </c>
      <c r="K346" s="15" t="n">
        <v>94</v>
      </c>
      <c r="L346" s="15" t="n">
        <v>260</v>
      </c>
      <c r="M346" s="15" t="n">
        <v>130</v>
      </c>
      <c r="N346" s="15" t="n">
        <v>0</v>
      </c>
      <c r="O346" s="15" t="n">
        <v>1560</v>
      </c>
      <c r="P346" s="15" t="n">
        <v>120</v>
      </c>
      <c r="Q346" s="15" t="n">
        <v>20</v>
      </c>
      <c r="R346" s="15" t="n">
        <v>600</v>
      </c>
      <c r="S346" s="15" t="n">
        <v>900</v>
      </c>
      <c r="T346" s="15" t="n">
        <v>180</v>
      </c>
      <c r="U346" s="15" t="n">
        <v>47</v>
      </c>
      <c r="V346" s="15" t="n">
        <v>1</v>
      </c>
      <c r="W346" s="15" t="n">
        <v>55</v>
      </c>
      <c r="X346" s="15" t="n">
        <v>0</v>
      </c>
      <c r="Y346" s="15" t="n">
        <v>24000</v>
      </c>
      <c r="Z346" s="15" t="n">
        <v>0</v>
      </c>
      <c r="AA346" s="15" t="n">
        <v>570</v>
      </c>
      <c r="AB346" s="15" t="n">
        <v>200</v>
      </c>
      <c r="AC346" s="15" t="n">
        <v>8</v>
      </c>
      <c r="AD346" s="15" t="n">
        <v>290</v>
      </c>
      <c r="AE346" s="15" t="n">
        <v>36</v>
      </c>
      <c r="AF346" s="15" t="n">
        <v>6</v>
      </c>
      <c r="AG346" s="15" t="n">
        <v>45</v>
      </c>
      <c r="AH346" s="15" t="n">
        <v>16</v>
      </c>
      <c r="AI346" s="15" t="n">
        <v>48</v>
      </c>
      <c r="AJ346" s="15" t="n">
        <v>1100</v>
      </c>
      <c r="AK346" s="15" t="n">
        <v>200</v>
      </c>
      <c r="AL346" s="15" t="n">
        <v>37</v>
      </c>
      <c r="AM346" s="15" t="n">
        <v>300</v>
      </c>
      <c r="AN346" s="15" t="n">
        <v>26</v>
      </c>
      <c r="AO346" s="15" t="n">
        <v>2</v>
      </c>
      <c r="AP346" s="15" t="n">
        <v>0</v>
      </c>
      <c r="AQ346" s="15" t="n">
        <v>0</v>
      </c>
      <c r="AR346" s="15" t="n">
        <v>0</v>
      </c>
      <c r="AS346" s="15" t="n">
        <v>0</v>
      </c>
      <c r="AT346" s="15" t="n">
        <v>680</v>
      </c>
      <c r="AU346" s="15" t="n">
        <v>680</v>
      </c>
      <c r="AV346" s="15" t="n">
        <v>0</v>
      </c>
      <c r="AW346" s="15" t="n">
        <v>1360</v>
      </c>
      <c r="AX346" s="15" t="n">
        <v>323</v>
      </c>
      <c r="AY346" s="15" t="n">
        <v>0</v>
      </c>
      <c r="AZ346" s="15" t="n">
        <v>0</v>
      </c>
      <c r="BA346" s="15" t="n">
        <v>323</v>
      </c>
      <c r="BB346" s="15" t="n">
        <v>0</v>
      </c>
      <c r="BC346" s="15" t="n">
        <v>0</v>
      </c>
      <c r="BD346" s="15" t="n">
        <v>0</v>
      </c>
      <c r="BE346" s="15" t="n">
        <v>17</v>
      </c>
      <c r="BF346" s="15" t="n">
        <v>17</v>
      </c>
      <c r="BG346" s="15" t="n">
        <v>14</v>
      </c>
      <c r="BH346" s="15" t="n">
        <v>104</v>
      </c>
      <c r="BI346" s="15" t="n">
        <v>108</v>
      </c>
      <c r="BJ346" s="15" t="n">
        <v>80</v>
      </c>
      <c r="BK346" s="15" t="n">
        <v>19</v>
      </c>
      <c r="BL346" s="15" t="n">
        <v>11</v>
      </c>
      <c r="BM346" s="15" t="n">
        <v>72</v>
      </c>
      <c r="BN346" s="15" t="n">
        <v>45</v>
      </c>
      <c r="BO346" s="15" t="n">
        <v>61</v>
      </c>
      <c r="BP346" s="15" t="n">
        <v>18</v>
      </c>
      <c r="BQ346" s="15" t="n">
        <v>80</v>
      </c>
      <c r="BR346" s="15" t="n">
        <v>77</v>
      </c>
      <c r="BS346" s="15" t="n">
        <v>26</v>
      </c>
      <c r="BT346" s="15" t="n">
        <v>701</v>
      </c>
      <c r="BU346" s="15" t="n">
        <v>69</v>
      </c>
      <c r="BV346" s="15" t="n">
        <v>176</v>
      </c>
      <c r="BW346" s="15" t="n">
        <v>195</v>
      </c>
      <c r="BX346" s="15" t="n">
        <v>64</v>
      </c>
      <c r="BY346" s="15" t="n">
        <v>83</v>
      </c>
      <c r="BZ346" s="15" t="n">
        <v>56</v>
      </c>
      <c r="CA346" s="15" t="n">
        <v>643</v>
      </c>
      <c r="CB346" s="15" t="n">
        <v>10</v>
      </c>
      <c r="CC346" s="15" t="n">
        <v>4</v>
      </c>
      <c r="CD346" s="15" t="n">
        <v>86</v>
      </c>
      <c r="CE346" s="15" t="n">
        <v>36</v>
      </c>
      <c r="CF346" s="15" t="n">
        <v>0.42</v>
      </c>
      <c r="CG346" s="15" t="n">
        <v>0</v>
      </c>
      <c r="CH346" s="15" t="n">
        <v>0</v>
      </c>
      <c r="CI346" s="15" t="n">
        <v>0</v>
      </c>
      <c r="CJ346" s="15" t="n">
        <v>0</v>
      </c>
      <c r="CK346" s="15" t="n">
        <v>0</v>
      </c>
      <c r="CL346" s="15" t="n">
        <v>0</v>
      </c>
      <c r="CM346" s="15" t="n">
        <v>0</v>
      </c>
      <c r="CN346" s="15" t="n">
        <v>26</v>
      </c>
      <c r="CO346" s="15" t="n">
        <v>0</v>
      </c>
      <c r="CP346" s="15" t="n">
        <v>3</v>
      </c>
      <c r="CQ346" s="15" t="n">
        <v>0</v>
      </c>
      <c r="CR346" s="15" t="n">
        <v>0</v>
      </c>
      <c r="CS346" s="15" t="n">
        <v>0</v>
      </c>
      <c r="CT346" s="15" t="n">
        <v>29</v>
      </c>
      <c r="CU346" s="15" t="n">
        <v>0</v>
      </c>
      <c r="CV346" s="15" t="n">
        <v>0</v>
      </c>
      <c r="CW346" s="15" t="n">
        <v>2</v>
      </c>
      <c r="CX346" s="15" t="n">
        <v>0</v>
      </c>
      <c r="CY346" s="15" t="n">
        <v>7</v>
      </c>
      <c r="CZ346" s="15" t="n">
        <v>0</v>
      </c>
      <c r="DA346" s="15" t="n">
        <v>0</v>
      </c>
      <c r="DB346" s="15" t="n">
        <v>0</v>
      </c>
      <c r="DC346" s="15" t="n">
        <v>9</v>
      </c>
      <c r="DD346" s="15" t="n">
        <v>0</v>
      </c>
      <c r="DE346" s="15" t="n">
        <v>0</v>
      </c>
      <c r="DF346" s="15" t="n">
        <v>36</v>
      </c>
      <c r="DG346" s="15" t="n">
        <v>86</v>
      </c>
      <c r="DH346" s="15" t="n">
        <v>0</v>
      </c>
      <c r="DI346" s="15" t="n">
        <v>0</v>
      </c>
      <c r="DJ346" s="15" t="n">
        <v>0</v>
      </c>
      <c r="DK346" s="15" t="n">
        <v>0</v>
      </c>
      <c r="DL346" s="15" t="n">
        <v>0</v>
      </c>
      <c r="DM346" s="15" t="n">
        <v>0</v>
      </c>
      <c r="DN346" s="15" t="n">
        <v>0</v>
      </c>
      <c r="DO346" s="15" t="n">
        <v>0</v>
      </c>
      <c r="DP346" s="15" t="n">
        <v>0</v>
      </c>
      <c r="DQ346" s="15" t="n">
        <v>0</v>
      </c>
      <c r="DR346" s="15" t="n">
        <v>0</v>
      </c>
      <c r="DS346" s="15" t="n">
        <v>122</v>
      </c>
      <c r="DT346" s="15" t="n">
        <v>160</v>
      </c>
      <c r="DU346" s="15" t="n">
        <v>40</v>
      </c>
      <c r="DV346" s="15" t="n">
        <v>0</v>
      </c>
      <c r="DW346" s="15" t="n">
        <v>0</v>
      </c>
      <c r="DX346" s="15" t="n">
        <v>0</v>
      </c>
      <c r="DY346" s="15" t="n">
        <v>156</v>
      </c>
      <c r="DZ346" s="15" t="n">
        <v>130</v>
      </c>
      <c r="EA346" s="15" t="n">
        <v>351</v>
      </c>
      <c r="EB346" s="15" t="n">
        <v>650</v>
      </c>
      <c r="EC346" s="15" t="n">
        <v>13</v>
      </c>
      <c r="ED346" s="15" t="n">
        <v>195</v>
      </c>
      <c r="EE346" s="15" t="n">
        <v>1105</v>
      </c>
      <c r="EF346" s="15" t="n">
        <v>0</v>
      </c>
      <c r="EG346" s="15" t="n">
        <v>0.25</v>
      </c>
      <c r="EH346" s="15" t="n">
        <v>0.9</v>
      </c>
      <c r="EI346" s="15" t="n">
        <v>1.1</v>
      </c>
      <c r="EJ346" s="15" t="n">
        <v>0.2</v>
      </c>
      <c r="EK346" s="15" t="n">
        <v>1.4</v>
      </c>
    </row>
    <row r="347">
      <c r="A347">
        <f>[1]ingredient!B347</f>
        <v/>
      </c>
      <c r="B347" t="inlineStr">
        <is>
          <t>https://www.naehrwertrechner.de/naehrwerte/G561100/Tomate+rot+roh/?menge=100</t>
        </is>
      </c>
      <c r="C347" s="7">
        <f>_xlfn.XLOOKUP(A347,[1]ingredient!$B$2:$B$521,[1]ingredient!$A$2:$A$521)</f>
        <v/>
      </c>
      <c r="D347" t="n">
        <v>17</v>
      </c>
      <c r="E347" t="n">
        <v>0.21</v>
      </c>
      <c r="F347" t="n">
        <v>1</v>
      </c>
      <c r="G347" t="n">
        <v>3</v>
      </c>
      <c r="H347" t="n">
        <v>1</v>
      </c>
      <c r="I347" t="n">
        <v>3</v>
      </c>
      <c r="J347" t="n">
        <v>0.03</v>
      </c>
      <c r="K347" t="n">
        <v>94</v>
      </c>
      <c r="L347" t="n">
        <v>99</v>
      </c>
      <c r="M347" t="n">
        <v>49</v>
      </c>
      <c r="N347" t="n">
        <v>0</v>
      </c>
      <c r="O347" t="n">
        <v>593</v>
      </c>
      <c r="P347" t="n">
        <v>57</v>
      </c>
      <c r="Q347" t="n">
        <v>35</v>
      </c>
      <c r="R347" t="n">
        <v>530</v>
      </c>
      <c r="S347" t="n">
        <v>630</v>
      </c>
      <c r="T347" t="n">
        <v>310</v>
      </c>
      <c r="U347" t="n">
        <v>100</v>
      </c>
      <c r="V347" t="n">
        <v>4</v>
      </c>
      <c r="W347" t="n">
        <v>33</v>
      </c>
      <c r="X347" t="n">
        <v>0</v>
      </c>
      <c r="Y347" t="n">
        <v>19255</v>
      </c>
      <c r="Z347" t="n">
        <v>0</v>
      </c>
      <c r="AA347" t="n">
        <v>800</v>
      </c>
      <c r="AB347" t="n">
        <v>6</v>
      </c>
      <c r="AC347" t="n">
        <v>3</v>
      </c>
      <c r="AD347" t="n">
        <v>235</v>
      </c>
      <c r="AE347" t="n">
        <v>9</v>
      </c>
      <c r="AF347" t="n">
        <v>11</v>
      </c>
      <c r="AG347" t="n">
        <v>22</v>
      </c>
      <c r="AH347" t="n">
        <v>11</v>
      </c>
      <c r="AI347" t="n">
        <v>30</v>
      </c>
      <c r="AJ347" t="n">
        <v>316</v>
      </c>
      <c r="AK347" t="n">
        <v>85</v>
      </c>
      <c r="AL347" t="n">
        <v>57</v>
      </c>
      <c r="AM347" t="n">
        <v>108</v>
      </c>
      <c r="AN347" t="n">
        <v>24</v>
      </c>
      <c r="AO347" t="n">
        <v>1</v>
      </c>
      <c r="AP347" t="n">
        <v>0</v>
      </c>
      <c r="AQ347" t="n">
        <v>0</v>
      </c>
      <c r="AR347" t="n">
        <v>0</v>
      </c>
      <c r="AS347" t="n">
        <v>0</v>
      </c>
      <c r="AT347" t="n">
        <v>1081</v>
      </c>
      <c r="AU347" t="n">
        <v>1358</v>
      </c>
      <c r="AV347" t="n">
        <v>0</v>
      </c>
      <c r="AW347" t="n">
        <v>2439</v>
      </c>
      <c r="AX347" t="n">
        <v>84</v>
      </c>
      <c r="AY347" t="n">
        <v>0</v>
      </c>
      <c r="AZ347" t="n">
        <v>0</v>
      </c>
      <c r="BA347" t="n">
        <v>84</v>
      </c>
      <c r="BB347" t="n">
        <v>0</v>
      </c>
      <c r="BC347" t="n">
        <v>0</v>
      </c>
      <c r="BD347" t="n">
        <v>0</v>
      </c>
      <c r="BE347" t="n">
        <v>80</v>
      </c>
      <c r="BF347" t="n">
        <v>80</v>
      </c>
      <c r="BG347">
        <f>IF($F347=0,"0",MIN(
BH347/(30*$F347),
BI347/(61*$F347),
BJ347/(48*$F347),
(BK347+BL347)/(23*$F347),
(BM347+BN347)/(41*$F347),
BO347/(25*$F347),
BP347/(6.6*$F347),
BQ347/(40*$F347),
BS347/(16*$F347)
)*100)</f>
        <v/>
      </c>
      <c r="BH347" t="n">
        <v>23</v>
      </c>
      <c r="BI347" t="n">
        <v>30</v>
      </c>
      <c r="BJ347" t="n">
        <v>29</v>
      </c>
      <c r="BK347" t="n">
        <v>7</v>
      </c>
      <c r="BL347" t="n">
        <v>1</v>
      </c>
      <c r="BM347" t="n">
        <v>24</v>
      </c>
      <c r="BN347" t="n">
        <v>12</v>
      </c>
      <c r="BO347" t="n">
        <v>23</v>
      </c>
      <c r="BP347" t="n">
        <v>6</v>
      </c>
      <c r="BQ347" t="n">
        <v>23</v>
      </c>
      <c r="BR347" t="n">
        <v>18</v>
      </c>
      <c r="BS347" t="n">
        <v>13</v>
      </c>
      <c r="BT347" t="n">
        <v>209</v>
      </c>
      <c r="BU347" t="n">
        <v>26</v>
      </c>
      <c r="BV347" t="n">
        <v>121</v>
      </c>
      <c r="BW347" t="n">
        <v>337</v>
      </c>
      <c r="BX347" t="n">
        <v>18</v>
      </c>
      <c r="BY347" t="n">
        <v>16</v>
      </c>
      <c r="BZ347" t="n">
        <v>28</v>
      </c>
      <c r="CA347" t="n">
        <v>546</v>
      </c>
      <c r="CB347" t="n">
        <v>11</v>
      </c>
      <c r="CC347" t="n">
        <v>5</v>
      </c>
      <c r="CD347" t="n">
        <v>9</v>
      </c>
      <c r="CE347" t="n">
        <v>91</v>
      </c>
      <c r="CF347" t="n">
        <v>10.11</v>
      </c>
      <c r="CG347" t="n">
        <v>0</v>
      </c>
      <c r="CH347" t="n">
        <v>0</v>
      </c>
      <c r="CI347" t="n">
        <v>0</v>
      </c>
      <c r="CJ347" t="n">
        <v>0</v>
      </c>
      <c r="CK347" t="n">
        <v>0</v>
      </c>
      <c r="CL347" t="n">
        <v>0</v>
      </c>
      <c r="CM347" t="n">
        <v>0</v>
      </c>
      <c r="CN347" t="n">
        <v>32</v>
      </c>
      <c r="CO347" t="n">
        <v>0</v>
      </c>
      <c r="CP347" t="n">
        <v>5</v>
      </c>
      <c r="CQ347" t="n">
        <v>0</v>
      </c>
      <c r="CR347" t="n">
        <v>0</v>
      </c>
      <c r="CS347" t="n">
        <v>0</v>
      </c>
      <c r="CT347" t="n">
        <v>37</v>
      </c>
      <c r="CU347" t="n">
        <v>0</v>
      </c>
      <c r="CV347" t="n">
        <v>0</v>
      </c>
      <c r="CW347" t="n">
        <v>2</v>
      </c>
      <c r="CX347" t="n">
        <v>0</v>
      </c>
      <c r="CY347" t="n">
        <v>23</v>
      </c>
      <c r="CZ347" t="n">
        <v>0</v>
      </c>
      <c r="DA347" t="n">
        <v>0</v>
      </c>
      <c r="DB347" t="n">
        <v>0</v>
      </c>
      <c r="DC347" t="n">
        <v>25</v>
      </c>
      <c r="DD347" t="n">
        <v>0</v>
      </c>
      <c r="DE347" t="n">
        <v>0</v>
      </c>
      <c r="DF347" t="n">
        <v>91</v>
      </c>
      <c r="DG347" t="n">
        <v>9</v>
      </c>
      <c r="DH347" t="n">
        <v>0</v>
      </c>
      <c r="DI347" t="n">
        <v>0</v>
      </c>
      <c r="DJ347" t="n">
        <v>0</v>
      </c>
      <c r="DK347" t="n">
        <v>0</v>
      </c>
      <c r="DL347" t="n">
        <v>0</v>
      </c>
      <c r="DM347" t="n">
        <v>0</v>
      </c>
      <c r="DN347" t="n">
        <v>0</v>
      </c>
      <c r="DO347" t="n">
        <v>0</v>
      </c>
      <c r="DP347" t="n">
        <v>0</v>
      </c>
      <c r="DQ347" t="n">
        <v>0</v>
      </c>
      <c r="DR347" t="n">
        <v>0</v>
      </c>
      <c r="DS347" t="n">
        <v>100</v>
      </c>
      <c r="DT347" t="n">
        <v>162</v>
      </c>
      <c r="DU347" t="n">
        <v>42</v>
      </c>
      <c r="DV347" t="n">
        <v>0</v>
      </c>
      <c r="DW347" t="n">
        <v>0</v>
      </c>
      <c r="DX347" t="n">
        <v>0</v>
      </c>
      <c r="DY347" t="n">
        <v>130</v>
      </c>
      <c r="DZ347" t="n">
        <v>156</v>
      </c>
      <c r="EA347" t="n">
        <v>325</v>
      </c>
      <c r="EB347" t="n">
        <v>360</v>
      </c>
      <c r="EC347" t="n">
        <v>234</v>
      </c>
      <c r="ED347" t="n">
        <v>220</v>
      </c>
      <c r="EE347" t="n">
        <v>730</v>
      </c>
      <c r="EF347" t="n">
        <v>0</v>
      </c>
      <c r="EG347" t="n">
        <v>0.39</v>
      </c>
      <c r="EH347" t="n">
        <v>0.6</v>
      </c>
      <c r="EI347" t="n">
        <v>0.7</v>
      </c>
      <c r="EJ347" t="n">
        <v>0.2</v>
      </c>
      <c r="EK347" t="n">
        <v>0.8</v>
      </c>
    </row>
    <row r="348">
      <c r="A348">
        <f>[1]ingredient!B348</f>
        <v/>
      </c>
      <c r="B348" t="inlineStr">
        <is>
          <t>https://www.naehrwertrechner.de/naehrwerte/G350100/Romanesco+%28Minarettkohl%29+roh/?menge=100</t>
        </is>
      </c>
      <c r="C348" s="7">
        <f>_xlfn.XLOOKUP(A348,[1]ingredient!$B$2:$B$521,[1]ingredient!$A$2:$A$521)</f>
        <v/>
      </c>
      <c r="D348" t="n">
        <v>23</v>
      </c>
      <c r="E348" t="n">
        <v>0.28</v>
      </c>
      <c r="F348" t="n">
        <v>2</v>
      </c>
      <c r="G348" t="n">
        <v>2</v>
      </c>
      <c r="H348" t="n">
        <v>3</v>
      </c>
      <c r="I348" t="n">
        <v>2</v>
      </c>
      <c r="J348" t="n">
        <v>0.03</v>
      </c>
      <c r="K348" t="n">
        <v>91</v>
      </c>
      <c r="L348" t="n">
        <v>2</v>
      </c>
      <c r="M348" t="n">
        <v>1</v>
      </c>
      <c r="N348" t="n">
        <v>0</v>
      </c>
      <c r="O348" t="n">
        <v>10</v>
      </c>
      <c r="P348" t="n">
        <v>88</v>
      </c>
      <c r="Q348" t="n">
        <v>92</v>
      </c>
      <c r="R348" t="n">
        <v>600</v>
      </c>
      <c r="S348" t="n">
        <v>1217</v>
      </c>
      <c r="T348" t="n">
        <v>1010</v>
      </c>
      <c r="U348" t="n">
        <v>200</v>
      </c>
      <c r="V348" t="n">
        <v>2</v>
      </c>
      <c r="W348" t="n">
        <v>52</v>
      </c>
      <c r="X348" t="n">
        <v>0</v>
      </c>
      <c r="Y348" t="n">
        <v>64000</v>
      </c>
      <c r="Z348" t="n">
        <v>0</v>
      </c>
      <c r="AA348" t="n">
        <v>70</v>
      </c>
      <c r="AB348" t="n">
        <v>31</v>
      </c>
      <c r="AC348" t="n">
        <v>13</v>
      </c>
      <c r="AD348" t="n">
        <v>282</v>
      </c>
      <c r="AE348" t="n">
        <v>22</v>
      </c>
      <c r="AF348" t="n">
        <v>15</v>
      </c>
      <c r="AG348" t="n">
        <v>49</v>
      </c>
      <c r="AH348" t="n">
        <v>55</v>
      </c>
      <c r="AI348" t="n">
        <v>19</v>
      </c>
      <c r="AJ348" t="n">
        <v>510</v>
      </c>
      <c r="AK348" t="n">
        <v>286</v>
      </c>
      <c r="AL348" t="n">
        <v>45</v>
      </c>
      <c r="AM348" t="n">
        <v>180</v>
      </c>
      <c r="AN348" t="n">
        <v>9</v>
      </c>
      <c r="AO348" t="n">
        <v>1</v>
      </c>
      <c r="AP348" t="n">
        <v>0</v>
      </c>
      <c r="AQ348" t="n">
        <v>0</v>
      </c>
      <c r="AR348" t="n">
        <v>26</v>
      </c>
      <c r="AS348" t="n">
        <v>26</v>
      </c>
      <c r="AT348" t="n">
        <v>942</v>
      </c>
      <c r="AU348" t="n">
        <v>884</v>
      </c>
      <c r="AV348" t="n">
        <v>0</v>
      </c>
      <c r="AW348" t="n">
        <v>1826</v>
      </c>
      <c r="AX348" t="n">
        <v>202</v>
      </c>
      <c r="AY348" t="n">
        <v>0</v>
      </c>
      <c r="AZ348" t="n">
        <v>0</v>
      </c>
      <c r="BA348" t="n">
        <v>202</v>
      </c>
      <c r="BB348" t="n">
        <v>0</v>
      </c>
      <c r="BC348" t="n">
        <v>0</v>
      </c>
      <c r="BD348" t="n">
        <v>0</v>
      </c>
      <c r="BE348" t="n">
        <v>286</v>
      </c>
      <c r="BF348" t="n">
        <v>286</v>
      </c>
      <c r="BG348">
        <f>IF($F348=0,"0",MIN(
BH348/(30*$F348),
BI348/(61*$F348),
BJ348/(48*$F348),
(BK348+BL348)/(23*$F348),
(BM348+BN348)/(41*$F348),
BO348/(25*$F348),
BP348/(6.6*$F348),
BQ348/(40*$F348),
BS348/(16*$F348)
)*100)</f>
        <v/>
      </c>
      <c r="BH348" t="n">
        <v>120</v>
      </c>
      <c r="BI348" t="n">
        <v>185</v>
      </c>
      <c r="BJ348" t="n">
        <v>153</v>
      </c>
      <c r="BK348" t="n">
        <v>52</v>
      </c>
      <c r="BL348" t="n">
        <v>34</v>
      </c>
      <c r="BM348" t="n">
        <v>84</v>
      </c>
      <c r="BN348" t="n">
        <v>38</v>
      </c>
      <c r="BO348" t="n">
        <v>120</v>
      </c>
      <c r="BP348" t="n">
        <v>37</v>
      </c>
      <c r="BQ348" t="n">
        <v>163</v>
      </c>
      <c r="BR348" t="n">
        <v>120</v>
      </c>
      <c r="BS348" t="n">
        <v>53</v>
      </c>
      <c r="BT348" t="n">
        <v>1159</v>
      </c>
      <c r="BU348" t="n">
        <v>160</v>
      </c>
      <c r="BV348" t="n">
        <v>339</v>
      </c>
      <c r="BW348" t="n">
        <v>401</v>
      </c>
      <c r="BX348" t="n">
        <v>108</v>
      </c>
      <c r="BY348" t="n">
        <v>133</v>
      </c>
      <c r="BZ348" t="n">
        <v>160</v>
      </c>
      <c r="CA348" t="n">
        <v>1301</v>
      </c>
      <c r="CB348" t="n">
        <v>51</v>
      </c>
      <c r="CC348" t="n">
        <v>21</v>
      </c>
      <c r="CD348" t="n">
        <v>126</v>
      </c>
      <c r="CE348" t="n">
        <v>33</v>
      </c>
      <c r="CF348" t="n">
        <v>0.26</v>
      </c>
      <c r="CG348" t="n">
        <v>0</v>
      </c>
      <c r="CH348" t="n">
        <v>0</v>
      </c>
      <c r="CI348" t="n">
        <v>0</v>
      </c>
      <c r="CJ348" t="n">
        <v>0</v>
      </c>
      <c r="CK348" t="n">
        <v>0</v>
      </c>
      <c r="CL348" t="n">
        <v>1</v>
      </c>
      <c r="CM348" t="n">
        <v>0</v>
      </c>
      <c r="CN348" t="n">
        <v>45</v>
      </c>
      <c r="CO348" t="n">
        <v>0</v>
      </c>
      <c r="CP348" t="n">
        <v>2</v>
      </c>
      <c r="CQ348" t="n">
        <v>1</v>
      </c>
      <c r="CR348" t="n">
        <v>0</v>
      </c>
      <c r="CS348" t="n">
        <v>0</v>
      </c>
      <c r="CT348" t="n">
        <v>49</v>
      </c>
      <c r="CU348" t="n">
        <v>0</v>
      </c>
      <c r="CV348" t="n">
        <v>0</v>
      </c>
      <c r="CW348" t="n">
        <v>4</v>
      </c>
      <c r="CX348" t="n">
        <v>0</v>
      </c>
      <c r="CY348" t="n">
        <v>2</v>
      </c>
      <c r="CZ348" t="n">
        <v>1</v>
      </c>
      <c r="DA348" t="n">
        <v>0</v>
      </c>
      <c r="DB348" t="n">
        <v>0</v>
      </c>
      <c r="DC348" t="n">
        <v>7</v>
      </c>
      <c r="DD348" t="n">
        <v>0</v>
      </c>
      <c r="DE348" t="n">
        <v>0</v>
      </c>
      <c r="DF348" t="n">
        <v>33</v>
      </c>
      <c r="DG348" t="n">
        <v>126</v>
      </c>
      <c r="DH348" t="n">
        <v>0</v>
      </c>
      <c r="DI348" t="n">
        <v>0</v>
      </c>
      <c r="DJ348" t="n">
        <v>0</v>
      </c>
      <c r="DK348" t="n">
        <v>0</v>
      </c>
      <c r="DL348" t="n">
        <v>0</v>
      </c>
      <c r="DM348" t="n">
        <v>0</v>
      </c>
      <c r="DN348" t="n">
        <v>0</v>
      </c>
      <c r="DO348" t="n">
        <v>0</v>
      </c>
      <c r="DP348" t="n">
        <v>0</v>
      </c>
      <c r="DQ348" t="n">
        <v>0</v>
      </c>
      <c r="DR348" t="n">
        <v>0</v>
      </c>
      <c r="DS348" t="n">
        <v>159</v>
      </c>
      <c r="DT348" t="n">
        <v>215</v>
      </c>
      <c r="DU348" t="n">
        <v>65</v>
      </c>
      <c r="DV348" t="n">
        <v>0</v>
      </c>
      <c r="DW348" t="n">
        <v>0</v>
      </c>
      <c r="DX348" t="n">
        <v>0</v>
      </c>
      <c r="DY348" t="n">
        <v>709</v>
      </c>
      <c r="DZ348" t="n">
        <v>531</v>
      </c>
      <c r="EA348" t="n">
        <v>709</v>
      </c>
      <c r="EB348" t="n">
        <v>941</v>
      </c>
      <c r="EC348" t="n">
        <v>11</v>
      </c>
      <c r="ED348" t="n">
        <v>490</v>
      </c>
      <c r="EE348" t="n">
        <v>2430</v>
      </c>
      <c r="EF348" t="n">
        <v>0</v>
      </c>
      <c r="EG348" t="n">
        <v>0.22</v>
      </c>
      <c r="EH348" t="n">
        <v>0.8</v>
      </c>
      <c r="EI348" t="n">
        <v>2.4</v>
      </c>
      <c r="EJ348" t="n">
        <v>0.3</v>
      </c>
      <c r="EK348" t="n">
        <v>2.6</v>
      </c>
    </row>
    <row r="349">
      <c r="A349">
        <f>[1]ingredient!B349</f>
        <v/>
      </c>
      <c r="B349" t="inlineStr">
        <is>
          <t>https://www.naehrwertrechner.de/naehrwerte/G332111/Rosenkohl+frisch/?menge=100</t>
        </is>
      </c>
      <c r="C349" s="7">
        <f>_xlfn.XLOOKUP(A349,[1]ingredient!$B$2:$B$521,[1]ingredient!$A$2:$A$521)</f>
        <v/>
      </c>
      <c r="D349" t="n">
        <v>36</v>
      </c>
      <c r="E349" t="n">
        <v>0.34</v>
      </c>
      <c r="F349" t="n">
        <v>4</v>
      </c>
      <c r="G349" t="n">
        <v>3</v>
      </c>
      <c r="H349" t="n">
        <v>4</v>
      </c>
      <c r="I349" t="n">
        <v>3</v>
      </c>
      <c r="J349" t="n">
        <v>0.05</v>
      </c>
      <c r="K349" t="n">
        <v>86</v>
      </c>
      <c r="L349" t="n">
        <v>75</v>
      </c>
      <c r="M349" t="n">
        <v>37</v>
      </c>
      <c r="N349" t="n">
        <v>0</v>
      </c>
      <c r="O349" t="n">
        <v>447</v>
      </c>
      <c r="P349" t="n">
        <v>126</v>
      </c>
      <c r="Q349" t="n">
        <v>134</v>
      </c>
      <c r="R349" t="n">
        <v>670</v>
      </c>
      <c r="S349" t="n">
        <v>1420</v>
      </c>
      <c r="T349" t="n">
        <v>500</v>
      </c>
      <c r="U349" t="n">
        <v>280</v>
      </c>
      <c r="V349" t="n">
        <v>0.4</v>
      </c>
      <c r="W349" t="n">
        <v>78</v>
      </c>
      <c r="X349" t="n">
        <v>0</v>
      </c>
      <c r="Y349" t="n">
        <v>112000</v>
      </c>
      <c r="Z349" t="n">
        <v>0</v>
      </c>
      <c r="AA349" t="n">
        <v>560</v>
      </c>
      <c r="AB349" t="n">
        <v>250</v>
      </c>
      <c r="AC349" t="n">
        <v>10</v>
      </c>
      <c r="AD349" t="n">
        <v>387</v>
      </c>
      <c r="AE349" t="n">
        <v>31</v>
      </c>
      <c r="AF349" t="n">
        <v>22</v>
      </c>
      <c r="AG349" t="n">
        <v>84</v>
      </c>
      <c r="AH349" t="n">
        <v>93</v>
      </c>
      <c r="AI349" t="n">
        <v>40</v>
      </c>
      <c r="AJ349" t="n">
        <v>1100</v>
      </c>
      <c r="AK349" t="n">
        <v>590</v>
      </c>
      <c r="AL349" t="n">
        <v>65</v>
      </c>
      <c r="AM349" t="n">
        <v>260</v>
      </c>
      <c r="AN349" t="n">
        <v>10</v>
      </c>
      <c r="AO349" t="n">
        <v>1</v>
      </c>
      <c r="AP349" t="n">
        <v>0</v>
      </c>
      <c r="AQ349" t="n">
        <v>0</v>
      </c>
      <c r="AR349" t="n">
        <v>0</v>
      </c>
      <c r="AS349" t="n">
        <v>0</v>
      </c>
      <c r="AT349" t="n">
        <v>987</v>
      </c>
      <c r="AU349" t="n">
        <v>888</v>
      </c>
      <c r="AV349" t="n">
        <v>0</v>
      </c>
      <c r="AW349" t="n">
        <v>1875</v>
      </c>
      <c r="AX349" t="n">
        <v>1086</v>
      </c>
      <c r="AY349" t="n">
        <v>0</v>
      </c>
      <c r="AZ349" t="n">
        <v>0</v>
      </c>
      <c r="BA349" t="n">
        <v>1086</v>
      </c>
      <c r="BB349" t="n">
        <v>0</v>
      </c>
      <c r="BC349" t="n">
        <v>0</v>
      </c>
      <c r="BD349" t="n">
        <v>0</v>
      </c>
      <c r="BE349" t="n">
        <v>329</v>
      </c>
      <c r="BF349" t="n">
        <v>329</v>
      </c>
      <c r="BG349">
        <f>IF($F349=0,"0",MIN(
BH349/(30*$F349),
BI349/(61*$F349),
BJ349/(48*$F349),
(BK349+BL349)/(23*$F349),
(BM349+BN349)/(41*$F349),
BO349/(25*$F349),
BP349/(6.6*$F349),
BQ349/(40*$F349),
BS349/(16*$F349)
)*100)</f>
        <v/>
      </c>
      <c r="BH349" t="n">
        <v>182</v>
      </c>
      <c r="BI349" t="n">
        <v>200</v>
      </c>
      <c r="BJ349" t="n">
        <v>187</v>
      </c>
      <c r="BK349" t="n">
        <v>45</v>
      </c>
      <c r="BL349" t="n">
        <v>22</v>
      </c>
      <c r="BM349" t="n">
        <v>125</v>
      </c>
      <c r="BN349" t="n">
        <v>89</v>
      </c>
      <c r="BO349" t="n">
        <v>142</v>
      </c>
      <c r="BP349" t="n">
        <v>45</v>
      </c>
      <c r="BQ349" t="n">
        <v>169</v>
      </c>
      <c r="BR349" t="n">
        <v>276</v>
      </c>
      <c r="BS349" t="n">
        <v>93</v>
      </c>
      <c r="BT349" t="n">
        <v>1575</v>
      </c>
      <c r="BU349" t="n">
        <v>214</v>
      </c>
      <c r="BV349" t="n">
        <v>454</v>
      </c>
      <c r="BW349" t="n">
        <v>712</v>
      </c>
      <c r="BX349" t="n">
        <v>169</v>
      </c>
      <c r="BY349" t="n">
        <v>787</v>
      </c>
      <c r="BZ349" t="n">
        <v>227</v>
      </c>
      <c r="CA349" t="n">
        <v>2563</v>
      </c>
      <c r="CB349" t="n">
        <v>60</v>
      </c>
      <c r="CC349" t="n">
        <v>25</v>
      </c>
      <c r="CD349" t="n">
        <v>142</v>
      </c>
      <c r="CE349" t="n">
        <v>49</v>
      </c>
      <c r="CF349" t="n">
        <v>0.35</v>
      </c>
      <c r="CG349" t="n">
        <v>0</v>
      </c>
      <c r="CH349" t="n">
        <v>0</v>
      </c>
      <c r="CI349" t="n">
        <v>2</v>
      </c>
      <c r="CJ349" t="n">
        <v>0</v>
      </c>
      <c r="CK349" t="n">
        <v>0</v>
      </c>
      <c r="CL349" t="n">
        <v>1</v>
      </c>
      <c r="CM349" t="n">
        <v>0</v>
      </c>
      <c r="CN349" t="n">
        <v>56</v>
      </c>
      <c r="CO349" t="n">
        <v>0</v>
      </c>
      <c r="CP349" t="n">
        <v>3</v>
      </c>
      <c r="CQ349" t="n">
        <v>0</v>
      </c>
      <c r="CR349" t="n">
        <v>0</v>
      </c>
      <c r="CS349" t="n">
        <v>0</v>
      </c>
      <c r="CT349" t="n">
        <v>62</v>
      </c>
      <c r="CU349" t="n">
        <v>0</v>
      </c>
      <c r="CV349" t="n">
        <v>0</v>
      </c>
      <c r="CW349" t="n">
        <v>2</v>
      </c>
      <c r="CX349" t="n">
        <v>0</v>
      </c>
      <c r="CY349" t="n">
        <v>17</v>
      </c>
      <c r="CZ349" t="n">
        <v>0</v>
      </c>
      <c r="DA349" t="n">
        <v>0</v>
      </c>
      <c r="DB349" t="n">
        <v>0</v>
      </c>
      <c r="DC349" t="n">
        <v>19</v>
      </c>
      <c r="DD349" t="n">
        <v>0</v>
      </c>
      <c r="DE349" t="n">
        <v>0</v>
      </c>
      <c r="DF349" t="n">
        <v>49</v>
      </c>
      <c r="DG349" t="n">
        <v>142</v>
      </c>
      <c r="DH349" t="n">
        <v>0</v>
      </c>
      <c r="DI349" t="n">
        <v>0</v>
      </c>
      <c r="DJ349" t="n">
        <v>0</v>
      </c>
      <c r="DK349" t="n">
        <v>0</v>
      </c>
      <c r="DL349" t="n">
        <v>0</v>
      </c>
      <c r="DM349" t="n">
        <v>0</v>
      </c>
      <c r="DN349" t="n">
        <v>0</v>
      </c>
      <c r="DO349" t="n">
        <v>0</v>
      </c>
      <c r="DP349" t="n">
        <v>0</v>
      </c>
      <c r="DQ349" t="n">
        <v>0</v>
      </c>
      <c r="DR349" t="n">
        <v>0</v>
      </c>
      <c r="DS349" t="n">
        <v>191</v>
      </c>
      <c r="DT349" t="n">
        <v>270</v>
      </c>
      <c r="DU349" t="n">
        <v>68</v>
      </c>
      <c r="DV349" t="n">
        <v>0</v>
      </c>
      <c r="DW349" t="n">
        <v>0</v>
      </c>
      <c r="DX349" t="n">
        <v>2</v>
      </c>
      <c r="DY349" t="n">
        <v>1320</v>
      </c>
      <c r="DZ349" t="n">
        <v>880</v>
      </c>
      <c r="EA349" t="n">
        <v>792</v>
      </c>
      <c r="EB349" t="n">
        <v>1320</v>
      </c>
      <c r="EC349" t="n">
        <v>88</v>
      </c>
      <c r="ED349" t="n">
        <v>1452</v>
      </c>
      <c r="EE349" t="n">
        <v>2948</v>
      </c>
      <c r="EF349" t="n">
        <v>0</v>
      </c>
      <c r="EG349" t="n">
        <v>1</v>
      </c>
      <c r="EH349" t="n">
        <v>1.4</v>
      </c>
      <c r="EI349" t="n">
        <v>2.9</v>
      </c>
      <c r="EJ349" t="n">
        <v>0.3</v>
      </c>
      <c r="EK349" t="n">
        <v>4.3</v>
      </c>
    </row>
    <row r="350">
      <c r="A350">
        <f>[1]ingredient!B350</f>
        <v/>
      </c>
      <c r="B350" t="inlineStr">
        <is>
          <t>https://www.naehrwertrechner.de/naehrwerte/G332111/Rosenkohl+frisch/?menge=100</t>
        </is>
      </c>
      <c r="C350" s="7">
        <f>_xlfn.XLOOKUP(A350,[1]ingredient!$B$2:$B$521,[1]ingredient!$A$2:$A$521)</f>
        <v/>
      </c>
      <c r="D350" t="n">
        <v>36</v>
      </c>
      <c r="E350" t="n">
        <v>0.34</v>
      </c>
      <c r="F350" t="n">
        <v>4</v>
      </c>
      <c r="G350" t="n">
        <v>3</v>
      </c>
      <c r="H350" t="n">
        <v>4</v>
      </c>
      <c r="I350" t="n">
        <v>3</v>
      </c>
      <c r="J350" t="n">
        <v>0.05</v>
      </c>
      <c r="K350" t="n">
        <v>86</v>
      </c>
      <c r="L350" t="n">
        <v>75</v>
      </c>
      <c r="M350" t="n">
        <v>37</v>
      </c>
      <c r="N350" t="n">
        <v>0</v>
      </c>
      <c r="O350" t="n">
        <v>447</v>
      </c>
      <c r="P350" t="n">
        <v>126</v>
      </c>
      <c r="Q350" t="n">
        <v>134</v>
      </c>
      <c r="R350" t="n">
        <v>670</v>
      </c>
      <c r="S350" t="n">
        <v>1420</v>
      </c>
      <c r="T350" t="n">
        <v>500</v>
      </c>
      <c r="U350" t="n">
        <v>280</v>
      </c>
      <c r="V350" t="n">
        <v>0.4</v>
      </c>
      <c r="W350" t="n">
        <v>78</v>
      </c>
      <c r="X350" t="n">
        <v>0</v>
      </c>
      <c r="Y350" t="n">
        <v>112000</v>
      </c>
      <c r="Z350" t="n">
        <v>0</v>
      </c>
      <c r="AA350" t="n">
        <v>560</v>
      </c>
      <c r="AB350" t="n">
        <v>250</v>
      </c>
      <c r="AC350" t="n">
        <v>10</v>
      </c>
      <c r="AD350" t="n">
        <v>387</v>
      </c>
      <c r="AE350" t="n">
        <v>31</v>
      </c>
      <c r="AF350" t="n">
        <v>22</v>
      </c>
      <c r="AG350" t="n">
        <v>84</v>
      </c>
      <c r="AH350" t="n">
        <v>93</v>
      </c>
      <c r="AI350" t="n">
        <v>40</v>
      </c>
      <c r="AJ350" t="n">
        <v>1100</v>
      </c>
      <c r="AK350" t="n">
        <v>590</v>
      </c>
      <c r="AL350" t="n">
        <v>65</v>
      </c>
      <c r="AM350" t="n">
        <v>260</v>
      </c>
      <c r="AN350" t="n">
        <v>10</v>
      </c>
      <c r="AO350" t="n">
        <v>1</v>
      </c>
      <c r="AP350" t="n">
        <v>0</v>
      </c>
      <c r="AQ350" t="n">
        <v>0</v>
      </c>
      <c r="AR350" t="n">
        <v>0</v>
      </c>
      <c r="AS350" t="n">
        <v>0</v>
      </c>
      <c r="AT350" t="n">
        <v>987</v>
      </c>
      <c r="AU350" t="n">
        <v>888</v>
      </c>
      <c r="AV350" t="n">
        <v>0</v>
      </c>
      <c r="AW350" t="n">
        <v>1875</v>
      </c>
      <c r="AX350" t="n">
        <v>1086</v>
      </c>
      <c r="AY350" t="n">
        <v>0</v>
      </c>
      <c r="AZ350" t="n">
        <v>0</v>
      </c>
      <c r="BA350" t="n">
        <v>1086</v>
      </c>
      <c r="BB350" t="n">
        <v>0</v>
      </c>
      <c r="BC350" t="n">
        <v>0</v>
      </c>
      <c r="BD350" t="n">
        <v>0</v>
      </c>
      <c r="BE350" t="n">
        <v>329</v>
      </c>
      <c r="BF350" t="n">
        <v>329</v>
      </c>
      <c r="BG350">
        <f>IF($F350=0,"0",MIN(
BH350/(30*$F350),
BI350/(61*$F350),
BJ350/(48*$F350),
(BK350+BL350)/(23*$F350),
(BM350+BN350)/(41*$F350),
BO350/(25*$F350),
BP350/(6.6*$F350),
BQ350/(40*$F350),
BS350/(16*$F350)
)*100)</f>
        <v/>
      </c>
      <c r="BH350" t="n">
        <v>182</v>
      </c>
      <c r="BI350" t="n">
        <v>200</v>
      </c>
      <c r="BJ350" t="n">
        <v>187</v>
      </c>
      <c r="BK350" t="n">
        <v>45</v>
      </c>
      <c r="BL350" t="n">
        <v>22</v>
      </c>
      <c r="BM350" t="n">
        <v>125</v>
      </c>
      <c r="BN350" t="n">
        <v>89</v>
      </c>
      <c r="BO350" t="n">
        <v>142</v>
      </c>
      <c r="BP350" t="n">
        <v>45</v>
      </c>
      <c r="BQ350" t="n">
        <v>169</v>
      </c>
      <c r="BR350" t="n">
        <v>276</v>
      </c>
      <c r="BS350" t="n">
        <v>93</v>
      </c>
      <c r="BT350" t="n">
        <v>1575</v>
      </c>
      <c r="BU350" t="n">
        <v>214</v>
      </c>
      <c r="BV350" t="n">
        <v>454</v>
      </c>
      <c r="BW350" t="n">
        <v>712</v>
      </c>
      <c r="BX350" t="n">
        <v>169</v>
      </c>
      <c r="BY350" t="n">
        <v>787</v>
      </c>
      <c r="BZ350" t="n">
        <v>227</v>
      </c>
      <c r="CA350" t="n">
        <v>2563</v>
      </c>
      <c r="CB350" t="n">
        <v>60</v>
      </c>
      <c r="CC350" t="n">
        <v>25</v>
      </c>
      <c r="CD350" t="n">
        <v>142</v>
      </c>
      <c r="CE350" t="n">
        <v>49</v>
      </c>
      <c r="CF350" t="n">
        <v>0.35</v>
      </c>
      <c r="CG350" t="n">
        <v>0</v>
      </c>
      <c r="CH350" t="n">
        <v>0</v>
      </c>
      <c r="CI350" t="n">
        <v>2</v>
      </c>
      <c r="CJ350" t="n">
        <v>0</v>
      </c>
      <c r="CK350" t="n">
        <v>0</v>
      </c>
      <c r="CL350" t="n">
        <v>1</v>
      </c>
      <c r="CM350" t="n">
        <v>0</v>
      </c>
      <c r="CN350" t="n">
        <v>56</v>
      </c>
      <c r="CO350" t="n">
        <v>0</v>
      </c>
      <c r="CP350" t="n">
        <v>3</v>
      </c>
      <c r="CQ350" t="n">
        <v>0</v>
      </c>
      <c r="CR350" t="n">
        <v>0</v>
      </c>
      <c r="CS350" t="n">
        <v>0</v>
      </c>
      <c r="CT350" t="n">
        <v>62</v>
      </c>
      <c r="CU350" t="n">
        <v>0</v>
      </c>
      <c r="CV350" t="n">
        <v>0</v>
      </c>
      <c r="CW350" t="n">
        <v>2</v>
      </c>
      <c r="CX350" t="n">
        <v>0</v>
      </c>
      <c r="CY350" t="n">
        <v>17</v>
      </c>
      <c r="CZ350" t="n">
        <v>0</v>
      </c>
      <c r="DA350" t="n">
        <v>0</v>
      </c>
      <c r="DB350" t="n">
        <v>0</v>
      </c>
      <c r="DC350" t="n">
        <v>19</v>
      </c>
      <c r="DD350" t="n">
        <v>0</v>
      </c>
      <c r="DE350" t="n">
        <v>0</v>
      </c>
      <c r="DF350" t="n">
        <v>49</v>
      </c>
      <c r="DG350" t="n">
        <v>142</v>
      </c>
      <c r="DH350" t="n">
        <v>0</v>
      </c>
      <c r="DI350" t="n">
        <v>0</v>
      </c>
      <c r="DJ350" t="n">
        <v>0</v>
      </c>
      <c r="DK350" t="n">
        <v>0</v>
      </c>
      <c r="DL350" t="n">
        <v>0</v>
      </c>
      <c r="DM350" t="n">
        <v>0</v>
      </c>
      <c r="DN350" t="n">
        <v>0</v>
      </c>
      <c r="DO350" t="n">
        <v>0</v>
      </c>
      <c r="DP350" t="n">
        <v>0</v>
      </c>
      <c r="DQ350" t="n">
        <v>0</v>
      </c>
      <c r="DR350" t="n">
        <v>0</v>
      </c>
      <c r="DS350" t="n">
        <v>191</v>
      </c>
      <c r="DT350" t="n">
        <v>270</v>
      </c>
      <c r="DU350" t="n">
        <v>68</v>
      </c>
      <c r="DV350" t="n">
        <v>0</v>
      </c>
      <c r="DW350" t="n">
        <v>0</v>
      </c>
      <c r="DX350" t="n">
        <v>2</v>
      </c>
      <c r="DY350" t="n">
        <v>1320</v>
      </c>
      <c r="DZ350" t="n">
        <v>880</v>
      </c>
      <c r="EA350" t="n">
        <v>792</v>
      </c>
      <c r="EB350" t="n">
        <v>1320</v>
      </c>
      <c r="EC350" t="n">
        <v>88</v>
      </c>
      <c r="ED350" t="n">
        <v>1452</v>
      </c>
      <c r="EE350" t="n">
        <v>2948</v>
      </c>
      <c r="EF350" t="n">
        <v>0</v>
      </c>
      <c r="EG350" t="n">
        <v>1</v>
      </c>
      <c r="EH350" t="n">
        <v>1.4</v>
      </c>
      <c r="EI350" t="n">
        <v>2.9</v>
      </c>
      <c r="EJ350" t="n">
        <v>0.3</v>
      </c>
      <c r="EK350" t="n">
        <v>4.3</v>
      </c>
    </row>
    <row r="351">
      <c r="A351">
        <f>[1]ingredient!B351</f>
        <v/>
      </c>
      <c r="B351" s="11" t="inlineStr">
        <is>
          <t>https://www.naehrwertrechner.de/naehrwerte/G332211/Rosenkohl+tiefgefroren/?menge=100</t>
        </is>
      </c>
      <c r="C351" s="7" t="n"/>
      <c r="D351" s="15" t="n">
        <v>39</v>
      </c>
      <c r="E351" s="15" t="n">
        <v>0.37</v>
      </c>
      <c r="F351" s="15" t="n">
        <v>5</v>
      </c>
      <c r="G351" s="15" t="n">
        <v>3</v>
      </c>
      <c r="H351" s="15" t="n">
        <v>5</v>
      </c>
      <c r="I351" s="15" t="n">
        <v>3</v>
      </c>
      <c r="J351" s="15" t="n">
        <v>0.05</v>
      </c>
      <c r="K351" s="15" t="n">
        <v>84</v>
      </c>
      <c r="L351" s="15" t="n">
        <v>78</v>
      </c>
      <c r="M351" s="15" t="n">
        <v>39</v>
      </c>
      <c r="N351" s="15" t="n">
        <v>0</v>
      </c>
      <c r="O351" s="15" t="n">
        <v>466</v>
      </c>
      <c r="P351" s="15" t="n">
        <v>111</v>
      </c>
      <c r="Q351" s="15" t="n">
        <v>132</v>
      </c>
      <c r="R351" s="15" t="n">
        <v>661</v>
      </c>
      <c r="S351" s="15" t="n">
        <v>1478</v>
      </c>
      <c r="T351" s="15" t="n">
        <v>521</v>
      </c>
      <c r="U351" s="15" t="n">
        <v>246</v>
      </c>
      <c r="V351" s="15" t="n">
        <v>0</v>
      </c>
      <c r="W351" s="15" t="n">
        <v>60</v>
      </c>
      <c r="X351" s="15" t="n">
        <v>0</v>
      </c>
      <c r="Y351" s="15" t="n">
        <v>85957</v>
      </c>
      <c r="Z351" s="15" t="n">
        <v>0</v>
      </c>
      <c r="AA351" s="15" t="n">
        <v>614</v>
      </c>
      <c r="AB351" s="15" t="n">
        <v>274</v>
      </c>
      <c r="AC351" s="15" t="n">
        <v>10</v>
      </c>
      <c r="AD351" s="15" t="n">
        <v>382</v>
      </c>
      <c r="AE351" s="15" t="n">
        <v>31</v>
      </c>
      <c r="AF351" s="15" t="n">
        <v>22</v>
      </c>
      <c r="AG351" s="15" t="n">
        <v>83</v>
      </c>
      <c r="AH351" s="15" t="n">
        <v>92</v>
      </c>
      <c r="AI351" s="15" t="n">
        <v>39</v>
      </c>
      <c r="AJ351" s="15" t="n">
        <v>1085</v>
      </c>
      <c r="AK351" s="15" t="n">
        <v>582</v>
      </c>
      <c r="AL351" s="15" t="n">
        <v>65</v>
      </c>
      <c r="AM351" s="15" t="n">
        <v>257</v>
      </c>
      <c r="AN351" s="15" t="n">
        <v>10</v>
      </c>
      <c r="AO351" s="15" t="n">
        <v>1</v>
      </c>
      <c r="AP351" s="15" t="n">
        <v>0</v>
      </c>
      <c r="AQ351" s="15" t="n">
        <v>0</v>
      </c>
      <c r="AR351" s="15" t="n">
        <v>0</v>
      </c>
      <c r="AS351" s="15" t="n">
        <v>0</v>
      </c>
      <c r="AT351" s="15" t="n">
        <v>1028</v>
      </c>
      <c r="AU351" s="15" t="n">
        <v>925</v>
      </c>
      <c r="AV351" s="15" t="n">
        <v>0</v>
      </c>
      <c r="AW351" s="15" t="n">
        <v>1953</v>
      </c>
      <c r="AX351" s="15" t="n">
        <v>1131</v>
      </c>
      <c r="AY351" s="15" t="n">
        <v>0</v>
      </c>
      <c r="AZ351" s="15" t="n">
        <v>0</v>
      </c>
      <c r="BA351" s="15" t="n">
        <v>1131</v>
      </c>
      <c r="BB351" s="15" t="n">
        <v>0</v>
      </c>
      <c r="BC351" s="15" t="n">
        <v>0</v>
      </c>
      <c r="BD351" s="15" t="n">
        <v>0</v>
      </c>
      <c r="BE351" s="15" t="n">
        <v>343</v>
      </c>
      <c r="BF351" s="15" t="n">
        <v>343</v>
      </c>
      <c r="BG351" s="15" t="n">
        <v>33</v>
      </c>
      <c r="BH351" s="15" t="n">
        <v>200</v>
      </c>
      <c r="BI351" s="15" t="n">
        <v>219</v>
      </c>
      <c r="BJ351" s="15" t="n">
        <v>205</v>
      </c>
      <c r="BK351" s="15" t="n">
        <v>49</v>
      </c>
      <c r="BL351" s="15" t="n">
        <v>24</v>
      </c>
      <c r="BM351" s="15" t="n">
        <v>137</v>
      </c>
      <c r="BN351" s="15" t="n">
        <v>98</v>
      </c>
      <c r="BO351" s="15" t="n">
        <v>156</v>
      </c>
      <c r="BP351" s="15" t="n">
        <v>49</v>
      </c>
      <c r="BQ351" s="15" t="n">
        <v>185</v>
      </c>
      <c r="BR351" s="15" t="n">
        <v>303</v>
      </c>
      <c r="BS351" s="15" t="n">
        <v>102</v>
      </c>
      <c r="BT351" s="15" t="n">
        <v>1727</v>
      </c>
      <c r="BU351" s="15" t="n">
        <v>235</v>
      </c>
      <c r="BV351" s="15" t="n">
        <v>498</v>
      </c>
      <c r="BW351" s="15" t="n">
        <v>781</v>
      </c>
      <c r="BX351" s="15" t="n">
        <v>185</v>
      </c>
      <c r="BY351" s="15" t="n">
        <v>862</v>
      </c>
      <c r="BZ351" s="15" t="n">
        <v>249</v>
      </c>
      <c r="CA351" s="15" t="n">
        <v>2810</v>
      </c>
      <c r="CB351" s="15" t="n">
        <v>66</v>
      </c>
      <c r="CC351" s="15" t="n">
        <v>28</v>
      </c>
      <c r="CD351" s="15" t="n">
        <v>156</v>
      </c>
      <c r="CE351" s="15" t="n">
        <v>54</v>
      </c>
      <c r="CF351" s="15" t="n">
        <v>0.35</v>
      </c>
      <c r="CG351" s="15" t="n">
        <v>0</v>
      </c>
      <c r="CH351" s="15" t="n">
        <v>0</v>
      </c>
      <c r="CI351" s="15" t="n">
        <v>2</v>
      </c>
      <c r="CJ351" s="15" t="n">
        <v>0</v>
      </c>
      <c r="CK351" s="15" t="n">
        <v>0</v>
      </c>
      <c r="CL351" s="15" t="n">
        <v>1</v>
      </c>
      <c r="CM351" s="15" t="n">
        <v>0</v>
      </c>
      <c r="CN351" s="15" t="n">
        <v>61</v>
      </c>
      <c r="CO351" s="15" t="n">
        <v>0</v>
      </c>
      <c r="CP351" s="15" t="n">
        <v>3</v>
      </c>
      <c r="CQ351" s="15" t="n">
        <v>0</v>
      </c>
      <c r="CR351" s="15" t="n">
        <v>0</v>
      </c>
      <c r="CS351" s="15" t="n">
        <v>0</v>
      </c>
      <c r="CT351" s="15" t="n">
        <v>67</v>
      </c>
      <c r="CU351" s="15" t="n">
        <v>0</v>
      </c>
      <c r="CV351" s="15" t="n">
        <v>0</v>
      </c>
      <c r="CW351" s="15" t="n">
        <v>2</v>
      </c>
      <c r="CX351" s="15" t="n">
        <v>0</v>
      </c>
      <c r="CY351" s="15" t="n">
        <v>19</v>
      </c>
      <c r="CZ351" s="15" t="n">
        <v>0</v>
      </c>
      <c r="DA351" s="15" t="n">
        <v>0</v>
      </c>
      <c r="DB351" s="15" t="n">
        <v>0</v>
      </c>
      <c r="DC351" s="15" t="n">
        <v>21</v>
      </c>
      <c r="DD351" s="15" t="n">
        <v>0</v>
      </c>
      <c r="DE351" s="15" t="n">
        <v>0</v>
      </c>
      <c r="DF351" s="15" t="n">
        <v>54</v>
      </c>
      <c r="DG351" s="15" t="n">
        <v>156</v>
      </c>
      <c r="DH351" s="15" t="n">
        <v>0</v>
      </c>
      <c r="DI351" s="15" t="n">
        <v>0</v>
      </c>
      <c r="DJ351" s="15" t="n">
        <v>0</v>
      </c>
      <c r="DK351" s="15" t="n">
        <v>0</v>
      </c>
      <c r="DL351" s="15" t="n">
        <v>0</v>
      </c>
      <c r="DM351" s="15" t="n">
        <v>0</v>
      </c>
      <c r="DN351" s="15" t="n">
        <v>0</v>
      </c>
      <c r="DO351" s="15" t="n">
        <v>0</v>
      </c>
      <c r="DP351" s="15" t="n">
        <v>0</v>
      </c>
      <c r="DQ351" s="15" t="n">
        <v>0</v>
      </c>
      <c r="DR351" s="15" t="n">
        <v>0</v>
      </c>
      <c r="DS351" s="15" t="n">
        <v>210</v>
      </c>
      <c r="DT351" s="15" t="n">
        <v>296</v>
      </c>
      <c r="DU351" s="15" t="n">
        <v>75</v>
      </c>
      <c r="DV351" s="15" t="n">
        <v>0</v>
      </c>
      <c r="DW351" s="15" t="n">
        <v>0</v>
      </c>
      <c r="DX351" s="15" t="n">
        <v>2</v>
      </c>
      <c r="DY351" s="15" t="n">
        <v>1448</v>
      </c>
      <c r="DZ351" s="15" t="n">
        <v>965</v>
      </c>
      <c r="EA351" s="15" t="n">
        <v>868</v>
      </c>
      <c r="EB351" s="15" t="n">
        <v>1447</v>
      </c>
      <c r="EC351" s="15" t="n">
        <v>96</v>
      </c>
      <c r="ED351" s="15" t="n">
        <v>1592</v>
      </c>
      <c r="EE351" s="15" t="n">
        <v>3232</v>
      </c>
      <c r="EF351" s="15" t="n">
        <v>0</v>
      </c>
      <c r="EG351" s="15" t="n">
        <v>1</v>
      </c>
      <c r="EH351" s="15" t="n">
        <v>1.5</v>
      </c>
      <c r="EI351" s="15" t="n">
        <v>3.2</v>
      </c>
      <c r="EJ351" s="15" t="n">
        <v>0.4</v>
      </c>
      <c r="EK351" s="15" t="n">
        <v>4.8</v>
      </c>
    </row>
    <row r="352">
      <c r="A352">
        <f>[1]ingredient!B352</f>
        <v/>
      </c>
      <c r="B352" s="14" t="inlineStr">
        <is>
          <t>https://www.naehrwertrechner.de/naehrwerte/G078111/Rosmarin+frisch/?menge=100</t>
        </is>
      </c>
      <c r="C352" s="7">
        <f>_xlfn.XLOOKUP(A352,[1]ingredient!$B$2:$B$521,[1]ingredient!$A$2:$A$521)</f>
        <v/>
      </c>
      <c r="D352" t="n">
        <v>57</v>
      </c>
      <c r="E352" t="n">
        <v>3</v>
      </c>
      <c r="F352" t="n">
        <v>1</v>
      </c>
      <c r="G352" t="n">
        <v>8</v>
      </c>
      <c r="H352" t="n">
        <v>3</v>
      </c>
      <c r="I352" t="n">
        <v>8</v>
      </c>
      <c r="J352" t="n">
        <v>0.04</v>
      </c>
      <c r="K352" t="n">
        <v>85</v>
      </c>
      <c r="L352" t="n">
        <v>52</v>
      </c>
      <c r="M352" t="n">
        <v>26</v>
      </c>
      <c r="N352" t="n">
        <v>0</v>
      </c>
      <c r="O352" t="n">
        <v>310</v>
      </c>
      <c r="P352" t="n">
        <v>85</v>
      </c>
      <c r="Q352" t="n">
        <v>0</v>
      </c>
      <c r="R352" t="n">
        <v>165</v>
      </c>
      <c r="S352" t="n">
        <v>298</v>
      </c>
      <c r="T352" t="n">
        <v>0</v>
      </c>
      <c r="U352" t="n">
        <v>0</v>
      </c>
      <c r="V352" t="n">
        <v>0</v>
      </c>
      <c r="W352" t="n">
        <v>0</v>
      </c>
      <c r="X352" t="n">
        <v>0</v>
      </c>
      <c r="Y352" t="n">
        <v>0</v>
      </c>
      <c r="Z352" t="n">
        <v>0</v>
      </c>
      <c r="AA352" t="n">
        <v>0</v>
      </c>
      <c r="AB352" t="n">
        <v>0</v>
      </c>
      <c r="AC352" t="n">
        <v>8</v>
      </c>
      <c r="AD352" t="n">
        <v>157</v>
      </c>
      <c r="AE352" t="n">
        <v>211</v>
      </c>
      <c r="AF352" t="n">
        <v>36</v>
      </c>
      <c r="AG352" t="n">
        <v>12</v>
      </c>
      <c r="AH352" t="n">
        <v>17</v>
      </c>
      <c r="AI352" t="n">
        <v>33</v>
      </c>
      <c r="AJ352" t="n">
        <v>4837</v>
      </c>
      <c r="AK352" t="n">
        <v>528</v>
      </c>
      <c r="AL352" t="n">
        <v>91</v>
      </c>
      <c r="AM352" t="n">
        <v>83</v>
      </c>
      <c r="AN352" t="n">
        <v>17</v>
      </c>
      <c r="AO352" t="n">
        <v>1</v>
      </c>
      <c r="AP352" t="n">
        <v>0</v>
      </c>
      <c r="AQ352" t="n">
        <v>0</v>
      </c>
      <c r="AR352" t="n">
        <v>0</v>
      </c>
      <c r="AS352" t="n">
        <v>0</v>
      </c>
      <c r="AT352" t="n">
        <v>3064</v>
      </c>
      <c r="AU352" t="n">
        <v>3064</v>
      </c>
      <c r="AV352" t="n">
        <v>0</v>
      </c>
      <c r="AW352" t="n">
        <v>6128</v>
      </c>
      <c r="AX352" t="n">
        <v>1456</v>
      </c>
      <c r="AY352" t="n">
        <v>0</v>
      </c>
      <c r="AZ352" t="n">
        <v>0</v>
      </c>
      <c r="BA352" t="n">
        <v>1456</v>
      </c>
      <c r="BB352" t="n">
        <v>0</v>
      </c>
      <c r="BC352" t="n">
        <v>0</v>
      </c>
      <c r="BD352" t="n">
        <v>0</v>
      </c>
      <c r="BE352" t="n">
        <v>77</v>
      </c>
      <c r="BF352" t="n">
        <v>77</v>
      </c>
      <c r="BG352">
        <f>IF($F352=0,"0",MIN(
BH352/(30*$F352),
BI352/(61*$F352),
BJ352/(48*$F352),
(BK352+BL352)/(23*$F352),
(BM352+BN352)/(41*$F352),
BO352/(25*$F352),
BP352/(6.6*$F352),
BQ352/(40*$F352),
BS352/(16*$F352)
)*100)</f>
        <v/>
      </c>
      <c r="BH352" t="n">
        <v>32</v>
      </c>
      <c r="BI352" t="n">
        <v>49</v>
      </c>
      <c r="BJ352" t="n">
        <v>40</v>
      </c>
      <c r="BK352" t="n">
        <v>10</v>
      </c>
      <c r="BL352" t="n">
        <v>8</v>
      </c>
      <c r="BM352" t="n">
        <v>24</v>
      </c>
      <c r="BN352" t="n">
        <v>16</v>
      </c>
      <c r="BO352" t="n">
        <v>28</v>
      </c>
      <c r="BP352" t="n">
        <v>8</v>
      </c>
      <c r="BQ352" t="n">
        <v>32</v>
      </c>
      <c r="BR352" t="n">
        <v>32</v>
      </c>
      <c r="BS352" t="n">
        <v>12</v>
      </c>
      <c r="BT352" t="n">
        <v>291</v>
      </c>
      <c r="BU352" t="n">
        <v>40</v>
      </c>
      <c r="BV352" t="n">
        <v>81</v>
      </c>
      <c r="BW352" t="n">
        <v>124</v>
      </c>
      <c r="BX352" t="n">
        <v>23</v>
      </c>
      <c r="BY352" t="n">
        <v>32</v>
      </c>
      <c r="BZ352" t="n">
        <v>24</v>
      </c>
      <c r="CA352" t="n">
        <v>324</v>
      </c>
      <c r="CB352" t="n">
        <v>124</v>
      </c>
      <c r="CC352" t="n">
        <v>52</v>
      </c>
      <c r="CD352" t="n">
        <v>602</v>
      </c>
      <c r="CE352" t="n">
        <v>803</v>
      </c>
      <c r="CF352" t="n">
        <v>1.33</v>
      </c>
      <c r="CG352" t="n">
        <v>0</v>
      </c>
      <c r="CH352" t="n">
        <v>0</v>
      </c>
      <c r="CI352" t="n">
        <v>0</v>
      </c>
      <c r="CJ352" t="n">
        <v>0</v>
      </c>
      <c r="CK352" t="n">
        <v>0</v>
      </c>
      <c r="CL352" t="n">
        <v>10</v>
      </c>
      <c r="CM352" t="n">
        <v>0</v>
      </c>
      <c r="CN352" t="n">
        <v>391</v>
      </c>
      <c r="CO352" t="n">
        <v>0</v>
      </c>
      <c r="CP352" t="n">
        <v>60</v>
      </c>
      <c r="CQ352" t="n">
        <v>0</v>
      </c>
      <c r="CR352" t="n">
        <v>0</v>
      </c>
      <c r="CS352" t="n">
        <v>0</v>
      </c>
      <c r="CT352" t="n">
        <v>461</v>
      </c>
      <c r="CU352" t="n">
        <v>0</v>
      </c>
      <c r="CV352" t="n">
        <v>0</v>
      </c>
      <c r="CW352" t="n">
        <v>20</v>
      </c>
      <c r="CX352" t="n">
        <v>0</v>
      </c>
      <c r="CY352" t="n">
        <v>121</v>
      </c>
      <c r="CZ352" t="n">
        <v>0</v>
      </c>
      <c r="DA352" t="n">
        <v>0</v>
      </c>
      <c r="DB352" t="n">
        <v>0</v>
      </c>
      <c r="DC352" t="n">
        <v>141</v>
      </c>
      <c r="DD352" t="n">
        <v>0</v>
      </c>
      <c r="DE352" t="n">
        <v>0</v>
      </c>
      <c r="DF352" t="n">
        <v>803</v>
      </c>
      <c r="DG352" t="n">
        <v>602</v>
      </c>
      <c r="DH352" t="n">
        <v>0</v>
      </c>
      <c r="DI352" t="n">
        <v>0</v>
      </c>
      <c r="DJ352" t="n">
        <v>0</v>
      </c>
      <c r="DK352" t="n">
        <v>0</v>
      </c>
      <c r="DL352" t="n">
        <v>0</v>
      </c>
      <c r="DM352" t="n">
        <v>0</v>
      </c>
      <c r="DN352" t="n">
        <v>0</v>
      </c>
      <c r="DO352" t="n">
        <v>0</v>
      </c>
      <c r="DP352" t="n">
        <v>0</v>
      </c>
      <c r="DQ352" t="n">
        <v>0</v>
      </c>
      <c r="DR352" t="n">
        <v>0</v>
      </c>
      <c r="DS352" t="n">
        <v>1405</v>
      </c>
      <c r="DT352" t="n">
        <v>2007</v>
      </c>
      <c r="DU352" t="n">
        <v>502</v>
      </c>
      <c r="DV352" t="n">
        <v>0</v>
      </c>
      <c r="DW352" t="n">
        <v>0</v>
      </c>
      <c r="DX352" t="n">
        <v>0</v>
      </c>
      <c r="DY352" t="n">
        <v>437</v>
      </c>
      <c r="DZ352" t="n">
        <v>583</v>
      </c>
      <c r="EA352" t="n">
        <v>787</v>
      </c>
      <c r="EB352" t="n">
        <v>1019</v>
      </c>
      <c r="EC352" t="n">
        <v>88</v>
      </c>
      <c r="ED352" t="n">
        <v>874</v>
      </c>
      <c r="EE352" t="n">
        <v>2040</v>
      </c>
      <c r="EF352" t="n">
        <v>0</v>
      </c>
      <c r="EG352" t="n">
        <v>0.03</v>
      </c>
      <c r="EH352" t="n">
        <v>1.1</v>
      </c>
      <c r="EI352" t="n">
        <v>2</v>
      </c>
      <c r="EJ352" t="n">
        <v>2.5</v>
      </c>
      <c r="EK352" t="n">
        <v>1</v>
      </c>
    </row>
    <row r="353">
      <c r="A353">
        <f>[1]ingredient!B353</f>
        <v/>
      </c>
      <c r="B353" t="inlineStr">
        <is>
          <t>https://www.naehrwertrechner.de/naehrwerte/R223011/Rosmarin+Gew%C3%BCrz/?menge=100</t>
        </is>
      </c>
      <c r="C353" s="7">
        <f>_xlfn.XLOOKUP(A353,[1]ingredient!$B$2:$B$521,[1]ingredient!$A$2:$A$521)</f>
        <v/>
      </c>
      <c r="D353" t="n">
        <v>343</v>
      </c>
      <c r="E353" t="n">
        <v>15</v>
      </c>
      <c r="F353" t="n">
        <v>5</v>
      </c>
      <c r="G353" t="n">
        <v>46</v>
      </c>
      <c r="H353" t="n">
        <v>18</v>
      </c>
      <c r="I353" t="n">
        <v>46</v>
      </c>
      <c r="J353" t="n">
        <v>0.25</v>
      </c>
      <c r="K353" t="n">
        <v>9</v>
      </c>
      <c r="L353" t="n">
        <v>313</v>
      </c>
      <c r="M353" t="n">
        <v>157</v>
      </c>
      <c r="N353" t="n">
        <v>0</v>
      </c>
      <c r="O353" t="n">
        <v>1880</v>
      </c>
      <c r="P353" t="n">
        <v>514</v>
      </c>
      <c r="Q353" t="n">
        <v>0</v>
      </c>
      <c r="R353" t="n">
        <v>1000</v>
      </c>
      <c r="S353" t="n">
        <v>1817</v>
      </c>
      <c r="T353" t="n">
        <v>0</v>
      </c>
      <c r="U353" t="n">
        <v>0</v>
      </c>
      <c r="V353" t="n">
        <v>0</v>
      </c>
      <c r="W353" t="n">
        <v>0</v>
      </c>
      <c r="X353" t="n">
        <v>0</v>
      </c>
      <c r="Y353" t="n">
        <v>0</v>
      </c>
      <c r="Z353" t="n">
        <v>0</v>
      </c>
      <c r="AA353" t="n">
        <v>0</v>
      </c>
      <c r="AB353" t="n">
        <v>0</v>
      </c>
      <c r="AC353" t="n">
        <v>50</v>
      </c>
      <c r="AD353" t="n">
        <v>950</v>
      </c>
      <c r="AE353" t="n">
        <v>1280</v>
      </c>
      <c r="AF353" t="n">
        <v>220</v>
      </c>
      <c r="AG353" t="n">
        <v>70</v>
      </c>
      <c r="AH353" t="n">
        <v>100</v>
      </c>
      <c r="AI353" t="n">
        <v>200</v>
      </c>
      <c r="AJ353" t="n">
        <v>29300</v>
      </c>
      <c r="AK353" t="n">
        <v>3200</v>
      </c>
      <c r="AL353" t="n">
        <v>550</v>
      </c>
      <c r="AM353" t="n">
        <v>500</v>
      </c>
      <c r="AN353" t="n">
        <v>100</v>
      </c>
      <c r="AO353" t="n">
        <v>5</v>
      </c>
      <c r="AP353" t="n">
        <v>0</v>
      </c>
      <c r="AQ353" t="n">
        <v>0</v>
      </c>
      <c r="AR353" t="n">
        <v>0</v>
      </c>
      <c r="AS353" t="n">
        <v>0</v>
      </c>
      <c r="AT353" t="n">
        <v>18560</v>
      </c>
      <c r="AU353" t="n">
        <v>18560</v>
      </c>
      <c r="AV353" t="n">
        <v>0</v>
      </c>
      <c r="AW353" t="n">
        <v>37120</v>
      </c>
      <c r="AX353" t="n">
        <v>8816</v>
      </c>
      <c r="AY353" t="n">
        <v>0</v>
      </c>
      <c r="AZ353" t="n">
        <v>0</v>
      </c>
      <c r="BA353" t="n">
        <v>8816</v>
      </c>
      <c r="BB353" t="n">
        <v>0</v>
      </c>
      <c r="BC353" t="n">
        <v>0</v>
      </c>
      <c r="BD353" t="n">
        <v>0</v>
      </c>
      <c r="BE353" t="n">
        <v>464</v>
      </c>
      <c r="BF353" t="n">
        <v>464</v>
      </c>
      <c r="BG353">
        <f>IF($F353=0,"0",MIN(
BH353/(30*$F353),
BI353/(61*$F353),
BJ353/(48*$F353),
(BK353+BL353)/(23*$F353),
(BM353+BN353)/(41*$F353),
BO353/(25*$F353),
BP353/(6.6*$F353),
BQ353/(40*$F353),
BS353/(16*$F353)
)*100)</f>
        <v/>
      </c>
      <c r="BH353" t="n">
        <v>196</v>
      </c>
      <c r="BI353" t="n">
        <v>294</v>
      </c>
      <c r="BJ353" t="n">
        <v>245</v>
      </c>
      <c r="BK353" t="n">
        <v>59</v>
      </c>
      <c r="BL353" t="n">
        <v>49</v>
      </c>
      <c r="BM353" t="n">
        <v>147</v>
      </c>
      <c r="BN353" t="n">
        <v>98</v>
      </c>
      <c r="BO353" t="n">
        <v>172</v>
      </c>
      <c r="BP353" t="n">
        <v>49</v>
      </c>
      <c r="BQ353" t="n">
        <v>196</v>
      </c>
      <c r="BR353" t="n">
        <v>196</v>
      </c>
      <c r="BS353" t="n">
        <v>74</v>
      </c>
      <c r="BT353" t="n">
        <v>1775</v>
      </c>
      <c r="BU353" t="n">
        <v>245</v>
      </c>
      <c r="BV353" t="n">
        <v>490</v>
      </c>
      <c r="BW353" t="n">
        <v>734</v>
      </c>
      <c r="BX353" t="n">
        <v>137</v>
      </c>
      <c r="BY353" t="n">
        <v>196</v>
      </c>
      <c r="BZ353" t="n">
        <v>147</v>
      </c>
      <c r="CA353" t="n">
        <v>1949</v>
      </c>
      <c r="CB353" t="n">
        <v>749</v>
      </c>
      <c r="CC353" t="n">
        <v>312</v>
      </c>
      <c r="CD353" t="n">
        <v>3648</v>
      </c>
      <c r="CE353" t="n">
        <v>4863</v>
      </c>
      <c r="CF353" t="n">
        <v>1.33</v>
      </c>
      <c r="CG353" t="n">
        <v>0</v>
      </c>
      <c r="CH353" t="n">
        <v>0</v>
      </c>
      <c r="CI353" t="n">
        <v>0</v>
      </c>
      <c r="CJ353" t="n">
        <v>0</v>
      </c>
      <c r="CK353" t="n">
        <v>0</v>
      </c>
      <c r="CL353" t="n">
        <v>61</v>
      </c>
      <c r="CM353" t="n">
        <v>0</v>
      </c>
      <c r="CN353" t="n">
        <v>2371</v>
      </c>
      <c r="CO353" t="n">
        <v>0</v>
      </c>
      <c r="CP353" t="n">
        <v>365</v>
      </c>
      <c r="CQ353" t="n">
        <v>0</v>
      </c>
      <c r="CR353" t="n">
        <v>0</v>
      </c>
      <c r="CS353" t="n">
        <v>0</v>
      </c>
      <c r="CT353" t="n">
        <v>2797</v>
      </c>
      <c r="CU353" t="n">
        <v>0</v>
      </c>
      <c r="CV353" t="n">
        <v>0</v>
      </c>
      <c r="CW353" t="n">
        <v>122</v>
      </c>
      <c r="CX353" t="n">
        <v>0</v>
      </c>
      <c r="CY353" t="n">
        <v>730</v>
      </c>
      <c r="CZ353" t="n">
        <v>0</v>
      </c>
      <c r="DA353" t="n">
        <v>0</v>
      </c>
      <c r="DB353" t="n">
        <v>0</v>
      </c>
      <c r="DC353" t="n">
        <v>852</v>
      </c>
      <c r="DD353" t="n">
        <v>0</v>
      </c>
      <c r="DE353" t="n">
        <v>0</v>
      </c>
      <c r="DF353" t="n">
        <v>4863</v>
      </c>
      <c r="DG353" t="n">
        <v>3648</v>
      </c>
      <c r="DH353" t="n">
        <v>0</v>
      </c>
      <c r="DI353" t="n">
        <v>0</v>
      </c>
      <c r="DJ353" t="n">
        <v>0</v>
      </c>
      <c r="DK353" t="n">
        <v>0</v>
      </c>
      <c r="DL353" t="n">
        <v>0</v>
      </c>
      <c r="DM353" t="n">
        <v>0</v>
      </c>
      <c r="DN353" t="n">
        <v>0</v>
      </c>
      <c r="DO353" t="n">
        <v>0</v>
      </c>
      <c r="DP353" t="n">
        <v>0</v>
      </c>
      <c r="DQ353" t="n">
        <v>0</v>
      </c>
      <c r="DR353" t="n">
        <v>0</v>
      </c>
      <c r="DS353" t="n">
        <v>8511</v>
      </c>
      <c r="DT353" t="n">
        <v>12160</v>
      </c>
      <c r="DU353" t="n">
        <v>3040</v>
      </c>
      <c r="DV353" t="n">
        <v>0</v>
      </c>
      <c r="DW353" t="n">
        <v>0</v>
      </c>
      <c r="DX353" t="n">
        <v>0</v>
      </c>
      <c r="DY353" t="n">
        <v>2648</v>
      </c>
      <c r="DZ353" t="n">
        <v>3530</v>
      </c>
      <c r="EA353" t="n">
        <v>4766</v>
      </c>
      <c r="EB353" t="n">
        <v>6176</v>
      </c>
      <c r="EC353" t="n">
        <v>530</v>
      </c>
      <c r="ED353" t="n">
        <v>5295</v>
      </c>
      <c r="EE353" t="n">
        <v>12355</v>
      </c>
      <c r="EF353" t="n">
        <v>0</v>
      </c>
      <c r="EG353" t="n">
        <v>0.18</v>
      </c>
      <c r="EH353" t="n">
        <v>6.5</v>
      </c>
      <c r="EI353" t="n">
        <v>12.4</v>
      </c>
      <c r="EJ353" t="n">
        <v>15.2</v>
      </c>
      <c r="EK353" t="n">
        <v>6.2</v>
      </c>
    </row>
    <row r="354">
      <c r="A354">
        <f>[1]ingredient!B354</f>
        <v/>
      </c>
      <c r="B354" t="inlineStr">
        <is>
          <t>https://www.naehrwertrechner.de/naehrwerte/G613111/Rote+R%C3%BCbe+frisch/?menge=100</t>
        </is>
      </c>
      <c r="C354" s="7">
        <f>_xlfn.XLOOKUP(A354,[1]ingredient!$B$2:$B$521,[1]ingredient!$A$2:$A$521)</f>
        <v/>
      </c>
      <c r="D354" t="n">
        <v>42</v>
      </c>
      <c r="E354" t="n">
        <v>0.1</v>
      </c>
      <c r="F354" t="n">
        <v>2</v>
      </c>
      <c r="G354" t="n">
        <v>8</v>
      </c>
      <c r="H354" t="n">
        <v>3</v>
      </c>
      <c r="I354" t="n">
        <v>8</v>
      </c>
      <c r="J354" t="n">
        <v>0.14</v>
      </c>
      <c r="K354" t="n">
        <v>86</v>
      </c>
      <c r="L354" t="n">
        <v>2</v>
      </c>
      <c r="M354" t="n">
        <v>1</v>
      </c>
      <c r="N354" t="n">
        <v>0</v>
      </c>
      <c r="O354" t="n">
        <v>11</v>
      </c>
      <c r="P354" t="n">
        <v>22</v>
      </c>
      <c r="Q354" t="n">
        <v>42</v>
      </c>
      <c r="R354" t="n">
        <v>230</v>
      </c>
      <c r="S354" t="n">
        <v>430</v>
      </c>
      <c r="T354" t="n">
        <v>130</v>
      </c>
      <c r="U354" t="n">
        <v>50</v>
      </c>
      <c r="V354" t="n">
        <v>0.1</v>
      </c>
      <c r="W354" t="n">
        <v>93</v>
      </c>
      <c r="X354" t="n">
        <v>0</v>
      </c>
      <c r="Y354" t="n">
        <v>10000</v>
      </c>
      <c r="Z354" t="n">
        <v>0</v>
      </c>
      <c r="AA354" t="n">
        <v>47</v>
      </c>
      <c r="AB354" t="n">
        <v>5</v>
      </c>
      <c r="AC354" t="n">
        <v>58</v>
      </c>
      <c r="AD354" t="n">
        <v>336</v>
      </c>
      <c r="AE354" t="n">
        <v>29</v>
      </c>
      <c r="AF354" t="n">
        <v>25</v>
      </c>
      <c r="AG354" t="n">
        <v>45</v>
      </c>
      <c r="AH354" t="n">
        <v>16</v>
      </c>
      <c r="AI354" t="n">
        <v>82</v>
      </c>
      <c r="AJ354" t="n">
        <v>930</v>
      </c>
      <c r="AK354" t="n">
        <v>344</v>
      </c>
      <c r="AL354" t="n">
        <v>80</v>
      </c>
      <c r="AM354" t="n">
        <v>155</v>
      </c>
      <c r="AN354" t="n">
        <v>20</v>
      </c>
      <c r="AO354" t="n">
        <v>0.4</v>
      </c>
      <c r="AP354" t="n">
        <v>0</v>
      </c>
      <c r="AQ354" t="n">
        <v>0</v>
      </c>
      <c r="AR354" t="n">
        <v>0</v>
      </c>
      <c r="AS354" t="n">
        <v>0</v>
      </c>
      <c r="AT354" t="n">
        <v>335</v>
      </c>
      <c r="AU354" t="n">
        <v>335</v>
      </c>
      <c r="AV354" t="n">
        <v>0</v>
      </c>
      <c r="AW354" t="n">
        <v>670</v>
      </c>
      <c r="AX354" t="n">
        <v>7710</v>
      </c>
      <c r="AY354" t="n">
        <v>0</v>
      </c>
      <c r="AZ354" t="n">
        <v>0</v>
      </c>
      <c r="BA354" t="n">
        <v>7710</v>
      </c>
      <c r="BB354" t="n">
        <v>0</v>
      </c>
      <c r="BC354" t="n">
        <v>0</v>
      </c>
      <c r="BD354" t="n">
        <v>0</v>
      </c>
      <c r="BE354" t="n">
        <v>0</v>
      </c>
      <c r="BF354" t="n">
        <v>0</v>
      </c>
      <c r="BG354">
        <f>IF($F354=0,"0",MIN(
BH354/(30*$F354),
BI354/(61*$F354),
BJ354/(48*$F354),
(BK354+BL354)/(23*$F354),
(BM354+BN354)/(41*$F354),
BO354/(25*$F354),
BP354/(6.6*$F354),
BQ354/(40*$F354),
BS354/(16*$F354)
)*100)</f>
        <v/>
      </c>
      <c r="BH354" t="n">
        <v>38</v>
      </c>
      <c r="BI354" t="n">
        <v>61</v>
      </c>
      <c r="BJ354" t="n">
        <v>80</v>
      </c>
      <c r="BK354" t="n">
        <v>28</v>
      </c>
      <c r="BL354" t="n">
        <v>17</v>
      </c>
      <c r="BM354" t="n">
        <v>46</v>
      </c>
      <c r="BN354" t="n">
        <v>54</v>
      </c>
      <c r="BO354" t="n">
        <v>44</v>
      </c>
      <c r="BP354" t="n">
        <v>12</v>
      </c>
      <c r="BQ354" t="n">
        <v>38</v>
      </c>
      <c r="BR354" t="n">
        <v>31</v>
      </c>
      <c r="BS354" t="n">
        <v>18</v>
      </c>
      <c r="BT354" t="n">
        <v>467</v>
      </c>
      <c r="BU354" t="n">
        <v>35</v>
      </c>
      <c r="BV354" t="n">
        <v>110</v>
      </c>
      <c r="BW354" t="n">
        <v>398</v>
      </c>
      <c r="BX354" t="n">
        <v>31</v>
      </c>
      <c r="BY354" t="n">
        <v>38</v>
      </c>
      <c r="BZ354" t="n">
        <v>38</v>
      </c>
      <c r="CA354" t="n">
        <v>650</v>
      </c>
      <c r="CB354" t="n">
        <v>20</v>
      </c>
      <c r="CC354" t="n">
        <v>8</v>
      </c>
      <c r="CD354" t="n">
        <v>8</v>
      </c>
      <c r="CE354" t="n">
        <v>42</v>
      </c>
      <c r="CF354" t="n">
        <v>5.25</v>
      </c>
      <c r="CG354" t="n">
        <v>0</v>
      </c>
      <c r="CH354" t="n">
        <v>0</v>
      </c>
      <c r="CI354" t="n">
        <v>0</v>
      </c>
      <c r="CJ354" t="n">
        <v>0</v>
      </c>
      <c r="CK354" t="n">
        <v>0</v>
      </c>
      <c r="CL354" t="n">
        <v>0</v>
      </c>
      <c r="CM354" t="n">
        <v>0</v>
      </c>
      <c r="CN354" t="n">
        <v>19</v>
      </c>
      <c r="CO354" t="n">
        <v>0</v>
      </c>
      <c r="CP354" t="n">
        <v>1</v>
      </c>
      <c r="CQ354" t="n">
        <v>0</v>
      </c>
      <c r="CR354" t="n">
        <v>0</v>
      </c>
      <c r="CS354" t="n">
        <v>0</v>
      </c>
      <c r="CT354" t="n">
        <v>20</v>
      </c>
      <c r="CU354" t="n">
        <v>0</v>
      </c>
      <c r="CV354" t="n">
        <v>0</v>
      </c>
      <c r="CW354" t="n">
        <v>0</v>
      </c>
      <c r="CX354" t="n">
        <v>0</v>
      </c>
      <c r="CY354" t="n">
        <v>10</v>
      </c>
      <c r="CZ354" t="n">
        <v>0</v>
      </c>
      <c r="DA354" t="n">
        <v>0</v>
      </c>
      <c r="DB354" t="n">
        <v>0</v>
      </c>
      <c r="DC354" t="n">
        <v>10</v>
      </c>
      <c r="DD354" t="n">
        <v>0</v>
      </c>
      <c r="DE354" t="n">
        <v>0</v>
      </c>
      <c r="DF354" t="n">
        <v>42</v>
      </c>
      <c r="DG354" t="n">
        <v>8</v>
      </c>
      <c r="DH354" t="n">
        <v>0</v>
      </c>
      <c r="DI354" t="n">
        <v>0</v>
      </c>
      <c r="DJ354" t="n">
        <v>0</v>
      </c>
      <c r="DK354" t="n">
        <v>0</v>
      </c>
      <c r="DL354" t="n">
        <v>0</v>
      </c>
      <c r="DM354" t="n">
        <v>0</v>
      </c>
      <c r="DN354" t="n">
        <v>0</v>
      </c>
      <c r="DO354" t="n">
        <v>0</v>
      </c>
      <c r="DP354" t="n">
        <v>0</v>
      </c>
      <c r="DQ354" t="n">
        <v>0</v>
      </c>
      <c r="DR354" t="n">
        <v>0</v>
      </c>
      <c r="DS354" t="n">
        <v>50</v>
      </c>
      <c r="DT354" t="n">
        <v>80</v>
      </c>
      <c r="DU354" t="n">
        <v>20</v>
      </c>
      <c r="DV354" t="n">
        <v>0</v>
      </c>
      <c r="DW354" t="n">
        <v>0</v>
      </c>
      <c r="DX354" t="n">
        <v>0</v>
      </c>
      <c r="DY354" t="n">
        <v>1000</v>
      </c>
      <c r="DZ354" t="n">
        <v>500</v>
      </c>
      <c r="EA354" t="n">
        <v>225</v>
      </c>
      <c r="EB354" t="n">
        <v>750</v>
      </c>
      <c r="EC354" t="n">
        <v>25</v>
      </c>
      <c r="ED354" t="n">
        <v>625</v>
      </c>
      <c r="EE354" t="n">
        <v>1875</v>
      </c>
      <c r="EF354" t="n">
        <v>0</v>
      </c>
      <c r="EG354" t="n">
        <v>0.23</v>
      </c>
      <c r="EH354" t="n">
        <v>1</v>
      </c>
      <c r="EI354" t="n">
        <v>1.9</v>
      </c>
      <c r="EJ354" t="n">
        <v>0.1</v>
      </c>
      <c r="EK354" t="n">
        <v>1.2</v>
      </c>
    </row>
    <row r="355">
      <c r="A355">
        <f>[1]ingredient!B355</f>
        <v/>
      </c>
      <c r="B355" t="inlineStr">
        <is>
          <t>https://www.naehrwertrechner.de/naehrwerte/H662811/Linsennudeln/?menge=100</t>
        </is>
      </c>
      <c r="C355" s="7">
        <f>_xlfn.XLOOKUP(A355,[1]ingredient!$B$2:$B$521,[1]ingredient!$A$2:$A$521)</f>
        <v/>
      </c>
      <c r="D355" t="n">
        <v>348</v>
      </c>
      <c r="E355" t="n">
        <v>2</v>
      </c>
      <c r="F355" t="n">
        <v>23</v>
      </c>
      <c r="G355" t="n">
        <v>56</v>
      </c>
      <c r="H355" t="n">
        <v>6</v>
      </c>
      <c r="I355" t="n">
        <v>2</v>
      </c>
      <c r="J355" t="n">
        <v>0.09</v>
      </c>
      <c r="K355" t="n">
        <v>9</v>
      </c>
      <c r="L355" t="n">
        <v>0</v>
      </c>
      <c r="M355" t="n">
        <v>8</v>
      </c>
      <c r="N355" t="n">
        <v>0</v>
      </c>
      <c r="O355" t="n">
        <v>100</v>
      </c>
      <c r="P355" t="n">
        <v>400</v>
      </c>
      <c r="Q355" t="n">
        <v>300</v>
      </c>
      <c r="R355" t="n">
        <v>2200</v>
      </c>
      <c r="S355" t="n">
        <v>5900</v>
      </c>
      <c r="T355" t="n">
        <v>1600</v>
      </c>
      <c r="U355" t="n">
        <v>600</v>
      </c>
      <c r="V355" t="n">
        <v>9</v>
      </c>
      <c r="W355" t="n">
        <v>132</v>
      </c>
      <c r="X355" t="n">
        <v>0</v>
      </c>
      <c r="Y355" t="n">
        <v>1000</v>
      </c>
      <c r="Z355" t="n">
        <v>0</v>
      </c>
      <c r="AA355" t="n">
        <v>0</v>
      </c>
      <c r="AB355" t="n">
        <v>22</v>
      </c>
      <c r="AC355" t="n">
        <v>4</v>
      </c>
      <c r="AD355" t="n">
        <v>840</v>
      </c>
      <c r="AE355" t="n">
        <v>71</v>
      </c>
      <c r="AF355" t="n">
        <v>129</v>
      </c>
      <c r="AG355" t="n">
        <v>411</v>
      </c>
      <c r="AH355" t="n">
        <v>120</v>
      </c>
      <c r="AI355" t="n">
        <v>84</v>
      </c>
      <c r="AJ355" t="n">
        <v>7500</v>
      </c>
      <c r="AK355" t="n">
        <v>3600</v>
      </c>
      <c r="AL355" t="n">
        <v>700</v>
      </c>
      <c r="AM355" t="n">
        <v>1400</v>
      </c>
      <c r="AN355" t="n">
        <v>0</v>
      </c>
      <c r="AO355" t="n">
        <v>1</v>
      </c>
      <c r="AP355" t="n">
        <v>0</v>
      </c>
      <c r="AQ355" t="n">
        <v>0</v>
      </c>
      <c r="AR355" t="n">
        <v>0</v>
      </c>
      <c r="AS355" t="n">
        <v>0</v>
      </c>
      <c r="AT355" t="n">
        <v>0</v>
      </c>
      <c r="AU355" t="n">
        <v>0</v>
      </c>
      <c r="AV355" t="n">
        <v>0</v>
      </c>
      <c r="AW355" t="n">
        <v>0</v>
      </c>
      <c r="AX355" t="n">
        <v>2200</v>
      </c>
      <c r="AY355" t="n">
        <v>0</v>
      </c>
      <c r="AZ355" t="n">
        <v>0</v>
      </c>
      <c r="BA355" t="n">
        <v>2200</v>
      </c>
      <c r="BB355" t="n">
        <v>2800</v>
      </c>
      <c r="BC355" t="n">
        <v>2380</v>
      </c>
      <c r="BD355" t="n">
        <v>0</v>
      </c>
      <c r="BE355" t="n">
        <v>51000</v>
      </c>
      <c r="BF355" t="n">
        <v>0</v>
      </c>
      <c r="BG355">
        <f>IF($F355=0,"0",MIN(
BH355/(30*$F355),
BI355/(61*$F355),
BJ355/(48*$F355),
(BK355+BL355)/(23*$F355),
(BM355+BN355)/(41*$F355),
BO355/(25*$F355),
BP355/(6.6*$F355),
BQ355/(40*$F355),
BS355/(16*$F355)
)*100)</f>
        <v/>
      </c>
      <c r="BH355" t="n">
        <v>1089</v>
      </c>
      <c r="BI355" t="n">
        <v>1743</v>
      </c>
      <c r="BJ355" t="n">
        <v>1694</v>
      </c>
      <c r="BK355" t="n">
        <v>194</v>
      </c>
      <c r="BL355" t="n">
        <v>218</v>
      </c>
      <c r="BM355" t="n">
        <v>1211</v>
      </c>
      <c r="BN355" t="n">
        <v>774</v>
      </c>
      <c r="BO355" t="n">
        <v>968</v>
      </c>
      <c r="BP355" t="n">
        <v>218</v>
      </c>
      <c r="BQ355" t="n">
        <v>1308</v>
      </c>
      <c r="BR355" t="n">
        <v>1912</v>
      </c>
      <c r="BS355" t="n">
        <v>581</v>
      </c>
      <c r="BT355" t="n">
        <v>11911</v>
      </c>
      <c r="BU355" t="n">
        <v>1041</v>
      </c>
      <c r="BV355" t="n">
        <v>2784</v>
      </c>
      <c r="BW355" t="n">
        <v>3995</v>
      </c>
      <c r="BX355" t="n">
        <v>993</v>
      </c>
      <c r="BY355" t="n">
        <v>1017</v>
      </c>
      <c r="BZ355" t="n">
        <v>1259</v>
      </c>
      <c r="CA355" t="n">
        <v>11089</v>
      </c>
      <c r="CB355" t="n">
        <v>200</v>
      </c>
      <c r="CC355" t="n">
        <v>67</v>
      </c>
      <c r="CD355" t="n">
        <v>100</v>
      </c>
      <c r="CE355" t="n">
        <v>600</v>
      </c>
      <c r="CF355" t="n">
        <v>6</v>
      </c>
      <c r="CG355" t="n">
        <v>0</v>
      </c>
      <c r="CH355" t="n">
        <v>0</v>
      </c>
      <c r="CI355" t="n">
        <v>0</v>
      </c>
      <c r="CJ355" t="n">
        <v>0</v>
      </c>
      <c r="CK355" t="n">
        <v>0</v>
      </c>
      <c r="CL355" t="n">
        <v>0</v>
      </c>
      <c r="CM355" t="n">
        <v>0</v>
      </c>
      <c r="CN355" t="n">
        <v>265</v>
      </c>
      <c r="CO355" t="n">
        <v>0</v>
      </c>
      <c r="CP355" t="n">
        <v>18</v>
      </c>
      <c r="CQ355" t="n">
        <v>18</v>
      </c>
      <c r="CR355" t="n">
        <v>0</v>
      </c>
      <c r="CS355" t="n">
        <v>0</v>
      </c>
      <c r="CT355" t="n">
        <v>300</v>
      </c>
      <c r="CU355" t="n">
        <v>0</v>
      </c>
      <c r="CV355" t="n">
        <v>0</v>
      </c>
      <c r="CW355" t="n">
        <v>0</v>
      </c>
      <c r="CX355" t="n">
        <v>0</v>
      </c>
      <c r="CY355" t="n">
        <v>267</v>
      </c>
      <c r="CZ355" t="n">
        <v>13</v>
      </c>
      <c r="DA355" t="n">
        <v>0</v>
      </c>
      <c r="DB355" t="n">
        <v>0</v>
      </c>
      <c r="DC355" t="n">
        <v>300</v>
      </c>
      <c r="DD355" t="n">
        <v>0</v>
      </c>
      <c r="DE355" t="n">
        <v>0</v>
      </c>
      <c r="DF355" t="n">
        <v>600</v>
      </c>
      <c r="DG355" t="n">
        <v>100</v>
      </c>
      <c r="DH355" t="n">
        <v>0</v>
      </c>
      <c r="DI355" t="n">
        <v>0</v>
      </c>
      <c r="DJ355" t="n">
        <v>0</v>
      </c>
      <c r="DK355" t="n">
        <v>0</v>
      </c>
      <c r="DL355" t="n">
        <v>0</v>
      </c>
      <c r="DM355" t="n">
        <v>0</v>
      </c>
      <c r="DN355" t="n">
        <v>0</v>
      </c>
      <c r="DO355" t="n">
        <v>0</v>
      </c>
      <c r="DP355" t="n">
        <v>0</v>
      </c>
      <c r="DQ355" t="n">
        <v>0</v>
      </c>
      <c r="DR355" t="n">
        <v>0</v>
      </c>
      <c r="DS355" t="n">
        <v>800</v>
      </c>
      <c r="DT355" t="n">
        <v>1331</v>
      </c>
      <c r="DU355" t="n">
        <v>369</v>
      </c>
      <c r="DV355" t="n">
        <v>0</v>
      </c>
      <c r="DW355" t="n">
        <v>0</v>
      </c>
      <c r="DX355" t="n">
        <v>0</v>
      </c>
      <c r="DY355" t="n">
        <v>767</v>
      </c>
      <c r="DZ355" t="n">
        <v>2065</v>
      </c>
      <c r="EA355" t="n">
        <v>767</v>
      </c>
      <c r="EB355" t="n">
        <v>2183</v>
      </c>
      <c r="EC355" t="n">
        <v>118</v>
      </c>
      <c r="ED355" t="n">
        <v>2360</v>
      </c>
      <c r="EE355" t="n">
        <v>3540</v>
      </c>
      <c r="EF355" t="n">
        <v>0</v>
      </c>
      <c r="EG355" t="n">
        <v>0</v>
      </c>
      <c r="EH355" t="n">
        <v>1.7</v>
      </c>
      <c r="EI355" t="n">
        <v>3.5</v>
      </c>
      <c r="EJ355" t="n">
        <v>1.7</v>
      </c>
      <c r="EK355" t="n">
        <v>23.6</v>
      </c>
    </row>
    <row r="356">
      <c r="A356">
        <f>[1]ingredient!B356</f>
        <v/>
      </c>
      <c r="B356" t="inlineStr">
        <is>
          <t>https://www.naehrwertrechner.de/naehrwerte/G341111/Rotkohl+frisch/?menge=100</t>
        </is>
      </c>
      <c r="C356" s="7">
        <f>_xlfn.XLOOKUP(A356,[1]ingredient!$B$2:$B$521,[1]ingredient!$A$2:$A$521)</f>
        <v/>
      </c>
      <c r="D356" t="n">
        <v>23</v>
      </c>
      <c r="E356" t="n">
        <v>0.18</v>
      </c>
      <c r="F356" t="n">
        <v>2</v>
      </c>
      <c r="G356" t="n">
        <v>4</v>
      </c>
      <c r="H356" t="n">
        <v>3</v>
      </c>
      <c r="I356" t="n">
        <v>3</v>
      </c>
      <c r="J356" t="n">
        <v>0.1</v>
      </c>
      <c r="K356" t="n">
        <v>91</v>
      </c>
      <c r="L356" t="n">
        <v>3</v>
      </c>
      <c r="M356" t="n">
        <v>1</v>
      </c>
      <c r="N356" t="n">
        <v>0</v>
      </c>
      <c r="O356" t="n">
        <v>15</v>
      </c>
      <c r="P356" t="n">
        <v>68</v>
      </c>
      <c r="Q356" t="n">
        <v>50</v>
      </c>
      <c r="R356" t="n">
        <v>400</v>
      </c>
      <c r="S356" t="n">
        <v>650</v>
      </c>
      <c r="T356" t="n">
        <v>320</v>
      </c>
      <c r="U356" t="n">
        <v>150</v>
      </c>
      <c r="V356" t="n">
        <v>2</v>
      </c>
      <c r="W356" t="n">
        <v>39</v>
      </c>
      <c r="X356" t="n">
        <v>0</v>
      </c>
      <c r="Y356" t="n">
        <v>50000</v>
      </c>
      <c r="Z356" t="n">
        <v>0</v>
      </c>
      <c r="AA356" t="n">
        <v>1700</v>
      </c>
      <c r="AB356" t="n">
        <v>100</v>
      </c>
      <c r="AC356" t="n">
        <v>4</v>
      </c>
      <c r="AD356" t="n">
        <v>266</v>
      </c>
      <c r="AE356" t="n">
        <v>35</v>
      </c>
      <c r="AF356" t="n">
        <v>18</v>
      </c>
      <c r="AG356" t="n">
        <v>30</v>
      </c>
      <c r="AH356" t="n">
        <v>68</v>
      </c>
      <c r="AI356" t="n">
        <v>100</v>
      </c>
      <c r="AJ356" t="n">
        <v>500</v>
      </c>
      <c r="AK356" t="n">
        <v>239</v>
      </c>
      <c r="AL356" t="n">
        <v>42</v>
      </c>
      <c r="AM356" t="n">
        <v>100</v>
      </c>
      <c r="AN356" t="n">
        <v>12</v>
      </c>
      <c r="AO356" t="n">
        <v>5</v>
      </c>
      <c r="AP356" t="n">
        <v>0</v>
      </c>
      <c r="AQ356" t="n">
        <v>0</v>
      </c>
      <c r="AR356" t="n">
        <v>0</v>
      </c>
      <c r="AS356" t="n">
        <v>0</v>
      </c>
      <c r="AT356" t="n">
        <v>1310</v>
      </c>
      <c r="AU356" t="n">
        <v>1805</v>
      </c>
      <c r="AV356" t="n">
        <v>0</v>
      </c>
      <c r="AW356" t="n">
        <v>3115</v>
      </c>
      <c r="AX356" t="n">
        <v>354</v>
      </c>
      <c r="AY356" t="n">
        <v>0</v>
      </c>
      <c r="AZ356" t="n">
        <v>0</v>
      </c>
      <c r="BA356" t="n">
        <v>354</v>
      </c>
      <c r="BB356" t="n">
        <v>0</v>
      </c>
      <c r="BC356" t="n">
        <v>0</v>
      </c>
      <c r="BD356" t="n">
        <v>0</v>
      </c>
      <c r="BE356" t="n">
        <v>71</v>
      </c>
      <c r="BF356" t="n">
        <v>71</v>
      </c>
      <c r="BG356">
        <f>IF($F356=0,"0",MIN(
BH356/(30*$F356),
BI356/(61*$F356),
BJ356/(48*$F356),
(BK356+BL356)/(23*$F356),
(BM356+BN356)/(41*$F356),
BO356/(25*$F356),
BP356/(6.6*$F356),
BQ356/(40*$F356),
BS356/(16*$F356)
)*100)</f>
        <v/>
      </c>
      <c r="BH356" t="n">
        <v>45</v>
      </c>
      <c r="BI356" t="n">
        <v>77</v>
      </c>
      <c r="BJ356" t="n">
        <v>69</v>
      </c>
      <c r="BK356" t="n">
        <v>15</v>
      </c>
      <c r="BL356" t="n">
        <v>18</v>
      </c>
      <c r="BM356" t="n">
        <v>45</v>
      </c>
      <c r="BN356" t="n">
        <v>27</v>
      </c>
      <c r="BO356" t="n">
        <v>51</v>
      </c>
      <c r="BP356" t="n">
        <v>15</v>
      </c>
      <c r="BQ356" t="n">
        <v>60</v>
      </c>
      <c r="BR356" t="n">
        <v>113</v>
      </c>
      <c r="BS356" t="n">
        <v>30</v>
      </c>
      <c r="BT356" t="n">
        <v>565</v>
      </c>
      <c r="BU356" t="n">
        <v>60</v>
      </c>
      <c r="BV356" t="n">
        <v>128</v>
      </c>
      <c r="BW356" t="n">
        <v>312</v>
      </c>
      <c r="BX356" t="n">
        <v>38</v>
      </c>
      <c r="BY356" t="n">
        <v>284</v>
      </c>
      <c r="BZ356" t="n">
        <v>83</v>
      </c>
      <c r="CA356" t="n">
        <v>905</v>
      </c>
      <c r="CB356" t="n">
        <v>40</v>
      </c>
      <c r="CC356" t="n">
        <v>17</v>
      </c>
      <c r="CD356" t="n">
        <v>40</v>
      </c>
      <c r="CE356" t="n">
        <v>61</v>
      </c>
      <c r="CF356" t="n">
        <v>1.53</v>
      </c>
      <c r="CG356" t="n">
        <v>0</v>
      </c>
      <c r="CH356" t="n">
        <v>0</v>
      </c>
      <c r="CI356" t="n">
        <v>0</v>
      </c>
      <c r="CJ356" t="n">
        <v>0</v>
      </c>
      <c r="CK356" t="n">
        <v>1</v>
      </c>
      <c r="CL356" t="n">
        <v>1</v>
      </c>
      <c r="CM356" t="n">
        <v>0</v>
      </c>
      <c r="CN356" t="n">
        <v>28</v>
      </c>
      <c r="CO356" t="n">
        <v>0</v>
      </c>
      <c r="CP356" t="n">
        <v>1</v>
      </c>
      <c r="CQ356" t="n">
        <v>0</v>
      </c>
      <c r="CR356" t="n">
        <v>0</v>
      </c>
      <c r="CS356" t="n">
        <v>0</v>
      </c>
      <c r="CT356" t="n">
        <v>31</v>
      </c>
      <c r="CU356" t="n">
        <v>0</v>
      </c>
      <c r="CV356" t="n">
        <v>0</v>
      </c>
      <c r="CW356" t="n">
        <v>1</v>
      </c>
      <c r="CX356" t="n">
        <v>0</v>
      </c>
      <c r="CY356" t="n">
        <v>11</v>
      </c>
      <c r="CZ356" t="n">
        <v>0</v>
      </c>
      <c r="DA356" t="n">
        <v>0</v>
      </c>
      <c r="DB356" t="n">
        <v>0</v>
      </c>
      <c r="DC356" t="n">
        <v>12</v>
      </c>
      <c r="DD356" t="n">
        <v>0</v>
      </c>
      <c r="DE356" t="n">
        <v>0</v>
      </c>
      <c r="DF356" t="n">
        <v>61</v>
      </c>
      <c r="DG356" t="n">
        <v>40</v>
      </c>
      <c r="DH356" t="n">
        <v>0</v>
      </c>
      <c r="DI356" t="n">
        <v>0</v>
      </c>
      <c r="DJ356" t="n">
        <v>0</v>
      </c>
      <c r="DK356" t="n">
        <v>0</v>
      </c>
      <c r="DL356" t="n">
        <v>0</v>
      </c>
      <c r="DM356" t="n">
        <v>0</v>
      </c>
      <c r="DN356" t="n">
        <v>0</v>
      </c>
      <c r="DO356" t="n">
        <v>0</v>
      </c>
      <c r="DP356" t="n">
        <v>0</v>
      </c>
      <c r="DQ356" t="n">
        <v>0</v>
      </c>
      <c r="DR356" t="n">
        <v>0</v>
      </c>
      <c r="DS356" t="n">
        <v>101</v>
      </c>
      <c r="DT356" t="n">
        <v>144</v>
      </c>
      <c r="DU356" t="n">
        <v>36</v>
      </c>
      <c r="DV356" t="n">
        <v>0</v>
      </c>
      <c r="DW356" t="n">
        <v>0</v>
      </c>
      <c r="DX356" t="n">
        <v>0</v>
      </c>
      <c r="DY356" t="n">
        <v>675</v>
      </c>
      <c r="DZ356" t="n">
        <v>375</v>
      </c>
      <c r="EA356" t="n">
        <v>475</v>
      </c>
      <c r="EB356" t="n">
        <v>950</v>
      </c>
      <c r="EC356" t="n">
        <v>25</v>
      </c>
      <c r="ED356" t="n">
        <v>900</v>
      </c>
      <c r="EE356" t="n">
        <v>1600</v>
      </c>
      <c r="EF356" t="n">
        <v>0</v>
      </c>
      <c r="EG356" t="n">
        <v>0.2</v>
      </c>
      <c r="EH356" t="n">
        <v>0.7</v>
      </c>
      <c r="EI356" t="n">
        <v>1.6</v>
      </c>
      <c r="EJ356" t="n">
        <v>0.2</v>
      </c>
      <c r="EK356" t="n">
        <v>1.6</v>
      </c>
    </row>
    <row r="357">
      <c r="A357">
        <f>[1]ingredient!B357</f>
        <v/>
      </c>
      <c r="B357" t="inlineStr">
        <is>
          <t>https://www.naehrwertrechner.de/naehrwerte/G130100/Rucola+roh/?menge=100</t>
        </is>
      </c>
      <c r="C357" s="7">
        <f>_xlfn.XLOOKUP(A357,[1]ingredient!$B$2:$B$521,[1]ingredient!$A$2:$A$521)</f>
        <v/>
      </c>
      <c r="D357" t="n">
        <v>26</v>
      </c>
      <c r="E357" t="n">
        <v>1</v>
      </c>
      <c r="F357" t="n">
        <v>2</v>
      </c>
      <c r="G357" t="n">
        <v>2</v>
      </c>
      <c r="H357" t="n">
        <v>2</v>
      </c>
      <c r="I357" t="n">
        <v>2</v>
      </c>
      <c r="J357" t="n">
        <v>0.13</v>
      </c>
      <c r="K357" t="n">
        <v>87</v>
      </c>
      <c r="L357" t="n">
        <v>221</v>
      </c>
      <c r="M357" t="n">
        <v>111</v>
      </c>
      <c r="N357" t="n">
        <v>0</v>
      </c>
      <c r="O357" t="n">
        <v>1330</v>
      </c>
      <c r="P357" t="n">
        <v>38</v>
      </c>
      <c r="Q357" t="n">
        <v>86</v>
      </c>
      <c r="R357" t="n">
        <v>285</v>
      </c>
      <c r="S357" t="n">
        <v>1140</v>
      </c>
      <c r="T357" t="n">
        <v>95</v>
      </c>
      <c r="U357" t="n">
        <v>67</v>
      </c>
      <c r="V357" t="n">
        <v>0.4</v>
      </c>
      <c r="W357" t="n">
        <v>38</v>
      </c>
      <c r="X357" t="n">
        <v>0</v>
      </c>
      <c r="Y357" t="n">
        <v>58900</v>
      </c>
      <c r="Z357" t="n">
        <v>0</v>
      </c>
      <c r="AA357" t="n">
        <v>950</v>
      </c>
      <c r="AB357" t="n">
        <v>238</v>
      </c>
      <c r="AC357" t="n">
        <v>26</v>
      </c>
      <c r="AD357" t="n">
        <v>351</v>
      </c>
      <c r="AE357" t="n">
        <v>152</v>
      </c>
      <c r="AF357" t="n">
        <v>32</v>
      </c>
      <c r="AG357" t="n">
        <v>61</v>
      </c>
      <c r="AH357" t="n">
        <v>95</v>
      </c>
      <c r="AI357" t="n">
        <v>104</v>
      </c>
      <c r="AJ357" t="n">
        <v>1425</v>
      </c>
      <c r="AK357" t="n">
        <v>380</v>
      </c>
      <c r="AL357" t="n">
        <v>133</v>
      </c>
      <c r="AM357" t="n">
        <v>475</v>
      </c>
      <c r="AN357" t="n">
        <v>23</v>
      </c>
      <c r="AO357" t="n">
        <v>2</v>
      </c>
      <c r="AP357" t="n">
        <v>0</v>
      </c>
      <c r="AQ357" t="n">
        <v>0</v>
      </c>
      <c r="AR357" t="n">
        <v>0</v>
      </c>
      <c r="AS357" t="n">
        <v>0</v>
      </c>
      <c r="AT357" t="n">
        <v>997</v>
      </c>
      <c r="AU357" t="n">
        <v>499</v>
      </c>
      <c r="AV357" t="n">
        <v>0</v>
      </c>
      <c r="AW357" t="n">
        <v>1495</v>
      </c>
      <c r="AX357" t="n">
        <v>200</v>
      </c>
      <c r="AY357" t="n">
        <v>0</v>
      </c>
      <c r="AZ357" t="n">
        <v>0</v>
      </c>
      <c r="BA357" t="n">
        <v>200</v>
      </c>
      <c r="BB357" t="n">
        <v>0</v>
      </c>
      <c r="BC357" t="n">
        <v>0</v>
      </c>
      <c r="BD357" t="n">
        <v>0</v>
      </c>
      <c r="BE357" t="n">
        <v>300</v>
      </c>
      <c r="BF357" t="n">
        <v>300</v>
      </c>
      <c r="BG357">
        <f>IF($F357=0,"0",MIN(
BH357/(30*$F357),
BI357/(61*$F357),
BJ357/(48*$F357),
(BK357+BL357)/(23*$F357),
(BM357+BN357)/(41*$F357),
BO357/(25*$F357),
BP357/(6.6*$F357),
BQ357/(40*$F357),
BS357/(16*$F357)
)*100)</f>
        <v/>
      </c>
      <c r="BH357" t="n">
        <v>139</v>
      </c>
      <c r="BI357" t="n">
        <v>231</v>
      </c>
      <c r="BJ357" t="n">
        <v>17</v>
      </c>
      <c r="BK357" t="n">
        <v>32</v>
      </c>
      <c r="BL357" t="n">
        <v>12</v>
      </c>
      <c r="BM357" t="n">
        <v>113</v>
      </c>
      <c r="BN357" t="n">
        <v>67</v>
      </c>
      <c r="BO357" t="n">
        <v>153</v>
      </c>
      <c r="BP357" t="n">
        <v>51</v>
      </c>
      <c r="BQ357" t="n">
        <v>153</v>
      </c>
      <c r="BR357" t="n">
        <v>97</v>
      </c>
      <c r="BS357" t="n">
        <v>62</v>
      </c>
      <c r="BT357" t="n">
        <v>1127</v>
      </c>
      <c r="BU357" t="n">
        <v>233</v>
      </c>
      <c r="BV357" t="n">
        <v>322</v>
      </c>
      <c r="BW357" t="n">
        <v>330</v>
      </c>
      <c r="BX357" t="n">
        <v>191</v>
      </c>
      <c r="BY357" t="n">
        <v>163</v>
      </c>
      <c r="BZ357" t="n">
        <v>105</v>
      </c>
      <c r="CA357" t="n">
        <v>1343</v>
      </c>
      <c r="CB357" t="n">
        <v>29</v>
      </c>
      <c r="CC357" t="n">
        <v>12</v>
      </c>
      <c r="CD357" t="n">
        <v>175</v>
      </c>
      <c r="CE357" t="n">
        <v>91</v>
      </c>
      <c r="CF357" t="n">
        <v>0.52</v>
      </c>
      <c r="CG357" t="n">
        <v>0</v>
      </c>
      <c r="CH357" t="n">
        <v>0</v>
      </c>
      <c r="CI357" t="n">
        <v>0</v>
      </c>
      <c r="CJ357" t="n">
        <v>0</v>
      </c>
      <c r="CK357" t="n">
        <v>0</v>
      </c>
      <c r="CL357" t="n">
        <v>0</v>
      </c>
      <c r="CM357" t="n">
        <v>0</v>
      </c>
      <c r="CN357" t="n">
        <v>184</v>
      </c>
      <c r="CO357" t="n">
        <v>0</v>
      </c>
      <c r="CP357" t="n">
        <v>22</v>
      </c>
      <c r="CQ357" t="n">
        <v>0</v>
      </c>
      <c r="CR357" t="n">
        <v>0</v>
      </c>
      <c r="CS357" t="n">
        <v>0</v>
      </c>
      <c r="CT357" t="n">
        <v>206</v>
      </c>
      <c r="CU357" t="n">
        <v>0</v>
      </c>
      <c r="CV357" t="n">
        <v>0</v>
      </c>
      <c r="CW357" t="n">
        <v>15</v>
      </c>
      <c r="CX357" t="n">
        <v>0</v>
      </c>
      <c r="CY357" t="n">
        <v>45</v>
      </c>
      <c r="CZ357" t="n">
        <v>0</v>
      </c>
      <c r="DA357" t="n">
        <v>0</v>
      </c>
      <c r="DB357" t="n">
        <v>0</v>
      </c>
      <c r="DC357" t="n">
        <v>60</v>
      </c>
      <c r="DD357" t="n">
        <v>0</v>
      </c>
      <c r="DE357" t="n">
        <v>0</v>
      </c>
      <c r="DF357" t="n">
        <v>91</v>
      </c>
      <c r="DG357" t="n">
        <v>175</v>
      </c>
      <c r="DH357" t="n">
        <v>0</v>
      </c>
      <c r="DI357" t="n">
        <v>0</v>
      </c>
      <c r="DJ357" t="n">
        <v>0</v>
      </c>
      <c r="DK357" t="n">
        <v>0</v>
      </c>
      <c r="DL357" t="n">
        <v>0</v>
      </c>
      <c r="DM357" t="n">
        <v>0</v>
      </c>
      <c r="DN357" t="n">
        <v>0</v>
      </c>
      <c r="DO357" t="n">
        <v>0</v>
      </c>
      <c r="DP357" t="n">
        <v>0</v>
      </c>
      <c r="DQ357" t="n">
        <v>0</v>
      </c>
      <c r="DR357" t="n">
        <v>0</v>
      </c>
      <c r="DS357" t="n">
        <v>266</v>
      </c>
      <c r="DT357" t="n">
        <v>532</v>
      </c>
      <c r="DU357" t="n">
        <v>133</v>
      </c>
      <c r="DV357" t="n">
        <v>0</v>
      </c>
      <c r="DW357" t="n">
        <v>0</v>
      </c>
      <c r="DX357" t="n">
        <v>0</v>
      </c>
      <c r="DY357" t="n">
        <v>198</v>
      </c>
      <c r="DZ357" t="n">
        <v>213</v>
      </c>
      <c r="EA357" t="n">
        <v>365</v>
      </c>
      <c r="EB357" t="n">
        <v>684</v>
      </c>
      <c r="EC357" t="n">
        <v>61</v>
      </c>
      <c r="ED357" t="n">
        <v>682</v>
      </c>
      <c r="EE357" t="n">
        <v>838</v>
      </c>
      <c r="EF357" t="n">
        <v>0</v>
      </c>
      <c r="EG357" t="n">
        <v>0.38</v>
      </c>
      <c r="EH357" t="n">
        <v>1</v>
      </c>
      <c r="EI357" t="n">
        <v>0.8</v>
      </c>
      <c r="EJ357" t="n">
        <v>0.7</v>
      </c>
      <c r="EK357" t="n">
        <v>2.6</v>
      </c>
    </row>
    <row r="358">
      <c r="A358">
        <f>[1]ingredient!B358</f>
        <v/>
      </c>
      <c r="C358" s="7">
        <f>_xlfn.XLOOKUP(A358,[1]ingredient!$B$2:$B$521,[1]ingredient!$A$2:$A$521)</f>
        <v/>
      </c>
      <c r="D358" t="n">
        <v>27</v>
      </c>
      <c r="E358" t="n">
        <v>0.7</v>
      </c>
      <c r="F358" t="n">
        <v>2.6</v>
      </c>
      <c r="G358" t="n">
        <v>2.1</v>
      </c>
      <c r="BG358">
        <f>IF($F358=0,"0",MIN(
BH358/(30*$F358),
BI358/(61*$F358),
BJ358/(48*$F358),
(BK358+BL358)/(23*$F358),
(BM358+BN358)/(41*$F358),
BO358/(25*$F358),
BP358/(6.6*$F358),
BQ358/(40*$F358),
BS358/(16*$F358)
)*100)</f>
        <v/>
      </c>
    </row>
    <row r="359">
      <c r="A359">
        <f>[1]ingredient!B359</f>
        <v/>
      </c>
      <c r="B359" t="inlineStr">
        <is>
          <t>https://www.naehrwertrechner.de/naehrwerte/R244011/Safran+Gew%C3%BCrz/?menge=100</t>
        </is>
      </c>
      <c r="C359" s="7">
        <f>_xlfn.XLOOKUP(A359,[1]ingredient!$B$2:$B$521,[1]ingredient!$A$2:$A$521)</f>
        <v/>
      </c>
      <c r="D359" t="n">
        <v>349</v>
      </c>
      <c r="E359" t="n">
        <v>6</v>
      </c>
      <c r="F359" t="n">
        <v>11</v>
      </c>
      <c r="G359" t="n">
        <v>62</v>
      </c>
      <c r="H359" t="n">
        <v>4</v>
      </c>
      <c r="I359" t="n">
        <v>61</v>
      </c>
      <c r="J359" t="n">
        <v>0.35</v>
      </c>
      <c r="K359" t="n">
        <v>12</v>
      </c>
      <c r="L359" t="n">
        <v>67</v>
      </c>
      <c r="M359" t="n">
        <v>33</v>
      </c>
      <c r="N359" t="n">
        <v>0</v>
      </c>
      <c r="O359" t="n">
        <v>400</v>
      </c>
      <c r="P359" t="n">
        <v>0</v>
      </c>
      <c r="Q359" t="n">
        <v>0</v>
      </c>
      <c r="R359" t="n">
        <v>1500</v>
      </c>
      <c r="S359" t="n">
        <v>3400</v>
      </c>
      <c r="T359" t="n">
        <v>0</v>
      </c>
      <c r="U359" t="n">
        <v>0</v>
      </c>
      <c r="V359" t="n">
        <v>0</v>
      </c>
      <c r="W359" t="n">
        <v>0</v>
      </c>
      <c r="X359" t="n">
        <v>0</v>
      </c>
      <c r="Y359" t="n">
        <v>0</v>
      </c>
      <c r="Z359" t="n">
        <v>0</v>
      </c>
      <c r="AA359" t="n">
        <v>0</v>
      </c>
      <c r="AB359" t="n">
        <v>0</v>
      </c>
      <c r="AC359" t="n">
        <v>150</v>
      </c>
      <c r="AD359" t="n">
        <v>1720</v>
      </c>
      <c r="AE359" t="n">
        <v>110</v>
      </c>
      <c r="AF359" t="n">
        <v>200</v>
      </c>
      <c r="AG359" t="n">
        <v>250</v>
      </c>
      <c r="AH359" t="n">
        <v>100</v>
      </c>
      <c r="AI359" t="n">
        <v>200</v>
      </c>
      <c r="AJ359" t="n">
        <v>11100</v>
      </c>
      <c r="AK359" t="n">
        <v>2000</v>
      </c>
      <c r="AL359" t="n">
        <v>330</v>
      </c>
      <c r="AM359" t="n">
        <v>28400</v>
      </c>
      <c r="AN359" t="n">
        <v>400</v>
      </c>
      <c r="AO359" t="n">
        <v>5</v>
      </c>
      <c r="AP359" t="n">
        <v>0</v>
      </c>
      <c r="AQ359" t="n">
        <v>0</v>
      </c>
      <c r="AR359" t="n">
        <v>0</v>
      </c>
      <c r="AS359" t="n">
        <v>0</v>
      </c>
      <c r="AT359" t="n">
        <v>24600</v>
      </c>
      <c r="AU359" t="n">
        <v>24600</v>
      </c>
      <c r="AV359" t="n">
        <v>0</v>
      </c>
      <c r="AW359" t="n">
        <v>49200</v>
      </c>
      <c r="AX359" t="n">
        <v>11685</v>
      </c>
      <c r="AY359" t="n">
        <v>0</v>
      </c>
      <c r="AZ359" t="n">
        <v>0</v>
      </c>
      <c r="BA359" t="n">
        <v>11685</v>
      </c>
      <c r="BB359" t="n">
        <v>0</v>
      </c>
      <c r="BC359" t="n">
        <v>0</v>
      </c>
      <c r="BD359" t="n">
        <v>0</v>
      </c>
      <c r="BE359" t="n">
        <v>615</v>
      </c>
      <c r="BF359" t="n">
        <v>615</v>
      </c>
      <c r="BG359">
        <f>IF($F359=0,"0",MIN(
BH359/(30*$F359),
BI359/(61*$F359),
BJ359/(48*$F359),
(BK359+BL359)/(23*$F359),
(BM359+BN359)/(41*$F359),
BO359/(25*$F359),
BP359/(6.6*$F359),
BQ359/(40*$F359),
BS359/(16*$F359)
)*100)</f>
        <v/>
      </c>
      <c r="BH359" t="n">
        <v>456</v>
      </c>
      <c r="BI359" t="n">
        <v>684</v>
      </c>
      <c r="BJ359" t="n">
        <v>570</v>
      </c>
      <c r="BK359" t="n">
        <v>137</v>
      </c>
      <c r="BL359" t="n">
        <v>114</v>
      </c>
      <c r="BM359" t="n">
        <v>342</v>
      </c>
      <c r="BN359" t="n">
        <v>228</v>
      </c>
      <c r="BO359" t="n">
        <v>399</v>
      </c>
      <c r="BP359" t="n">
        <v>114</v>
      </c>
      <c r="BQ359" t="n">
        <v>456</v>
      </c>
      <c r="BR359" t="n">
        <v>456</v>
      </c>
      <c r="BS359" t="n">
        <v>171</v>
      </c>
      <c r="BT359" t="n">
        <v>4127</v>
      </c>
      <c r="BU359" t="n">
        <v>570</v>
      </c>
      <c r="BV359" t="n">
        <v>1140</v>
      </c>
      <c r="BW359" t="n">
        <v>1710</v>
      </c>
      <c r="BX359" t="n">
        <v>319</v>
      </c>
      <c r="BY359" t="n">
        <v>456</v>
      </c>
      <c r="BZ359" t="n">
        <v>342</v>
      </c>
      <c r="CA359" t="n">
        <v>4537</v>
      </c>
      <c r="CB359" t="n">
        <v>50</v>
      </c>
      <c r="CC359" t="n">
        <v>21</v>
      </c>
      <c r="CD359" t="n">
        <v>14</v>
      </c>
      <c r="CE359" t="n">
        <v>812</v>
      </c>
      <c r="CF359" t="n">
        <v>58</v>
      </c>
      <c r="CG359" t="n">
        <v>0</v>
      </c>
      <c r="CH359" t="n">
        <v>0</v>
      </c>
      <c r="CI359" t="n">
        <v>0</v>
      </c>
      <c r="CJ359" t="n">
        <v>0</v>
      </c>
      <c r="CK359" t="n">
        <v>90</v>
      </c>
      <c r="CL359" t="n">
        <v>175</v>
      </c>
      <c r="CM359" t="n">
        <v>0</v>
      </c>
      <c r="CN359" t="n">
        <v>1444</v>
      </c>
      <c r="CO359" t="n">
        <v>0</v>
      </c>
      <c r="CP359" t="n">
        <v>80</v>
      </c>
      <c r="CQ359" t="n">
        <v>0</v>
      </c>
      <c r="CR359" t="n">
        <v>0</v>
      </c>
      <c r="CS359" t="n">
        <v>0</v>
      </c>
      <c r="CT359" t="n">
        <v>1789</v>
      </c>
      <c r="CU359" t="n">
        <v>0</v>
      </c>
      <c r="CV359" t="n">
        <v>0</v>
      </c>
      <c r="CW359" t="n">
        <v>109</v>
      </c>
      <c r="CX359" t="n">
        <v>0</v>
      </c>
      <c r="CY359" t="n">
        <v>1996</v>
      </c>
      <c r="CZ359" t="n">
        <v>0</v>
      </c>
      <c r="DA359" t="n">
        <v>0</v>
      </c>
      <c r="DB359" t="n">
        <v>0</v>
      </c>
      <c r="DC359" t="n">
        <v>2105</v>
      </c>
      <c r="DD359" t="n">
        <v>0</v>
      </c>
      <c r="DE359" t="n">
        <v>0</v>
      </c>
      <c r="DF359" t="n">
        <v>812</v>
      </c>
      <c r="DG359" t="n">
        <v>14</v>
      </c>
      <c r="DH359" t="n">
        <v>0</v>
      </c>
      <c r="DI359" t="n">
        <v>0</v>
      </c>
      <c r="DJ359" t="n">
        <v>0</v>
      </c>
      <c r="DK359" t="n">
        <v>0</v>
      </c>
      <c r="DL359" t="n">
        <v>0</v>
      </c>
      <c r="DM359" t="n">
        <v>0</v>
      </c>
      <c r="DN359" t="n">
        <v>0</v>
      </c>
      <c r="DO359" t="n">
        <v>0</v>
      </c>
      <c r="DP359" t="n">
        <v>0</v>
      </c>
      <c r="DQ359" t="n">
        <v>0</v>
      </c>
      <c r="DR359" t="n">
        <v>0</v>
      </c>
      <c r="DS359" t="n">
        <v>826</v>
      </c>
      <c r="DT359" t="n">
        <v>4720</v>
      </c>
      <c r="DU359" t="n">
        <v>1180</v>
      </c>
      <c r="DV359" t="n">
        <v>0</v>
      </c>
      <c r="DW359" t="n">
        <v>0</v>
      </c>
      <c r="DX359" t="n">
        <v>0</v>
      </c>
      <c r="DY359" t="n">
        <v>585</v>
      </c>
      <c r="DZ359" t="n">
        <v>780</v>
      </c>
      <c r="EA359" t="n">
        <v>1053</v>
      </c>
      <c r="EB359" t="n">
        <v>1365</v>
      </c>
      <c r="EC359" t="n">
        <v>117</v>
      </c>
      <c r="ED359" t="n">
        <v>1170</v>
      </c>
      <c r="EE359" t="n">
        <v>2730</v>
      </c>
      <c r="EF359" t="n">
        <v>0</v>
      </c>
      <c r="EG359" t="n">
        <v>0.15</v>
      </c>
      <c r="EH359" t="n">
        <v>5.4</v>
      </c>
      <c r="EI359" t="n">
        <v>2.7</v>
      </c>
      <c r="EJ359" t="n">
        <v>5.9</v>
      </c>
      <c r="EK359" t="n">
        <v>8.800000000000001</v>
      </c>
    </row>
    <row r="360">
      <c r="A360">
        <f>[1]ingredient!B360</f>
        <v/>
      </c>
      <c r="B360" s="11" t="inlineStr">
        <is>
          <t>https://www.naehrwertrechner.de/naehrwerte/G079111/Salbei+frisch/?menge=100</t>
        </is>
      </c>
      <c r="C360" s="7">
        <f>_xlfn.XLOOKUP(A360,[1]ingredient!$B$2:$B$521,[1]ingredient!$A$2:$A$521)</f>
        <v/>
      </c>
      <c r="D360" t="n">
        <v>54</v>
      </c>
      <c r="E360" t="n">
        <v>2</v>
      </c>
      <c r="F360" t="n">
        <v>2</v>
      </c>
      <c r="G360" t="n">
        <v>7</v>
      </c>
      <c r="H360" t="n">
        <v>3</v>
      </c>
      <c r="I360" t="n">
        <v>7</v>
      </c>
      <c r="J360" t="n">
        <v>0.03</v>
      </c>
      <c r="K360" t="n">
        <v>85</v>
      </c>
      <c r="L360" t="n">
        <v>95</v>
      </c>
      <c r="M360" t="n">
        <v>48</v>
      </c>
      <c r="N360" t="n">
        <v>0</v>
      </c>
      <c r="O360" t="n">
        <v>572</v>
      </c>
      <c r="P360" t="n">
        <v>122</v>
      </c>
      <c r="Q360" t="n">
        <v>55</v>
      </c>
      <c r="R360" t="n">
        <v>921</v>
      </c>
      <c r="S360" t="n">
        <v>1204</v>
      </c>
      <c r="T360" t="n">
        <v>0</v>
      </c>
      <c r="U360" t="n">
        <v>0</v>
      </c>
      <c r="V360" t="n">
        <v>0</v>
      </c>
      <c r="W360" t="n">
        <v>0</v>
      </c>
      <c r="X360" t="n">
        <v>0</v>
      </c>
      <c r="Y360" t="n">
        <v>0</v>
      </c>
      <c r="Z360" t="n">
        <v>0</v>
      </c>
      <c r="AA360" t="n">
        <v>0</v>
      </c>
      <c r="AB360" t="n">
        <v>0</v>
      </c>
      <c r="AC360" t="n">
        <v>2</v>
      </c>
      <c r="AD360" t="n">
        <v>173</v>
      </c>
      <c r="AE360" t="n">
        <v>266</v>
      </c>
      <c r="AF360" t="n">
        <v>69</v>
      </c>
      <c r="AG360" t="n">
        <v>15</v>
      </c>
      <c r="AH360" t="n">
        <v>16</v>
      </c>
      <c r="AI360" t="n">
        <v>32</v>
      </c>
      <c r="AJ360" t="n">
        <v>4538</v>
      </c>
      <c r="AK360" t="n">
        <v>759</v>
      </c>
      <c r="AL360" t="n">
        <v>123</v>
      </c>
      <c r="AM360" t="n">
        <v>4037</v>
      </c>
      <c r="AN360" t="n">
        <v>65</v>
      </c>
      <c r="AO360" t="n">
        <v>1</v>
      </c>
      <c r="AP360" t="n">
        <v>0</v>
      </c>
      <c r="AQ360" t="n">
        <v>0</v>
      </c>
      <c r="AR360" t="n">
        <v>0</v>
      </c>
      <c r="AS360" t="n">
        <v>0</v>
      </c>
      <c r="AT360" t="n">
        <v>2759</v>
      </c>
      <c r="AU360" t="n">
        <v>2758</v>
      </c>
      <c r="AV360" t="n">
        <v>0</v>
      </c>
      <c r="AW360" t="n">
        <v>5517</v>
      </c>
      <c r="AX360" t="n">
        <v>1310</v>
      </c>
      <c r="AY360" t="n">
        <v>0</v>
      </c>
      <c r="AZ360" t="n">
        <v>0</v>
      </c>
      <c r="BA360" t="n">
        <v>1310</v>
      </c>
      <c r="BB360" t="n">
        <v>0</v>
      </c>
      <c r="BC360" t="n">
        <v>0</v>
      </c>
      <c r="BD360" t="n">
        <v>0</v>
      </c>
      <c r="BE360" t="n">
        <v>69</v>
      </c>
      <c r="BF360" t="n">
        <v>69</v>
      </c>
      <c r="BG360">
        <f>IF($F360=0,"0",MIN(
BH360/(30*$F360),
BI360/(61*$F360),
BJ360/(48*$F360),
(BK360+BL360)/(23*$F360),
(BM360+BN360)/(41*$F360),
BO360/(25*$F360),
BP360/(6.6*$F360),
BQ360/(40*$F360),
BS360/(16*$F360)
)*100)</f>
        <v/>
      </c>
      <c r="BH360" t="n">
        <v>68</v>
      </c>
      <c r="BI360" t="n">
        <v>103</v>
      </c>
      <c r="BJ360" t="n">
        <v>86</v>
      </c>
      <c r="BK360" t="n">
        <v>21</v>
      </c>
      <c r="BL360" t="n">
        <v>17</v>
      </c>
      <c r="BM360" t="n">
        <v>51</v>
      </c>
      <c r="BN360" t="n">
        <v>34</v>
      </c>
      <c r="BO360" t="n">
        <v>60</v>
      </c>
      <c r="BP360" t="n">
        <v>17</v>
      </c>
      <c r="BQ360" t="n">
        <v>68</v>
      </c>
      <c r="BR360" t="n">
        <v>68</v>
      </c>
      <c r="BS360" t="n">
        <v>26</v>
      </c>
      <c r="BT360" t="n">
        <v>619</v>
      </c>
      <c r="BU360" t="n">
        <v>86</v>
      </c>
      <c r="BV360" t="n">
        <v>171</v>
      </c>
      <c r="BW360" t="n">
        <v>258</v>
      </c>
      <c r="BX360" t="n">
        <v>48</v>
      </c>
      <c r="BY360" t="n">
        <v>68</v>
      </c>
      <c r="BZ360" t="n">
        <v>51</v>
      </c>
      <c r="CA360" t="n">
        <v>682</v>
      </c>
      <c r="CB360" t="n">
        <v>27</v>
      </c>
      <c r="CC360" t="n">
        <v>11</v>
      </c>
      <c r="CD360" t="n">
        <v>198</v>
      </c>
      <c r="CE360" t="n">
        <v>84</v>
      </c>
      <c r="CF360" t="n">
        <v>0.42</v>
      </c>
      <c r="CG360" t="n">
        <v>0</v>
      </c>
      <c r="CH360" t="n">
        <v>0</v>
      </c>
      <c r="CI360" t="n">
        <v>117</v>
      </c>
      <c r="CJ360" t="n">
        <v>126</v>
      </c>
      <c r="CK360" t="n">
        <v>52</v>
      </c>
      <c r="CL360" t="n">
        <v>119</v>
      </c>
      <c r="CM360" t="n">
        <v>0</v>
      </c>
      <c r="CN360" t="n">
        <v>517</v>
      </c>
      <c r="CO360" t="n">
        <v>0</v>
      </c>
      <c r="CP360" t="n">
        <v>207</v>
      </c>
      <c r="CQ360" t="n">
        <v>0</v>
      </c>
      <c r="CR360" t="n">
        <v>0</v>
      </c>
      <c r="CS360" t="n">
        <v>0</v>
      </c>
      <c r="CT360" t="n">
        <v>1138</v>
      </c>
      <c r="CU360" t="n">
        <v>0</v>
      </c>
      <c r="CV360" t="n">
        <v>0</v>
      </c>
      <c r="CW360" t="n">
        <v>19</v>
      </c>
      <c r="CX360" t="n">
        <v>0</v>
      </c>
      <c r="CY360" t="n">
        <v>284</v>
      </c>
      <c r="CZ360" t="n">
        <v>0</v>
      </c>
      <c r="DA360" t="n">
        <v>0</v>
      </c>
      <c r="DB360" t="n">
        <v>0</v>
      </c>
      <c r="DC360" t="n">
        <v>303</v>
      </c>
      <c r="DD360" t="n">
        <v>0</v>
      </c>
      <c r="DE360" t="n">
        <v>0</v>
      </c>
      <c r="DF360" t="n">
        <v>84</v>
      </c>
      <c r="DG360" t="n">
        <v>198</v>
      </c>
      <c r="DH360" t="n">
        <v>0</v>
      </c>
      <c r="DI360" t="n">
        <v>0</v>
      </c>
      <c r="DJ360" t="n">
        <v>0</v>
      </c>
      <c r="DK360" t="n">
        <v>0</v>
      </c>
      <c r="DL360" t="n">
        <v>0</v>
      </c>
      <c r="DM360" t="n">
        <v>0</v>
      </c>
      <c r="DN360" t="n">
        <v>0</v>
      </c>
      <c r="DO360" t="n">
        <v>0</v>
      </c>
      <c r="DP360" t="n">
        <v>0</v>
      </c>
      <c r="DQ360" t="n">
        <v>0</v>
      </c>
      <c r="DR360" t="n">
        <v>0</v>
      </c>
      <c r="DS360" t="n">
        <v>282</v>
      </c>
      <c r="DT360" t="n">
        <v>1480</v>
      </c>
      <c r="DU360" t="n">
        <v>328</v>
      </c>
      <c r="DV360" t="n">
        <v>0</v>
      </c>
      <c r="DW360" t="n">
        <v>0</v>
      </c>
      <c r="DX360" t="n">
        <v>243</v>
      </c>
      <c r="DY360" t="n">
        <v>437</v>
      </c>
      <c r="DZ360" t="n">
        <v>583</v>
      </c>
      <c r="EA360" t="n">
        <v>787</v>
      </c>
      <c r="EB360" t="n">
        <v>1020</v>
      </c>
      <c r="EC360" t="n">
        <v>88</v>
      </c>
      <c r="ED360" t="n">
        <v>874</v>
      </c>
      <c r="EE360" t="n">
        <v>2040</v>
      </c>
      <c r="EF360" t="n">
        <v>0</v>
      </c>
      <c r="EG360" t="n">
        <v>0.14</v>
      </c>
      <c r="EH360" t="n">
        <v>1.3</v>
      </c>
      <c r="EI360" t="n">
        <v>2</v>
      </c>
      <c r="EJ360" t="n">
        <v>2.1</v>
      </c>
      <c r="EK360" t="n">
        <v>1.4</v>
      </c>
    </row>
    <row r="361">
      <c r="A361">
        <f>[1]ingredient!B361</f>
        <v/>
      </c>
      <c r="B361" t="inlineStr">
        <is>
          <t>https://www.naehrwertrechner.de/naehrwerte/R225011/Salbei+Gew%C3%BCrz/?menge=100</t>
        </is>
      </c>
      <c r="C361" s="7">
        <f>_xlfn.XLOOKUP(A361,[1]ingredient!$B$2:$B$521,[1]ingredient!$A$2:$A$521)</f>
        <v/>
      </c>
      <c r="D361" t="n">
        <v>331</v>
      </c>
      <c r="E361" t="n">
        <v>13</v>
      </c>
      <c r="F361" t="n">
        <v>11</v>
      </c>
      <c r="G361" t="n">
        <v>43</v>
      </c>
      <c r="H361" t="n">
        <v>18</v>
      </c>
      <c r="I361" t="n">
        <v>42</v>
      </c>
      <c r="J361" t="n">
        <v>0.21</v>
      </c>
      <c r="K361" t="n">
        <v>7</v>
      </c>
      <c r="L361" t="n">
        <v>590</v>
      </c>
      <c r="M361" t="n">
        <v>295</v>
      </c>
      <c r="N361" t="n">
        <v>0</v>
      </c>
      <c r="O361" t="n">
        <v>3540</v>
      </c>
      <c r="P361" t="n">
        <v>754</v>
      </c>
      <c r="Q361" t="n">
        <v>340</v>
      </c>
      <c r="R361" t="n">
        <v>5700</v>
      </c>
      <c r="S361" t="n">
        <v>7467</v>
      </c>
      <c r="T361" t="n">
        <v>0</v>
      </c>
      <c r="U361" t="n">
        <v>0</v>
      </c>
      <c r="V361" t="n">
        <v>0</v>
      </c>
      <c r="W361" t="n">
        <v>0</v>
      </c>
      <c r="X361" t="n">
        <v>0</v>
      </c>
      <c r="Y361" t="n">
        <v>0</v>
      </c>
      <c r="Z361" t="n">
        <v>0</v>
      </c>
      <c r="AA361" t="n">
        <v>0</v>
      </c>
      <c r="AB361" t="n">
        <v>0</v>
      </c>
      <c r="AC361" t="n">
        <v>11</v>
      </c>
      <c r="AD361" t="n">
        <v>1070</v>
      </c>
      <c r="AE361" t="n">
        <v>1650</v>
      </c>
      <c r="AF361" t="n">
        <v>430</v>
      </c>
      <c r="AG361" t="n">
        <v>91</v>
      </c>
      <c r="AH361" t="n">
        <v>100</v>
      </c>
      <c r="AI361" t="n">
        <v>200</v>
      </c>
      <c r="AJ361" t="n">
        <v>28100</v>
      </c>
      <c r="AK361" t="n">
        <v>4700</v>
      </c>
      <c r="AL361" t="n">
        <v>760</v>
      </c>
      <c r="AM361" t="n">
        <v>25000</v>
      </c>
      <c r="AN361" t="n">
        <v>400</v>
      </c>
      <c r="AO361" t="n">
        <v>5</v>
      </c>
      <c r="AP361" t="n">
        <v>0</v>
      </c>
      <c r="AQ361" t="n">
        <v>0</v>
      </c>
      <c r="AR361" t="n">
        <v>0</v>
      </c>
      <c r="AS361" t="n">
        <v>0</v>
      </c>
      <c r="AT361" t="n">
        <v>17080</v>
      </c>
      <c r="AU361" t="n">
        <v>17080</v>
      </c>
      <c r="AV361" t="n">
        <v>0</v>
      </c>
      <c r="AW361" t="n">
        <v>34160</v>
      </c>
      <c r="AX361" t="n">
        <v>8113</v>
      </c>
      <c r="AY361" t="n">
        <v>0</v>
      </c>
      <c r="AZ361" t="n">
        <v>0</v>
      </c>
      <c r="BA361" t="n">
        <v>8113</v>
      </c>
      <c r="BB361" t="n">
        <v>0</v>
      </c>
      <c r="BC361" t="n">
        <v>0</v>
      </c>
      <c r="BD361" t="n">
        <v>0</v>
      </c>
      <c r="BE361" t="n">
        <v>427</v>
      </c>
      <c r="BF361" t="n">
        <v>427</v>
      </c>
      <c r="BG361">
        <f>IF($F361=0,"0",MIN(
BH361/(30*$F361),
BI361/(61*$F361),
BJ361/(48*$F361),
(BK361+BL361)/(23*$F361),
(BM361+BN361)/(41*$F361),
BO361/(25*$F361),
BP361/(6.6*$F361),
BQ361/(40*$F361),
BS361/(16*$F361)
)*100)</f>
        <v/>
      </c>
      <c r="BH361" t="n">
        <v>424</v>
      </c>
      <c r="BI361" t="n">
        <v>636</v>
      </c>
      <c r="BJ361" t="n">
        <v>530</v>
      </c>
      <c r="BK361" t="n">
        <v>127</v>
      </c>
      <c r="BL361" t="n">
        <v>106</v>
      </c>
      <c r="BM361" t="n">
        <v>318</v>
      </c>
      <c r="BN361" t="n">
        <v>212</v>
      </c>
      <c r="BO361" t="n">
        <v>371</v>
      </c>
      <c r="BP361" t="n">
        <v>106</v>
      </c>
      <c r="BQ361" t="n">
        <v>424</v>
      </c>
      <c r="BR361" t="n">
        <v>424</v>
      </c>
      <c r="BS361" t="n">
        <v>159</v>
      </c>
      <c r="BT361" t="n">
        <v>3837</v>
      </c>
      <c r="BU361" t="n">
        <v>530</v>
      </c>
      <c r="BV361" t="n">
        <v>1060</v>
      </c>
      <c r="BW361" t="n">
        <v>1590</v>
      </c>
      <c r="BX361" t="n">
        <v>297</v>
      </c>
      <c r="BY361" t="n">
        <v>424</v>
      </c>
      <c r="BZ361" t="n">
        <v>318</v>
      </c>
      <c r="CA361" t="n">
        <v>4219</v>
      </c>
      <c r="CB361" t="n">
        <v>166</v>
      </c>
      <c r="CC361" t="n">
        <v>69</v>
      </c>
      <c r="CD361" t="n">
        <v>1227</v>
      </c>
      <c r="CE361" t="n">
        <v>523</v>
      </c>
      <c r="CF361" t="n">
        <v>0.43</v>
      </c>
      <c r="CG361" t="n">
        <v>0</v>
      </c>
      <c r="CH361" t="n">
        <v>0</v>
      </c>
      <c r="CI361" t="n">
        <v>725</v>
      </c>
      <c r="CJ361" t="n">
        <v>779</v>
      </c>
      <c r="CK361" t="n">
        <v>320</v>
      </c>
      <c r="CL361" t="n">
        <v>736</v>
      </c>
      <c r="CM361" t="n">
        <v>0</v>
      </c>
      <c r="CN361" t="n">
        <v>3201</v>
      </c>
      <c r="CO361" t="n">
        <v>0</v>
      </c>
      <c r="CP361" t="n">
        <v>1280</v>
      </c>
      <c r="CQ361" t="n">
        <v>0</v>
      </c>
      <c r="CR361" t="n">
        <v>0</v>
      </c>
      <c r="CS361" t="n">
        <v>0</v>
      </c>
      <c r="CT361" t="n">
        <v>7041</v>
      </c>
      <c r="CU361" t="n">
        <v>0</v>
      </c>
      <c r="CV361" t="n">
        <v>0</v>
      </c>
      <c r="CW361" t="n">
        <v>117</v>
      </c>
      <c r="CX361" t="n">
        <v>0</v>
      </c>
      <c r="CY361" t="n">
        <v>1760</v>
      </c>
      <c r="CZ361" t="n">
        <v>0</v>
      </c>
      <c r="DA361" t="n">
        <v>0</v>
      </c>
      <c r="DB361" t="n">
        <v>0</v>
      </c>
      <c r="DC361" t="n">
        <v>1877</v>
      </c>
      <c r="DD361" t="n">
        <v>0</v>
      </c>
      <c r="DE361" t="n">
        <v>0</v>
      </c>
      <c r="DF361" t="n">
        <v>523</v>
      </c>
      <c r="DG361" t="n">
        <v>1227</v>
      </c>
      <c r="DH361" t="n">
        <v>0</v>
      </c>
      <c r="DI361" t="n">
        <v>0</v>
      </c>
      <c r="DJ361" t="n">
        <v>0</v>
      </c>
      <c r="DK361" t="n">
        <v>0</v>
      </c>
      <c r="DL361" t="n">
        <v>0</v>
      </c>
      <c r="DM361" t="n">
        <v>0</v>
      </c>
      <c r="DN361" t="n">
        <v>0</v>
      </c>
      <c r="DO361" t="n">
        <v>0</v>
      </c>
      <c r="DP361" t="n">
        <v>0</v>
      </c>
      <c r="DQ361" t="n">
        <v>0</v>
      </c>
      <c r="DR361" t="n">
        <v>0</v>
      </c>
      <c r="DS361" t="n">
        <v>1750</v>
      </c>
      <c r="DT361" t="n">
        <v>9164</v>
      </c>
      <c r="DU361" t="n">
        <v>2032</v>
      </c>
      <c r="DV361" t="n">
        <v>0</v>
      </c>
      <c r="DW361" t="n">
        <v>0</v>
      </c>
      <c r="DX361" t="n">
        <v>1504</v>
      </c>
      <c r="DY361" t="n">
        <v>2708</v>
      </c>
      <c r="DZ361" t="n">
        <v>3610</v>
      </c>
      <c r="EA361" t="n">
        <v>4874</v>
      </c>
      <c r="EB361" t="n">
        <v>6316</v>
      </c>
      <c r="EC361" t="n">
        <v>542</v>
      </c>
      <c r="ED361" t="n">
        <v>5415</v>
      </c>
      <c r="EE361" t="n">
        <v>12635</v>
      </c>
      <c r="EF361" t="n">
        <v>0</v>
      </c>
      <c r="EG361" t="n">
        <v>1</v>
      </c>
      <c r="EH361" t="n">
        <v>8</v>
      </c>
      <c r="EI361" t="n">
        <v>12.6</v>
      </c>
      <c r="EJ361" t="n">
        <v>12.7</v>
      </c>
      <c r="EK361" t="n">
        <v>8.6</v>
      </c>
    </row>
    <row r="362">
      <c r="A362">
        <f>[1]ingredient!B362</f>
        <v/>
      </c>
      <c r="C362" s="7">
        <f>_xlfn.XLOOKUP(A362,[1]ingredient!$B$2:$B$521,[1]ingredient!$A$2:$A$521)</f>
        <v/>
      </c>
      <c r="D362" t="n">
        <v>0</v>
      </c>
      <c r="E362" t="n">
        <v>0</v>
      </c>
      <c r="F362" t="n">
        <v>0</v>
      </c>
      <c r="G362" t="n">
        <v>0</v>
      </c>
      <c r="H362" t="n">
        <v>0</v>
      </c>
      <c r="I362" t="n">
        <v>0</v>
      </c>
      <c r="J362" t="n">
        <v>99</v>
      </c>
      <c r="K362" t="n">
        <v>1</v>
      </c>
      <c r="L362" t="n">
        <v>0</v>
      </c>
      <c r="M362" t="n">
        <v>0</v>
      </c>
      <c r="N362" t="n">
        <v>0</v>
      </c>
      <c r="O362" t="n">
        <v>0</v>
      </c>
      <c r="P362" t="n">
        <v>0</v>
      </c>
      <c r="Q362" t="n">
        <v>0</v>
      </c>
      <c r="R362" t="n">
        <v>0</v>
      </c>
      <c r="S362" t="n">
        <v>0</v>
      </c>
      <c r="T362" t="n">
        <v>0</v>
      </c>
      <c r="U362" t="n">
        <v>0</v>
      </c>
      <c r="V362" t="n">
        <v>0</v>
      </c>
      <c r="W362" t="n">
        <v>0</v>
      </c>
      <c r="X362" t="n">
        <v>0</v>
      </c>
      <c r="Y362" t="n">
        <v>0</v>
      </c>
      <c r="Z362" t="n">
        <v>0</v>
      </c>
      <c r="AA362" t="n">
        <v>0</v>
      </c>
      <c r="AB362" t="n">
        <v>0</v>
      </c>
      <c r="AC362" t="n">
        <v>38850</v>
      </c>
      <c r="AD362" t="n">
        <v>4</v>
      </c>
      <c r="AE362" t="n">
        <v>250</v>
      </c>
      <c r="AF362" t="n">
        <v>120</v>
      </c>
      <c r="AG362" t="n">
        <v>150</v>
      </c>
      <c r="AH362" t="n">
        <v>23</v>
      </c>
      <c r="AI362" t="n">
        <v>59900</v>
      </c>
      <c r="AJ362" t="n">
        <v>100</v>
      </c>
      <c r="AK362" t="n">
        <v>50</v>
      </c>
      <c r="AL362" t="n">
        <v>100</v>
      </c>
      <c r="AM362" t="n">
        <v>200</v>
      </c>
      <c r="AN362" t="n">
        <v>50</v>
      </c>
      <c r="AO362" t="n">
        <v>2500</v>
      </c>
      <c r="AP362" t="n">
        <v>0</v>
      </c>
      <c r="AQ362" t="n">
        <v>0</v>
      </c>
      <c r="AR362" t="n">
        <v>0</v>
      </c>
      <c r="AS362" t="n">
        <v>0</v>
      </c>
      <c r="AT362" t="n">
        <v>0</v>
      </c>
      <c r="AU362" t="n">
        <v>0</v>
      </c>
      <c r="AV362" t="n">
        <v>0</v>
      </c>
      <c r="AW362" t="n">
        <v>0</v>
      </c>
      <c r="AX362" t="n">
        <v>0</v>
      </c>
      <c r="AY362" t="n">
        <v>0</v>
      </c>
      <c r="AZ362" t="n">
        <v>0</v>
      </c>
      <c r="BA362" t="n">
        <v>0</v>
      </c>
      <c r="BB362" t="n">
        <v>0</v>
      </c>
      <c r="BC362" t="n">
        <v>0</v>
      </c>
      <c r="BD362" t="n">
        <v>0</v>
      </c>
      <c r="BE362" t="n">
        <v>0</v>
      </c>
      <c r="BF362" t="n">
        <v>0</v>
      </c>
      <c r="BG362">
        <f>IF($F362=0,"0",MIN(
BH362/(30*$F362),
BI362/(61*$F362),
BJ362/(48*$F362),
(BK362+BL362)/(23*$F362),
(BM362+BN362)/(41*$F362),
BO362/(25*$F362),
BP362/(6.6*$F362),
BQ362/(40*$F362),
BS362/(16*$F362)
)*100)</f>
        <v/>
      </c>
      <c r="BH362" t="n">
        <v>0</v>
      </c>
      <c r="BI362" t="n">
        <v>0</v>
      </c>
      <c r="BJ362" t="n">
        <v>0</v>
      </c>
      <c r="BK362" t="n">
        <v>0</v>
      </c>
      <c r="BL362" t="n">
        <v>0</v>
      </c>
      <c r="BM362" t="n">
        <v>0</v>
      </c>
      <c r="BN362" t="n">
        <v>0</v>
      </c>
      <c r="BO362" t="n">
        <v>0</v>
      </c>
      <c r="BP362" t="n">
        <v>0</v>
      </c>
      <c r="BQ362" t="n">
        <v>0</v>
      </c>
      <c r="BR362" t="n">
        <v>0</v>
      </c>
      <c r="BS362" t="n">
        <v>0</v>
      </c>
      <c r="BT362" t="n">
        <v>0</v>
      </c>
      <c r="BU362" t="n">
        <v>0</v>
      </c>
      <c r="BV362" t="n">
        <v>0</v>
      </c>
      <c r="BW362" t="n">
        <v>0</v>
      </c>
      <c r="BX362" t="n">
        <v>0</v>
      </c>
      <c r="BY362" t="n">
        <v>0</v>
      </c>
      <c r="BZ362" t="n">
        <v>0</v>
      </c>
      <c r="CA362" t="n">
        <v>0</v>
      </c>
      <c r="CB362" t="n">
        <v>0</v>
      </c>
      <c r="CC362" t="n">
        <v>0</v>
      </c>
      <c r="CD362" t="n">
        <v>0</v>
      </c>
      <c r="CE362" t="n">
        <v>0</v>
      </c>
      <c r="CF362" t="n">
        <v>0</v>
      </c>
      <c r="CG362" t="n">
        <v>0</v>
      </c>
      <c r="CH362" t="n">
        <v>0</v>
      </c>
      <c r="CI362" t="n">
        <v>0</v>
      </c>
      <c r="CJ362" t="n">
        <v>0</v>
      </c>
      <c r="CK362" t="n">
        <v>0</v>
      </c>
      <c r="CL362" t="n">
        <v>0</v>
      </c>
      <c r="CM362" t="n">
        <v>0</v>
      </c>
      <c r="CN362" t="n">
        <v>0</v>
      </c>
      <c r="CO362" t="n">
        <v>0</v>
      </c>
      <c r="CP362" t="n">
        <v>0</v>
      </c>
      <c r="CQ362" t="n">
        <v>0</v>
      </c>
      <c r="CR362" t="n">
        <v>0</v>
      </c>
      <c r="CS362" t="n">
        <v>0</v>
      </c>
      <c r="CT362" t="n">
        <v>0</v>
      </c>
      <c r="CU362" t="n">
        <v>0</v>
      </c>
      <c r="CV362" t="n">
        <v>0</v>
      </c>
      <c r="CW362" t="n">
        <v>0</v>
      </c>
      <c r="CX362" t="n">
        <v>0</v>
      </c>
      <c r="CY362" t="n">
        <v>0</v>
      </c>
      <c r="CZ362" t="n">
        <v>0</v>
      </c>
      <c r="DA362" t="n">
        <v>0</v>
      </c>
      <c r="DB362" t="n">
        <v>0</v>
      </c>
      <c r="DC362" t="n">
        <v>0</v>
      </c>
      <c r="DD362" t="n">
        <v>0</v>
      </c>
      <c r="DE362" t="n">
        <v>0</v>
      </c>
      <c r="DF362" t="n">
        <v>0</v>
      </c>
      <c r="DG362" t="n">
        <v>0</v>
      </c>
      <c r="DH362" t="n">
        <v>0</v>
      </c>
      <c r="DI362" t="n">
        <v>0</v>
      </c>
      <c r="DJ362" t="n">
        <v>0</v>
      </c>
      <c r="DK362" t="n">
        <v>0</v>
      </c>
      <c r="DL362" t="n">
        <v>0</v>
      </c>
      <c r="DM362" t="n">
        <v>0</v>
      </c>
      <c r="DN362" t="n">
        <v>0</v>
      </c>
      <c r="DO362" t="n">
        <v>0</v>
      </c>
      <c r="DP362" t="n">
        <v>0</v>
      </c>
      <c r="DQ362" t="n">
        <v>0</v>
      </c>
      <c r="DR362" t="n">
        <v>0</v>
      </c>
      <c r="DS362" t="n">
        <v>0</v>
      </c>
      <c r="DT362" t="n">
        <v>0</v>
      </c>
      <c r="DU362" t="n">
        <v>0</v>
      </c>
      <c r="DV362" t="n">
        <v>0</v>
      </c>
      <c r="DW362" t="n">
        <v>0</v>
      </c>
      <c r="DX362" t="n">
        <v>0</v>
      </c>
      <c r="DY362" t="n">
        <v>0</v>
      </c>
      <c r="DZ362" t="n">
        <v>0</v>
      </c>
      <c r="EA362" t="n">
        <v>0</v>
      </c>
      <c r="EB362" t="n">
        <v>0</v>
      </c>
      <c r="EC362" t="n">
        <v>0</v>
      </c>
      <c r="ED362" t="n">
        <v>0</v>
      </c>
      <c r="EE362" t="n">
        <v>0</v>
      </c>
      <c r="EF362" t="n">
        <v>0</v>
      </c>
      <c r="EG362" t="n">
        <v>0</v>
      </c>
      <c r="EH362" t="n">
        <v>99.40000000000001</v>
      </c>
      <c r="EI362" t="n">
        <v>0</v>
      </c>
      <c r="EJ362" t="n">
        <v>0</v>
      </c>
      <c r="EK362" t="n">
        <v>0</v>
      </c>
    </row>
    <row r="363">
      <c r="A363">
        <f>[1]ingredient!B363</f>
        <v/>
      </c>
      <c r="B363" t="inlineStr">
        <is>
          <t>https://www.naehrwertrechner.de/naehrwerte/R146111/Chiliso%C3%9Fe+%28Sambal+Oelek%29/?menge=100</t>
        </is>
      </c>
      <c r="C363" s="7">
        <f>_xlfn.XLOOKUP(A363,[1]ingredient!$B$2:$B$521,[1]ingredient!$A$2:$A$521)</f>
        <v/>
      </c>
      <c r="D363" t="n">
        <v>141</v>
      </c>
      <c r="E363" t="n">
        <v>3</v>
      </c>
      <c r="F363" t="n">
        <v>6</v>
      </c>
      <c r="G363" t="n">
        <v>22</v>
      </c>
      <c r="H363" t="n">
        <v>4</v>
      </c>
      <c r="I363" t="n">
        <v>21</v>
      </c>
      <c r="J363" t="n">
        <v>1</v>
      </c>
      <c r="K363" t="n">
        <v>61</v>
      </c>
      <c r="L363" t="n">
        <v>544</v>
      </c>
      <c r="M363" t="n">
        <v>272</v>
      </c>
      <c r="N363" t="n">
        <v>0</v>
      </c>
      <c r="O363" t="n">
        <v>3264</v>
      </c>
      <c r="P363" t="n">
        <v>165</v>
      </c>
      <c r="Q363" t="n">
        <v>164</v>
      </c>
      <c r="R363" t="n">
        <v>2960</v>
      </c>
      <c r="S363" t="n">
        <v>3677</v>
      </c>
      <c r="T363" t="n">
        <v>597</v>
      </c>
      <c r="U363" t="n">
        <v>263</v>
      </c>
      <c r="V363" t="n">
        <v>4</v>
      </c>
      <c r="W363" t="n">
        <v>32</v>
      </c>
      <c r="X363" t="n">
        <v>0</v>
      </c>
      <c r="Y363" t="n">
        <v>30249</v>
      </c>
      <c r="Z363" t="n">
        <v>0</v>
      </c>
      <c r="AA363" t="n">
        <v>3206</v>
      </c>
      <c r="AB363" t="n">
        <v>12</v>
      </c>
      <c r="AC363" t="n">
        <v>344</v>
      </c>
      <c r="AD363" t="n">
        <v>946</v>
      </c>
      <c r="AE363" t="n">
        <v>69</v>
      </c>
      <c r="AF363" t="n">
        <v>48</v>
      </c>
      <c r="AG363" t="n">
        <v>159</v>
      </c>
      <c r="AH363" t="n">
        <v>48</v>
      </c>
      <c r="AI363" t="n">
        <v>618</v>
      </c>
      <c r="AJ363" t="n">
        <v>3800</v>
      </c>
      <c r="AK363" t="n">
        <v>697</v>
      </c>
      <c r="AL363" t="n">
        <v>404</v>
      </c>
      <c r="AM363" t="n">
        <v>261</v>
      </c>
      <c r="AN363" t="n">
        <v>66</v>
      </c>
      <c r="AO363" t="n">
        <v>3</v>
      </c>
      <c r="AP363" t="n">
        <v>0</v>
      </c>
      <c r="AQ363" t="n">
        <v>0</v>
      </c>
      <c r="AR363" t="n">
        <v>0</v>
      </c>
      <c r="AS363" t="n">
        <v>0</v>
      </c>
      <c r="AT363" t="n">
        <v>4970</v>
      </c>
      <c r="AU363" t="n">
        <v>5260</v>
      </c>
      <c r="AV363" t="n">
        <v>0</v>
      </c>
      <c r="AW363" t="n">
        <v>10230</v>
      </c>
      <c r="AX363" t="n">
        <v>10365</v>
      </c>
      <c r="AY363" t="n">
        <v>0</v>
      </c>
      <c r="AZ363" t="n">
        <v>0</v>
      </c>
      <c r="BA363" t="n">
        <v>10365</v>
      </c>
      <c r="BB363" t="n">
        <v>0</v>
      </c>
      <c r="BC363" t="n">
        <v>4</v>
      </c>
      <c r="BD363" t="n">
        <v>0</v>
      </c>
      <c r="BE363" t="n">
        <v>1734</v>
      </c>
      <c r="BF363" t="n">
        <v>1734</v>
      </c>
      <c r="BG363">
        <f>IF($F363=0,"0",MIN(
BH363/(30*$F363),
BI363/(61*$F363),
BJ363/(48*$F363),
(BK363+BL363)/(23*$F363),
(BM363+BN363)/(41*$F363),
BO363/(25*$F363),
BP363/(6.6*$F363),
BQ363/(40*$F363),
BS363/(16*$F363)
)*100)</f>
        <v/>
      </c>
      <c r="BH363" t="n">
        <v>166</v>
      </c>
      <c r="BI363" t="n">
        <v>274</v>
      </c>
      <c r="BJ363" t="n">
        <v>292</v>
      </c>
      <c r="BK363" t="n">
        <v>64</v>
      </c>
      <c r="BL363" t="n">
        <v>44</v>
      </c>
      <c r="BM363" t="n">
        <v>184</v>
      </c>
      <c r="BN363" t="n">
        <v>104</v>
      </c>
      <c r="BO363" t="n">
        <v>195</v>
      </c>
      <c r="BP363" t="n">
        <v>43</v>
      </c>
      <c r="BQ363" t="n">
        <v>216</v>
      </c>
      <c r="BR363" t="n">
        <v>259</v>
      </c>
      <c r="BS363" t="n">
        <v>111</v>
      </c>
      <c r="BT363" t="n">
        <v>1952</v>
      </c>
      <c r="BU363" t="n">
        <v>347</v>
      </c>
      <c r="BV363" t="n">
        <v>703</v>
      </c>
      <c r="BW363" t="n">
        <v>1437</v>
      </c>
      <c r="BX363" t="n">
        <v>397</v>
      </c>
      <c r="BY363" t="n">
        <v>307</v>
      </c>
      <c r="BZ363" t="n">
        <v>224</v>
      </c>
      <c r="CA363" t="n">
        <v>3415</v>
      </c>
      <c r="CB363" t="n">
        <v>83</v>
      </c>
      <c r="CC363" t="n">
        <v>35</v>
      </c>
      <c r="CD363" t="n">
        <v>78</v>
      </c>
      <c r="CE363" t="n">
        <v>819</v>
      </c>
      <c r="CF363" t="n">
        <v>10.5</v>
      </c>
      <c r="CG363" t="n">
        <v>0</v>
      </c>
      <c r="CH363" t="n">
        <v>0</v>
      </c>
      <c r="CI363" t="n">
        <v>0</v>
      </c>
      <c r="CJ363" t="n">
        <v>3</v>
      </c>
      <c r="CK363" t="n">
        <v>3</v>
      </c>
      <c r="CL363" t="n">
        <v>32</v>
      </c>
      <c r="CM363" t="n">
        <v>4</v>
      </c>
      <c r="CN363" t="n">
        <v>447</v>
      </c>
      <c r="CO363" t="n">
        <v>7</v>
      </c>
      <c r="CP363" t="n">
        <v>140</v>
      </c>
      <c r="CQ363" t="n">
        <v>0</v>
      </c>
      <c r="CR363" t="n">
        <v>0</v>
      </c>
      <c r="CS363" t="n">
        <v>0</v>
      </c>
      <c r="CT363" t="n">
        <v>636</v>
      </c>
      <c r="CU363" t="n">
        <v>13</v>
      </c>
      <c r="CV363" t="n">
        <v>0</v>
      </c>
      <c r="CW363" t="n">
        <v>67</v>
      </c>
      <c r="CX363" t="n">
        <v>0</v>
      </c>
      <c r="CY363" t="n">
        <v>552</v>
      </c>
      <c r="CZ363" t="n">
        <v>1</v>
      </c>
      <c r="DA363" t="n">
        <v>0</v>
      </c>
      <c r="DB363" t="n">
        <v>0</v>
      </c>
      <c r="DC363" t="n">
        <v>633</v>
      </c>
      <c r="DD363" t="n">
        <v>0</v>
      </c>
      <c r="DE363" t="n">
        <v>0</v>
      </c>
      <c r="DF363" t="n">
        <v>819</v>
      </c>
      <c r="DG363" t="n">
        <v>77</v>
      </c>
      <c r="DH363" t="n">
        <v>0</v>
      </c>
      <c r="DI363" t="n">
        <v>0</v>
      </c>
      <c r="DJ363" t="n">
        <v>0</v>
      </c>
      <c r="DK363" t="n">
        <v>0</v>
      </c>
      <c r="DL363" t="n">
        <v>0</v>
      </c>
      <c r="DM363" t="n">
        <v>1</v>
      </c>
      <c r="DN363" t="n">
        <v>0</v>
      </c>
      <c r="DO363" t="n">
        <v>0</v>
      </c>
      <c r="DP363" t="n">
        <v>0</v>
      </c>
      <c r="DQ363" t="n">
        <v>0</v>
      </c>
      <c r="DR363" t="n">
        <v>0</v>
      </c>
      <c r="DS363" t="n">
        <v>897</v>
      </c>
      <c r="DT363" t="n">
        <v>2163</v>
      </c>
      <c r="DU363" t="n">
        <v>341</v>
      </c>
      <c r="DV363" t="n">
        <v>0</v>
      </c>
      <c r="DW363" t="n">
        <v>0</v>
      </c>
      <c r="DX363" t="n">
        <v>3</v>
      </c>
      <c r="DY363" t="n">
        <v>712</v>
      </c>
      <c r="DZ363" t="n">
        <v>647</v>
      </c>
      <c r="EA363" t="n">
        <v>913</v>
      </c>
      <c r="EB363" t="n">
        <v>1081</v>
      </c>
      <c r="EC363" t="n">
        <v>796</v>
      </c>
      <c r="ED363" t="n">
        <v>910</v>
      </c>
      <c r="EE363" t="n">
        <v>3239</v>
      </c>
      <c r="EF363" t="n">
        <v>0</v>
      </c>
      <c r="EG363" t="n">
        <v>1</v>
      </c>
      <c r="EH363" t="n">
        <v>2.7</v>
      </c>
      <c r="EI363" t="n">
        <v>3.2</v>
      </c>
      <c r="EJ363" t="n">
        <v>2.5</v>
      </c>
      <c r="EK363" t="n">
        <v>5.6</v>
      </c>
    </row>
    <row r="364">
      <c r="A364">
        <f>[1]ingredient!B364</f>
        <v/>
      </c>
      <c r="B364" t="inlineStr">
        <is>
          <t>https://www.naehrwertrechner.de/naehrwerte/G345111/Sauerkraut+abgetropft+frisch/?menge=100</t>
        </is>
      </c>
      <c r="C364" s="7">
        <f>_xlfn.XLOOKUP(A364,[1]ingredient!$B$2:$B$521,[1]ingredient!$A$2:$A$521)</f>
        <v/>
      </c>
      <c r="D364" t="n">
        <v>17</v>
      </c>
      <c r="E364" t="n">
        <v>0.3</v>
      </c>
      <c r="F364" t="n">
        <v>2</v>
      </c>
      <c r="G364" t="n">
        <v>1</v>
      </c>
      <c r="H364" t="n">
        <v>4</v>
      </c>
      <c r="I364" t="n">
        <v>1</v>
      </c>
      <c r="J364" t="n">
        <v>1</v>
      </c>
      <c r="K364" t="n">
        <v>90</v>
      </c>
      <c r="L364" t="n">
        <v>3</v>
      </c>
      <c r="M364" t="n">
        <v>2</v>
      </c>
      <c r="N364" t="n">
        <v>0</v>
      </c>
      <c r="O364" t="n">
        <v>18</v>
      </c>
      <c r="P364" t="n">
        <v>27</v>
      </c>
      <c r="Q364" t="n">
        <v>50</v>
      </c>
      <c r="R364" t="n">
        <v>170</v>
      </c>
      <c r="S364" t="n">
        <v>420</v>
      </c>
      <c r="T364" t="n">
        <v>230</v>
      </c>
      <c r="U364" t="n">
        <v>210</v>
      </c>
      <c r="V364" t="n">
        <v>0.2</v>
      </c>
      <c r="W364" t="n">
        <v>16</v>
      </c>
      <c r="X364" t="n">
        <v>0</v>
      </c>
      <c r="Y364" t="n">
        <v>20000</v>
      </c>
      <c r="Z364" t="n">
        <v>0</v>
      </c>
      <c r="AA364" t="n">
        <v>150</v>
      </c>
      <c r="AB364" t="n">
        <v>80</v>
      </c>
      <c r="AC364" t="n">
        <v>355</v>
      </c>
      <c r="AD364" t="n">
        <v>288</v>
      </c>
      <c r="AE364" t="n">
        <v>48</v>
      </c>
      <c r="AF364" t="n">
        <v>14</v>
      </c>
      <c r="AG364" t="n">
        <v>43</v>
      </c>
      <c r="AH364" t="n">
        <v>41</v>
      </c>
      <c r="AI364" t="n">
        <v>860</v>
      </c>
      <c r="AJ364" t="n">
        <v>600</v>
      </c>
      <c r="AK364" t="n">
        <v>320</v>
      </c>
      <c r="AL364" t="n">
        <v>130</v>
      </c>
      <c r="AM364" t="n">
        <v>140</v>
      </c>
      <c r="AN364" t="n">
        <v>45</v>
      </c>
      <c r="AO364" t="n">
        <v>1</v>
      </c>
      <c r="AP364" t="n">
        <v>0</v>
      </c>
      <c r="AQ364" t="n">
        <v>0</v>
      </c>
      <c r="AR364" t="n">
        <v>0</v>
      </c>
      <c r="AS364" t="n">
        <v>0</v>
      </c>
      <c r="AT364" t="n">
        <v>273</v>
      </c>
      <c r="AU364" t="n">
        <v>273</v>
      </c>
      <c r="AV364" t="n">
        <v>0</v>
      </c>
      <c r="AW364" t="n">
        <v>546</v>
      </c>
      <c r="AX364" t="n">
        <v>193</v>
      </c>
      <c r="AY364" t="n">
        <v>0</v>
      </c>
      <c r="AZ364" t="n">
        <v>0</v>
      </c>
      <c r="BA364" t="n">
        <v>193</v>
      </c>
      <c r="BB364" t="n">
        <v>0</v>
      </c>
      <c r="BC364" t="n">
        <v>0</v>
      </c>
      <c r="BD364" t="n">
        <v>0</v>
      </c>
      <c r="BE364" t="n">
        <v>31</v>
      </c>
      <c r="BF364" t="n">
        <v>31</v>
      </c>
      <c r="BG364">
        <f>IF($F364=0,"0",MIN(
BH364/(30*$F364),
BI364/(61*$F364),
BJ364/(48*$F364),
(BK364+BL364)/(23*$F364),
(BM364+BN364)/(41*$F364),
BO364/(25*$F364),
BP364/(6.6*$F364),
BQ364/(40*$F364),
BS364/(16*$F364)
)*100)</f>
        <v/>
      </c>
      <c r="BH364" t="n">
        <v>45</v>
      </c>
      <c r="BI364" t="n">
        <v>77</v>
      </c>
      <c r="BJ364" t="n">
        <v>69</v>
      </c>
      <c r="BK364" t="n">
        <v>15</v>
      </c>
      <c r="BL364" t="n">
        <v>18</v>
      </c>
      <c r="BM364" t="n">
        <v>45</v>
      </c>
      <c r="BN364" t="n">
        <v>27</v>
      </c>
      <c r="BO364" t="n">
        <v>51</v>
      </c>
      <c r="BP364" t="n">
        <v>15</v>
      </c>
      <c r="BQ364" t="n">
        <v>60</v>
      </c>
      <c r="BR364" t="n">
        <v>113</v>
      </c>
      <c r="BS364" t="n">
        <v>30</v>
      </c>
      <c r="BT364" t="n">
        <v>565</v>
      </c>
      <c r="BU364" t="n">
        <v>60</v>
      </c>
      <c r="BV364" t="n">
        <v>128</v>
      </c>
      <c r="BW364" t="n">
        <v>312</v>
      </c>
      <c r="BX364" t="n">
        <v>38</v>
      </c>
      <c r="BY364" t="n">
        <v>284</v>
      </c>
      <c r="BZ364" t="n">
        <v>83</v>
      </c>
      <c r="CA364" t="n">
        <v>905</v>
      </c>
      <c r="CB364" t="n">
        <v>20</v>
      </c>
      <c r="CC364" t="n">
        <v>8</v>
      </c>
      <c r="CD364" t="n">
        <v>90</v>
      </c>
      <c r="CE364" t="n">
        <v>72</v>
      </c>
      <c r="CF364" t="n">
        <v>0.8</v>
      </c>
      <c r="CG364" t="n">
        <v>0</v>
      </c>
      <c r="CH364" t="n">
        <v>0</v>
      </c>
      <c r="CI364" t="n">
        <v>0</v>
      </c>
      <c r="CJ364" t="n">
        <v>0</v>
      </c>
      <c r="CK364" t="n">
        <v>1</v>
      </c>
      <c r="CL364" t="n">
        <v>1</v>
      </c>
      <c r="CM364" t="n">
        <v>0</v>
      </c>
      <c r="CN364" t="n">
        <v>48</v>
      </c>
      <c r="CO364" t="n">
        <v>0</v>
      </c>
      <c r="CP364" t="n">
        <v>4</v>
      </c>
      <c r="CQ364" t="n">
        <v>0</v>
      </c>
      <c r="CR364" t="n">
        <v>0</v>
      </c>
      <c r="CS364" t="n">
        <v>0</v>
      </c>
      <c r="CT364" t="n">
        <v>54</v>
      </c>
      <c r="CU364" t="n">
        <v>0</v>
      </c>
      <c r="CV364" t="n">
        <v>0</v>
      </c>
      <c r="CW364" t="n">
        <v>2</v>
      </c>
      <c r="CX364" t="n">
        <v>0</v>
      </c>
      <c r="CY364" t="n">
        <v>22</v>
      </c>
      <c r="CZ364" t="n">
        <v>0</v>
      </c>
      <c r="DA364" t="n">
        <v>0</v>
      </c>
      <c r="DB364" t="n">
        <v>0</v>
      </c>
      <c r="DC364" t="n">
        <v>24</v>
      </c>
      <c r="DD364" t="n">
        <v>0</v>
      </c>
      <c r="DE364" t="n">
        <v>0</v>
      </c>
      <c r="DF364" t="n">
        <v>72</v>
      </c>
      <c r="DG364" t="n">
        <v>90</v>
      </c>
      <c r="DH364" t="n">
        <v>0</v>
      </c>
      <c r="DI364" t="n">
        <v>0</v>
      </c>
      <c r="DJ364" t="n">
        <v>0</v>
      </c>
      <c r="DK364" t="n">
        <v>0</v>
      </c>
      <c r="DL364" t="n">
        <v>0</v>
      </c>
      <c r="DM364" t="n">
        <v>0</v>
      </c>
      <c r="DN364" t="n">
        <v>0</v>
      </c>
      <c r="DO364" t="n">
        <v>0</v>
      </c>
      <c r="DP364" t="n">
        <v>0</v>
      </c>
      <c r="DQ364" t="n">
        <v>0</v>
      </c>
      <c r="DR364" t="n">
        <v>0</v>
      </c>
      <c r="DS364" t="n">
        <v>162</v>
      </c>
      <c r="DT364" t="n">
        <v>240</v>
      </c>
      <c r="DU364" t="n">
        <v>60</v>
      </c>
      <c r="DV364" t="n">
        <v>0</v>
      </c>
      <c r="DW364" t="n">
        <v>0</v>
      </c>
      <c r="DX364" t="n">
        <v>0</v>
      </c>
      <c r="DY364" t="n">
        <v>560</v>
      </c>
      <c r="DZ364" t="n">
        <v>455</v>
      </c>
      <c r="EA364" t="n">
        <v>490</v>
      </c>
      <c r="EB364" t="n">
        <v>1750</v>
      </c>
      <c r="EC364" t="n">
        <v>245</v>
      </c>
      <c r="ED364" t="n">
        <v>1400</v>
      </c>
      <c r="EE364" t="n">
        <v>2100</v>
      </c>
      <c r="EF364" t="n">
        <v>0</v>
      </c>
      <c r="EG364" t="n">
        <v>2</v>
      </c>
      <c r="EH364" t="n">
        <v>2.3</v>
      </c>
      <c r="EI364" t="n">
        <v>2.1</v>
      </c>
      <c r="EJ364" t="n">
        <v>0.3</v>
      </c>
      <c r="EK364" t="n">
        <v>1.5</v>
      </c>
    </row>
    <row r="365">
      <c r="A365">
        <f>[1]ingredient!B365</f>
        <v/>
      </c>
      <c r="B365" t="inlineStr">
        <is>
          <t>https://www.naehrwertrechner.de/naehrwerte/G081111/Schnittlauch+frisch/?menge=100</t>
        </is>
      </c>
      <c r="C365" s="7">
        <f>_xlfn.XLOOKUP(A365,[1]ingredient!$B$2:$B$521,[1]ingredient!$A$2:$A$521)</f>
        <v/>
      </c>
      <c r="D365" t="n">
        <v>27</v>
      </c>
      <c r="E365" t="n">
        <v>1</v>
      </c>
      <c r="F365" t="n">
        <v>4</v>
      </c>
      <c r="G365" t="n">
        <v>2</v>
      </c>
      <c r="H365" t="n">
        <v>6</v>
      </c>
      <c r="I365" t="n">
        <v>2</v>
      </c>
      <c r="J365" t="n">
        <v>0.08</v>
      </c>
      <c r="K365" t="n">
        <v>86</v>
      </c>
      <c r="L365" t="n">
        <v>50</v>
      </c>
      <c r="M365" t="n">
        <v>25</v>
      </c>
      <c r="N365" t="n">
        <v>0</v>
      </c>
      <c r="O365" t="n">
        <v>300</v>
      </c>
      <c r="P365" t="n">
        <v>140</v>
      </c>
      <c r="Q365" t="n">
        <v>150</v>
      </c>
      <c r="R365" t="n">
        <v>600</v>
      </c>
      <c r="S365" t="n">
        <v>1250</v>
      </c>
      <c r="T365" t="n">
        <v>180</v>
      </c>
      <c r="U365" t="n">
        <v>420</v>
      </c>
      <c r="V365" t="n">
        <v>1</v>
      </c>
      <c r="W365" t="n">
        <v>80</v>
      </c>
      <c r="X365" t="n">
        <v>0</v>
      </c>
      <c r="Y365" t="n">
        <v>47000</v>
      </c>
      <c r="Z365" t="n">
        <v>0</v>
      </c>
      <c r="AA365" t="n">
        <v>1600</v>
      </c>
      <c r="AB365" t="n">
        <v>570</v>
      </c>
      <c r="AC365" t="n">
        <v>3</v>
      </c>
      <c r="AD365" t="n">
        <v>434</v>
      </c>
      <c r="AE365" t="n">
        <v>129</v>
      </c>
      <c r="AF365" t="n">
        <v>44</v>
      </c>
      <c r="AG365" t="n">
        <v>75</v>
      </c>
      <c r="AH365" t="n">
        <v>80</v>
      </c>
      <c r="AI365" t="n">
        <v>74</v>
      </c>
      <c r="AJ365" t="n">
        <v>1900</v>
      </c>
      <c r="AK365" t="n">
        <v>460</v>
      </c>
      <c r="AL365" t="n">
        <v>90</v>
      </c>
      <c r="AM365" t="n">
        <v>300</v>
      </c>
      <c r="AN365" t="n">
        <v>50</v>
      </c>
      <c r="AO365" t="n">
        <v>4</v>
      </c>
      <c r="AP365" t="n">
        <v>0</v>
      </c>
      <c r="AQ365" t="n">
        <v>0</v>
      </c>
      <c r="AR365" t="n">
        <v>0</v>
      </c>
      <c r="AS365" t="n">
        <v>0</v>
      </c>
      <c r="AT365" t="n">
        <v>640</v>
      </c>
      <c r="AU365" t="n">
        <v>640</v>
      </c>
      <c r="AV365" t="n">
        <v>0</v>
      </c>
      <c r="AW365" t="n">
        <v>1280</v>
      </c>
      <c r="AX365" t="n">
        <v>304</v>
      </c>
      <c r="AY365" t="n">
        <v>0</v>
      </c>
      <c r="AZ365" t="n">
        <v>0</v>
      </c>
      <c r="BA365" t="n">
        <v>304</v>
      </c>
      <c r="BB365" t="n">
        <v>0</v>
      </c>
      <c r="BC365" t="n">
        <v>0</v>
      </c>
      <c r="BD365" t="n">
        <v>0</v>
      </c>
      <c r="BE365" t="n">
        <v>16</v>
      </c>
      <c r="BF365" t="n">
        <v>16</v>
      </c>
      <c r="BG365">
        <f>IF($F365=0,"0",MIN(
BH365/(30*$F365),
BI365/(61*$F365),
BJ365/(48*$F365),
(BK365+BL365)/(23*$F365),
(BM365+BN365)/(41*$F365),
BO365/(25*$F365),
BP365/(6.6*$F365),
BQ365/(40*$F365),
BS365/(16*$F365)
)*100)</f>
        <v/>
      </c>
      <c r="BH365" t="n">
        <v>150</v>
      </c>
      <c r="BI365" t="n">
        <v>211</v>
      </c>
      <c r="BJ365" t="n">
        <v>175</v>
      </c>
      <c r="BK365" t="n">
        <v>36</v>
      </c>
      <c r="BL365" t="n">
        <v>29</v>
      </c>
      <c r="BM365" t="n">
        <v>115</v>
      </c>
      <c r="BN365" t="n">
        <v>100</v>
      </c>
      <c r="BO365" t="n">
        <v>140</v>
      </c>
      <c r="BP365" t="n">
        <v>39</v>
      </c>
      <c r="BQ365" t="n">
        <v>158</v>
      </c>
      <c r="BR365" t="n">
        <v>258</v>
      </c>
      <c r="BS365" t="n">
        <v>61</v>
      </c>
      <c r="BT365" t="n">
        <v>1472</v>
      </c>
      <c r="BU365" t="n">
        <v>158</v>
      </c>
      <c r="BV365" t="n">
        <v>329</v>
      </c>
      <c r="BW365" t="n">
        <v>733</v>
      </c>
      <c r="BX365" t="n">
        <v>175</v>
      </c>
      <c r="BY365" t="n">
        <v>233</v>
      </c>
      <c r="BZ365" t="n">
        <v>158</v>
      </c>
      <c r="CA365" t="n">
        <v>1786</v>
      </c>
      <c r="CB365" t="n">
        <v>30</v>
      </c>
      <c r="CC365" t="n">
        <v>13</v>
      </c>
      <c r="CD365" t="n">
        <v>254</v>
      </c>
      <c r="CE365" t="n">
        <v>120</v>
      </c>
      <c r="CF365" t="n">
        <v>0.47</v>
      </c>
      <c r="CG365" t="n">
        <v>0</v>
      </c>
      <c r="CH365" t="n">
        <v>0</v>
      </c>
      <c r="CI365" t="n">
        <v>0</v>
      </c>
      <c r="CJ365" t="n">
        <v>0</v>
      </c>
      <c r="CK365" t="n">
        <v>0</v>
      </c>
      <c r="CL365" t="n">
        <v>3</v>
      </c>
      <c r="CM365" t="n">
        <v>0</v>
      </c>
      <c r="CN365" t="n">
        <v>77</v>
      </c>
      <c r="CO365" t="n">
        <v>0</v>
      </c>
      <c r="CP365" t="n">
        <v>7</v>
      </c>
      <c r="CQ365" t="n">
        <v>0</v>
      </c>
      <c r="CR365" t="n">
        <v>0</v>
      </c>
      <c r="CS365" t="n">
        <v>0</v>
      </c>
      <c r="CT365" t="n">
        <v>87</v>
      </c>
      <c r="CU365" t="n">
        <v>0</v>
      </c>
      <c r="CV365" t="n">
        <v>0</v>
      </c>
      <c r="CW365" t="n">
        <v>12</v>
      </c>
      <c r="CX365" t="n">
        <v>0</v>
      </c>
      <c r="CY365" t="n">
        <v>7</v>
      </c>
      <c r="CZ365" t="n">
        <v>0</v>
      </c>
      <c r="DA365" t="n">
        <v>0</v>
      </c>
      <c r="DB365" t="n">
        <v>0</v>
      </c>
      <c r="DC365" t="n">
        <v>19</v>
      </c>
      <c r="DD365" t="n">
        <v>0</v>
      </c>
      <c r="DE365" t="n">
        <v>0</v>
      </c>
      <c r="DF365" t="n">
        <v>120</v>
      </c>
      <c r="DG365" t="n">
        <v>254</v>
      </c>
      <c r="DH365" t="n">
        <v>0</v>
      </c>
      <c r="DI365" t="n">
        <v>0</v>
      </c>
      <c r="DJ365" t="n">
        <v>0</v>
      </c>
      <c r="DK365" t="n">
        <v>0</v>
      </c>
      <c r="DL365" t="n">
        <v>0</v>
      </c>
      <c r="DM365" t="n">
        <v>0</v>
      </c>
      <c r="DN365" t="n">
        <v>0</v>
      </c>
      <c r="DO365" t="n">
        <v>0</v>
      </c>
      <c r="DP365" t="n">
        <v>0</v>
      </c>
      <c r="DQ365" t="n">
        <v>0</v>
      </c>
      <c r="DR365" t="n">
        <v>0</v>
      </c>
      <c r="DS365" t="n">
        <v>374</v>
      </c>
      <c r="DT365" t="n">
        <v>480</v>
      </c>
      <c r="DU365" t="n">
        <v>120</v>
      </c>
      <c r="DV365" t="n">
        <v>0</v>
      </c>
      <c r="DW365" t="n">
        <v>0</v>
      </c>
      <c r="DX365" t="n">
        <v>0</v>
      </c>
      <c r="DY365" t="n">
        <v>900</v>
      </c>
      <c r="DZ365" t="n">
        <v>1200</v>
      </c>
      <c r="EA365" t="n">
        <v>1620</v>
      </c>
      <c r="EB365" t="n">
        <v>2100</v>
      </c>
      <c r="EC365" t="n">
        <v>180</v>
      </c>
      <c r="ED365" t="n">
        <v>1800</v>
      </c>
      <c r="EE365" t="n">
        <v>4200</v>
      </c>
      <c r="EF365" t="n">
        <v>0</v>
      </c>
      <c r="EG365" t="n">
        <v>0.25</v>
      </c>
      <c r="EH365" t="n">
        <v>1.7</v>
      </c>
      <c r="EI365" t="n">
        <v>4.2</v>
      </c>
      <c r="EJ365" t="n">
        <v>0.6</v>
      </c>
      <c r="EK365" t="n">
        <v>3.4</v>
      </c>
    </row>
    <row r="366">
      <c r="A366">
        <f>[1]ingredient!B366</f>
        <v/>
      </c>
      <c r="B366" t="inlineStr">
        <is>
          <t>https://www.naehrwertrechner.de/naehrwerte/G7201001/Schwarze+Bohnen+roh/?menge=100</t>
        </is>
      </c>
      <c r="C366" s="7">
        <f>_xlfn.XLOOKUP(A366,[1]ingredient!$B$2:$B$521,[1]ingredient!$A$2:$A$521)</f>
        <v/>
      </c>
      <c r="D366" t="n">
        <v>373</v>
      </c>
      <c r="E366" t="n">
        <v>1</v>
      </c>
      <c r="F366" t="n">
        <v>22</v>
      </c>
      <c r="G366" t="n">
        <v>62</v>
      </c>
      <c r="H366" t="n">
        <v>6</v>
      </c>
      <c r="I366" t="n">
        <v>2</v>
      </c>
      <c r="J366" t="n">
        <v>0.03</v>
      </c>
      <c r="K366" t="n">
        <v>0.1</v>
      </c>
      <c r="L366" t="n">
        <v>0</v>
      </c>
      <c r="M366" t="n">
        <v>0</v>
      </c>
      <c r="N366" t="n">
        <v>0</v>
      </c>
      <c r="O366" t="n">
        <v>0</v>
      </c>
      <c r="P366" t="n">
        <v>900</v>
      </c>
      <c r="Q366" t="n">
        <v>200</v>
      </c>
      <c r="R366" t="n">
        <v>2000</v>
      </c>
      <c r="S366" t="n">
        <v>4700</v>
      </c>
      <c r="T366" t="n">
        <v>900</v>
      </c>
      <c r="U366" t="n">
        <v>300</v>
      </c>
      <c r="V366" t="n">
        <v>10</v>
      </c>
      <c r="W366" t="n">
        <v>444</v>
      </c>
      <c r="X366" t="n">
        <v>0</v>
      </c>
      <c r="Y366" t="n">
        <v>0</v>
      </c>
      <c r="Z366" t="n">
        <v>0</v>
      </c>
      <c r="AA366" t="n">
        <v>0</v>
      </c>
      <c r="AB366" t="n">
        <v>0</v>
      </c>
      <c r="AC366" t="n">
        <v>5</v>
      </c>
      <c r="AD366" t="n">
        <v>1483</v>
      </c>
      <c r="AE366" t="n">
        <v>123</v>
      </c>
      <c r="AF366" t="n">
        <v>171</v>
      </c>
      <c r="AG366" t="n">
        <v>352</v>
      </c>
      <c r="AH366" t="n">
        <v>120</v>
      </c>
      <c r="AI366" t="n">
        <v>25</v>
      </c>
      <c r="AJ366" t="n">
        <v>5000</v>
      </c>
      <c r="AK366" t="n">
        <v>3600</v>
      </c>
      <c r="AL366" t="n">
        <v>700</v>
      </c>
      <c r="AM366" t="n">
        <v>1700</v>
      </c>
      <c r="AN366" t="n">
        <v>0</v>
      </c>
      <c r="AO366" t="n">
        <v>1</v>
      </c>
      <c r="AP366" t="n">
        <v>0</v>
      </c>
      <c r="AQ366" t="n">
        <v>0</v>
      </c>
      <c r="AR366" t="n">
        <v>0</v>
      </c>
      <c r="AS366" t="n">
        <v>0</v>
      </c>
      <c r="AT366" t="n">
        <v>0</v>
      </c>
      <c r="AU366" t="n">
        <v>0</v>
      </c>
      <c r="AV366" t="n">
        <v>0</v>
      </c>
      <c r="AW366" t="n">
        <v>0</v>
      </c>
      <c r="AX366" t="n">
        <v>2100</v>
      </c>
      <c r="AY366" t="n">
        <v>0</v>
      </c>
      <c r="AZ366" t="n">
        <v>0</v>
      </c>
      <c r="BA366" t="n">
        <v>2120</v>
      </c>
      <c r="BB366" t="n">
        <v>10000</v>
      </c>
      <c r="BC366" t="n">
        <v>6000</v>
      </c>
      <c r="BD366" t="n">
        <v>0</v>
      </c>
      <c r="BE366" t="n">
        <v>50240</v>
      </c>
      <c r="BF366" t="n">
        <v>0</v>
      </c>
      <c r="BG366">
        <f>IF($F366=0,"0",MIN(
BH366/(30*$F366),
BI366/(61*$F366),
BJ366/(48*$F366),
(BK366+BL366)/(23*$F366),
(BM366+BN366)/(41*$F366),
BO366/(25*$F366),
BP366/(6.6*$F366),
BQ366/(40*$F366),
BS366/(16*$F366)
)*100)</f>
        <v/>
      </c>
      <c r="BH366" t="n">
        <v>950</v>
      </c>
      <c r="BI366" t="n">
        <v>1875</v>
      </c>
      <c r="BJ366" t="n">
        <v>1661</v>
      </c>
      <c r="BK366" t="n">
        <v>119</v>
      </c>
      <c r="BL366" t="n">
        <v>214</v>
      </c>
      <c r="BM366" t="n">
        <v>1115</v>
      </c>
      <c r="BN366" t="n">
        <v>735</v>
      </c>
      <c r="BO366" t="n">
        <v>784</v>
      </c>
      <c r="BP366" t="n">
        <v>166</v>
      </c>
      <c r="BQ366" t="n">
        <v>1115</v>
      </c>
      <c r="BR366" t="n">
        <v>1472</v>
      </c>
      <c r="BS366" t="n">
        <v>688</v>
      </c>
      <c r="BT366" t="n">
        <v>10895</v>
      </c>
      <c r="BU366" t="n">
        <v>997</v>
      </c>
      <c r="BV366" t="n">
        <v>2777</v>
      </c>
      <c r="BW366" t="n">
        <v>3727</v>
      </c>
      <c r="BX366" t="n">
        <v>902</v>
      </c>
      <c r="BY366" t="n">
        <v>1092</v>
      </c>
      <c r="BZ366" t="n">
        <v>1211</v>
      </c>
      <c r="CA366" t="n">
        <v>10705</v>
      </c>
      <c r="CB366" t="n">
        <v>130</v>
      </c>
      <c r="CC366" t="n">
        <v>54</v>
      </c>
      <c r="CD366" t="n">
        <v>100</v>
      </c>
      <c r="CE366" t="n">
        <v>500</v>
      </c>
      <c r="CF366" t="n">
        <v>5</v>
      </c>
      <c r="CG366" t="n">
        <v>0</v>
      </c>
      <c r="CH366" t="n">
        <v>0</v>
      </c>
      <c r="CI366" t="n">
        <v>0</v>
      </c>
      <c r="CJ366" t="n">
        <v>0</v>
      </c>
      <c r="CK366" t="n">
        <v>0</v>
      </c>
      <c r="CL366" t="n">
        <v>10</v>
      </c>
      <c r="CM366" t="n">
        <v>0</v>
      </c>
      <c r="CN366" t="n">
        <v>296</v>
      </c>
      <c r="CO366" t="n">
        <v>0</v>
      </c>
      <c r="CP366" t="n">
        <v>49</v>
      </c>
      <c r="CQ366" t="n">
        <v>10</v>
      </c>
      <c r="CR366" t="n">
        <v>0</v>
      </c>
      <c r="CS366" t="n">
        <v>0</v>
      </c>
      <c r="CT366" t="n">
        <v>400</v>
      </c>
      <c r="CU366" t="n">
        <v>0</v>
      </c>
      <c r="CV366" t="n">
        <v>0</v>
      </c>
      <c r="CW366" t="n">
        <v>0</v>
      </c>
      <c r="CX366" t="n">
        <v>0</v>
      </c>
      <c r="CY366" t="n">
        <v>123</v>
      </c>
      <c r="CZ366" t="n">
        <v>0</v>
      </c>
      <c r="DA366" t="n">
        <v>0</v>
      </c>
      <c r="DB366" t="n">
        <v>0</v>
      </c>
      <c r="DC366" t="n">
        <v>100</v>
      </c>
      <c r="DD366" t="n">
        <v>0</v>
      </c>
      <c r="DE366" t="n">
        <v>0</v>
      </c>
      <c r="DF366" t="n">
        <v>500</v>
      </c>
      <c r="DG366" t="n">
        <v>100</v>
      </c>
      <c r="DH366" t="n">
        <v>0</v>
      </c>
      <c r="DI366" t="n">
        <v>0</v>
      </c>
      <c r="DJ366" t="n">
        <v>0</v>
      </c>
      <c r="DK366" t="n">
        <v>0</v>
      </c>
      <c r="DL366" t="n">
        <v>0</v>
      </c>
      <c r="DM366" t="n">
        <v>0</v>
      </c>
      <c r="DN366" t="n">
        <v>0</v>
      </c>
      <c r="DO366" t="n">
        <v>0</v>
      </c>
      <c r="DP366" t="n">
        <v>0</v>
      </c>
      <c r="DQ366" t="n">
        <v>0</v>
      </c>
      <c r="DR366" t="n">
        <v>0</v>
      </c>
      <c r="DS366" t="n">
        <v>600</v>
      </c>
      <c r="DT366" t="n">
        <v>1099</v>
      </c>
      <c r="DU366" t="n">
        <v>321</v>
      </c>
      <c r="DV366" t="n">
        <v>0</v>
      </c>
      <c r="DW366" t="n">
        <v>0</v>
      </c>
      <c r="DX366" t="n">
        <v>0</v>
      </c>
      <c r="DY366" t="n">
        <v>780</v>
      </c>
      <c r="DZ366" t="n">
        <v>2100</v>
      </c>
      <c r="EA366" t="n">
        <v>780</v>
      </c>
      <c r="EB366" t="n">
        <v>2220</v>
      </c>
      <c r="EC366" t="n">
        <v>120</v>
      </c>
      <c r="ED366" t="n">
        <v>3000</v>
      </c>
      <c r="EE366" t="n">
        <v>3000</v>
      </c>
      <c r="EF366" t="n">
        <v>0</v>
      </c>
      <c r="EG366" t="n">
        <v>250</v>
      </c>
      <c r="EH366" t="n">
        <v>2.3</v>
      </c>
      <c r="EI366" t="n">
        <v>3</v>
      </c>
      <c r="EJ366" t="n">
        <v>1.4</v>
      </c>
      <c r="EK366" t="n">
        <v>22</v>
      </c>
    </row>
    <row r="367">
      <c r="A367">
        <f>[1]ingredient!B367</f>
        <v/>
      </c>
      <c r="C367" s="7">
        <f>_xlfn.XLOOKUP(A367,[1]ingredient!$B$2:$B$521,[1]ingredient!$A$2:$A$521)</f>
        <v/>
      </c>
      <c r="D367" s="10">
        <f>IFERROR((D446/D445)*D366,0)</f>
        <v/>
      </c>
      <c r="E367" s="10">
        <f>IFERROR((E446/E445)*E366,0)</f>
        <v/>
      </c>
      <c r="F367" s="10">
        <f>IFERROR((F446/F445)*F366,0)</f>
        <v/>
      </c>
      <c r="G367" s="10">
        <f>IFERROR((G446/G445)*G366,0)</f>
        <v/>
      </c>
      <c r="H367" s="10">
        <f>IFERROR((H446/H445)*H366,0)</f>
        <v/>
      </c>
      <c r="I367" s="10">
        <f>IFERROR((I446/I445)*I366,0)</f>
        <v/>
      </c>
      <c r="J367" s="10">
        <f>IFERROR((J446/J445)*J366,0)</f>
        <v/>
      </c>
      <c r="K367" s="10">
        <f>IFERROR((K446/K445)*K366,0)</f>
        <v/>
      </c>
      <c r="L367" s="10">
        <f>IFERROR((L446/L445)*L366,0)</f>
        <v/>
      </c>
      <c r="M367" s="10">
        <f>IFERROR((M446/M445)*M366,0)</f>
        <v/>
      </c>
      <c r="N367" s="10">
        <f>IFERROR((N446/N445)*N366,0)</f>
        <v/>
      </c>
      <c r="O367" s="10">
        <f>IFERROR((O446/O445)*O366,0)</f>
        <v/>
      </c>
      <c r="P367" s="10">
        <f>IFERROR((P446/P445)*P366,0)</f>
        <v/>
      </c>
      <c r="Q367" s="10">
        <f>IFERROR((Q446/Q445)*Q366,0)</f>
        <v/>
      </c>
      <c r="R367" s="10">
        <f>IFERROR((R446/R445)*R366,0)</f>
        <v/>
      </c>
      <c r="S367" s="10">
        <f>IFERROR((S446/S445)*S366,0)</f>
        <v/>
      </c>
      <c r="T367" s="10">
        <f>IFERROR((T446/T445)*T366,0)</f>
        <v/>
      </c>
      <c r="U367" s="10">
        <f>IFERROR((U446/U445)*U366,0)</f>
        <v/>
      </c>
      <c r="V367" s="10">
        <f>IFERROR((V446/V445)*V366,0)</f>
        <v/>
      </c>
      <c r="W367" s="10">
        <f>IFERROR((W446/W445)*W366,0)</f>
        <v/>
      </c>
      <c r="X367" s="10">
        <f>IFERROR((X446/X445)*X366,0)</f>
        <v/>
      </c>
      <c r="Y367" s="10">
        <f>IFERROR((Y446/Y445)*Y366,0)</f>
        <v/>
      </c>
      <c r="Z367" s="10">
        <f>IFERROR((Z446/Z445)*Z366,0)</f>
        <v/>
      </c>
      <c r="AA367" s="10">
        <f>IFERROR((AA446/AA445)*AA366,0)</f>
        <v/>
      </c>
      <c r="AB367" s="10">
        <f>IFERROR((AB446/AB445)*AB366,0)</f>
        <v/>
      </c>
      <c r="AC367" s="10">
        <f>IFERROR((AC446/AC445)*AC366,0)</f>
        <v/>
      </c>
      <c r="AD367" s="10">
        <f>IFERROR((AD446/AD445)*AD366,0)</f>
        <v/>
      </c>
      <c r="AE367" s="10">
        <f>IFERROR((AE446/AE445)*AE366,0)</f>
        <v/>
      </c>
      <c r="AF367" s="10">
        <f>IFERROR((AF446/AF445)*AF366,0)</f>
        <v/>
      </c>
      <c r="AG367" s="10">
        <f>IFERROR((AG446/AG445)*AG366,0)</f>
        <v/>
      </c>
      <c r="AH367" s="10">
        <f>IFERROR((AH446/AH445)*AH366,0)</f>
        <v/>
      </c>
      <c r="AI367" s="10">
        <f>IFERROR((AI446/AI445)*AI366,0)</f>
        <v/>
      </c>
      <c r="AJ367" s="10">
        <f>IFERROR((AJ446/AJ445)*AJ366,0)</f>
        <v/>
      </c>
      <c r="AK367" s="10">
        <f>IFERROR((AK446/AK445)*AK366,0)</f>
        <v/>
      </c>
      <c r="AL367" s="10">
        <f>IFERROR((AL446/AL445)*AL366,0)</f>
        <v/>
      </c>
      <c r="AM367" s="10">
        <f>IFERROR((AM446/AM445)*AM366,0)</f>
        <v/>
      </c>
      <c r="AN367" s="10">
        <f>IFERROR((AN446/AN445)*AN366,0)</f>
        <v/>
      </c>
      <c r="AO367" s="10">
        <f>IFERROR((AO446/AO445)*AO366,0)</f>
        <v/>
      </c>
      <c r="AP367" s="10">
        <f>IFERROR((AP446/AP445)*AP366,0)</f>
        <v/>
      </c>
      <c r="AQ367" s="10">
        <f>IFERROR((AQ446/AQ445)*AQ366,0)</f>
        <v/>
      </c>
      <c r="AR367" s="10">
        <f>IFERROR((AR446/AR445)*AR366,0)</f>
        <v/>
      </c>
      <c r="AS367" s="10">
        <f>IFERROR((AS446/AS445)*AS366,0)</f>
        <v/>
      </c>
      <c r="AT367" s="10">
        <f>IFERROR((AT446/AT445)*AT366,0)</f>
        <v/>
      </c>
      <c r="AU367" s="10">
        <f>IFERROR((AU446/AU445)*AU366,0)</f>
        <v/>
      </c>
      <c r="AV367" s="10">
        <f>IFERROR((AV446/AV445)*AV366,0)</f>
        <v/>
      </c>
      <c r="AW367" s="10">
        <f>IFERROR((AW446/AW445)*AW366,0)</f>
        <v/>
      </c>
      <c r="AX367" s="10">
        <f>IFERROR((AX446/AX445)*AX366,0)</f>
        <v/>
      </c>
      <c r="AY367" s="10">
        <f>IFERROR((AY446/AY445)*AY366,0)</f>
        <v/>
      </c>
      <c r="AZ367" s="10">
        <f>IFERROR((AZ446/AZ445)*AZ366,0)</f>
        <v/>
      </c>
      <c r="BA367" s="10">
        <f>IFERROR((BA446/BA445)*BA366,0)</f>
        <v/>
      </c>
      <c r="BB367" s="10">
        <f>IFERROR((BB446/BB445)*BB366,0)</f>
        <v/>
      </c>
      <c r="BC367" s="10">
        <f>IFERROR((BC446/BC445)*BC366,0)</f>
        <v/>
      </c>
      <c r="BD367" s="10">
        <f>IFERROR((BD446/BD445)*BD366,0)</f>
        <v/>
      </c>
      <c r="BE367" s="10">
        <f>IFERROR((BE446/BE445)*BE366,0)</f>
        <v/>
      </c>
      <c r="BF367" s="10">
        <f>IFERROR((BF446/BF445)*BF366,0)</f>
        <v/>
      </c>
      <c r="BG367">
        <f>IF($F367=0,"0",MIN(
BH367/(30*$F367),
BI367/(61*$F367),
BJ367/(48*$F367),
(BK367+BL367)/(23*$F367),
(BM367+BN367)/(41*$F367),
BO367/(25*$F367),
BP367/(6.6*$F367),
BQ367/(40*$F367),
BS367/(16*$F367)
)*100)</f>
        <v/>
      </c>
      <c r="BH367" s="10">
        <f>IFERROR((BH446/BH445)*BH366,0)</f>
        <v/>
      </c>
      <c r="BI367" s="10">
        <f>IFERROR((BI446/BI445)*BI366,0)</f>
        <v/>
      </c>
      <c r="BJ367" s="10">
        <f>IFERROR((BJ446/BJ445)*BJ366,0)</f>
        <v/>
      </c>
      <c r="BK367" s="10">
        <f>IFERROR((BK446/BK445)*BK366,0)</f>
        <v/>
      </c>
      <c r="BL367" s="10">
        <f>IFERROR((BL446/BL445)*BL366,0)</f>
        <v/>
      </c>
      <c r="BM367" s="10">
        <f>IFERROR((BM446/BM445)*BM366,0)</f>
        <v/>
      </c>
      <c r="BN367" s="10">
        <f>IFERROR((BN446/BN445)*BN366,0)</f>
        <v/>
      </c>
      <c r="BO367" s="10">
        <f>IFERROR((BO446/BO445)*BO366,0)</f>
        <v/>
      </c>
      <c r="BP367" s="10">
        <f>IFERROR((BP446/BP445)*BP366,0)</f>
        <v/>
      </c>
      <c r="BQ367" s="10">
        <f>IFERROR((BQ446/BQ445)*BQ366,0)</f>
        <v/>
      </c>
      <c r="BR367" s="10">
        <f>IFERROR((BR446/BR445)*BR366,0)</f>
        <v/>
      </c>
      <c r="BS367" s="10">
        <f>IFERROR((BS446/BS445)*BS366,0)</f>
        <v/>
      </c>
      <c r="BT367" s="10">
        <f>IFERROR((BT446/BT445)*BT366,0)</f>
        <v/>
      </c>
      <c r="BU367" s="10">
        <f>IFERROR((BU446/BU445)*BU366,0)</f>
        <v/>
      </c>
      <c r="BV367" s="10">
        <f>IFERROR((BV446/BV445)*BV366,0)</f>
        <v/>
      </c>
      <c r="BW367" s="10">
        <f>IFERROR((BW446/BW445)*BW366,0)</f>
        <v/>
      </c>
      <c r="BX367" s="10">
        <f>IFERROR((BX446/BX445)*BX366,0)</f>
        <v/>
      </c>
      <c r="BY367" s="10">
        <f>IFERROR((BY446/BY445)*BY366,0)</f>
        <v/>
      </c>
      <c r="BZ367" s="10">
        <f>IFERROR((BZ446/BZ445)*BZ366,0)</f>
        <v/>
      </c>
      <c r="CA367" s="10">
        <f>IFERROR((CA446/CA445)*CA366,0)</f>
        <v/>
      </c>
      <c r="CB367" s="10">
        <f>IFERROR((CB446/CB445)*CB366,0)</f>
        <v/>
      </c>
      <c r="CC367" s="10">
        <f>IFERROR((CC446/CC445)*CC366,0)</f>
        <v/>
      </c>
      <c r="CD367" s="10">
        <f>IFERROR((CD446/CD445)*CD366,0)</f>
        <v/>
      </c>
      <c r="CE367" s="10">
        <f>IFERROR((CE446/CE445)*CE366,0)</f>
        <v/>
      </c>
      <c r="CF367" s="10">
        <f>IFERROR((CF446/CF445)*CF366,0)</f>
        <v/>
      </c>
      <c r="CG367" s="10">
        <f>IFERROR((CG446/CG445)*CG366,0)</f>
        <v/>
      </c>
      <c r="CH367" s="10">
        <f>IFERROR((CH446/CH445)*CH366,0)</f>
        <v/>
      </c>
      <c r="CI367" s="10">
        <f>IFERROR((CI446/CI445)*CI366,0)</f>
        <v/>
      </c>
      <c r="CJ367" s="10">
        <f>IFERROR((CJ446/CJ445)*CJ366,0)</f>
        <v/>
      </c>
      <c r="CK367" s="10">
        <f>IFERROR((CK446/CK445)*CK366,0)</f>
        <v/>
      </c>
      <c r="CL367" s="10">
        <f>IFERROR((CL446/CL445)*CL366,0)</f>
        <v/>
      </c>
      <c r="CM367" s="10">
        <f>IFERROR((CM446/CM445)*CM366,0)</f>
        <v/>
      </c>
      <c r="CN367" s="10">
        <f>IFERROR((CN446/CN445)*CN366,0)</f>
        <v/>
      </c>
      <c r="CO367" s="10">
        <f>IFERROR((CO446/CO445)*CO366,0)</f>
        <v/>
      </c>
      <c r="CP367" s="10">
        <f>IFERROR((CP446/CP445)*CP366,0)</f>
        <v/>
      </c>
      <c r="CQ367" s="10">
        <f>IFERROR((CQ446/CQ445)*CQ366,0)</f>
        <v/>
      </c>
      <c r="CR367" s="10">
        <f>IFERROR((CR446/CR445)*CR366,0)</f>
        <v/>
      </c>
      <c r="CS367" s="10">
        <f>IFERROR((CS446/CS445)*CS366,0)</f>
        <v/>
      </c>
      <c r="CT367" s="10">
        <f>IFERROR((CT446/CT445)*CT366,0)</f>
        <v/>
      </c>
      <c r="CU367" s="10">
        <f>IFERROR((CU446/CU445)*CU366,0)</f>
        <v/>
      </c>
      <c r="CV367" s="10">
        <f>IFERROR((CV446/CV445)*CV366,0)</f>
        <v/>
      </c>
      <c r="CW367" s="10">
        <f>IFERROR((CW446/CW445)*CW366,0)</f>
        <v/>
      </c>
      <c r="CX367" s="10">
        <f>IFERROR((CX446/CX445)*CX366,0)</f>
        <v/>
      </c>
      <c r="CY367" s="10">
        <f>IFERROR((CY446/CY445)*CY366,0)</f>
        <v/>
      </c>
      <c r="CZ367" s="10">
        <f>IFERROR((CZ446/CZ445)*CZ366,0)</f>
        <v/>
      </c>
      <c r="DA367" s="10">
        <f>IFERROR((DA446/DA445)*DA366,0)</f>
        <v/>
      </c>
      <c r="DB367" s="10">
        <f>IFERROR((DB446/DB445)*DB366,0)</f>
        <v/>
      </c>
      <c r="DC367" s="10">
        <f>IFERROR((DC446/DC445)*DC366,0)</f>
        <v/>
      </c>
      <c r="DD367" s="10">
        <f>IFERROR((DD446/DD445)*DD366,0)</f>
        <v/>
      </c>
      <c r="DE367" s="10">
        <f>IFERROR((DE446/DE445)*DE366,0)</f>
        <v/>
      </c>
      <c r="DF367" s="10">
        <f>IFERROR((DF446/DF445)*DF366,0)</f>
        <v/>
      </c>
      <c r="DG367" s="10">
        <f>IFERROR((DG446/DG445)*DG366,0)</f>
        <v/>
      </c>
      <c r="DH367" s="10">
        <f>IFERROR((DH446/DH445)*DH366,0)</f>
        <v/>
      </c>
      <c r="DI367" s="10">
        <f>IFERROR((DI446/DI445)*DI366,0)</f>
        <v/>
      </c>
      <c r="DJ367" s="10">
        <f>IFERROR((DJ446/DJ445)*DJ366,0)</f>
        <v/>
      </c>
      <c r="DK367" s="10">
        <f>IFERROR((DK446/DK445)*DK366,0)</f>
        <v/>
      </c>
      <c r="DL367" s="10">
        <f>IFERROR((DL446/DL445)*DL366,0)</f>
        <v/>
      </c>
      <c r="DM367" s="10">
        <f>IFERROR((DM446/DM445)*DM366,0)</f>
        <v/>
      </c>
      <c r="DN367" s="10">
        <f>IFERROR((DN446/DN445)*DN366,0)</f>
        <v/>
      </c>
      <c r="DO367" s="10">
        <f>IFERROR((DO446/DO445)*DO366,0)</f>
        <v/>
      </c>
      <c r="DP367" s="10">
        <f>IFERROR((DP446/DP445)*DP366,0)</f>
        <v/>
      </c>
      <c r="DQ367" s="10">
        <f>IFERROR((DQ446/DQ445)*DQ366,0)</f>
        <v/>
      </c>
      <c r="DR367" s="10">
        <f>IFERROR((DR446/DR445)*DR366,0)</f>
        <v/>
      </c>
      <c r="DS367" s="10">
        <f>IFERROR((DS446/DS445)*DS366,0)</f>
        <v/>
      </c>
      <c r="DT367" s="10">
        <f>IFERROR((DT446/DT445)*DT366,0)</f>
        <v/>
      </c>
      <c r="DU367" s="10">
        <f>IFERROR((DU446/DU445)*DU366,0)</f>
        <v/>
      </c>
      <c r="DV367" s="10">
        <f>IFERROR((DV446/DV445)*DV366,0)</f>
        <v/>
      </c>
      <c r="DW367" s="10">
        <f>IFERROR((DW446/DW445)*DW366,0)</f>
        <v/>
      </c>
      <c r="DX367" s="10">
        <f>IFERROR((DX446/DX445)*DX366,0)</f>
        <v/>
      </c>
      <c r="DY367" s="10">
        <f>IFERROR((DY446/DY445)*DY366,0)</f>
        <v/>
      </c>
      <c r="DZ367" s="10">
        <f>IFERROR((DZ446/DZ445)*DZ366,0)</f>
        <v/>
      </c>
      <c r="EA367" s="10">
        <f>IFERROR((EA446/EA445)*EA366,0)</f>
        <v/>
      </c>
      <c r="EB367" s="10">
        <f>IFERROR((EB446/EB445)*EB366,0)</f>
        <v/>
      </c>
      <c r="EC367" s="10">
        <f>IFERROR((EC446/EC445)*EC366,0)</f>
        <v/>
      </c>
      <c r="ED367" s="10">
        <f>IFERROR((ED446/ED445)*ED366,0)</f>
        <v/>
      </c>
      <c r="EE367" s="10">
        <f>IFERROR((EE446/EE445)*EE366,0)</f>
        <v/>
      </c>
      <c r="EF367" s="10">
        <f>IFERROR((EF446/EF445)*EF366,0)</f>
        <v/>
      </c>
      <c r="EG367" s="10">
        <f>IFERROR((EG446/EG445)*EG366,0)</f>
        <v/>
      </c>
      <c r="EH367" s="10">
        <f>IFERROR((EH446/EH445)*EH366,0)</f>
        <v/>
      </c>
      <c r="EI367" s="10">
        <f>IFERROR((EI446/EI445)*EI366,0)</f>
        <v/>
      </c>
      <c r="EJ367" s="10">
        <f>IFERROR((EJ446/EJ445)*EJ366,0)</f>
        <v/>
      </c>
      <c r="EK367" s="10">
        <f>IFERROR((EK446/EK445)*EK366,0)</f>
        <v/>
      </c>
    </row>
    <row r="368">
      <c r="A368">
        <f>[1]ingredient!B368</f>
        <v/>
      </c>
      <c r="B368" t="inlineStr">
        <is>
          <t>https://www.naehrwertrechner.de/naehrwerte/G322111/Gr%C3%BCnkohl+roh/?menge=100</t>
        </is>
      </c>
      <c r="C368" s="7">
        <f>_xlfn.XLOOKUP(A368,[1]ingredient!$B$2:$B$521,[1]ingredient!$A$2:$A$521)</f>
        <v/>
      </c>
      <c r="D368" t="n">
        <v>37</v>
      </c>
      <c r="E368" t="n">
        <v>1</v>
      </c>
      <c r="F368" t="n">
        <v>4</v>
      </c>
      <c r="G368" t="n">
        <v>3</v>
      </c>
      <c r="H368" t="n">
        <v>4</v>
      </c>
      <c r="I368" t="n">
        <v>3</v>
      </c>
      <c r="J368" t="n">
        <v>0.1</v>
      </c>
      <c r="K368" t="n">
        <v>86</v>
      </c>
      <c r="L368" t="n">
        <v>862</v>
      </c>
      <c r="M368" t="n">
        <v>431</v>
      </c>
      <c r="N368" t="n">
        <v>0</v>
      </c>
      <c r="O368" t="n">
        <v>5169</v>
      </c>
      <c r="P368" t="n">
        <v>100</v>
      </c>
      <c r="Q368" t="n">
        <v>250</v>
      </c>
      <c r="R368" t="n">
        <v>2100</v>
      </c>
      <c r="S368" t="n">
        <v>3167</v>
      </c>
      <c r="T368" t="n">
        <v>0</v>
      </c>
      <c r="U368" t="n">
        <v>250</v>
      </c>
      <c r="V368" t="n">
        <v>1</v>
      </c>
      <c r="W368" t="n">
        <v>187</v>
      </c>
      <c r="X368" t="n">
        <v>0</v>
      </c>
      <c r="Y368" t="n">
        <v>105000</v>
      </c>
      <c r="Z368" t="n">
        <v>0</v>
      </c>
      <c r="AA368" t="n">
        <v>1700</v>
      </c>
      <c r="AB368" t="n">
        <v>817</v>
      </c>
      <c r="AC368" t="n">
        <v>35</v>
      </c>
      <c r="AD368" t="n">
        <v>451</v>
      </c>
      <c r="AE368" t="n">
        <v>212</v>
      </c>
      <c r="AF368" t="n">
        <v>31</v>
      </c>
      <c r="AG368" t="n">
        <v>87</v>
      </c>
      <c r="AH368" t="n">
        <v>110</v>
      </c>
      <c r="AI368" t="n">
        <v>60</v>
      </c>
      <c r="AJ368" t="n">
        <v>1900</v>
      </c>
      <c r="AK368" t="n">
        <v>330</v>
      </c>
      <c r="AL368" t="n">
        <v>56</v>
      </c>
      <c r="AM368" t="n">
        <v>550</v>
      </c>
      <c r="AN368" t="n">
        <v>20</v>
      </c>
      <c r="AO368" t="n">
        <v>5</v>
      </c>
      <c r="AP368" t="n">
        <v>0</v>
      </c>
      <c r="AQ368" t="n">
        <v>0</v>
      </c>
      <c r="AR368" t="n">
        <v>0</v>
      </c>
      <c r="AS368" t="n">
        <v>0</v>
      </c>
      <c r="AT368" t="n">
        <v>615</v>
      </c>
      <c r="AU368" t="n">
        <v>920</v>
      </c>
      <c r="AV368" t="n">
        <v>0</v>
      </c>
      <c r="AW368" t="n">
        <v>1535</v>
      </c>
      <c r="AX368" t="n">
        <v>1000</v>
      </c>
      <c r="AY368" t="n">
        <v>0</v>
      </c>
      <c r="AZ368" t="n">
        <v>0</v>
      </c>
      <c r="BA368" t="n">
        <v>1000</v>
      </c>
      <c r="BB368" t="n">
        <v>0</v>
      </c>
      <c r="BC368" t="n">
        <v>0</v>
      </c>
      <c r="BD368" t="n">
        <v>0</v>
      </c>
      <c r="BE368" t="n">
        <v>102</v>
      </c>
      <c r="BF368" t="n">
        <v>102</v>
      </c>
      <c r="BG368">
        <f>IF($F368=0,"0",MIN(
BH368/(30*$F368),
BI368/(61*$F368),
BJ368/(48*$F368),
(BK368+BL368)/(23*$F368),
(BM368+BN368)/(41*$F368),
BO368/(25*$F368),
BP368/(6.6*$F368),
BQ368/(40*$F368),
BS368/(16*$F368)
)*100)</f>
        <v/>
      </c>
      <c r="BH368" t="n">
        <v>140</v>
      </c>
      <c r="BI368" t="n">
        <v>250</v>
      </c>
      <c r="BJ368" t="n">
        <v>240</v>
      </c>
      <c r="BK368" t="n">
        <v>52</v>
      </c>
      <c r="BL368" t="n">
        <v>69</v>
      </c>
      <c r="BM368" t="n">
        <v>140</v>
      </c>
      <c r="BN368" t="n">
        <v>180</v>
      </c>
      <c r="BO368" t="n">
        <v>130</v>
      </c>
      <c r="BP368" t="n">
        <v>64</v>
      </c>
      <c r="BQ368" t="n">
        <v>230</v>
      </c>
      <c r="BR368" t="n">
        <v>300</v>
      </c>
      <c r="BS368" t="n">
        <v>100</v>
      </c>
      <c r="BT368" t="n">
        <v>1895</v>
      </c>
      <c r="BU368" t="n">
        <v>269</v>
      </c>
      <c r="BV368" t="n">
        <v>448</v>
      </c>
      <c r="BW368" t="n">
        <v>537</v>
      </c>
      <c r="BX368" t="n">
        <v>215</v>
      </c>
      <c r="BY368" t="n">
        <v>251</v>
      </c>
      <c r="BZ368" t="n">
        <v>197</v>
      </c>
      <c r="CA368" t="n">
        <v>1917</v>
      </c>
      <c r="CB368" t="n">
        <v>48</v>
      </c>
      <c r="CC368" t="n">
        <v>16</v>
      </c>
      <c r="CD368" t="n">
        <v>355</v>
      </c>
      <c r="CE368" t="n">
        <v>130</v>
      </c>
      <c r="CF368" t="n">
        <v>0.37</v>
      </c>
      <c r="CG368" t="n">
        <v>0</v>
      </c>
      <c r="CH368" t="n">
        <v>0</v>
      </c>
      <c r="CI368" t="n">
        <v>0</v>
      </c>
      <c r="CJ368" t="n">
        <v>0</v>
      </c>
      <c r="CK368" t="n">
        <v>4</v>
      </c>
      <c r="CL368" t="n">
        <v>1</v>
      </c>
      <c r="CM368" t="n">
        <v>0</v>
      </c>
      <c r="CN368" t="n">
        <v>95</v>
      </c>
      <c r="CO368" t="n">
        <v>0</v>
      </c>
      <c r="CP368" t="n">
        <v>9</v>
      </c>
      <c r="CQ368" t="n">
        <v>2</v>
      </c>
      <c r="CR368" t="n">
        <v>0</v>
      </c>
      <c r="CS368" t="n">
        <v>0</v>
      </c>
      <c r="CT368" t="n">
        <v>111</v>
      </c>
      <c r="CU368" t="n">
        <v>0</v>
      </c>
      <c r="CV368" t="n">
        <v>0</v>
      </c>
      <c r="CW368" t="n">
        <v>12</v>
      </c>
      <c r="CX368" t="n">
        <v>0</v>
      </c>
      <c r="CY368" t="n">
        <v>5</v>
      </c>
      <c r="CZ368" t="n">
        <v>2</v>
      </c>
      <c r="DA368" t="n">
        <v>0</v>
      </c>
      <c r="DB368" t="n">
        <v>0</v>
      </c>
      <c r="DC368" t="n">
        <v>19</v>
      </c>
      <c r="DD368" t="n">
        <v>0</v>
      </c>
      <c r="DE368" t="n">
        <v>0</v>
      </c>
      <c r="DF368" t="n">
        <v>130</v>
      </c>
      <c r="DG368" t="n">
        <v>355</v>
      </c>
      <c r="DH368" t="n">
        <v>0</v>
      </c>
      <c r="DI368" t="n">
        <v>0</v>
      </c>
      <c r="DJ368" t="n">
        <v>0</v>
      </c>
      <c r="DK368" t="n">
        <v>0</v>
      </c>
      <c r="DL368" t="n">
        <v>0</v>
      </c>
      <c r="DM368" t="n">
        <v>0</v>
      </c>
      <c r="DN368" t="n">
        <v>0</v>
      </c>
      <c r="DO368" t="n">
        <v>0</v>
      </c>
      <c r="DP368" t="n">
        <v>0</v>
      </c>
      <c r="DQ368" t="n">
        <v>0</v>
      </c>
      <c r="DR368" t="n">
        <v>0</v>
      </c>
      <c r="DS368" t="n">
        <v>485</v>
      </c>
      <c r="DT368" t="n">
        <v>614</v>
      </c>
      <c r="DU368" t="n">
        <v>180</v>
      </c>
      <c r="DV368" t="n">
        <v>0</v>
      </c>
      <c r="DW368" t="n">
        <v>0</v>
      </c>
      <c r="DX368" t="n">
        <v>0</v>
      </c>
      <c r="DY368" t="n">
        <v>882</v>
      </c>
      <c r="DZ368" t="n">
        <v>714</v>
      </c>
      <c r="EA368" t="n">
        <v>1050</v>
      </c>
      <c r="EB368" t="n">
        <v>1470</v>
      </c>
      <c r="EC368" t="n">
        <v>126</v>
      </c>
      <c r="ED368" t="n">
        <v>420</v>
      </c>
      <c r="EE368" t="n">
        <v>3780</v>
      </c>
      <c r="EF368" t="n">
        <v>0</v>
      </c>
      <c r="EG368" t="n">
        <v>0.44</v>
      </c>
      <c r="EH368" t="n">
        <v>1.7</v>
      </c>
      <c r="EI368" t="n">
        <v>3.8</v>
      </c>
      <c r="EJ368" t="n">
        <v>0.9</v>
      </c>
      <c r="EK368" t="n">
        <v>4</v>
      </c>
    </row>
    <row r="369">
      <c r="A369">
        <f>[1]ingredient!B369</f>
        <v/>
      </c>
      <c r="B369" t="inlineStr">
        <is>
          <t>https://www.naehrwertrechner.de/naehrwerte/G650111/Schwarzwurzel+frisch/?menge=100</t>
        </is>
      </c>
      <c r="C369" s="7">
        <f>_xlfn.XLOOKUP(A369,[1]ingredient!$B$2:$B$521,[1]ingredient!$A$2:$A$521)</f>
        <v/>
      </c>
      <c r="D369" t="n">
        <v>17</v>
      </c>
      <c r="E369" t="n">
        <v>0.4</v>
      </c>
      <c r="F369" t="n">
        <v>1</v>
      </c>
      <c r="G369" t="n">
        <v>2</v>
      </c>
      <c r="H369" t="n">
        <v>4</v>
      </c>
      <c r="I369" t="n">
        <v>1</v>
      </c>
      <c r="J369" t="n">
        <v>0.04</v>
      </c>
      <c r="K369" t="n">
        <v>88</v>
      </c>
      <c r="L369" t="n">
        <v>3</v>
      </c>
      <c r="M369" t="n">
        <v>2</v>
      </c>
      <c r="N369" t="n">
        <v>0</v>
      </c>
      <c r="O369" t="n">
        <v>20</v>
      </c>
      <c r="P369" t="n">
        <v>110</v>
      </c>
      <c r="Q369" t="n">
        <v>35</v>
      </c>
      <c r="R369" t="n">
        <v>350</v>
      </c>
      <c r="S369" t="n">
        <v>583</v>
      </c>
      <c r="T369" t="n">
        <v>200</v>
      </c>
      <c r="U369" t="n">
        <v>70</v>
      </c>
      <c r="V369" t="n">
        <v>1</v>
      </c>
      <c r="W369" t="n">
        <v>57</v>
      </c>
      <c r="X369" t="n">
        <v>0</v>
      </c>
      <c r="Y369" t="n">
        <v>4000</v>
      </c>
      <c r="Z369" t="n">
        <v>0</v>
      </c>
      <c r="AA369" t="n">
        <v>6000</v>
      </c>
      <c r="AB369" t="n">
        <v>40</v>
      </c>
      <c r="AC369" t="n">
        <v>5</v>
      </c>
      <c r="AD369" t="n">
        <v>320</v>
      </c>
      <c r="AE369" t="n">
        <v>53</v>
      </c>
      <c r="AF369" t="n">
        <v>23</v>
      </c>
      <c r="AG369" t="n">
        <v>76</v>
      </c>
      <c r="AH369" t="n">
        <v>22</v>
      </c>
      <c r="AI369" t="n">
        <v>31</v>
      </c>
      <c r="AJ369" t="n">
        <v>3300</v>
      </c>
      <c r="AK369" t="n">
        <v>220</v>
      </c>
      <c r="AL369" t="n">
        <v>300</v>
      </c>
      <c r="AM369" t="n">
        <v>410</v>
      </c>
      <c r="AN369" t="n">
        <v>15</v>
      </c>
      <c r="AO369" t="n">
        <v>3</v>
      </c>
      <c r="AP369" t="n">
        <v>24</v>
      </c>
      <c r="AQ369" t="n">
        <v>0</v>
      </c>
      <c r="AR369" t="n">
        <v>0</v>
      </c>
      <c r="AS369" t="n">
        <v>24</v>
      </c>
      <c r="AT369" t="n">
        <v>106</v>
      </c>
      <c r="AU369" t="n">
        <v>33</v>
      </c>
      <c r="AV369" t="n">
        <v>0</v>
      </c>
      <c r="AW369" t="n">
        <v>139</v>
      </c>
      <c r="AX369" t="n">
        <v>407</v>
      </c>
      <c r="AY369" t="n">
        <v>0</v>
      </c>
      <c r="AZ369" t="n">
        <v>0</v>
      </c>
      <c r="BA369" t="n">
        <v>407</v>
      </c>
      <c r="BB369" t="n">
        <v>1060</v>
      </c>
      <c r="BC369" t="n">
        <v>2680</v>
      </c>
      <c r="BD369" t="n">
        <v>0</v>
      </c>
      <c r="BE369" t="n">
        <v>0</v>
      </c>
      <c r="BF369" t="n">
        <v>0</v>
      </c>
      <c r="BG369">
        <f>IF($F369=0,"0",MIN(
BH369/(30*$F369),
BI369/(61*$F369),
BJ369/(48*$F369),
(BK369+BL369)/(23*$F369),
(BM369+BN369)/(41*$F369),
BO369/(25*$F369),
BP369/(6.6*$F369),
BQ369/(40*$F369),
BS369/(16*$F369)
)*100)</f>
        <v/>
      </c>
      <c r="BH369" t="n">
        <v>56</v>
      </c>
      <c r="BI369" t="n">
        <v>84</v>
      </c>
      <c r="BJ369" t="n">
        <v>70</v>
      </c>
      <c r="BK369" t="n">
        <v>17</v>
      </c>
      <c r="BL369" t="n">
        <v>14</v>
      </c>
      <c r="BM369" t="n">
        <v>42</v>
      </c>
      <c r="BN369" t="n">
        <v>28</v>
      </c>
      <c r="BO369" t="n">
        <v>49</v>
      </c>
      <c r="BP369" t="n">
        <v>14</v>
      </c>
      <c r="BQ369" t="n">
        <v>56</v>
      </c>
      <c r="BR369" t="n">
        <v>56</v>
      </c>
      <c r="BS369" t="n">
        <v>21</v>
      </c>
      <c r="BT369" t="n">
        <v>507</v>
      </c>
      <c r="BU369" t="n">
        <v>70</v>
      </c>
      <c r="BV369" t="n">
        <v>140</v>
      </c>
      <c r="BW369" t="n">
        <v>210</v>
      </c>
      <c r="BX369" t="n">
        <v>39</v>
      </c>
      <c r="BY369" t="n">
        <v>56</v>
      </c>
      <c r="BZ369" t="n">
        <v>42</v>
      </c>
      <c r="CA369" t="n">
        <v>557</v>
      </c>
      <c r="CB369" t="n">
        <v>70</v>
      </c>
      <c r="CC369" t="n">
        <v>29</v>
      </c>
      <c r="CD369" t="n">
        <v>96</v>
      </c>
      <c r="CE369" t="n">
        <v>128</v>
      </c>
      <c r="CF369" t="n">
        <v>1.33</v>
      </c>
      <c r="CG369" t="n">
        <v>0</v>
      </c>
      <c r="CH369" t="n">
        <v>0</v>
      </c>
      <c r="CI369" t="n">
        <v>0</v>
      </c>
      <c r="CJ369" t="n">
        <v>0</v>
      </c>
      <c r="CK369" t="n">
        <v>0</v>
      </c>
      <c r="CL369" t="n">
        <v>2</v>
      </c>
      <c r="CM369" t="n">
        <v>0</v>
      </c>
      <c r="CN369" t="n">
        <v>62</v>
      </c>
      <c r="CO369" t="n">
        <v>0</v>
      </c>
      <c r="CP369" t="n">
        <v>10</v>
      </c>
      <c r="CQ369" t="n">
        <v>0</v>
      </c>
      <c r="CR369" t="n">
        <v>0</v>
      </c>
      <c r="CS369" t="n">
        <v>0</v>
      </c>
      <c r="CT369" t="n">
        <v>74</v>
      </c>
      <c r="CU369" t="n">
        <v>0</v>
      </c>
      <c r="CV369" t="n">
        <v>0</v>
      </c>
      <c r="CW369" t="n">
        <v>3</v>
      </c>
      <c r="CX369" t="n">
        <v>0</v>
      </c>
      <c r="CY369" t="n">
        <v>19</v>
      </c>
      <c r="CZ369" t="n">
        <v>0</v>
      </c>
      <c r="DA369" t="n">
        <v>0</v>
      </c>
      <c r="DB369" t="n">
        <v>0</v>
      </c>
      <c r="DC369" t="n">
        <v>22</v>
      </c>
      <c r="DD369" t="n">
        <v>0</v>
      </c>
      <c r="DE369" t="n">
        <v>0</v>
      </c>
      <c r="DF369" t="n">
        <v>128</v>
      </c>
      <c r="DG369" t="n">
        <v>96</v>
      </c>
      <c r="DH369" t="n">
        <v>0</v>
      </c>
      <c r="DI369" t="n">
        <v>0</v>
      </c>
      <c r="DJ369" t="n">
        <v>0</v>
      </c>
      <c r="DK369" t="n">
        <v>0</v>
      </c>
      <c r="DL369" t="n">
        <v>0</v>
      </c>
      <c r="DM369" t="n">
        <v>0</v>
      </c>
      <c r="DN369" t="n">
        <v>0</v>
      </c>
      <c r="DO369" t="n">
        <v>0</v>
      </c>
      <c r="DP369" t="n">
        <v>0</v>
      </c>
      <c r="DQ369" t="n">
        <v>0</v>
      </c>
      <c r="DR369" t="n">
        <v>0</v>
      </c>
      <c r="DS369" t="n">
        <v>224</v>
      </c>
      <c r="DT369" t="n">
        <v>320</v>
      </c>
      <c r="DU369" t="n">
        <v>80</v>
      </c>
      <c r="DV369" t="n">
        <v>0</v>
      </c>
      <c r="DW369" t="n">
        <v>0</v>
      </c>
      <c r="DX369" t="n">
        <v>0</v>
      </c>
      <c r="DY369" t="n">
        <v>645</v>
      </c>
      <c r="DZ369" t="n">
        <v>645</v>
      </c>
      <c r="EA369" t="n">
        <v>1161</v>
      </c>
      <c r="EB369" t="n">
        <v>1720</v>
      </c>
      <c r="EC369" t="n">
        <v>129</v>
      </c>
      <c r="ED369" t="n">
        <v>1075</v>
      </c>
      <c r="EE369" t="n">
        <v>3225</v>
      </c>
      <c r="EF369" t="n">
        <v>0</v>
      </c>
      <c r="EG369" t="n">
        <v>0.32</v>
      </c>
      <c r="EH369" t="n">
        <v>1</v>
      </c>
      <c r="EI369" t="n">
        <v>3.2</v>
      </c>
      <c r="EJ369" t="n">
        <v>0.4</v>
      </c>
      <c r="EK369" t="n">
        <v>1.3</v>
      </c>
    </row>
    <row r="370">
      <c r="A370">
        <f>[1]ingredient!B370</f>
        <v/>
      </c>
      <c r="B370" t="inlineStr">
        <is>
          <t>https://www.naehrwertrechner.de/naehrwerte/J351211/Seidentofu/?menge=100</t>
        </is>
      </c>
      <c r="C370" s="7">
        <f>_xlfn.XLOOKUP(A370,[1]ingredient!$B$2:$B$521,[1]ingredient!$A$2:$A$521)</f>
        <v/>
      </c>
      <c r="D370" t="n">
        <v>52</v>
      </c>
      <c r="E370" t="n">
        <v>3</v>
      </c>
      <c r="F370" t="n">
        <v>6</v>
      </c>
      <c r="G370" t="n">
        <v>0.36</v>
      </c>
      <c r="H370" t="n">
        <v>0.4</v>
      </c>
      <c r="I370" t="n">
        <v>0.36</v>
      </c>
      <c r="J370" t="n">
        <v>0.05</v>
      </c>
      <c r="K370" t="n">
        <v>90</v>
      </c>
      <c r="L370" t="n">
        <v>4</v>
      </c>
      <c r="M370" t="n">
        <v>2</v>
      </c>
      <c r="N370" t="n">
        <v>0</v>
      </c>
      <c r="O370" t="n">
        <v>25</v>
      </c>
      <c r="P370" t="n">
        <v>20</v>
      </c>
      <c r="Q370" t="n">
        <v>20</v>
      </c>
      <c r="R370" t="n">
        <v>300</v>
      </c>
      <c r="S370" t="n">
        <v>1500</v>
      </c>
      <c r="T370" t="n">
        <v>165</v>
      </c>
      <c r="U370" t="n">
        <v>90</v>
      </c>
      <c r="V370" t="n">
        <v>5</v>
      </c>
      <c r="W370" t="n">
        <v>44</v>
      </c>
      <c r="X370" t="n">
        <v>0</v>
      </c>
      <c r="Y370" t="n">
        <v>0</v>
      </c>
      <c r="Z370" t="n">
        <v>0</v>
      </c>
      <c r="AA370" t="n">
        <v>400</v>
      </c>
      <c r="AB370" t="n">
        <v>30</v>
      </c>
      <c r="AC370" t="n">
        <v>23</v>
      </c>
      <c r="AD370" t="n">
        <v>220</v>
      </c>
      <c r="AE370" t="n">
        <v>94</v>
      </c>
      <c r="AF370" t="n">
        <v>30</v>
      </c>
      <c r="AG370" t="n">
        <v>71</v>
      </c>
      <c r="AH370" t="n">
        <v>19</v>
      </c>
      <c r="AI370" t="n">
        <v>30</v>
      </c>
      <c r="AJ370" t="n">
        <v>1200</v>
      </c>
      <c r="AK370" t="n">
        <v>129</v>
      </c>
      <c r="AL370" t="n">
        <v>13</v>
      </c>
      <c r="AM370" t="n">
        <v>360</v>
      </c>
      <c r="AN370" t="n">
        <v>7</v>
      </c>
      <c r="AO370" t="n">
        <v>1</v>
      </c>
      <c r="AP370" t="n">
        <v>0</v>
      </c>
      <c r="AQ370" t="n">
        <v>0</v>
      </c>
      <c r="AR370" t="n">
        <v>0</v>
      </c>
      <c r="AS370" t="n">
        <v>0</v>
      </c>
      <c r="AT370" t="n">
        <v>0</v>
      </c>
      <c r="AU370" t="n">
        <v>0</v>
      </c>
      <c r="AV370" t="n">
        <v>0</v>
      </c>
      <c r="AW370" t="n">
        <v>0</v>
      </c>
      <c r="AX370" t="n">
        <v>356</v>
      </c>
      <c r="AY370" t="n">
        <v>0</v>
      </c>
      <c r="AZ370" t="n">
        <v>0</v>
      </c>
      <c r="BA370" t="n">
        <v>356</v>
      </c>
      <c r="BB370" t="n">
        <v>0</v>
      </c>
      <c r="BC370" t="n">
        <v>0</v>
      </c>
      <c r="BD370" t="n">
        <v>0</v>
      </c>
      <c r="BE370" t="n">
        <v>4</v>
      </c>
      <c r="BF370" t="n">
        <v>4</v>
      </c>
      <c r="BG370">
        <f>IF($F370=0,"0",MIN(
BH370/(30*$F370),
BI370/(61*$F370),
BJ370/(48*$F370),
(BK370+BL370)/(23*$F370),
(BM370+BN370)/(41*$F370),
BO370/(25*$F370),
BP370/(6.6*$F370),
BQ370/(40*$F370),
BS370/(16*$F370)
)*100)</f>
        <v/>
      </c>
      <c r="BH370" t="n">
        <v>275</v>
      </c>
      <c r="BI370" t="n">
        <v>413</v>
      </c>
      <c r="BJ370" t="n">
        <v>275</v>
      </c>
      <c r="BK370" t="n">
        <v>72</v>
      </c>
      <c r="BL370" t="n">
        <v>44</v>
      </c>
      <c r="BM370" t="n">
        <v>275</v>
      </c>
      <c r="BN370" t="n">
        <v>182</v>
      </c>
      <c r="BO370" t="n">
        <v>264</v>
      </c>
      <c r="BP370" t="n">
        <v>72</v>
      </c>
      <c r="BQ370" t="n">
        <v>303</v>
      </c>
      <c r="BR370" t="n">
        <v>341</v>
      </c>
      <c r="BS370" t="n">
        <v>121</v>
      </c>
      <c r="BT370" t="n">
        <v>2637</v>
      </c>
      <c r="BU370" t="n">
        <v>237</v>
      </c>
      <c r="BV370" t="n">
        <v>594</v>
      </c>
      <c r="BW370" t="n">
        <v>935</v>
      </c>
      <c r="BX370" t="n">
        <v>264</v>
      </c>
      <c r="BY370" t="n">
        <v>402</v>
      </c>
      <c r="BZ370" t="n">
        <v>297</v>
      </c>
      <c r="CA370" t="n">
        <v>2729</v>
      </c>
      <c r="CB370" t="n">
        <v>35</v>
      </c>
      <c r="CC370" t="n">
        <v>15</v>
      </c>
      <c r="CD370" t="n">
        <v>232</v>
      </c>
      <c r="CE370" t="n">
        <v>1706</v>
      </c>
      <c r="CF370" t="n">
        <v>7.35</v>
      </c>
      <c r="CG370" t="n">
        <v>0</v>
      </c>
      <c r="CH370" t="n">
        <v>0</v>
      </c>
      <c r="CI370" t="n">
        <v>0</v>
      </c>
      <c r="CJ370" t="n">
        <v>0</v>
      </c>
      <c r="CK370" t="n">
        <v>3</v>
      </c>
      <c r="CL370" t="n">
        <v>6</v>
      </c>
      <c r="CM370" t="n">
        <v>0</v>
      </c>
      <c r="CN370" t="n">
        <v>327</v>
      </c>
      <c r="CO370" t="n">
        <v>0</v>
      </c>
      <c r="CP370" t="n">
        <v>113</v>
      </c>
      <c r="CQ370" t="n">
        <v>9</v>
      </c>
      <c r="CR370" t="n">
        <v>3</v>
      </c>
      <c r="CS370" t="n">
        <v>0</v>
      </c>
      <c r="CT370" t="n">
        <v>461</v>
      </c>
      <c r="CU370" t="n">
        <v>0</v>
      </c>
      <c r="CV370" t="n">
        <v>0</v>
      </c>
      <c r="CW370" t="n">
        <v>6</v>
      </c>
      <c r="CX370" t="n">
        <v>0</v>
      </c>
      <c r="CY370" t="n">
        <v>565</v>
      </c>
      <c r="CZ370" t="n">
        <v>6</v>
      </c>
      <c r="DA370" t="n">
        <v>0</v>
      </c>
      <c r="DB370" t="n">
        <v>0</v>
      </c>
      <c r="DC370" t="n">
        <v>577</v>
      </c>
      <c r="DD370" t="n">
        <v>0</v>
      </c>
      <c r="DE370" t="n">
        <v>0</v>
      </c>
      <c r="DF370" t="n">
        <v>1706</v>
      </c>
      <c r="DG370" t="n">
        <v>232</v>
      </c>
      <c r="DH370" t="n">
        <v>0</v>
      </c>
      <c r="DI370" t="n">
        <v>0</v>
      </c>
      <c r="DJ370" t="n">
        <v>0</v>
      </c>
      <c r="DK370" t="n">
        <v>0</v>
      </c>
      <c r="DL370" t="n">
        <v>0</v>
      </c>
      <c r="DM370" t="n">
        <v>0</v>
      </c>
      <c r="DN370" t="n">
        <v>0</v>
      </c>
      <c r="DO370" t="n">
        <v>0</v>
      </c>
      <c r="DP370" t="n">
        <v>0</v>
      </c>
      <c r="DQ370" t="n">
        <v>0</v>
      </c>
      <c r="DR370" t="n">
        <v>0</v>
      </c>
      <c r="DS370" t="n">
        <v>1938</v>
      </c>
      <c r="DT370" t="n">
        <v>2976</v>
      </c>
      <c r="DU370" t="n">
        <v>224</v>
      </c>
      <c r="DV370" t="n">
        <v>0</v>
      </c>
      <c r="DW370" t="n">
        <v>0</v>
      </c>
      <c r="DX370" t="n">
        <v>0</v>
      </c>
      <c r="DY370" t="n">
        <v>100</v>
      </c>
      <c r="DZ370" t="n">
        <v>146</v>
      </c>
      <c r="EA370" t="n">
        <v>56</v>
      </c>
      <c r="EB370" t="n">
        <v>96</v>
      </c>
      <c r="EC370" t="n">
        <v>2</v>
      </c>
      <c r="ED370" t="n">
        <v>200</v>
      </c>
      <c r="EE370" t="n">
        <v>200</v>
      </c>
      <c r="EF370" t="n">
        <v>0</v>
      </c>
      <c r="EG370" t="n">
        <v>0</v>
      </c>
      <c r="EH370" t="n">
        <v>0.6</v>
      </c>
      <c r="EI370" t="n">
        <v>0.2</v>
      </c>
      <c r="EJ370" t="n">
        <v>3.2</v>
      </c>
      <c r="EK370" t="n">
        <v>5.5</v>
      </c>
    </row>
    <row r="371">
      <c r="A371">
        <f>[1]ingredient!B371</f>
        <v/>
      </c>
      <c r="B371" t="inlineStr">
        <is>
          <t>https://www.naehrwertrechner.de/naehrwerte/C551011/Kleber+%28Gluten%29/?menge=100</t>
        </is>
      </c>
      <c r="C371" s="7">
        <f>_xlfn.XLOOKUP(A371,[1]ingredient!$B$2:$B$521,[1]ingredient!$A$2:$A$521)</f>
        <v/>
      </c>
      <c r="D371" t="n">
        <v>393</v>
      </c>
      <c r="E371" t="n">
        <v>4</v>
      </c>
      <c r="F371" t="n">
        <v>81</v>
      </c>
      <c r="G371" t="n">
        <v>7</v>
      </c>
      <c r="H371" t="n">
        <v>1</v>
      </c>
      <c r="I371" t="n">
        <v>0.04</v>
      </c>
      <c r="J371" t="n">
        <v>0</v>
      </c>
      <c r="K371" t="n">
        <v>6</v>
      </c>
      <c r="L371" t="n">
        <v>0</v>
      </c>
      <c r="M371" t="n">
        <v>0</v>
      </c>
      <c r="N371" t="n">
        <v>0</v>
      </c>
      <c r="O371" t="n">
        <v>0</v>
      </c>
      <c r="P371" t="n">
        <v>10</v>
      </c>
      <c r="Q371" t="n">
        <v>3</v>
      </c>
      <c r="R371" t="n">
        <v>70</v>
      </c>
      <c r="S371" t="n">
        <v>13570</v>
      </c>
      <c r="T371" t="n">
        <v>16</v>
      </c>
      <c r="U371" t="n">
        <v>10</v>
      </c>
      <c r="V371" t="n">
        <v>1</v>
      </c>
      <c r="W371" t="n">
        <v>10</v>
      </c>
      <c r="X371" t="n">
        <v>0</v>
      </c>
      <c r="Y371" t="n">
        <v>0</v>
      </c>
      <c r="Z371" t="n">
        <v>0</v>
      </c>
      <c r="AA371" t="n">
        <v>100</v>
      </c>
      <c r="AB371" t="n">
        <v>10</v>
      </c>
      <c r="AC371" t="n">
        <v>0</v>
      </c>
      <c r="AD371" t="n">
        <v>8</v>
      </c>
      <c r="AE371" t="n">
        <v>1</v>
      </c>
      <c r="AF371" t="n">
        <v>1</v>
      </c>
      <c r="AG371" t="n">
        <v>7</v>
      </c>
      <c r="AH371" t="n">
        <v>6</v>
      </c>
      <c r="AI371" t="n">
        <v>3</v>
      </c>
      <c r="AJ371" t="n">
        <v>54</v>
      </c>
      <c r="AK371" t="n">
        <v>43</v>
      </c>
      <c r="AL371" t="n">
        <v>8</v>
      </c>
      <c r="AM371" t="n">
        <v>54</v>
      </c>
      <c r="AN371" t="n">
        <v>3</v>
      </c>
      <c r="AO371" t="n">
        <v>1</v>
      </c>
      <c r="AP371" t="n">
        <v>0</v>
      </c>
      <c r="AQ371" t="n">
        <v>0</v>
      </c>
      <c r="AR371" t="n">
        <v>0</v>
      </c>
      <c r="AS371" t="n">
        <v>0</v>
      </c>
      <c r="AT371" t="n">
        <v>7</v>
      </c>
      <c r="AU371" t="n">
        <v>7</v>
      </c>
      <c r="AV371" t="n">
        <v>0</v>
      </c>
      <c r="AW371" t="n">
        <v>14</v>
      </c>
      <c r="AX371" t="n">
        <v>28</v>
      </c>
      <c r="AY371" t="n">
        <v>0</v>
      </c>
      <c r="AZ371" t="n">
        <v>0</v>
      </c>
      <c r="BA371" t="n">
        <v>28</v>
      </c>
      <c r="BB371" t="n">
        <v>28</v>
      </c>
      <c r="BC371" t="n">
        <v>0</v>
      </c>
      <c r="BD371" t="n">
        <v>0</v>
      </c>
      <c r="BE371" t="n">
        <v>6930</v>
      </c>
      <c r="BF371" t="n">
        <v>6930</v>
      </c>
      <c r="BG371">
        <f>IF($F371=0,"0",MIN(
BH371/(30*$F371),
BI371/(61*$F371),
BJ371/(48*$F371),
(BK371+BL371)/(23*$F371),
(BM371+BN371)/(41*$F371),
BO371/(25*$F371),
BP371/(6.6*$F371),
BQ371/(40*$F371),
BS371/(16*$F371)
)*100)</f>
        <v/>
      </c>
      <c r="BH371" t="n">
        <v>3240</v>
      </c>
      <c r="BI371" t="n">
        <v>5508</v>
      </c>
      <c r="BJ371" t="n">
        <v>1134</v>
      </c>
      <c r="BK371" t="n">
        <v>1296</v>
      </c>
      <c r="BL371" t="n">
        <v>1539</v>
      </c>
      <c r="BM371" t="n">
        <v>4050</v>
      </c>
      <c r="BN371" t="n">
        <v>2835</v>
      </c>
      <c r="BO371" t="n">
        <v>1944</v>
      </c>
      <c r="BP371" t="n">
        <v>810</v>
      </c>
      <c r="BQ371" t="n">
        <v>3321</v>
      </c>
      <c r="BR371" t="n">
        <v>2349</v>
      </c>
      <c r="BS371" t="n">
        <v>1620</v>
      </c>
      <c r="BT371" t="n">
        <v>29646</v>
      </c>
      <c r="BU371" t="n">
        <v>1944</v>
      </c>
      <c r="BV371" t="n">
        <v>2349</v>
      </c>
      <c r="BW371" t="n">
        <v>30213</v>
      </c>
      <c r="BX371" t="n">
        <v>2430</v>
      </c>
      <c r="BY371" t="n">
        <v>10530</v>
      </c>
      <c r="BZ371" t="n">
        <v>3888</v>
      </c>
      <c r="CA371" t="n">
        <v>51354</v>
      </c>
      <c r="CB371" t="n">
        <v>330</v>
      </c>
      <c r="CC371" t="n">
        <v>138</v>
      </c>
      <c r="CD371" t="n">
        <v>118</v>
      </c>
      <c r="CE371" t="n">
        <v>1754</v>
      </c>
      <c r="CF371" t="n">
        <v>14.86</v>
      </c>
      <c r="CG371" t="n">
        <v>0</v>
      </c>
      <c r="CH371" t="n">
        <v>0</v>
      </c>
      <c r="CI371" t="n">
        <v>0</v>
      </c>
      <c r="CJ371" t="n">
        <v>0</v>
      </c>
      <c r="CK371" t="n">
        <v>0</v>
      </c>
      <c r="CL371" t="n">
        <v>0</v>
      </c>
      <c r="CM371" t="n">
        <v>0</v>
      </c>
      <c r="CN371" t="n">
        <v>562</v>
      </c>
      <c r="CO371" t="n">
        <v>0</v>
      </c>
      <c r="CP371" t="n">
        <v>14</v>
      </c>
      <c r="CQ371" t="n">
        <v>230</v>
      </c>
      <c r="CR371" t="n">
        <v>0</v>
      </c>
      <c r="CS371" t="n">
        <v>0</v>
      </c>
      <c r="CT371" t="n">
        <v>806</v>
      </c>
      <c r="CU371" t="n">
        <v>0</v>
      </c>
      <c r="CV371" t="n">
        <v>0</v>
      </c>
      <c r="CW371" t="n">
        <v>0</v>
      </c>
      <c r="CX371" t="n">
        <v>0</v>
      </c>
      <c r="CY371" t="n">
        <v>202</v>
      </c>
      <c r="CZ371" t="n">
        <v>0</v>
      </c>
      <c r="DA371" t="n">
        <v>0</v>
      </c>
      <c r="DB371" t="n">
        <v>0</v>
      </c>
      <c r="DC371" t="n">
        <v>202</v>
      </c>
      <c r="DD371" t="n">
        <v>0</v>
      </c>
      <c r="DE371" t="n">
        <v>0</v>
      </c>
      <c r="DF371" t="n">
        <v>1754</v>
      </c>
      <c r="DG371" t="n">
        <v>118</v>
      </c>
      <c r="DH371" t="n">
        <v>0</v>
      </c>
      <c r="DI371" t="n">
        <v>0</v>
      </c>
      <c r="DJ371" t="n">
        <v>0</v>
      </c>
      <c r="DK371" t="n">
        <v>0</v>
      </c>
      <c r="DL371" t="n">
        <v>0</v>
      </c>
      <c r="DM371" t="n">
        <v>0</v>
      </c>
      <c r="DN371" t="n">
        <v>0</v>
      </c>
      <c r="DO371" t="n">
        <v>0</v>
      </c>
      <c r="DP371" t="n">
        <v>0</v>
      </c>
      <c r="DQ371" t="n">
        <v>0</v>
      </c>
      <c r="DR371" t="n">
        <v>0</v>
      </c>
      <c r="DS371" t="n">
        <v>1872</v>
      </c>
      <c r="DT371" t="n">
        <v>2880</v>
      </c>
      <c r="DU371" t="n">
        <v>1120</v>
      </c>
      <c r="DV371" t="n">
        <v>0</v>
      </c>
      <c r="DW371" t="n">
        <v>0</v>
      </c>
      <c r="DX371" t="n">
        <v>0</v>
      </c>
      <c r="DY371" t="n">
        <v>200</v>
      </c>
      <c r="DZ371" t="n">
        <v>300</v>
      </c>
      <c r="EA371" t="n">
        <v>80</v>
      </c>
      <c r="EB371" t="n">
        <v>390</v>
      </c>
      <c r="EC371" t="n">
        <v>30</v>
      </c>
      <c r="ED371" t="n">
        <v>250</v>
      </c>
      <c r="EE371" t="n">
        <v>750</v>
      </c>
      <c r="EF371" t="n">
        <v>0</v>
      </c>
      <c r="EG371" t="n">
        <v>0</v>
      </c>
      <c r="EH371" t="n">
        <v>1</v>
      </c>
      <c r="EI371" t="n">
        <v>0.8</v>
      </c>
      <c r="EJ371" t="n">
        <v>4</v>
      </c>
      <c r="EK371" t="n">
        <v>82.09999999999999</v>
      </c>
    </row>
    <row r="372">
      <c r="A372">
        <f>[1]ingredient!B372</f>
        <v/>
      </c>
      <c r="B372" t="inlineStr">
        <is>
          <t>https://www.datayoureat.com/r/NwxAy3YZcJU2/Selleriesamen?u=metric&amp;n=full#nutrition</t>
        </is>
      </c>
      <c r="C372" s="7">
        <f>_xlfn.XLOOKUP(A372,[1]ingredient!$B$2:$B$521,[1]ingredient!$A$2:$A$521)</f>
        <v/>
      </c>
      <c r="D372" t="n">
        <v>392</v>
      </c>
      <c r="E372" t="n">
        <v>25.3</v>
      </c>
      <c r="F372" t="n">
        <v>18</v>
      </c>
      <c r="G372" t="n">
        <v>41</v>
      </c>
      <c r="H372" t="n">
        <v>11.8</v>
      </c>
      <c r="I372" t="n">
        <v>0.67</v>
      </c>
      <c r="J372" t="n">
        <v>0</v>
      </c>
      <c r="K372" t="n">
        <v>6</v>
      </c>
      <c r="L372" t="n">
        <v>3</v>
      </c>
      <c r="M372" t="n">
        <v>0</v>
      </c>
      <c r="N372" t="n">
        <v>0</v>
      </c>
      <c r="O372" t="n">
        <v>0</v>
      </c>
      <c r="P372" t="n">
        <v>340</v>
      </c>
      <c r="Q372" t="n">
        <v>290</v>
      </c>
      <c r="R372" t="n">
        <v>0</v>
      </c>
      <c r="S372" t="n">
        <v>24700</v>
      </c>
      <c r="T372" t="n">
        <v>0</v>
      </c>
      <c r="U372" t="n">
        <v>890</v>
      </c>
      <c r="V372" t="n">
        <v>0</v>
      </c>
      <c r="W372" t="n">
        <v>0</v>
      </c>
      <c r="X372" t="n">
        <v>0</v>
      </c>
      <c r="Y372" t="n">
        <v>17100</v>
      </c>
      <c r="Z372" t="n">
        <v>0</v>
      </c>
      <c r="AA372" t="n">
        <v>1070</v>
      </c>
      <c r="AB372" t="n">
        <v>0</v>
      </c>
      <c r="AC372" t="n">
        <v>160</v>
      </c>
      <c r="AD372" t="n">
        <v>1400</v>
      </c>
      <c r="AE372" t="n">
        <v>1767</v>
      </c>
      <c r="AF372" t="n">
        <v>440</v>
      </c>
      <c r="AG372" t="n">
        <v>547</v>
      </c>
      <c r="AH372" t="n">
        <v>0</v>
      </c>
      <c r="AI372" t="n">
        <v>0</v>
      </c>
      <c r="AJ372" t="n">
        <v>44900</v>
      </c>
      <c r="AK372" t="n">
        <v>6930</v>
      </c>
      <c r="AL372" t="n">
        <v>1370</v>
      </c>
      <c r="AM372" t="n">
        <v>7567</v>
      </c>
      <c r="AN372" t="n">
        <v>0</v>
      </c>
      <c r="AO372" t="n">
        <v>0</v>
      </c>
      <c r="AP372" t="n">
        <v>0</v>
      </c>
      <c r="AQ372" t="n">
        <v>0</v>
      </c>
      <c r="AR372" t="n">
        <v>0</v>
      </c>
      <c r="AS372" t="n">
        <v>0</v>
      </c>
      <c r="AT372" t="n">
        <v>0</v>
      </c>
      <c r="AU372" t="n">
        <v>0</v>
      </c>
      <c r="AV372" t="n">
        <v>0</v>
      </c>
      <c r="AW372" t="n">
        <v>0</v>
      </c>
      <c r="AX372" t="n">
        <v>0</v>
      </c>
      <c r="AY372" t="n">
        <v>0</v>
      </c>
      <c r="AZ372" t="n">
        <v>0</v>
      </c>
      <c r="BA372" t="n">
        <v>0</v>
      </c>
      <c r="BB372" t="n">
        <v>0</v>
      </c>
      <c r="BC372" t="n">
        <v>0</v>
      </c>
      <c r="BD372" t="n">
        <v>0</v>
      </c>
      <c r="BE372" t="n">
        <v>0</v>
      </c>
      <c r="BF372" t="n">
        <v>0</v>
      </c>
      <c r="BG372">
        <f>IF($F372=0,"0",MIN(
BH372/(30*$F372),
BI372/(61*$F372),
BJ372/(48*$F372),
(BK372+BL372)/(23*$F372),
(BM372+BN372)/(41*$F372),
BO372/(25*$F372),
BP372/(6.6*$F372),
BQ372/(40*$F372),
BS372/(16*$F372)
)*100)</f>
        <v/>
      </c>
      <c r="BH372" t="n">
        <v>0</v>
      </c>
      <c r="BI372" t="n">
        <v>0</v>
      </c>
      <c r="BJ372" t="n">
        <v>0</v>
      </c>
      <c r="BK372" t="n">
        <v>0</v>
      </c>
      <c r="BL372" t="n">
        <v>0</v>
      </c>
      <c r="BM372" t="n">
        <v>0</v>
      </c>
      <c r="BN372" t="n">
        <v>0</v>
      </c>
      <c r="BO372" t="n">
        <v>0</v>
      </c>
      <c r="BP372" t="n">
        <v>0</v>
      </c>
      <c r="BQ372" t="n">
        <v>0</v>
      </c>
      <c r="BR372" t="n">
        <v>0</v>
      </c>
      <c r="BS372" t="n">
        <v>0</v>
      </c>
      <c r="BT372" t="n">
        <v>0</v>
      </c>
      <c r="BU372" t="n">
        <v>0</v>
      </c>
      <c r="BV372" t="n">
        <v>0</v>
      </c>
      <c r="BW372" t="n">
        <v>0</v>
      </c>
      <c r="BX372" t="n">
        <v>0</v>
      </c>
      <c r="BY372" t="n">
        <v>0</v>
      </c>
      <c r="BZ372" t="n">
        <v>0</v>
      </c>
      <c r="CA372" t="n">
        <v>0</v>
      </c>
      <c r="CB372" t="n">
        <v>0</v>
      </c>
      <c r="CC372" t="n">
        <v>0</v>
      </c>
      <c r="CD372" t="n">
        <v>0</v>
      </c>
      <c r="CE372" t="n">
        <v>0</v>
      </c>
      <c r="CF372" t="n">
        <v>0</v>
      </c>
      <c r="CG372" t="n">
        <v>0</v>
      </c>
      <c r="CH372" t="n">
        <v>0</v>
      </c>
      <c r="CI372" t="n">
        <v>0</v>
      </c>
      <c r="CJ372" t="n">
        <v>0</v>
      </c>
      <c r="CK372" t="n">
        <v>0</v>
      </c>
      <c r="CL372" t="n">
        <v>0</v>
      </c>
      <c r="CM372" t="n">
        <v>0</v>
      </c>
      <c r="CN372" t="n">
        <v>0</v>
      </c>
      <c r="CO372" t="n">
        <v>0</v>
      </c>
      <c r="CP372" t="n">
        <v>0</v>
      </c>
      <c r="CQ372" t="n">
        <v>0</v>
      </c>
      <c r="CR372" t="n">
        <v>0</v>
      </c>
      <c r="CS372" t="n">
        <v>0</v>
      </c>
      <c r="CT372" t="n">
        <v>2190</v>
      </c>
      <c r="CU372" t="n">
        <v>0</v>
      </c>
      <c r="CV372" t="n">
        <v>0</v>
      </c>
      <c r="CW372" t="n">
        <v>0</v>
      </c>
      <c r="CX372" t="n">
        <v>0</v>
      </c>
      <c r="CY372" t="n">
        <v>0</v>
      </c>
      <c r="CZ372" t="n">
        <v>0</v>
      </c>
      <c r="DA372" t="n">
        <v>0</v>
      </c>
      <c r="DB372" t="n">
        <v>0</v>
      </c>
      <c r="DC372" t="n">
        <v>15930</v>
      </c>
      <c r="DD372" t="n">
        <v>0</v>
      </c>
      <c r="DE372" t="n">
        <v>0</v>
      </c>
      <c r="DF372" t="n">
        <v>0</v>
      </c>
      <c r="DG372" t="n">
        <v>0</v>
      </c>
      <c r="DH372" t="n">
        <v>0</v>
      </c>
      <c r="DI372" t="n">
        <v>0</v>
      </c>
      <c r="DJ372" t="n">
        <v>0</v>
      </c>
      <c r="DK372" t="n">
        <v>0</v>
      </c>
      <c r="DL372" t="n">
        <v>0</v>
      </c>
      <c r="DM372" t="n">
        <v>0</v>
      </c>
      <c r="DN372" t="n">
        <v>0</v>
      </c>
      <c r="DO372" t="n">
        <v>0</v>
      </c>
      <c r="DP372" t="n">
        <v>0</v>
      </c>
      <c r="DQ372" t="n">
        <v>0</v>
      </c>
      <c r="DR372" t="n">
        <v>0</v>
      </c>
      <c r="DS372" t="n">
        <v>3720</v>
      </c>
      <c r="DT372" t="n">
        <v>0</v>
      </c>
      <c r="DU372" t="n">
        <v>0</v>
      </c>
      <c r="DV372" t="n">
        <v>0</v>
      </c>
      <c r="DW372" t="n">
        <v>0</v>
      </c>
      <c r="DX372" t="n">
        <v>0</v>
      </c>
      <c r="DY372" t="n">
        <v>0</v>
      </c>
      <c r="DZ372" t="n">
        <v>0</v>
      </c>
      <c r="EA372" t="n">
        <v>0</v>
      </c>
      <c r="EB372" t="n">
        <v>0</v>
      </c>
      <c r="EC372" t="n">
        <v>0</v>
      </c>
      <c r="ED372" t="n">
        <v>0</v>
      </c>
      <c r="EE372" t="n">
        <v>0</v>
      </c>
      <c r="EF372" t="n">
        <v>0</v>
      </c>
      <c r="EG372" t="n">
        <v>0</v>
      </c>
      <c r="EH372" t="n">
        <v>0</v>
      </c>
      <c r="EI372" t="n">
        <v>0</v>
      </c>
      <c r="EJ372" t="n">
        <v>0</v>
      </c>
      <c r="EK372" t="n">
        <v>0</v>
      </c>
    </row>
    <row r="373">
      <c r="A373">
        <f>[1]ingredient!B373</f>
        <v/>
      </c>
      <c r="B373" t="inlineStr">
        <is>
          <t>https://www.naehrwertrechner.de/naehrwerte/R133000/Senf+scharf/?menge=100</t>
        </is>
      </c>
      <c r="C373" s="7">
        <f>_xlfn.XLOOKUP(A373,[1]ingredient!$B$2:$B$521,[1]ingredient!$A$2:$A$521)</f>
        <v/>
      </c>
      <c r="D373" t="n">
        <v>79</v>
      </c>
      <c r="E373" t="n">
        <v>4</v>
      </c>
      <c r="F373" t="n">
        <v>6</v>
      </c>
      <c r="G373" t="n">
        <v>4</v>
      </c>
      <c r="H373" t="n">
        <v>1</v>
      </c>
      <c r="I373" t="n">
        <v>3</v>
      </c>
      <c r="J373" t="n">
        <v>4</v>
      </c>
      <c r="K373" t="n">
        <v>79</v>
      </c>
      <c r="L373" t="n">
        <v>5</v>
      </c>
      <c r="M373" t="n">
        <v>3</v>
      </c>
      <c r="N373" t="n">
        <v>0</v>
      </c>
      <c r="O373" t="n">
        <v>30</v>
      </c>
      <c r="P373" t="n">
        <v>0</v>
      </c>
      <c r="Q373" t="n">
        <v>200</v>
      </c>
      <c r="R373" t="n">
        <v>5000</v>
      </c>
      <c r="S373" t="n">
        <v>6967</v>
      </c>
      <c r="T373" t="n">
        <v>550</v>
      </c>
      <c r="U373" t="n">
        <v>70</v>
      </c>
      <c r="V373" t="n">
        <v>5</v>
      </c>
      <c r="W373" t="n">
        <v>0</v>
      </c>
      <c r="X373" t="n">
        <v>0</v>
      </c>
      <c r="Y373" t="n">
        <v>3000</v>
      </c>
      <c r="Z373" t="n">
        <v>0</v>
      </c>
      <c r="AA373" t="n">
        <v>0</v>
      </c>
      <c r="AB373" t="n">
        <v>0</v>
      </c>
      <c r="AC373" t="n">
        <v>1300</v>
      </c>
      <c r="AD373" t="n">
        <v>130</v>
      </c>
      <c r="AE373" t="n">
        <v>124</v>
      </c>
      <c r="AF373" t="n">
        <v>100</v>
      </c>
      <c r="AG373" t="n">
        <v>180</v>
      </c>
      <c r="AH373" t="n">
        <v>220</v>
      </c>
      <c r="AI373" t="n">
        <v>2500</v>
      </c>
      <c r="AJ373" t="n">
        <v>1800</v>
      </c>
      <c r="AK373" t="n">
        <v>400</v>
      </c>
      <c r="AL373" t="n">
        <v>420</v>
      </c>
      <c r="AM373" t="n">
        <v>200</v>
      </c>
      <c r="AN373" t="n">
        <v>32</v>
      </c>
      <c r="AO373" t="n">
        <v>2</v>
      </c>
      <c r="AP373" t="n">
        <v>0</v>
      </c>
      <c r="AQ373" t="n">
        <v>0</v>
      </c>
      <c r="AR373" t="n">
        <v>0</v>
      </c>
      <c r="AS373" t="n">
        <v>0</v>
      </c>
      <c r="AT373" t="n">
        <v>440</v>
      </c>
      <c r="AU373" t="n">
        <v>280</v>
      </c>
      <c r="AV373" t="n">
        <v>0</v>
      </c>
      <c r="AW373" t="n">
        <v>720</v>
      </c>
      <c r="AX373" t="n">
        <v>1920</v>
      </c>
      <c r="AY373" t="n">
        <v>0</v>
      </c>
      <c r="AZ373" t="n">
        <v>0</v>
      </c>
      <c r="BA373" t="n">
        <v>1920</v>
      </c>
      <c r="BB373" t="n">
        <v>0</v>
      </c>
      <c r="BC373" t="n">
        <v>0</v>
      </c>
      <c r="BD373" t="n">
        <v>0</v>
      </c>
      <c r="BE373" t="n">
        <v>1360</v>
      </c>
      <c r="BF373" t="n">
        <v>1360</v>
      </c>
      <c r="BG373">
        <f>IF($F373=0,"0",MIN(
BH373/(30*$F373),
BI373/(61*$F373),
BJ373/(48*$F373),
(BK373+BL373)/(23*$F373),
(BM373+BN373)/(41*$F373),
BO373/(25*$F373),
BP373/(6.6*$F373),
BQ373/(40*$F373),
BS373/(16*$F373)
)*100)</f>
        <v/>
      </c>
      <c r="BH373" t="n">
        <v>254</v>
      </c>
      <c r="BI373" t="n">
        <v>413</v>
      </c>
      <c r="BJ373" t="n">
        <v>354</v>
      </c>
      <c r="BK373" t="n">
        <v>112</v>
      </c>
      <c r="BL373" t="n">
        <v>136</v>
      </c>
      <c r="BM373" t="n">
        <v>242</v>
      </c>
      <c r="BN373" t="n">
        <v>171</v>
      </c>
      <c r="BO373" t="n">
        <v>254</v>
      </c>
      <c r="BP373" t="n">
        <v>118</v>
      </c>
      <c r="BQ373" t="n">
        <v>307</v>
      </c>
      <c r="BR373" t="n">
        <v>407</v>
      </c>
      <c r="BS373" t="n">
        <v>177</v>
      </c>
      <c r="BT373" t="n">
        <v>2945</v>
      </c>
      <c r="BU373" t="n">
        <v>277</v>
      </c>
      <c r="BV373" t="n">
        <v>460</v>
      </c>
      <c r="BW373" t="n">
        <v>1174</v>
      </c>
      <c r="BX373" t="n">
        <v>307</v>
      </c>
      <c r="BY373" t="n">
        <v>454</v>
      </c>
      <c r="BZ373" t="n">
        <v>254</v>
      </c>
      <c r="CA373" t="n">
        <v>2926</v>
      </c>
      <c r="CB373" t="n">
        <v>29</v>
      </c>
      <c r="CC373" t="n">
        <v>12</v>
      </c>
      <c r="CD373" t="n">
        <v>535</v>
      </c>
      <c r="CE373" t="n">
        <v>382</v>
      </c>
      <c r="CF373" t="n">
        <v>0.71</v>
      </c>
      <c r="CG373" t="n">
        <v>0</v>
      </c>
      <c r="CH373" t="n">
        <v>0</v>
      </c>
      <c r="CI373" t="n">
        <v>0</v>
      </c>
      <c r="CJ373" t="n">
        <v>0</v>
      </c>
      <c r="CK373" t="n">
        <v>4</v>
      </c>
      <c r="CL373" t="n">
        <v>4</v>
      </c>
      <c r="CM373" t="n">
        <v>0</v>
      </c>
      <c r="CN373" t="n">
        <v>111</v>
      </c>
      <c r="CO373" t="n">
        <v>0</v>
      </c>
      <c r="CP373" t="n">
        <v>38</v>
      </c>
      <c r="CQ373" t="n">
        <v>27</v>
      </c>
      <c r="CR373" t="n">
        <v>15</v>
      </c>
      <c r="CS373" t="n">
        <v>11</v>
      </c>
      <c r="CT373" t="n">
        <v>210</v>
      </c>
      <c r="CU373" t="n">
        <v>0</v>
      </c>
      <c r="CV373" t="n">
        <v>0</v>
      </c>
      <c r="CW373" t="n">
        <v>8</v>
      </c>
      <c r="CX373" t="n">
        <v>0</v>
      </c>
      <c r="CY373" t="n">
        <v>738</v>
      </c>
      <c r="CZ373" t="n">
        <v>268</v>
      </c>
      <c r="DA373" t="n">
        <v>1606</v>
      </c>
      <c r="DB373" t="n">
        <v>76</v>
      </c>
      <c r="DC373" t="n">
        <v>2696</v>
      </c>
      <c r="DD373" t="n">
        <v>0</v>
      </c>
      <c r="DE373" t="n">
        <v>0</v>
      </c>
      <c r="DF373" t="n">
        <v>367</v>
      </c>
      <c r="DG373" t="n">
        <v>535</v>
      </c>
      <c r="DH373" t="n">
        <v>0</v>
      </c>
      <c r="DI373" t="n">
        <v>0</v>
      </c>
      <c r="DJ373" t="n">
        <v>15</v>
      </c>
      <c r="DK373" t="n">
        <v>0</v>
      </c>
      <c r="DL373" t="n">
        <v>0</v>
      </c>
      <c r="DM373" t="n">
        <v>0</v>
      </c>
      <c r="DN373" t="n">
        <v>0</v>
      </c>
      <c r="DO373" t="n">
        <v>0</v>
      </c>
      <c r="DP373" t="n">
        <v>0</v>
      </c>
      <c r="DQ373" t="n">
        <v>0</v>
      </c>
      <c r="DR373" t="n">
        <v>0</v>
      </c>
      <c r="DS373" t="n">
        <v>917</v>
      </c>
      <c r="DT373" t="n">
        <v>3823</v>
      </c>
      <c r="DU373" t="n">
        <v>176</v>
      </c>
      <c r="DV373" t="n">
        <v>0</v>
      </c>
      <c r="DW373" t="n">
        <v>0</v>
      </c>
      <c r="DX373" t="n">
        <v>0</v>
      </c>
      <c r="DY373" t="n">
        <v>455</v>
      </c>
      <c r="DZ373" t="n">
        <v>390</v>
      </c>
      <c r="EA373" t="n">
        <v>65</v>
      </c>
      <c r="EB373" t="n">
        <v>234</v>
      </c>
      <c r="EC373" t="n">
        <v>156</v>
      </c>
      <c r="ED373" t="n">
        <v>455</v>
      </c>
      <c r="EE373" t="n">
        <v>845</v>
      </c>
      <c r="EF373" t="n">
        <v>0</v>
      </c>
      <c r="EG373" t="n">
        <v>1</v>
      </c>
      <c r="EH373" t="n">
        <v>5.1</v>
      </c>
      <c r="EI373" t="n">
        <v>0.8</v>
      </c>
      <c r="EJ373" t="n">
        <v>4</v>
      </c>
      <c r="EK373" t="n">
        <v>6</v>
      </c>
    </row>
    <row r="374">
      <c r="A374">
        <f>[1]ingredient!B374</f>
        <v/>
      </c>
      <c r="B374" t="inlineStr">
        <is>
          <t>https://www.naehrwertrechner.de/naehrwerte/R272011/Senfkorn+gelb/?menge=100</t>
        </is>
      </c>
      <c r="C374" s="7">
        <f>_xlfn.XLOOKUP(A374,[1]ingredient!$B$2:$B$521,[1]ingredient!$A$2:$A$521)</f>
        <v/>
      </c>
      <c r="D374" t="n">
        <v>475</v>
      </c>
      <c r="E374" t="n">
        <v>29</v>
      </c>
      <c r="F374" t="n">
        <v>25</v>
      </c>
      <c r="G374" t="n">
        <v>28</v>
      </c>
      <c r="H374" t="n">
        <v>7</v>
      </c>
      <c r="I374" t="n">
        <v>14</v>
      </c>
      <c r="J374" t="n">
        <v>0.07000000000000001</v>
      </c>
      <c r="K374" t="n">
        <v>6</v>
      </c>
      <c r="L374" t="n">
        <v>6</v>
      </c>
      <c r="M374" t="n">
        <v>3</v>
      </c>
      <c r="N374" t="n">
        <v>0</v>
      </c>
      <c r="O374" t="n">
        <v>37</v>
      </c>
      <c r="P374" t="n">
        <v>540</v>
      </c>
      <c r="Q374" t="n">
        <v>380</v>
      </c>
      <c r="R374" t="n">
        <v>7900</v>
      </c>
      <c r="S374" t="n">
        <v>16217</v>
      </c>
      <c r="T374" t="n">
        <v>500</v>
      </c>
      <c r="U374" t="n">
        <v>200</v>
      </c>
      <c r="V374" t="n">
        <v>10</v>
      </c>
      <c r="W374" t="n">
        <v>0</v>
      </c>
      <c r="X374" t="n">
        <v>0</v>
      </c>
      <c r="Y374" t="n">
        <v>0</v>
      </c>
      <c r="Z374" t="n">
        <v>0</v>
      </c>
      <c r="AA374" t="n">
        <v>0</v>
      </c>
      <c r="AB374" t="n">
        <v>0</v>
      </c>
      <c r="AC374" t="n">
        <v>5</v>
      </c>
      <c r="AD374" t="n">
        <v>680</v>
      </c>
      <c r="AE374" t="n">
        <v>520</v>
      </c>
      <c r="AF374" t="n">
        <v>300</v>
      </c>
      <c r="AG374" t="n">
        <v>840</v>
      </c>
      <c r="AH374" t="n">
        <v>100</v>
      </c>
      <c r="AI374" t="n">
        <v>60</v>
      </c>
      <c r="AJ374" t="n">
        <v>18500</v>
      </c>
      <c r="AK374" t="n">
        <v>4700</v>
      </c>
      <c r="AL374" t="n">
        <v>410</v>
      </c>
      <c r="AM374" t="n">
        <v>1800</v>
      </c>
      <c r="AN374" t="n">
        <v>50</v>
      </c>
      <c r="AO374" t="n">
        <v>5</v>
      </c>
      <c r="AP374" t="n">
        <v>0</v>
      </c>
      <c r="AQ374" t="n">
        <v>0</v>
      </c>
      <c r="AR374" t="n">
        <v>0</v>
      </c>
      <c r="AS374" t="n">
        <v>0</v>
      </c>
      <c r="AT374" t="n">
        <v>1420</v>
      </c>
      <c r="AU374" t="n">
        <v>0</v>
      </c>
      <c r="AV374" t="n">
        <v>0</v>
      </c>
      <c r="AW374" t="n">
        <v>1420</v>
      </c>
      <c r="AX374" t="n">
        <v>12780</v>
      </c>
      <c r="AY374" t="n">
        <v>0</v>
      </c>
      <c r="AZ374" t="n">
        <v>0</v>
      </c>
      <c r="BA374" t="n">
        <v>12780</v>
      </c>
      <c r="BB374" t="n">
        <v>0</v>
      </c>
      <c r="BC374" t="n">
        <v>0</v>
      </c>
      <c r="BD374" t="n">
        <v>0</v>
      </c>
      <c r="BE374" t="n">
        <v>14200</v>
      </c>
      <c r="BF374" t="n">
        <v>14200</v>
      </c>
      <c r="BG374">
        <f>IF($F374=0,"0",MIN(
BH374/(30*$F374),
BI374/(61*$F374),
BJ374/(48*$F374),
(BK374+BL374)/(23*$F374),
(BM374+BN374)/(41*$F374),
BO374/(25*$F374),
BP374/(6.6*$F374),
BQ374/(40*$F374),
BS374/(16*$F374)
)*100)</f>
        <v/>
      </c>
      <c r="BH374" t="n">
        <v>1072</v>
      </c>
      <c r="BI374" t="n">
        <v>1747</v>
      </c>
      <c r="BJ374" t="n">
        <v>1496</v>
      </c>
      <c r="BK374" t="n">
        <v>474</v>
      </c>
      <c r="BL374" t="n">
        <v>574</v>
      </c>
      <c r="BM374" t="n">
        <v>1023</v>
      </c>
      <c r="BN374" t="n">
        <v>723</v>
      </c>
      <c r="BO374" t="n">
        <v>1072</v>
      </c>
      <c r="BP374" t="n">
        <v>499</v>
      </c>
      <c r="BQ374" t="n">
        <v>1297</v>
      </c>
      <c r="BR374" t="n">
        <v>1721</v>
      </c>
      <c r="BS374" t="n">
        <v>748</v>
      </c>
      <c r="BT374" t="n">
        <v>12446</v>
      </c>
      <c r="BU374" t="n">
        <v>1172</v>
      </c>
      <c r="BV374" t="n">
        <v>1945</v>
      </c>
      <c r="BW374" t="n">
        <v>4963</v>
      </c>
      <c r="BX374" t="n">
        <v>1297</v>
      </c>
      <c r="BY374" t="n">
        <v>1920</v>
      </c>
      <c r="BZ374" t="n">
        <v>1072</v>
      </c>
      <c r="CA374" t="n">
        <v>12369</v>
      </c>
      <c r="CB374" t="n">
        <v>120</v>
      </c>
      <c r="CC374" t="n">
        <v>50</v>
      </c>
      <c r="CD374" t="n">
        <v>3855</v>
      </c>
      <c r="CE374" t="n">
        <v>2753</v>
      </c>
      <c r="CF374" t="n">
        <v>0.71</v>
      </c>
      <c r="CG374" t="n">
        <v>0</v>
      </c>
      <c r="CH374" t="n">
        <v>0</v>
      </c>
      <c r="CI374" t="n">
        <v>0</v>
      </c>
      <c r="CJ374" t="n">
        <v>0</v>
      </c>
      <c r="CK374" t="n">
        <v>28</v>
      </c>
      <c r="CL374" t="n">
        <v>28</v>
      </c>
      <c r="CM374" t="n">
        <v>0</v>
      </c>
      <c r="CN374" t="n">
        <v>798</v>
      </c>
      <c r="CO374" t="n">
        <v>0</v>
      </c>
      <c r="CP374" t="n">
        <v>275</v>
      </c>
      <c r="CQ374" t="n">
        <v>193</v>
      </c>
      <c r="CR374" t="n">
        <v>110</v>
      </c>
      <c r="CS374" t="n">
        <v>83</v>
      </c>
      <c r="CT374" t="n">
        <v>1515</v>
      </c>
      <c r="CU374" t="n">
        <v>0</v>
      </c>
      <c r="CV374" t="n">
        <v>0</v>
      </c>
      <c r="CW374" t="n">
        <v>55</v>
      </c>
      <c r="CX374" t="n">
        <v>0</v>
      </c>
      <c r="CY374" t="n">
        <v>5314</v>
      </c>
      <c r="CZ374" t="n">
        <v>1927</v>
      </c>
      <c r="DA374" t="n">
        <v>11563</v>
      </c>
      <c r="DB374" t="n">
        <v>551</v>
      </c>
      <c r="DC374" t="n">
        <v>19410</v>
      </c>
      <c r="DD374" t="n">
        <v>0</v>
      </c>
      <c r="DE374" t="n">
        <v>0</v>
      </c>
      <c r="DF374" t="n">
        <v>2643</v>
      </c>
      <c r="DG374" t="n">
        <v>3855</v>
      </c>
      <c r="DH374" t="n">
        <v>0</v>
      </c>
      <c r="DI374" t="n">
        <v>0</v>
      </c>
      <c r="DJ374" t="n">
        <v>110</v>
      </c>
      <c r="DK374" t="n">
        <v>0</v>
      </c>
      <c r="DL374" t="n">
        <v>0</v>
      </c>
      <c r="DM374" t="n">
        <v>0</v>
      </c>
      <c r="DN374" t="n">
        <v>0</v>
      </c>
      <c r="DO374" t="n">
        <v>0</v>
      </c>
      <c r="DP374" t="n">
        <v>0</v>
      </c>
      <c r="DQ374" t="n">
        <v>0</v>
      </c>
      <c r="DR374" t="n">
        <v>0</v>
      </c>
      <c r="DS374" t="n">
        <v>6608</v>
      </c>
      <c r="DT374" t="n">
        <v>27533</v>
      </c>
      <c r="DU374" t="n">
        <v>1267</v>
      </c>
      <c r="DV374" t="n">
        <v>0</v>
      </c>
      <c r="DW374" t="n">
        <v>0</v>
      </c>
      <c r="DX374" t="n">
        <v>0</v>
      </c>
      <c r="DY374" t="n">
        <v>1310</v>
      </c>
      <c r="DZ374" t="n">
        <v>983</v>
      </c>
      <c r="EA374" t="n">
        <v>1638</v>
      </c>
      <c r="EB374" t="n">
        <v>1964</v>
      </c>
      <c r="EC374" t="n">
        <v>655</v>
      </c>
      <c r="ED374" t="n">
        <v>3275</v>
      </c>
      <c r="EE374" t="n">
        <v>3275</v>
      </c>
      <c r="EF374" t="n">
        <v>0</v>
      </c>
      <c r="EG374" t="n">
        <v>1</v>
      </c>
      <c r="EH374" t="n">
        <v>4.5</v>
      </c>
      <c r="EI374" t="n">
        <v>3.3</v>
      </c>
      <c r="EJ374" t="n">
        <v>28.8</v>
      </c>
      <c r="EK374" t="n">
        <v>25.2</v>
      </c>
    </row>
    <row r="375">
      <c r="A375">
        <f>[1]ingredient!B375</f>
        <v/>
      </c>
      <c r="B375" t="inlineStr">
        <is>
          <t>https://www.naehrwertrechner.de/naehrwerte/H660011/Andere+H%C3%BClsenfr%C3%BCchte+gekeimt/?menge=100</t>
        </is>
      </c>
      <c r="C375" s="7">
        <f>_xlfn.XLOOKUP(A375,[1]ingredient!$B$2:$B$521,[1]ingredient!$A$2:$A$521)</f>
        <v/>
      </c>
      <c r="D375" t="n">
        <v>32</v>
      </c>
      <c r="E375" t="n">
        <v>0.34</v>
      </c>
      <c r="F375" t="n">
        <v>5</v>
      </c>
      <c r="G375" t="n">
        <v>2</v>
      </c>
      <c r="H375" t="n">
        <v>2</v>
      </c>
      <c r="I375" t="n">
        <v>1</v>
      </c>
      <c r="J375" t="n">
        <v>0.04</v>
      </c>
      <c r="K375" t="n">
        <v>90</v>
      </c>
      <c r="L375" t="n">
        <v>17</v>
      </c>
      <c r="M375" t="n">
        <v>9</v>
      </c>
      <c r="N375" t="n">
        <v>0</v>
      </c>
      <c r="O375" t="n">
        <v>102</v>
      </c>
      <c r="P375" t="n">
        <v>170</v>
      </c>
      <c r="Q375" t="n">
        <v>150</v>
      </c>
      <c r="R375" t="n">
        <v>940</v>
      </c>
      <c r="S375" t="n">
        <v>1623</v>
      </c>
      <c r="T375" t="n">
        <v>1140</v>
      </c>
      <c r="U375" t="n">
        <v>220</v>
      </c>
      <c r="V375" t="n">
        <v>6</v>
      </c>
      <c r="W375" t="n">
        <v>92</v>
      </c>
      <c r="X375" t="n">
        <v>0</v>
      </c>
      <c r="Y375" t="n">
        <v>22000</v>
      </c>
      <c r="Z375" t="n">
        <v>0</v>
      </c>
      <c r="AA375" t="n">
        <v>90</v>
      </c>
      <c r="AB375" t="n">
        <v>7</v>
      </c>
      <c r="AC375" t="n">
        <v>20</v>
      </c>
      <c r="AD375" t="n">
        <v>173</v>
      </c>
      <c r="AE375" t="n">
        <v>56</v>
      </c>
      <c r="AF375" t="n">
        <v>18</v>
      </c>
      <c r="AG375" t="n">
        <v>94</v>
      </c>
      <c r="AH375" t="n">
        <v>50</v>
      </c>
      <c r="AI375" t="n">
        <v>20</v>
      </c>
      <c r="AJ375" t="n">
        <v>980</v>
      </c>
      <c r="AK375" t="n">
        <v>630</v>
      </c>
      <c r="AL375" t="n">
        <v>190</v>
      </c>
      <c r="AM375" t="n">
        <v>110</v>
      </c>
      <c r="AN375" t="n">
        <v>10</v>
      </c>
      <c r="AO375" t="n">
        <v>5</v>
      </c>
      <c r="AP375" t="n">
        <v>0</v>
      </c>
      <c r="AQ375" t="n">
        <v>0</v>
      </c>
      <c r="AR375" t="n">
        <v>0</v>
      </c>
      <c r="AS375" t="n">
        <v>0</v>
      </c>
      <c r="AT375" t="n">
        <v>443</v>
      </c>
      <c r="AU375" t="n">
        <v>444</v>
      </c>
      <c r="AV375" t="n">
        <v>0</v>
      </c>
      <c r="AW375" t="n">
        <v>887</v>
      </c>
      <c r="AX375" t="n">
        <v>37</v>
      </c>
      <c r="AY375" t="n">
        <v>0</v>
      </c>
      <c r="AZ375" t="n">
        <v>0</v>
      </c>
      <c r="BA375" t="n">
        <v>37</v>
      </c>
      <c r="BB375" t="n">
        <v>93</v>
      </c>
      <c r="BC375" t="n">
        <v>0</v>
      </c>
      <c r="BD375" t="n">
        <v>0</v>
      </c>
      <c r="BE375" t="n">
        <v>833</v>
      </c>
      <c r="BF375" t="n">
        <v>833</v>
      </c>
      <c r="BG375">
        <f>IF($F375=0,"0",MIN(
BH375/(30*$F375),
BI375/(61*$F375),
BJ375/(48*$F375),
(BK375+BL375)/(23*$F375),
(BM375+BN375)/(41*$F375),
BO375/(25*$F375),
BP375/(6.6*$F375),
BQ375/(40*$F375),
BS375/(16*$F375)
)*100)</f>
        <v/>
      </c>
      <c r="BH375" t="n">
        <v>103</v>
      </c>
      <c r="BI375" t="n">
        <v>216</v>
      </c>
      <c r="BJ375" t="n">
        <v>221</v>
      </c>
      <c r="BK375" t="n">
        <v>395</v>
      </c>
      <c r="BL375" t="n">
        <v>87</v>
      </c>
      <c r="BM375" t="n">
        <v>144</v>
      </c>
      <c r="BN375" t="n">
        <v>72</v>
      </c>
      <c r="BO375" t="n">
        <v>108</v>
      </c>
      <c r="BP375" t="n">
        <v>41</v>
      </c>
      <c r="BQ375" t="n">
        <v>123</v>
      </c>
      <c r="BR375" t="n">
        <v>278</v>
      </c>
      <c r="BS375" t="n">
        <v>93</v>
      </c>
      <c r="BT375" t="n">
        <v>1881</v>
      </c>
      <c r="BU375" t="n">
        <v>139</v>
      </c>
      <c r="BV375" t="n">
        <v>386</v>
      </c>
      <c r="BW375" t="n">
        <v>591</v>
      </c>
      <c r="BX375" t="n">
        <v>118</v>
      </c>
      <c r="BY375" t="n">
        <v>159</v>
      </c>
      <c r="BZ375" t="n">
        <v>170</v>
      </c>
      <c r="CA375" t="n">
        <v>1563</v>
      </c>
      <c r="CB375" t="n">
        <v>12</v>
      </c>
      <c r="CC375" t="n">
        <v>5</v>
      </c>
      <c r="CD375" t="n">
        <v>32</v>
      </c>
      <c r="CE375" t="n">
        <v>141</v>
      </c>
      <c r="CF375" t="n">
        <v>4.41</v>
      </c>
      <c r="CG375" t="n">
        <v>0</v>
      </c>
      <c r="CH375" t="n">
        <v>0</v>
      </c>
      <c r="CI375" t="n">
        <v>0</v>
      </c>
      <c r="CJ375" t="n">
        <v>0</v>
      </c>
      <c r="CK375" t="n">
        <v>0</v>
      </c>
      <c r="CL375" t="n">
        <v>0</v>
      </c>
      <c r="CM375" t="n">
        <v>0</v>
      </c>
      <c r="CN375" t="n">
        <v>60</v>
      </c>
      <c r="CO375" t="n">
        <v>0</v>
      </c>
      <c r="CP375" t="n">
        <v>6</v>
      </c>
      <c r="CQ375" t="n">
        <v>0</v>
      </c>
      <c r="CR375" t="n">
        <v>0</v>
      </c>
      <c r="CS375" t="n">
        <v>0</v>
      </c>
      <c r="CT375" t="n">
        <v>66</v>
      </c>
      <c r="CU375" t="n">
        <v>0</v>
      </c>
      <c r="CV375" t="n">
        <v>0</v>
      </c>
      <c r="CW375" t="n">
        <v>0</v>
      </c>
      <c r="CX375" t="n">
        <v>0</v>
      </c>
      <c r="CY375" t="n">
        <v>33</v>
      </c>
      <c r="CZ375" t="n">
        <v>0</v>
      </c>
      <c r="DA375" t="n">
        <v>0</v>
      </c>
      <c r="DB375" t="n">
        <v>0</v>
      </c>
      <c r="DC375" t="n">
        <v>33</v>
      </c>
      <c r="DD375" t="n">
        <v>0</v>
      </c>
      <c r="DE375" t="n">
        <v>0</v>
      </c>
      <c r="DF375" t="n">
        <v>141</v>
      </c>
      <c r="DG375" t="n">
        <v>32</v>
      </c>
      <c r="DH375" t="n">
        <v>0</v>
      </c>
      <c r="DI375" t="n">
        <v>0</v>
      </c>
      <c r="DJ375" t="n">
        <v>0</v>
      </c>
      <c r="DK375" t="n">
        <v>0</v>
      </c>
      <c r="DL375" t="n">
        <v>0</v>
      </c>
      <c r="DM375" t="n">
        <v>0</v>
      </c>
      <c r="DN375" t="n">
        <v>0</v>
      </c>
      <c r="DO375" t="n">
        <v>0</v>
      </c>
      <c r="DP375" t="n">
        <v>0</v>
      </c>
      <c r="DQ375" t="n">
        <v>0</v>
      </c>
      <c r="DR375" t="n">
        <v>0</v>
      </c>
      <c r="DS375" t="n">
        <v>173</v>
      </c>
      <c r="DT375" t="n">
        <v>272</v>
      </c>
      <c r="DU375" t="n">
        <v>68</v>
      </c>
      <c r="DV375" t="n">
        <v>0</v>
      </c>
      <c r="DW375" t="n">
        <v>0</v>
      </c>
      <c r="DX375" t="n">
        <v>0</v>
      </c>
      <c r="DY375" t="n">
        <v>278</v>
      </c>
      <c r="DZ375" t="n">
        <v>749</v>
      </c>
      <c r="EA375" t="n">
        <v>278</v>
      </c>
      <c r="EB375" t="n">
        <v>792</v>
      </c>
      <c r="EC375" t="n">
        <v>43</v>
      </c>
      <c r="ED375" t="n">
        <v>1070</v>
      </c>
      <c r="EE375" t="n">
        <v>1070</v>
      </c>
      <c r="EF375" t="n">
        <v>0</v>
      </c>
      <c r="EG375" t="n">
        <v>0.3</v>
      </c>
      <c r="EH375" t="n">
        <v>0.5</v>
      </c>
      <c r="EI375" t="n">
        <v>1.1</v>
      </c>
      <c r="EJ375" t="n">
        <v>0.3</v>
      </c>
      <c r="EK375" t="n">
        <v>3.5</v>
      </c>
    </row>
    <row r="376">
      <c r="A376">
        <f>[1]ingredient!B376</f>
        <v/>
      </c>
      <c r="B376" t="inlineStr">
        <is>
          <t>https://www.naehrwertrechner.de/naehrwerte/H420000/Sesam/?menge=100</t>
        </is>
      </c>
      <c r="C376" s="7">
        <f>_xlfn.XLOOKUP(A376,[1]ingredient!$B$2:$B$521,[1]ingredient!$A$2:$A$521)</f>
        <v/>
      </c>
      <c r="D376" t="n">
        <v>572</v>
      </c>
      <c r="E376" t="n">
        <v>50</v>
      </c>
      <c r="F376" t="n">
        <v>21</v>
      </c>
      <c r="G376" t="n">
        <v>10</v>
      </c>
      <c r="H376" t="n">
        <v>11</v>
      </c>
      <c r="I376" t="n">
        <v>0.2</v>
      </c>
      <c r="J376" t="n">
        <v>0.06</v>
      </c>
      <c r="K376" t="n">
        <v>2</v>
      </c>
      <c r="L376" t="n">
        <v>7</v>
      </c>
      <c r="M376" t="n">
        <v>4</v>
      </c>
      <c r="N376" t="n">
        <v>0</v>
      </c>
      <c r="O376" t="n">
        <v>42</v>
      </c>
      <c r="P376" t="n">
        <v>790</v>
      </c>
      <c r="Q376" t="n">
        <v>250</v>
      </c>
      <c r="R376" t="n">
        <v>4520</v>
      </c>
      <c r="S376" t="n">
        <v>9370</v>
      </c>
      <c r="T376" t="n">
        <v>1410</v>
      </c>
      <c r="U376" t="n">
        <v>790</v>
      </c>
      <c r="V376" t="n">
        <v>11</v>
      </c>
      <c r="W376" t="n">
        <v>97</v>
      </c>
      <c r="X376" t="n">
        <v>0</v>
      </c>
      <c r="Y376" t="n">
        <v>0</v>
      </c>
      <c r="Z376" t="n">
        <v>0</v>
      </c>
      <c r="AA376" t="n">
        <v>250</v>
      </c>
      <c r="AB376" t="n">
        <v>2</v>
      </c>
      <c r="AC376" t="n">
        <v>45</v>
      </c>
      <c r="AD376" t="n">
        <v>458</v>
      </c>
      <c r="AE376" t="n">
        <v>783</v>
      </c>
      <c r="AF376" t="n">
        <v>347</v>
      </c>
      <c r="AG376" t="n">
        <v>607</v>
      </c>
      <c r="AH376" t="n">
        <v>230</v>
      </c>
      <c r="AI376" t="n">
        <v>10</v>
      </c>
      <c r="AJ376" t="n">
        <v>10000</v>
      </c>
      <c r="AK376" t="n">
        <v>7775</v>
      </c>
      <c r="AL376" t="n">
        <v>1460</v>
      </c>
      <c r="AM376" t="n">
        <v>1465</v>
      </c>
      <c r="AN376" t="n">
        <v>60</v>
      </c>
      <c r="AO376" t="n">
        <v>10</v>
      </c>
      <c r="AP376" t="n">
        <v>0</v>
      </c>
      <c r="AQ376" t="n">
        <v>0</v>
      </c>
      <c r="AR376" t="n">
        <v>0</v>
      </c>
      <c r="AS376" t="n">
        <v>0</v>
      </c>
      <c r="AT376" t="n">
        <v>0</v>
      </c>
      <c r="AU376" t="n">
        <v>0</v>
      </c>
      <c r="AV376" t="n">
        <v>0</v>
      </c>
      <c r="AW376" t="n">
        <v>0</v>
      </c>
      <c r="AX376" t="n">
        <v>204</v>
      </c>
      <c r="AY376" t="n">
        <v>0</v>
      </c>
      <c r="AZ376" t="n">
        <v>0</v>
      </c>
      <c r="BA376" t="n">
        <v>204</v>
      </c>
      <c r="BB376" t="n">
        <v>0</v>
      </c>
      <c r="BC376" t="n">
        <v>0</v>
      </c>
      <c r="BD376" t="n">
        <v>0</v>
      </c>
      <c r="BE376" t="n">
        <v>9996</v>
      </c>
      <c r="BF376" t="n">
        <v>9996</v>
      </c>
      <c r="BG376">
        <f>IF($F376=0,"0",MIN(
BH376/(30*$F376),
BI376/(61*$F376),
BJ376/(48*$F376),
(BK376+BL376)/(23*$F376),
(BM376+BN376)/(41*$F376),
BO376/(25*$F376),
BP376/(6.6*$F376),
BQ376/(40*$F376),
BS376/(16*$F376)
)*100)</f>
        <v/>
      </c>
      <c r="BH376" t="n">
        <v>934</v>
      </c>
      <c r="BI376" t="n">
        <v>1546</v>
      </c>
      <c r="BJ376" t="n">
        <v>643</v>
      </c>
      <c r="BK376" t="n">
        <v>643</v>
      </c>
      <c r="BL376" t="n">
        <v>261</v>
      </c>
      <c r="BM376" t="n">
        <v>1255</v>
      </c>
      <c r="BN376" t="n">
        <v>723</v>
      </c>
      <c r="BO376" t="n">
        <v>914</v>
      </c>
      <c r="BP376" t="n">
        <v>291</v>
      </c>
      <c r="BQ376" t="n">
        <v>1115</v>
      </c>
      <c r="BR376" t="n">
        <v>2209</v>
      </c>
      <c r="BS376" t="n">
        <v>492</v>
      </c>
      <c r="BT376" t="n">
        <v>11026</v>
      </c>
      <c r="BU376" t="n">
        <v>1135</v>
      </c>
      <c r="BV376" t="n">
        <v>1376</v>
      </c>
      <c r="BW376" t="n">
        <v>3746</v>
      </c>
      <c r="BX376" t="n">
        <v>1486</v>
      </c>
      <c r="BY376" t="n">
        <v>1135</v>
      </c>
      <c r="BZ376" t="n">
        <v>994</v>
      </c>
      <c r="CA376" t="n">
        <v>9872</v>
      </c>
      <c r="CB376" t="n">
        <v>62</v>
      </c>
      <c r="CC376" t="n">
        <v>26</v>
      </c>
      <c r="CD376" t="n">
        <v>684</v>
      </c>
      <c r="CE376" t="n">
        <v>19103</v>
      </c>
      <c r="CF376" t="n">
        <v>27.93</v>
      </c>
      <c r="CG376" t="n">
        <v>0</v>
      </c>
      <c r="CH376" t="n">
        <v>0</v>
      </c>
      <c r="CI376" t="n">
        <v>0</v>
      </c>
      <c r="CJ376" t="n">
        <v>0</v>
      </c>
      <c r="CK376" t="n">
        <v>0</v>
      </c>
      <c r="CL376" t="n">
        <v>98</v>
      </c>
      <c r="CM376" t="n">
        <v>0</v>
      </c>
      <c r="CN376" t="n">
        <v>5823</v>
      </c>
      <c r="CO376" t="n">
        <v>0</v>
      </c>
      <c r="CP376" t="n">
        <v>1635</v>
      </c>
      <c r="CQ376" t="n">
        <v>255</v>
      </c>
      <c r="CR376" t="n">
        <v>0</v>
      </c>
      <c r="CS376" t="n">
        <v>0</v>
      </c>
      <c r="CT376" t="n">
        <v>7811</v>
      </c>
      <c r="CU376" t="n">
        <v>0</v>
      </c>
      <c r="CV376" t="n">
        <v>0</v>
      </c>
      <c r="CW376" t="n">
        <v>149</v>
      </c>
      <c r="CX376" t="n">
        <v>0</v>
      </c>
      <c r="CY376" t="n">
        <v>20329</v>
      </c>
      <c r="CZ376" t="n">
        <v>49</v>
      </c>
      <c r="DA376" t="n">
        <v>0</v>
      </c>
      <c r="DB376" t="n">
        <v>0</v>
      </c>
      <c r="DC376" t="n">
        <v>20527</v>
      </c>
      <c r="DD376" t="n">
        <v>0</v>
      </c>
      <c r="DE376" t="n">
        <v>0</v>
      </c>
      <c r="DF376" t="n">
        <v>19103</v>
      </c>
      <c r="DG376" t="n">
        <v>684</v>
      </c>
      <c r="DH376" t="n">
        <v>0</v>
      </c>
      <c r="DI376" t="n">
        <v>0</v>
      </c>
      <c r="DJ376" t="n">
        <v>0</v>
      </c>
      <c r="DK376" t="n">
        <v>0</v>
      </c>
      <c r="DL376" t="n">
        <v>0</v>
      </c>
      <c r="DM376" t="n">
        <v>0</v>
      </c>
      <c r="DN376" t="n">
        <v>0</v>
      </c>
      <c r="DO376" t="n">
        <v>0</v>
      </c>
      <c r="DP376" t="n">
        <v>0</v>
      </c>
      <c r="DQ376" t="n">
        <v>0</v>
      </c>
      <c r="DR376" t="n">
        <v>0</v>
      </c>
      <c r="DS376" t="n">
        <v>19787</v>
      </c>
      <c r="DT376" t="n">
        <v>48125</v>
      </c>
      <c r="DU376" t="n">
        <v>2275</v>
      </c>
      <c r="DV376" t="n">
        <v>0</v>
      </c>
      <c r="DW376" t="n">
        <v>0</v>
      </c>
      <c r="DX376" t="n">
        <v>0</v>
      </c>
      <c r="DY376" t="n">
        <v>5031</v>
      </c>
      <c r="DZ376" t="n">
        <v>3354</v>
      </c>
      <c r="EA376" t="n">
        <v>559</v>
      </c>
      <c r="EB376" t="n">
        <v>1677</v>
      </c>
      <c r="EC376" t="n">
        <v>559</v>
      </c>
      <c r="ED376" t="n">
        <v>3220</v>
      </c>
      <c r="EE376" t="n">
        <v>7960</v>
      </c>
      <c r="EF376" t="n">
        <v>0</v>
      </c>
      <c r="EG376" t="n">
        <v>0</v>
      </c>
      <c r="EH376" t="n">
        <v>5.3</v>
      </c>
      <c r="EI376" t="n">
        <v>8</v>
      </c>
      <c r="EJ376" t="n">
        <v>50.4</v>
      </c>
      <c r="EK376" t="n">
        <v>21.1</v>
      </c>
    </row>
    <row r="377">
      <c r="A377">
        <f>[1]ingredient!B377</f>
        <v/>
      </c>
      <c r="B377" t="inlineStr">
        <is>
          <t>https://www.naehrwertrechner.de/naehrwerte/K724111/Shiitakepilz+frisch/?menge=100</t>
        </is>
      </c>
      <c r="C377" s="7">
        <f>_xlfn.XLOOKUP(A377,[1]ingredient!$B$2:$B$521,[1]ingredient!$A$2:$A$521)</f>
        <v/>
      </c>
      <c r="D377" t="n">
        <v>42</v>
      </c>
      <c r="E377" t="n">
        <v>0.22</v>
      </c>
      <c r="F377" t="n">
        <v>2</v>
      </c>
      <c r="G377" t="n">
        <v>12</v>
      </c>
      <c r="H377" t="n">
        <v>2</v>
      </c>
      <c r="I377" t="n">
        <v>2</v>
      </c>
      <c r="J377" t="n">
        <v>0.03</v>
      </c>
      <c r="K377" t="n">
        <v>84</v>
      </c>
      <c r="L377" t="n">
        <v>0</v>
      </c>
      <c r="M377" t="n">
        <v>0</v>
      </c>
      <c r="N377" t="n">
        <v>0</v>
      </c>
      <c r="O377" t="n">
        <v>0</v>
      </c>
      <c r="P377" t="n">
        <v>37</v>
      </c>
      <c r="Q377" t="n">
        <v>170</v>
      </c>
      <c r="R377" t="n">
        <v>2000</v>
      </c>
      <c r="S377" t="n">
        <v>2050</v>
      </c>
      <c r="T377" t="n">
        <v>2500</v>
      </c>
      <c r="U377" t="n">
        <v>50</v>
      </c>
      <c r="V377" t="n">
        <v>15</v>
      </c>
      <c r="W377" t="n">
        <v>25</v>
      </c>
      <c r="X377" t="n">
        <v>0</v>
      </c>
      <c r="Y377" t="n">
        <v>2000</v>
      </c>
      <c r="Z377" t="n">
        <v>2</v>
      </c>
      <c r="AA377" t="n">
        <v>100</v>
      </c>
      <c r="AB377" t="n">
        <v>15</v>
      </c>
      <c r="AC377" t="n">
        <v>4</v>
      </c>
      <c r="AD377" t="n">
        <v>120</v>
      </c>
      <c r="AE377" t="n">
        <v>3</v>
      </c>
      <c r="AF377" t="n">
        <v>14</v>
      </c>
      <c r="AG377" t="n">
        <v>29</v>
      </c>
      <c r="AH377" t="n">
        <v>35</v>
      </c>
      <c r="AI377" t="n">
        <v>30</v>
      </c>
      <c r="AJ377" t="n">
        <v>440</v>
      </c>
      <c r="AK377" t="n">
        <v>500</v>
      </c>
      <c r="AL377" t="n">
        <v>300</v>
      </c>
      <c r="AM377" t="n">
        <v>150</v>
      </c>
      <c r="AN377" t="n">
        <v>50</v>
      </c>
      <c r="AO377" t="n">
        <v>10</v>
      </c>
      <c r="AP377" t="n">
        <v>9856</v>
      </c>
      <c r="AQ377" t="n">
        <v>0</v>
      </c>
      <c r="AR377" t="n">
        <v>0</v>
      </c>
      <c r="AS377" t="n">
        <v>9856</v>
      </c>
      <c r="AT377" t="n">
        <v>1478</v>
      </c>
      <c r="AU377" t="n">
        <v>616</v>
      </c>
      <c r="AV377" t="n">
        <v>0</v>
      </c>
      <c r="AW377" t="n">
        <v>2094</v>
      </c>
      <c r="AX377" t="n">
        <v>370</v>
      </c>
      <c r="AY377" t="n">
        <v>0</v>
      </c>
      <c r="AZ377" t="n">
        <v>0</v>
      </c>
      <c r="BA377" t="n">
        <v>370</v>
      </c>
      <c r="BB377" t="n">
        <v>0</v>
      </c>
      <c r="BC377" t="n">
        <v>0</v>
      </c>
      <c r="BD377" t="n">
        <v>0</v>
      </c>
      <c r="BE377" t="n">
        <v>0</v>
      </c>
      <c r="BF377" t="n">
        <v>0</v>
      </c>
      <c r="BG377">
        <f>IF($F377=0,"0",MIN(
BH377/(30*$F377),
BI377/(61*$F377),
BJ377/(48*$F377),
(BK377+BL377)/(23*$F377),
(BM377+BN377)/(41*$F377),
BO377/(25*$F377),
BP377/(6.6*$F377),
BQ377/(40*$F377),
BS377/(16*$F377)
)*100)</f>
        <v/>
      </c>
      <c r="BH377" t="n">
        <v>55</v>
      </c>
      <c r="BI377" t="n">
        <v>92</v>
      </c>
      <c r="BJ377" t="n">
        <v>47</v>
      </c>
      <c r="BK377" t="n">
        <v>25</v>
      </c>
      <c r="BL377" t="n">
        <v>27</v>
      </c>
      <c r="BM377" t="n">
        <v>67</v>
      </c>
      <c r="BN377" t="n">
        <v>44</v>
      </c>
      <c r="BO377" t="n">
        <v>67</v>
      </c>
      <c r="BP377" t="n">
        <v>3</v>
      </c>
      <c r="BQ377" t="n">
        <v>67</v>
      </c>
      <c r="BR377" t="n">
        <v>89</v>
      </c>
      <c r="BS377" t="n">
        <v>22</v>
      </c>
      <c r="BT377" t="n">
        <v>605</v>
      </c>
      <c r="BU377" t="n">
        <v>78</v>
      </c>
      <c r="BV377" t="n">
        <v>103</v>
      </c>
      <c r="BW377" t="n">
        <v>353</v>
      </c>
      <c r="BX377" t="n">
        <v>56</v>
      </c>
      <c r="BY377" t="n">
        <v>56</v>
      </c>
      <c r="BZ377" t="n">
        <v>69</v>
      </c>
      <c r="CA377" t="n">
        <v>715</v>
      </c>
      <c r="CB377" t="n">
        <v>50</v>
      </c>
      <c r="CC377" t="n">
        <v>21</v>
      </c>
      <c r="CD377" t="n">
        <v>98</v>
      </c>
      <c r="CE377" t="n">
        <v>23</v>
      </c>
      <c r="CF377" t="n">
        <v>0.23</v>
      </c>
      <c r="CG377" t="n">
        <v>0</v>
      </c>
      <c r="CH377" t="n">
        <v>0</v>
      </c>
      <c r="CI377" t="n">
        <v>0</v>
      </c>
      <c r="CJ377" t="n">
        <v>0</v>
      </c>
      <c r="CK377" t="n">
        <v>0</v>
      </c>
      <c r="CL377" t="n">
        <v>1</v>
      </c>
      <c r="CM377" t="n">
        <v>0</v>
      </c>
      <c r="CN377" t="n">
        <v>48</v>
      </c>
      <c r="CO377" t="n">
        <v>0</v>
      </c>
      <c r="CP377" t="n">
        <v>3</v>
      </c>
      <c r="CQ377" t="n">
        <v>0</v>
      </c>
      <c r="CR377" t="n">
        <v>0</v>
      </c>
      <c r="CS377" t="n">
        <v>0</v>
      </c>
      <c r="CT377" t="n">
        <v>52</v>
      </c>
      <c r="CU377" t="n">
        <v>0</v>
      </c>
      <c r="CV377" t="n">
        <v>0</v>
      </c>
      <c r="CW377" t="n">
        <v>1</v>
      </c>
      <c r="CX377" t="n">
        <v>0</v>
      </c>
      <c r="CY377" t="n">
        <v>2</v>
      </c>
      <c r="CZ377" t="n">
        <v>0</v>
      </c>
      <c r="DA377" t="n">
        <v>0</v>
      </c>
      <c r="DB377" t="n">
        <v>0</v>
      </c>
      <c r="DC377" t="n">
        <v>3</v>
      </c>
      <c r="DD377" t="n">
        <v>0</v>
      </c>
      <c r="DE377" t="n">
        <v>0</v>
      </c>
      <c r="DF377" t="n">
        <v>23</v>
      </c>
      <c r="DG377" t="n">
        <v>98</v>
      </c>
      <c r="DH377" t="n">
        <v>0</v>
      </c>
      <c r="DI377" t="n">
        <v>0</v>
      </c>
      <c r="DJ377" t="n">
        <v>0</v>
      </c>
      <c r="DK377" t="n">
        <v>0</v>
      </c>
      <c r="DL377" t="n">
        <v>0</v>
      </c>
      <c r="DM377" t="n">
        <v>0</v>
      </c>
      <c r="DN377" t="n">
        <v>0</v>
      </c>
      <c r="DO377" t="n">
        <v>0</v>
      </c>
      <c r="DP377" t="n">
        <v>0</v>
      </c>
      <c r="DQ377" t="n">
        <v>0</v>
      </c>
      <c r="DR377" t="n">
        <v>0</v>
      </c>
      <c r="DS377" t="n">
        <v>121</v>
      </c>
      <c r="DT377" t="n">
        <v>176</v>
      </c>
      <c r="DU377" t="n">
        <v>44</v>
      </c>
      <c r="DV377" t="n">
        <v>0</v>
      </c>
      <c r="DW377" t="n">
        <v>0</v>
      </c>
      <c r="DX377" t="n">
        <v>0</v>
      </c>
      <c r="DY377" t="n">
        <v>0</v>
      </c>
      <c r="DZ377" t="n">
        <v>804</v>
      </c>
      <c r="EA377" t="n">
        <v>20</v>
      </c>
      <c r="EB377" t="n">
        <v>1117</v>
      </c>
      <c r="EC377" t="n">
        <v>20</v>
      </c>
      <c r="ED377" t="n">
        <v>373</v>
      </c>
      <c r="EE377" t="n">
        <v>1588</v>
      </c>
      <c r="EF377" t="n">
        <v>0</v>
      </c>
      <c r="EG377" t="n">
        <v>0.06</v>
      </c>
      <c r="EH377" t="n">
        <v>0.2</v>
      </c>
      <c r="EI377" t="n">
        <v>1.6</v>
      </c>
      <c r="EJ377" t="n">
        <v>0.2</v>
      </c>
      <c r="EK377" t="n">
        <v>1.5</v>
      </c>
    </row>
    <row r="378">
      <c r="A378">
        <f>[1]ingredient!B378</f>
        <v/>
      </c>
      <c r="B378" t="inlineStr">
        <is>
          <t>https://www.naehrwertrechner.de/naehrwerte/J371001/Miso/?menge=100</t>
        </is>
      </c>
      <c r="C378" s="7">
        <f>_xlfn.XLOOKUP(A378,[1]ingredient!$B$2:$B$521,[1]ingredient!$A$2:$A$521)</f>
        <v/>
      </c>
      <c r="D378" t="n">
        <v>115</v>
      </c>
      <c r="E378" t="n">
        <v>6</v>
      </c>
      <c r="F378" t="n">
        <v>11</v>
      </c>
      <c r="G378" t="n">
        <v>5</v>
      </c>
      <c r="H378" t="n">
        <v>11</v>
      </c>
      <c r="I378" t="n">
        <v>5</v>
      </c>
      <c r="J378" t="n">
        <v>7</v>
      </c>
      <c r="K378" t="n">
        <v>56</v>
      </c>
      <c r="L378" t="n">
        <v>9</v>
      </c>
      <c r="M378" t="n">
        <v>5</v>
      </c>
      <c r="N378" t="n">
        <v>0</v>
      </c>
      <c r="O378" t="n">
        <v>54</v>
      </c>
      <c r="P378" t="n">
        <v>60</v>
      </c>
      <c r="Q378" t="n">
        <v>100</v>
      </c>
      <c r="R378" t="n">
        <v>1300</v>
      </c>
      <c r="S378" t="n">
        <v>2883</v>
      </c>
      <c r="T378" t="n">
        <v>500</v>
      </c>
      <c r="U378" t="n">
        <v>300</v>
      </c>
      <c r="V378" t="n">
        <v>15</v>
      </c>
      <c r="W378" t="n">
        <v>40</v>
      </c>
      <c r="X378" t="n">
        <v>0.2</v>
      </c>
      <c r="Y378" t="n">
        <v>0</v>
      </c>
      <c r="Z378" t="n">
        <v>0</v>
      </c>
      <c r="AA378" t="n">
        <v>800</v>
      </c>
      <c r="AB378" t="n">
        <v>11</v>
      </c>
      <c r="AC378" t="n">
        <v>2950</v>
      </c>
      <c r="AD378" t="n">
        <v>334</v>
      </c>
      <c r="AE378" t="n">
        <v>68</v>
      </c>
      <c r="AF378" t="n">
        <v>120</v>
      </c>
      <c r="AG378" t="n">
        <v>309</v>
      </c>
      <c r="AH378" t="n">
        <v>70</v>
      </c>
      <c r="AI378" t="n">
        <v>4300</v>
      </c>
      <c r="AJ378" t="n">
        <v>1700</v>
      </c>
      <c r="AK378" t="n">
        <v>500</v>
      </c>
      <c r="AL378" t="n">
        <v>50</v>
      </c>
      <c r="AM378" t="n">
        <v>1400</v>
      </c>
      <c r="AN378" t="n">
        <v>30</v>
      </c>
      <c r="AO378" t="n">
        <v>3</v>
      </c>
      <c r="AP378" t="n">
        <v>0</v>
      </c>
      <c r="AQ378" t="n">
        <v>0</v>
      </c>
      <c r="AR378" t="n">
        <v>0</v>
      </c>
      <c r="AS378" t="n">
        <v>0</v>
      </c>
      <c r="AT378" t="n">
        <v>0</v>
      </c>
      <c r="AU378" t="n">
        <v>0</v>
      </c>
      <c r="AV378" t="n">
        <v>0</v>
      </c>
      <c r="AW378" t="n">
        <v>0</v>
      </c>
      <c r="AX378" t="n">
        <v>4653</v>
      </c>
      <c r="AY378" t="n">
        <v>0</v>
      </c>
      <c r="AZ378" t="n">
        <v>0</v>
      </c>
      <c r="BA378" t="n">
        <v>4653</v>
      </c>
      <c r="BB378" t="n">
        <v>0</v>
      </c>
      <c r="BC378" t="n">
        <v>0</v>
      </c>
      <c r="BD378" t="n">
        <v>0</v>
      </c>
      <c r="BE378" t="n">
        <v>47</v>
      </c>
      <c r="BF378" t="n">
        <v>47</v>
      </c>
      <c r="BG378">
        <f>IF($F378=0,"0",MIN(
BH378/(30*$F378),
BI378/(61*$F378),
BJ378/(48*$F378),
(BK378+BL378)/(23*$F378),
(BM378+BN378)/(41*$F378),
BO378/(25*$F378),
BP378/(6.6*$F378),
BQ378/(40*$F378),
BS378/(16*$F378)
)*100)</f>
        <v/>
      </c>
      <c r="BH378" t="n">
        <v>494</v>
      </c>
      <c r="BI378" t="n">
        <v>798</v>
      </c>
      <c r="BJ378" t="n">
        <v>578</v>
      </c>
      <c r="BK378" t="n">
        <v>126</v>
      </c>
      <c r="BL378" t="n">
        <v>137</v>
      </c>
      <c r="BM378" t="n">
        <v>483</v>
      </c>
      <c r="BN378" t="n">
        <v>399</v>
      </c>
      <c r="BO378" t="n">
        <v>368</v>
      </c>
      <c r="BP378" t="n">
        <v>95</v>
      </c>
      <c r="BQ378" t="n">
        <v>483</v>
      </c>
      <c r="BR378" t="n">
        <v>609</v>
      </c>
      <c r="BS378" t="n">
        <v>263</v>
      </c>
      <c r="BT378" t="n">
        <v>4833</v>
      </c>
      <c r="BU378" t="n">
        <v>536</v>
      </c>
      <c r="BV378" t="n">
        <v>1166</v>
      </c>
      <c r="BW378" t="n">
        <v>1864</v>
      </c>
      <c r="BX378" t="n">
        <v>462</v>
      </c>
      <c r="BY378" t="n">
        <v>756</v>
      </c>
      <c r="BZ378" t="n">
        <v>620</v>
      </c>
      <c r="CA378" t="n">
        <v>5404</v>
      </c>
      <c r="CB378" t="n">
        <v>60</v>
      </c>
      <c r="CC378" t="n">
        <v>25</v>
      </c>
      <c r="CD378" t="n">
        <v>440</v>
      </c>
      <c r="CE378" t="n">
        <v>3234</v>
      </c>
      <c r="CF378" t="n">
        <v>7.35</v>
      </c>
      <c r="CG378" t="n">
        <v>0</v>
      </c>
      <c r="CH378" t="n">
        <v>0</v>
      </c>
      <c r="CI378" t="n">
        <v>0</v>
      </c>
      <c r="CJ378" t="n">
        <v>0</v>
      </c>
      <c r="CK378" t="n">
        <v>6</v>
      </c>
      <c r="CL378" t="n">
        <v>11</v>
      </c>
      <c r="CM378" t="n">
        <v>0</v>
      </c>
      <c r="CN378" t="n">
        <v>621</v>
      </c>
      <c r="CO378" t="n">
        <v>0</v>
      </c>
      <c r="CP378" t="n">
        <v>215</v>
      </c>
      <c r="CQ378" t="n">
        <v>17</v>
      </c>
      <c r="CR378" t="n">
        <v>6</v>
      </c>
      <c r="CS378" t="n">
        <v>0</v>
      </c>
      <c r="CT378" t="n">
        <v>876</v>
      </c>
      <c r="CU378" t="n">
        <v>0</v>
      </c>
      <c r="CV378" t="n">
        <v>0</v>
      </c>
      <c r="CW378" t="n">
        <v>11</v>
      </c>
      <c r="CX378" t="n">
        <v>0</v>
      </c>
      <c r="CY378" t="n">
        <v>1073</v>
      </c>
      <c r="CZ378" t="n">
        <v>11</v>
      </c>
      <c r="DA378" t="n">
        <v>0</v>
      </c>
      <c r="DB378" t="n">
        <v>0</v>
      </c>
      <c r="DC378" t="n">
        <v>1095</v>
      </c>
      <c r="DD378" t="n">
        <v>0</v>
      </c>
      <c r="DE378" t="n">
        <v>0</v>
      </c>
      <c r="DF378" t="n">
        <v>3234</v>
      </c>
      <c r="DG378" t="n">
        <v>440</v>
      </c>
      <c r="DH378" t="n">
        <v>0</v>
      </c>
      <c r="DI378" t="n">
        <v>0</v>
      </c>
      <c r="DJ378" t="n">
        <v>0</v>
      </c>
      <c r="DK378" t="n">
        <v>0</v>
      </c>
      <c r="DL378" t="n">
        <v>0</v>
      </c>
      <c r="DM378" t="n">
        <v>0</v>
      </c>
      <c r="DN378" t="n">
        <v>0</v>
      </c>
      <c r="DO378" t="n">
        <v>0</v>
      </c>
      <c r="DP378" t="n">
        <v>0</v>
      </c>
      <c r="DQ378" t="n">
        <v>0</v>
      </c>
      <c r="DR378" t="n">
        <v>0</v>
      </c>
      <c r="DS378" t="n">
        <v>3674</v>
      </c>
      <c r="DT378" t="n">
        <v>5645</v>
      </c>
      <c r="DU378" t="n">
        <v>425</v>
      </c>
      <c r="DV378" t="n">
        <v>0</v>
      </c>
      <c r="DW378" t="n">
        <v>0</v>
      </c>
      <c r="DX378" t="n">
        <v>0</v>
      </c>
      <c r="DY378" t="n">
        <v>2625</v>
      </c>
      <c r="DZ378" t="n">
        <v>3832</v>
      </c>
      <c r="EA378" t="n">
        <v>1470</v>
      </c>
      <c r="EB378" t="n">
        <v>2520</v>
      </c>
      <c r="EC378" t="n">
        <v>53</v>
      </c>
      <c r="ED378" t="n">
        <v>5250</v>
      </c>
      <c r="EE378" t="n">
        <v>5250</v>
      </c>
      <c r="EF378" t="n">
        <v>0</v>
      </c>
      <c r="EG378" t="n">
        <v>0</v>
      </c>
      <c r="EH378" t="n">
        <v>12.7</v>
      </c>
      <c r="EI378" t="n">
        <v>5.3</v>
      </c>
      <c r="EJ378" t="n">
        <v>6.1</v>
      </c>
      <c r="EK378" t="n">
        <v>10.4</v>
      </c>
    </row>
    <row r="379">
      <c r="A379">
        <f>[1]ingredient!B379</f>
        <v/>
      </c>
      <c r="B379" t="inlineStr">
        <is>
          <t>https://www.naehrwertrechner.de/naehrwerte/J721000/Sojaso%C3%9Fe/?menge=100</t>
        </is>
      </c>
      <c r="C379" s="7">
        <f>_xlfn.XLOOKUP(A379,[1]ingredient!$B$2:$B$521,[1]ingredient!$A$2:$A$521)</f>
        <v/>
      </c>
      <c r="D379" t="n">
        <v>108</v>
      </c>
      <c r="E379" t="n">
        <v>5</v>
      </c>
      <c r="F379" t="n">
        <v>10</v>
      </c>
      <c r="G379" t="n">
        <v>6</v>
      </c>
      <c r="H379" t="n">
        <v>4</v>
      </c>
      <c r="I379" t="n">
        <v>6</v>
      </c>
      <c r="J379" t="n">
        <v>3</v>
      </c>
      <c r="K379" t="n">
        <v>69</v>
      </c>
      <c r="L379" t="n">
        <v>19</v>
      </c>
      <c r="M379" t="n">
        <v>10</v>
      </c>
      <c r="N379" t="n">
        <v>0</v>
      </c>
      <c r="O379" t="n">
        <v>114</v>
      </c>
      <c r="P379" t="n">
        <v>378</v>
      </c>
      <c r="Q379" t="n">
        <v>70</v>
      </c>
      <c r="R379" t="n">
        <v>612</v>
      </c>
      <c r="S379" t="n">
        <v>2462</v>
      </c>
      <c r="T379" t="n">
        <v>461</v>
      </c>
      <c r="U379" t="n">
        <v>210</v>
      </c>
      <c r="V379" t="n">
        <v>15</v>
      </c>
      <c r="W379" t="n">
        <v>63</v>
      </c>
      <c r="X379" t="n">
        <v>0</v>
      </c>
      <c r="Y379" t="n">
        <v>1050</v>
      </c>
      <c r="Z379" t="n">
        <v>0</v>
      </c>
      <c r="AA379" t="n">
        <v>407</v>
      </c>
      <c r="AB379" t="n">
        <v>55</v>
      </c>
      <c r="AC379" t="n">
        <v>1177</v>
      </c>
      <c r="AD379" t="n">
        <v>577</v>
      </c>
      <c r="AE379" t="n">
        <v>77</v>
      </c>
      <c r="AF379" t="n">
        <v>68</v>
      </c>
      <c r="AG379" t="n">
        <v>169</v>
      </c>
      <c r="AH379" t="n">
        <v>54</v>
      </c>
      <c r="AI379" t="n">
        <v>1826</v>
      </c>
      <c r="AJ379" t="n">
        <v>3916</v>
      </c>
      <c r="AK379" t="n">
        <v>1343</v>
      </c>
      <c r="AL379" t="n">
        <v>432</v>
      </c>
      <c r="AM379" t="n">
        <v>1098</v>
      </c>
      <c r="AN379" t="n">
        <v>42</v>
      </c>
      <c r="AO379" t="n">
        <v>3</v>
      </c>
      <c r="AP379" t="n">
        <v>0</v>
      </c>
      <c r="AQ379" t="n">
        <v>0</v>
      </c>
      <c r="AR379" t="n">
        <v>0</v>
      </c>
      <c r="AS379" t="n">
        <v>0</v>
      </c>
      <c r="AT379" t="n">
        <v>168</v>
      </c>
      <c r="AU379" t="n">
        <v>168</v>
      </c>
      <c r="AV379" t="n">
        <v>0</v>
      </c>
      <c r="AW379" t="n">
        <v>336</v>
      </c>
      <c r="AX379" t="n">
        <v>5169</v>
      </c>
      <c r="AY379" t="n">
        <v>0</v>
      </c>
      <c r="AZ379" t="n">
        <v>0</v>
      </c>
      <c r="BA379" t="n">
        <v>5169</v>
      </c>
      <c r="BB379" t="n">
        <v>0</v>
      </c>
      <c r="BC379" t="n">
        <v>2252</v>
      </c>
      <c r="BD379" t="n">
        <v>0</v>
      </c>
      <c r="BE379" t="n">
        <v>5</v>
      </c>
      <c r="BF379" t="n">
        <v>5</v>
      </c>
      <c r="BG379">
        <f>IF($F379=0,"0",MIN(
BH379/(30*$F379),
BI379/(61*$F379),
BJ379/(48*$F379),
(BK379+BL379)/(23*$F379),
(BM379+BN379)/(41*$F379),
BO379/(25*$F379),
BP379/(6.6*$F379),
BQ379/(40*$F379),
BS379/(16*$F379)
)*100)</f>
        <v/>
      </c>
      <c r="BH379" t="n">
        <v>453</v>
      </c>
      <c r="BI379" t="n">
        <v>725</v>
      </c>
      <c r="BJ379" t="n">
        <v>624</v>
      </c>
      <c r="BK379" t="n">
        <v>131</v>
      </c>
      <c r="BL379" t="n">
        <v>161</v>
      </c>
      <c r="BM379" t="n">
        <v>453</v>
      </c>
      <c r="BN379" t="n">
        <v>352</v>
      </c>
      <c r="BO379" t="n">
        <v>393</v>
      </c>
      <c r="BP379" t="n">
        <v>111</v>
      </c>
      <c r="BQ379" t="n">
        <v>474</v>
      </c>
      <c r="BR379" t="n">
        <v>763</v>
      </c>
      <c r="BS379" t="n">
        <v>231</v>
      </c>
      <c r="BT379" t="n">
        <v>4871</v>
      </c>
      <c r="BU379" t="n">
        <v>413</v>
      </c>
      <c r="BV379" t="n">
        <v>1110</v>
      </c>
      <c r="BW379" t="n">
        <v>1931</v>
      </c>
      <c r="BX379" t="n">
        <v>412</v>
      </c>
      <c r="BY379" t="n">
        <v>563</v>
      </c>
      <c r="BZ379" t="n">
        <v>513</v>
      </c>
      <c r="CA379" t="n">
        <v>4942</v>
      </c>
      <c r="CB379" t="n">
        <v>96</v>
      </c>
      <c r="CC379" t="n">
        <v>40</v>
      </c>
      <c r="CD379" t="n">
        <v>368</v>
      </c>
      <c r="CE379" t="n">
        <v>2685</v>
      </c>
      <c r="CF379" t="n">
        <v>7.3</v>
      </c>
      <c r="CG379" t="n">
        <v>0</v>
      </c>
      <c r="CH379" t="n">
        <v>0</v>
      </c>
      <c r="CI379" t="n">
        <v>0</v>
      </c>
      <c r="CJ379" t="n">
        <v>0</v>
      </c>
      <c r="CK379" t="n">
        <v>6</v>
      </c>
      <c r="CL379" t="n">
        <v>10</v>
      </c>
      <c r="CM379" t="n">
        <v>0</v>
      </c>
      <c r="CN379" t="n">
        <v>519</v>
      </c>
      <c r="CO379" t="n">
        <v>0</v>
      </c>
      <c r="CP379" t="n">
        <v>178</v>
      </c>
      <c r="CQ379" t="n">
        <v>14</v>
      </c>
      <c r="CR379" t="n">
        <v>5</v>
      </c>
      <c r="CS379" t="n">
        <v>0</v>
      </c>
      <c r="CT379" t="n">
        <v>732</v>
      </c>
      <c r="CU379" t="n">
        <v>0</v>
      </c>
      <c r="CV379" t="n">
        <v>0</v>
      </c>
      <c r="CW379" t="n">
        <v>10</v>
      </c>
      <c r="CX379" t="n">
        <v>0</v>
      </c>
      <c r="CY379" t="n">
        <v>891</v>
      </c>
      <c r="CZ379" t="n">
        <v>9</v>
      </c>
      <c r="DA379" t="n">
        <v>0</v>
      </c>
      <c r="DB379" t="n">
        <v>0</v>
      </c>
      <c r="DC379" t="n">
        <v>910</v>
      </c>
      <c r="DD379" t="n">
        <v>0</v>
      </c>
      <c r="DE379" t="n">
        <v>0</v>
      </c>
      <c r="DF379" t="n">
        <v>2685</v>
      </c>
      <c r="DG379" t="n">
        <v>368</v>
      </c>
      <c r="DH379" t="n">
        <v>0</v>
      </c>
      <c r="DI379" t="n">
        <v>0</v>
      </c>
      <c r="DJ379" t="n">
        <v>0</v>
      </c>
      <c r="DK379" t="n">
        <v>0</v>
      </c>
      <c r="DL379" t="n">
        <v>0</v>
      </c>
      <c r="DM379" t="n">
        <v>0</v>
      </c>
      <c r="DN379" t="n">
        <v>0</v>
      </c>
      <c r="DO379" t="n">
        <v>0</v>
      </c>
      <c r="DP379" t="n">
        <v>0</v>
      </c>
      <c r="DQ379" t="n">
        <v>0</v>
      </c>
      <c r="DR379" t="n">
        <v>0</v>
      </c>
      <c r="DS379" t="n">
        <v>3053</v>
      </c>
      <c r="DT379" t="n">
        <v>4695</v>
      </c>
      <c r="DU379" t="n">
        <v>359</v>
      </c>
      <c r="DV379" t="n">
        <v>0</v>
      </c>
      <c r="DW379" t="n">
        <v>0</v>
      </c>
      <c r="DX379" t="n">
        <v>0</v>
      </c>
      <c r="DY379" t="n">
        <v>1079</v>
      </c>
      <c r="DZ379" t="n">
        <v>1571</v>
      </c>
      <c r="EA379" t="n">
        <v>624</v>
      </c>
      <c r="EB379" t="n">
        <v>1060</v>
      </c>
      <c r="EC379" t="n">
        <v>25</v>
      </c>
      <c r="ED379" t="n">
        <v>2156</v>
      </c>
      <c r="EE379" t="n">
        <v>2203</v>
      </c>
      <c r="EF379" t="n">
        <v>0</v>
      </c>
      <c r="EG379" t="n">
        <v>0.01</v>
      </c>
      <c r="EH379" t="n">
        <v>4.2</v>
      </c>
      <c r="EI379" t="n">
        <v>2.2</v>
      </c>
      <c r="EJ379" t="n">
        <v>5.1</v>
      </c>
      <c r="EK379" t="n">
        <v>10.1</v>
      </c>
    </row>
    <row r="380">
      <c r="A380">
        <f>[1]ingredient!B380</f>
        <v/>
      </c>
      <c r="B380" t="inlineStr">
        <is>
          <t>https://www.naehrwertrechner.de/naehrwerte/H760111/Sojabohnen+reif+roh/?menge=100</t>
        </is>
      </c>
      <c r="C380" s="7">
        <f>_xlfn.XLOOKUP(A380,[1]ingredient!$B$2:$B$521,[1]ingredient!$A$2:$A$521)</f>
        <v/>
      </c>
      <c r="D380" t="n">
        <v>323</v>
      </c>
      <c r="E380" t="n">
        <v>18</v>
      </c>
      <c r="F380" t="n">
        <v>34</v>
      </c>
      <c r="G380" t="n">
        <v>6</v>
      </c>
      <c r="H380" t="n">
        <v>22</v>
      </c>
      <c r="I380" t="n">
        <v>6</v>
      </c>
      <c r="J380" t="n">
        <v>0.01</v>
      </c>
      <c r="K380" t="n">
        <v>10</v>
      </c>
      <c r="L380" t="n">
        <v>63</v>
      </c>
      <c r="M380" t="n">
        <v>32</v>
      </c>
      <c r="N380" t="n">
        <v>0</v>
      </c>
      <c r="O380" t="n">
        <v>380</v>
      </c>
      <c r="P380" t="n">
        <v>975</v>
      </c>
      <c r="Q380" t="n">
        <v>495</v>
      </c>
      <c r="R380" t="n">
        <v>2490</v>
      </c>
      <c r="S380" t="n">
        <v>9407</v>
      </c>
      <c r="T380" t="n">
        <v>1860</v>
      </c>
      <c r="U380" t="n">
        <v>1000</v>
      </c>
      <c r="V380" t="n">
        <v>60</v>
      </c>
      <c r="W380" t="n">
        <v>240</v>
      </c>
      <c r="X380" t="n">
        <v>0</v>
      </c>
      <c r="Y380" t="n">
        <v>10</v>
      </c>
      <c r="Z380" t="n">
        <v>0</v>
      </c>
      <c r="AA380" t="n">
        <v>640</v>
      </c>
      <c r="AB380" t="n">
        <v>0</v>
      </c>
      <c r="AC380" t="n">
        <v>4</v>
      </c>
      <c r="AD380" t="n">
        <v>1800</v>
      </c>
      <c r="AE380" t="n">
        <v>200</v>
      </c>
      <c r="AF380" t="n">
        <v>220</v>
      </c>
      <c r="AG380" t="n">
        <v>550</v>
      </c>
      <c r="AH380" t="n">
        <v>400</v>
      </c>
      <c r="AI380" t="n">
        <v>7</v>
      </c>
      <c r="AJ380" t="n">
        <v>6640</v>
      </c>
      <c r="AK380" t="n">
        <v>4182</v>
      </c>
      <c r="AL380" t="n">
        <v>1200</v>
      </c>
      <c r="AM380" t="n">
        <v>2710</v>
      </c>
      <c r="AN380" t="n">
        <v>360</v>
      </c>
      <c r="AO380" t="n">
        <v>6</v>
      </c>
      <c r="AP380" t="n">
        <v>0</v>
      </c>
      <c r="AQ380" t="n">
        <v>0</v>
      </c>
      <c r="AR380" t="n">
        <v>0</v>
      </c>
      <c r="AS380" t="n">
        <v>0</v>
      </c>
      <c r="AT380" t="n">
        <v>0</v>
      </c>
      <c r="AU380" t="n">
        <v>0</v>
      </c>
      <c r="AV380" t="n">
        <v>0</v>
      </c>
      <c r="AW380" t="n">
        <v>0</v>
      </c>
      <c r="AX380" t="n">
        <v>6227</v>
      </c>
      <c r="AY380" t="n">
        <v>0</v>
      </c>
      <c r="AZ380" t="n">
        <v>0</v>
      </c>
      <c r="BA380" t="n">
        <v>6227</v>
      </c>
      <c r="BB380" t="n">
        <v>0</v>
      </c>
      <c r="BC380" t="n">
        <v>4975</v>
      </c>
      <c r="BD380" t="n">
        <v>0</v>
      </c>
      <c r="BE380" t="n">
        <v>63</v>
      </c>
      <c r="BF380" t="n">
        <v>63</v>
      </c>
      <c r="BG380">
        <f>IF($F380=0,"0",MIN(
BH380/(30*$F380),
BI380/(61*$F380),
BJ380/(48*$F380),
(BK380+BL380)/(23*$F380),
(BM380+BN380)/(41*$F380),
BO380/(25*$F380),
BP380/(6.6*$F380),
BQ380/(40*$F380),
BS380/(16*$F380)
)*100)</f>
        <v/>
      </c>
      <c r="BH380" t="n">
        <v>1626</v>
      </c>
      <c r="BI380" t="n">
        <v>2698</v>
      </c>
      <c r="BJ380" t="n">
        <v>1937</v>
      </c>
      <c r="BK380" t="n">
        <v>554</v>
      </c>
      <c r="BL380" t="n">
        <v>554</v>
      </c>
      <c r="BM380" t="n">
        <v>1868</v>
      </c>
      <c r="BN380" t="n">
        <v>1176</v>
      </c>
      <c r="BO380" t="n">
        <v>1418</v>
      </c>
      <c r="BP380" t="n">
        <v>415</v>
      </c>
      <c r="BQ380" t="n">
        <v>1660</v>
      </c>
      <c r="BR380" t="n">
        <v>2387</v>
      </c>
      <c r="BS380" t="n">
        <v>796</v>
      </c>
      <c r="BT380" t="n">
        <v>17089</v>
      </c>
      <c r="BU380" t="n">
        <v>1418</v>
      </c>
      <c r="BV380" t="n">
        <v>3909</v>
      </c>
      <c r="BW380" t="n">
        <v>6331</v>
      </c>
      <c r="BX380" t="n">
        <v>1384</v>
      </c>
      <c r="BY380" t="n">
        <v>1834</v>
      </c>
      <c r="BZ380" t="n">
        <v>1764</v>
      </c>
      <c r="CA380" t="n">
        <v>16640</v>
      </c>
      <c r="CB380" t="n">
        <v>220</v>
      </c>
      <c r="CC380" t="n">
        <v>92</v>
      </c>
      <c r="CD380" t="n">
        <v>1094</v>
      </c>
      <c r="CE380" t="n">
        <v>9274</v>
      </c>
      <c r="CF380" t="n">
        <v>8.48</v>
      </c>
      <c r="CG380" t="n">
        <v>0</v>
      </c>
      <c r="CH380" t="n">
        <v>0</v>
      </c>
      <c r="CI380" t="n">
        <v>0</v>
      </c>
      <c r="CJ380" t="n">
        <v>0</v>
      </c>
      <c r="CK380" t="n">
        <v>17</v>
      </c>
      <c r="CL380" t="n">
        <v>34</v>
      </c>
      <c r="CM380" t="n">
        <v>0</v>
      </c>
      <c r="CN380" t="n">
        <v>1801</v>
      </c>
      <c r="CO380" t="n">
        <v>0</v>
      </c>
      <c r="CP380" t="n">
        <v>606</v>
      </c>
      <c r="CQ380" t="n">
        <v>50</v>
      </c>
      <c r="CR380" t="n">
        <v>17</v>
      </c>
      <c r="CS380" t="n">
        <v>0</v>
      </c>
      <c r="CT380" t="n">
        <v>2525</v>
      </c>
      <c r="CU380" t="n">
        <v>0</v>
      </c>
      <c r="CV380" t="n">
        <v>0</v>
      </c>
      <c r="CW380" t="n">
        <v>34</v>
      </c>
      <c r="CX380" t="n">
        <v>0</v>
      </c>
      <c r="CY380" t="n">
        <v>3872</v>
      </c>
      <c r="CZ380" t="n">
        <v>34</v>
      </c>
      <c r="DA380" t="n">
        <v>0</v>
      </c>
      <c r="DB380" t="n">
        <v>0</v>
      </c>
      <c r="DC380" t="n">
        <v>3940</v>
      </c>
      <c r="DD380" t="n">
        <v>0</v>
      </c>
      <c r="DE380" t="n">
        <v>0</v>
      </c>
      <c r="DF380" t="n">
        <v>9274</v>
      </c>
      <c r="DG380" t="n">
        <v>1094</v>
      </c>
      <c r="DH380" t="n">
        <v>0</v>
      </c>
      <c r="DI380" t="n">
        <v>0</v>
      </c>
      <c r="DJ380" t="n">
        <v>0</v>
      </c>
      <c r="DK380" t="n">
        <v>0</v>
      </c>
      <c r="DL380" t="n">
        <v>0</v>
      </c>
      <c r="DM380" t="n">
        <v>0</v>
      </c>
      <c r="DN380" t="n">
        <v>0</v>
      </c>
      <c r="DO380" t="n">
        <v>0</v>
      </c>
      <c r="DP380" t="n">
        <v>0</v>
      </c>
      <c r="DQ380" t="n">
        <v>0</v>
      </c>
      <c r="DR380" t="n">
        <v>0</v>
      </c>
      <c r="DS380" t="n">
        <v>10368</v>
      </c>
      <c r="DT380" t="n">
        <v>16833</v>
      </c>
      <c r="DU380" t="n">
        <v>1267</v>
      </c>
      <c r="DV380" t="n">
        <v>0</v>
      </c>
      <c r="DW380" t="n">
        <v>0</v>
      </c>
      <c r="DX380" t="n">
        <v>0</v>
      </c>
      <c r="DY380" t="n">
        <v>2855</v>
      </c>
      <c r="DZ380" t="n">
        <v>7686</v>
      </c>
      <c r="EA380" t="n">
        <v>2855</v>
      </c>
      <c r="EB380" t="n">
        <v>8125</v>
      </c>
      <c r="EC380" t="n">
        <v>439</v>
      </c>
      <c r="ED380" t="n">
        <v>10980</v>
      </c>
      <c r="EE380" t="n">
        <v>10980</v>
      </c>
      <c r="EF380" t="n">
        <v>0</v>
      </c>
      <c r="EG380" t="n">
        <v>0.25</v>
      </c>
      <c r="EH380" t="n">
        <v>4.7</v>
      </c>
      <c r="EI380" t="n">
        <v>11</v>
      </c>
      <c r="EJ380" t="n">
        <v>18.1</v>
      </c>
      <c r="EK380" t="n">
        <v>34.5</v>
      </c>
    </row>
    <row r="381">
      <c r="A381">
        <f>[1]ingredient!B381</f>
        <v/>
      </c>
      <c r="B381" t="inlineStr">
        <is>
          <t>https://www.naehrwertrechner.de/naehrwerte/H620111/Sojasprossen+frisch/?menge=100</t>
        </is>
      </c>
      <c r="C381" s="7">
        <f>_xlfn.XLOOKUP(A381,[1]ingredient!$B$2:$B$521,[1]ingredient!$A$2:$A$521)</f>
        <v/>
      </c>
      <c r="D381" t="n">
        <v>52</v>
      </c>
      <c r="E381" t="n">
        <v>1</v>
      </c>
      <c r="F381" t="n">
        <v>5</v>
      </c>
      <c r="G381" t="n">
        <v>5</v>
      </c>
      <c r="H381" t="n">
        <v>2</v>
      </c>
      <c r="I381" t="n">
        <v>5</v>
      </c>
      <c r="J381" t="n">
        <v>0.08</v>
      </c>
      <c r="K381" t="n">
        <v>85</v>
      </c>
      <c r="L381" t="n">
        <v>4</v>
      </c>
      <c r="M381" t="n">
        <v>2</v>
      </c>
      <c r="N381" t="n">
        <v>0</v>
      </c>
      <c r="O381" t="n">
        <v>25</v>
      </c>
      <c r="P381" t="n">
        <v>157</v>
      </c>
      <c r="Q381" t="n">
        <v>163</v>
      </c>
      <c r="R381" t="n">
        <v>1533</v>
      </c>
      <c r="S381" t="n">
        <v>3483</v>
      </c>
      <c r="T381" t="n">
        <v>1440</v>
      </c>
      <c r="U381" t="n">
        <v>160</v>
      </c>
      <c r="V381" t="n">
        <v>1</v>
      </c>
      <c r="W381" t="n">
        <v>160</v>
      </c>
      <c r="X381" t="n">
        <v>0</v>
      </c>
      <c r="Y381" t="n">
        <v>19625</v>
      </c>
      <c r="Z381" t="n">
        <v>0</v>
      </c>
      <c r="AA381" t="n">
        <v>90</v>
      </c>
      <c r="AB381" t="n">
        <v>14</v>
      </c>
      <c r="AC381" t="n">
        <v>30</v>
      </c>
      <c r="AD381" t="n">
        <v>235</v>
      </c>
      <c r="AE381" t="n">
        <v>32</v>
      </c>
      <c r="AF381" t="n">
        <v>19</v>
      </c>
      <c r="AG381" t="n">
        <v>75</v>
      </c>
      <c r="AH381" t="n">
        <v>30</v>
      </c>
      <c r="AI381" t="n">
        <v>47</v>
      </c>
      <c r="AJ381" t="n">
        <v>900</v>
      </c>
      <c r="AK381" t="n">
        <v>960</v>
      </c>
      <c r="AL381" t="n">
        <v>230</v>
      </c>
      <c r="AM381" t="n">
        <v>170</v>
      </c>
      <c r="AN381" t="n">
        <v>40</v>
      </c>
      <c r="AO381" t="n">
        <v>2</v>
      </c>
      <c r="AP381" t="n">
        <v>0</v>
      </c>
      <c r="AQ381" t="n">
        <v>0</v>
      </c>
      <c r="AR381" t="n">
        <v>0</v>
      </c>
      <c r="AS381" t="n">
        <v>0</v>
      </c>
      <c r="AT381" t="n">
        <v>1123</v>
      </c>
      <c r="AU381" t="n">
        <v>1123</v>
      </c>
      <c r="AV381" t="n">
        <v>0</v>
      </c>
      <c r="AW381" t="n">
        <v>2246</v>
      </c>
      <c r="AX381" t="n">
        <v>2387</v>
      </c>
      <c r="AY381" t="n">
        <v>0</v>
      </c>
      <c r="AZ381" t="n">
        <v>0</v>
      </c>
      <c r="BA381" t="n">
        <v>2387</v>
      </c>
      <c r="BB381" t="n">
        <v>0</v>
      </c>
      <c r="BC381" t="n">
        <v>0</v>
      </c>
      <c r="BD381" t="n">
        <v>0</v>
      </c>
      <c r="BE381" t="n">
        <v>47</v>
      </c>
      <c r="BF381" t="n">
        <v>47</v>
      </c>
      <c r="BG381">
        <f>IF($F381=0,"0",MIN(
BH381/(30*$F381),
BI381/(61*$F381),
BJ381/(48*$F381),
(BK381+BL381)/(23*$F381),
(BM381+BN381)/(41*$F381),
BO381/(25*$F381),
BP381/(6.6*$F381),
BQ381/(40*$F381),
BS381/(16*$F381)
)*100)</f>
        <v/>
      </c>
      <c r="BH381" t="n">
        <v>260</v>
      </c>
      <c r="BI381" t="n">
        <v>445</v>
      </c>
      <c r="BJ381" t="n">
        <v>366</v>
      </c>
      <c r="BK381" t="n">
        <v>53</v>
      </c>
      <c r="BL381" t="n">
        <v>21</v>
      </c>
      <c r="BM381" t="n">
        <v>212</v>
      </c>
      <c r="BN381" t="n">
        <v>170</v>
      </c>
      <c r="BO381" t="n">
        <v>302</v>
      </c>
      <c r="BP381" t="n">
        <v>117</v>
      </c>
      <c r="BQ381" t="n">
        <v>297</v>
      </c>
      <c r="BR381" t="n">
        <v>254</v>
      </c>
      <c r="BS381" t="n">
        <v>138</v>
      </c>
      <c r="BT381" t="n">
        <v>2635</v>
      </c>
      <c r="BU381" t="n">
        <v>244</v>
      </c>
      <c r="BV381" t="n">
        <v>763</v>
      </c>
      <c r="BW381" t="n">
        <v>747</v>
      </c>
      <c r="BX381" t="n">
        <v>201</v>
      </c>
      <c r="BY381" t="n">
        <v>212</v>
      </c>
      <c r="BZ381" t="n">
        <v>392</v>
      </c>
      <c r="CA381" t="n">
        <v>2559</v>
      </c>
      <c r="CB381" t="n">
        <v>15</v>
      </c>
      <c r="CC381" t="n">
        <v>6</v>
      </c>
      <c r="CD381" t="n">
        <v>563</v>
      </c>
      <c r="CE381" t="n">
        <v>102</v>
      </c>
      <c r="CF381" t="n">
        <v>0.18</v>
      </c>
      <c r="CG381" t="n">
        <v>0</v>
      </c>
      <c r="CH381" t="n">
        <v>0</v>
      </c>
      <c r="CI381" t="n">
        <v>0</v>
      </c>
      <c r="CJ381" t="n">
        <v>0</v>
      </c>
      <c r="CK381" t="n">
        <v>0</v>
      </c>
      <c r="CL381" t="n">
        <v>0</v>
      </c>
      <c r="CM381" t="n">
        <v>0</v>
      </c>
      <c r="CN381" t="n">
        <v>130</v>
      </c>
      <c r="CO381" t="n">
        <v>0</v>
      </c>
      <c r="CP381" t="n">
        <v>0</v>
      </c>
      <c r="CQ381" t="n">
        <v>0</v>
      </c>
      <c r="CR381" t="n">
        <v>0</v>
      </c>
      <c r="CS381" t="n">
        <v>0</v>
      </c>
      <c r="CT381" t="n">
        <v>130</v>
      </c>
      <c r="CU381" t="n">
        <v>0</v>
      </c>
      <c r="CV381" t="n">
        <v>0</v>
      </c>
      <c r="CW381" t="n">
        <v>121</v>
      </c>
      <c r="CX381" t="n">
        <v>0</v>
      </c>
      <c r="CY381" t="n">
        <v>14</v>
      </c>
      <c r="CZ381" t="n">
        <v>0</v>
      </c>
      <c r="DA381" t="n">
        <v>0</v>
      </c>
      <c r="DB381" t="n">
        <v>0</v>
      </c>
      <c r="DC381" t="n">
        <v>135</v>
      </c>
      <c r="DD381" t="n">
        <v>0</v>
      </c>
      <c r="DE381" t="n">
        <v>0</v>
      </c>
      <c r="DF381" t="n">
        <v>102</v>
      </c>
      <c r="DG381" t="n">
        <v>563</v>
      </c>
      <c r="DH381" t="n">
        <v>0</v>
      </c>
      <c r="DI381" t="n">
        <v>0</v>
      </c>
      <c r="DJ381" t="n">
        <v>0</v>
      </c>
      <c r="DK381" t="n">
        <v>0</v>
      </c>
      <c r="DL381" t="n">
        <v>0</v>
      </c>
      <c r="DM381" t="n">
        <v>0</v>
      </c>
      <c r="DN381" t="n">
        <v>0</v>
      </c>
      <c r="DO381" t="n">
        <v>0</v>
      </c>
      <c r="DP381" t="n">
        <v>0</v>
      </c>
      <c r="DQ381" t="n">
        <v>0</v>
      </c>
      <c r="DR381" t="n">
        <v>0</v>
      </c>
      <c r="DS381" t="n">
        <v>665</v>
      </c>
      <c r="DT381" t="n">
        <v>930</v>
      </c>
      <c r="DU381" t="n">
        <v>270</v>
      </c>
      <c r="DV381" t="n">
        <v>0</v>
      </c>
      <c r="DW381" t="n">
        <v>0</v>
      </c>
      <c r="DX381" t="n">
        <v>0</v>
      </c>
      <c r="DY381" t="n">
        <v>299</v>
      </c>
      <c r="DZ381" t="n">
        <v>805</v>
      </c>
      <c r="EA381" t="n">
        <v>299</v>
      </c>
      <c r="EB381" t="n">
        <v>851</v>
      </c>
      <c r="EC381" t="n">
        <v>46</v>
      </c>
      <c r="ED381" t="n">
        <v>1150</v>
      </c>
      <c r="EE381" t="n">
        <v>1150</v>
      </c>
      <c r="EF381" t="n">
        <v>0</v>
      </c>
      <c r="EG381" t="n">
        <v>0.25</v>
      </c>
      <c r="EH381" t="n">
        <v>0.8</v>
      </c>
      <c r="EI381" t="n">
        <v>1.2</v>
      </c>
      <c r="EJ381" t="n">
        <v>1.2</v>
      </c>
      <c r="EK381" t="n">
        <v>5.2</v>
      </c>
    </row>
    <row r="382">
      <c r="A382">
        <f>[1]ingredient!B382</f>
        <v/>
      </c>
      <c r="B382" t="inlineStr">
        <is>
          <t>https://www.naehrwertrechner.de/naehrwerte/H850000/Sojaflocken/?menge=100</t>
        </is>
      </c>
      <c r="C382" s="7">
        <f>_xlfn.XLOOKUP(A382,[1]ingredient!$B$2:$B$521,[1]ingredient!$A$2:$A$521)</f>
        <v/>
      </c>
      <c r="D382" t="n">
        <v>403</v>
      </c>
      <c r="E382" t="n">
        <v>21</v>
      </c>
      <c r="F382" t="n">
        <v>41</v>
      </c>
      <c r="G382" t="n">
        <v>3</v>
      </c>
      <c r="H382" t="n">
        <v>19</v>
      </c>
      <c r="I382" t="n">
        <v>3</v>
      </c>
      <c r="J382" t="n">
        <v>0.11</v>
      </c>
      <c r="K382" t="n">
        <v>13</v>
      </c>
      <c r="L382" t="n">
        <v>0</v>
      </c>
      <c r="M382" t="n">
        <v>100</v>
      </c>
      <c r="N382" t="n">
        <v>100</v>
      </c>
      <c r="O382" t="n">
        <v>0</v>
      </c>
      <c r="P382" t="n">
        <v>800</v>
      </c>
      <c r="Q382" t="n">
        <v>300</v>
      </c>
      <c r="R382" t="n">
        <v>2200</v>
      </c>
      <c r="S382" t="n">
        <v>10400</v>
      </c>
      <c r="T382" t="n">
        <v>1800</v>
      </c>
      <c r="U382" t="n">
        <v>500</v>
      </c>
      <c r="V382" t="n">
        <v>60</v>
      </c>
      <c r="W382" t="n">
        <v>190</v>
      </c>
      <c r="X382" t="n">
        <v>0</v>
      </c>
      <c r="Y382" t="n">
        <v>0</v>
      </c>
      <c r="Z382" t="n">
        <v>0</v>
      </c>
      <c r="AA382" t="n">
        <v>0</v>
      </c>
      <c r="AB382" t="n">
        <v>0</v>
      </c>
      <c r="AC382" t="n">
        <v>4</v>
      </c>
      <c r="AD382" t="n">
        <v>1870</v>
      </c>
      <c r="AE382" t="n">
        <v>195</v>
      </c>
      <c r="AF382" t="n">
        <v>247</v>
      </c>
      <c r="AG382" t="n">
        <v>553</v>
      </c>
      <c r="AH382" t="n">
        <v>206</v>
      </c>
      <c r="AI382" t="n">
        <v>106</v>
      </c>
      <c r="AJ382" t="n">
        <v>12100</v>
      </c>
      <c r="AK382" t="n">
        <v>4900</v>
      </c>
      <c r="AL382" t="n">
        <v>1600</v>
      </c>
      <c r="AM382" t="n">
        <v>4000</v>
      </c>
      <c r="AN382" t="n">
        <v>100</v>
      </c>
      <c r="AO382" t="n">
        <v>1</v>
      </c>
      <c r="AP382" t="n">
        <v>0</v>
      </c>
      <c r="AQ382" t="n">
        <v>0</v>
      </c>
      <c r="AR382" t="n">
        <v>0</v>
      </c>
      <c r="AS382" t="n">
        <v>0</v>
      </c>
      <c r="AT382" t="n">
        <v>0</v>
      </c>
      <c r="AU382" t="n">
        <v>0</v>
      </c>
      <c r="AV382" t="n">
        <v>0</v>
      </c>
      <c r="AW382" t="n">
        <v>0</v>
      </c>
      <c r="AX382" t="n">
        <v>3000</v>
      </c>
      <c r="AY382" t="n">
        <v>0</v>
      </c>
      <c r="AZ382" t="n">
        <v>0</v>
      </c>
      <c r="BA382" t="n">
        <v>3000</v>
      </c>
      <c r="BB382" t="n">
        <v>0</v>
      </c>
      <c r="BC382" t="n">
        <v>0</v>
      </c>
      <c r="BD382" t="n">
        <v>0</v>
      </c>
      <c r="BE382" t="n">
        <v>0</v>
      </c>
      <c r="BF382" t="n">
        <v>0</v>
      </c>
      <c r="BG382">
        <f>IF($F382=0,"0",MIN(
BH382/(30*$F382),
BI382/(61*$F382),
BJ382/(48*$F382),
(BK382+BL382)/(23*$F382),
(BM382+BN382)/(41*$F382),
BO382/(25*$F382),
BP382/(6.6*$F382),
BQ382/(40*$F382),
BS382/(16*$F382)
)*100)</f>
        <v/>
      </c>
      <c r="BH382" t="n">
        <v>1944</v>
      </c>
      <c r="BI382" t="n">
        <v>2947</v>
      </c>
      <c r="BJ382" t="n">
        <v>2620</v>
      </c>
      <c r="BK382" t="n">
        <v>594</v>
      </c>
      <c r="BL382" t="n">
        <v>604</v>
      </c>
      <c r="BM382" t="n">
        <v>1904</v>
      </c>
      <c r="BN382" t="n">
        <v>1484</v>
      </c>
      <c r="BO382" t="n">
        <v>1648</v>
      </c>
      <c r="BP382" t="n">
        <v>491</v>
      </c>
      <c r="BQ382" t="n">
        <v>2017</v>
      </c>
      <c r="BR382" t="n">
        <v>3214</v>
      </c>
      <c r="BS382" t="n">
        <v>972</v>
      </c>
      <c r="BT382" t="n">
        <v>20438</v>
      </c>
      <c r="BU382" t="n">
        <v>1719</v>
      </c>
      <c r="BV382" t="n">
        <v>4585</v>
      </c>
      <c r="BW382" t="n">
        <v>8014</v>
      </c>
      <c r="BX382" t="n">
        <v>1719</v>
      </c>
      <c r="BY382" t="n">
        <v>2395</v>
      </c>
      <c r="BZ382" t="n">
        <v>2129</v>
      </c>
      <c r="CA382" t="n">
        <v>20562</v>
      </c>
      <c r="CB382" t="n">
        <v>380</v>
      </c>
      <c r="CC382" t="n">
        <v>158</v>
      </c>
      <c r="CD382" t="n">
        <v>1500</v>
      </c>
      <c r="CE382" t="n">
        <v>11300</v>
      </c>
      <c r="CF382" t="n">
        <v>7.53</v>
      </c>
      <c r="CG382" t="n">
        <v>0</v>
      </c>
      <c r="CH382" t="n">
        <v>0</v>
      </c>
      <c r="CI382" t="n">
        <v>0</v>
      </c>
      <c r="CJ382" t="n">
        <v>0</v>
      </c>
      <c r="CK382" t="n">
        <v>21</v>
      </c>
      <c r="CL382" t="n">
        <v>42</v>
      </c>
      <c r="CM382" t="n">
        <v>0</v>
      </c>
      <c r="CN382" t="n">
        <v>2164</v>
      </c>
      <c r="CO382" t="n">
        <v>0</v>
      </c>
      <c r="CP382" t="n">
        <v>751</v>
      </c>
      <c r="CQ382" t="n">
        <v>0</v>
      </c>
      <c r="CR382" t="n">
        <v>21</v>
      </c>
      <c r="CS382" t="n">
        <v>0</v>
      </c>
      <c r="CT382" t="n">
        <v>3000</v>
      </c>
      <c r="CU382" t="n">
        <v>0</v>
      </c>
      <c r="CV382" t="n">
        <v>0</v>
      </c>
      <c r="CW382" t="n">
        <v>99</v>
      </c>
      <c r="CX382" t="n">
        <v>0</v>
      </c>
      <c r="CY382" t="n">
        <v>3542</v>
      </c>
      <c r="CZ382" t="n">
        <v>41</v>
      </c>
      <c r="DA382" t="n">
        <v>0</v>
      </c>
      <c r="DB382" t="n">
        <v>0</v>
      </c>
      <c r="DC382" t="n">
        <v>3700</v>
      </c>
      <c r="DD382" t="n">
        <v>0</v>
      </c>
      <c r="DE382" t="n">
        <v>0</v>
      </c>
      <c r="DF382" t="n">
        <v>11300</v>
      </c>
      <c r="DG382" t="n">
        <v>1500</v>
      </c>
      <c r="DH382" t="n">
        <v>0</v>
      </c>
      <c r="DI382" t="n">
        <v>0</v>
      </c>
      <c r="DJ382" t="n">
        <v>0</v>
      </c>
      <c r="DK382" t="n">
        <v>0</v>
      </c>
      <c r="DL382" t="n">
        <v>0</v>
      </c>
      <c r="DM382" t="n">
        <v>0</v>
      </c>
      <c r="DN382" t="n">
        <v>0</v>
      </c>
      <c r="DO382" t="n">
        <v>0</v>
      </c>
      <c r="DP382" t="n">
        <v>0</v>
      </c>
      <c r="DQ382" t="n">
        <v>0</v>
      </c>
      <c r="DR382" t="n">
        <v>0</v>
      </c>
      <c r="DS382" t="n">
        <v>12800</v>
      </c>
      <c r="DT382" t="n">
        <v>19475</v>
      </c>
      <c r="DU382" t="n">
        <v>1525</v>
      </c>
      <c r="DV382" t="n">
        <v>0</v>
      </c>
      <c r="DW382" t="n">
        <v>0</v>
      </c>
      <c r="DX382" t="n">
        <v>0</v>
      </c>
      <c r="DY382" t="n">
        <v>4755</v>
      </c>
      <c r="DZ382" t="n">
        <v>6942</v>
      </c>
      <c r="EA382" t="n">
        <v>2663</v>
      </c>
      <c r="EB382" t="n">
        <v>4565</v>
      </c>
      <c r="EC382" t="n">
        <v>95</v>
      </c>
      <c r="ED382" t="n">
        <v>9510</v>
      </c>
      <c r="EE382" t="n">
        <v>9510</v>
      </c>
      <c r="EF382" t="n">
        <v>0</v>
      </c>
      <c r="EG382" t="n">
        <v>0</v>
      </c>
      <c r="EH382" t="n">
        <v>3.2</v>
      </c>
      <c r="EI382" t="n">
        <v>9.5</v>
      </c>
      <c r="EJ382" t="n">
        <v>21</v>
      </c>
      <c r="EK382" t="n">
        <v>42.3</v>
      </c>
    </row>
    <row r="383">
      <c r="A383">
        <f>[1]ingredient!B383</f>
        <v/>
      </c>
      <c r="B383" t="inlineStr">
        <is>
          <t>https://www.naehrwertrechner.de/naehrwerte/H844000/Biologische+pflanzliche+Soja-Joghurtalternative/?menge=100</t>
        </is>
      </c>
      <c r="C383" s="7">
        <f>_xlfn.XLOOKUP(A383,[1]ingredient!$B$2:$B$521,[1]ingredient!$A$2:$A$521)</f>
        <v/>
      </c>
      <c r="D383" t="n">
        <v>27</v>
      </c>
      <c r="E383" t="n">
        <v>1</v>
      </c>
      <c r="F383" t="n">
        <v>3</v>
      </c>
      <c r="G383" t="n">
        <v>2</v>
      </c>
      <c r="H383" t="n">
        <v>1</v>
      </c>
      <c r="I383" t="n">
        <v>2</v>
      </c>
      <c r="J383" t="n">
        <v>0.02</v>
      </c>
      <c r="K383" t="n">
        <v>93</v>
      </c>
      <c r="L383" t="n">
        <v>0</v>
      </c>
      <c r="M383" t="n">
        <v>0</v>
      </c>
      <c r="N383" t="n">
        <v>0</v>
      </c>
      <c r="O383" t="n">
        <v>0</v>
      </c>
      <c r="P383" t="n">
        <v>60</v>
      </c>
      <c r="Q383" t="n">
        <v>30</v>
      </c>
      <c r="R383" t="n">
        <v>49</v>
      </c>
      <c r="S383" t="n">
        <v>849</v>
      </c>
      <c r="T383" t="n">
        <v>0</v>
      </c>
      <c r="U383" t="n">
        <v>50</v>
      </c>
      <c r="V383" t="n">
        <v>2</v>
      </c>
      <c r="W383" t="n">
        <v>36</v>
      </c>
      <c r="X383" t="n">
        <v>0</v>
      </c>
      <c r="Y383" t="n">
        <v>0</v>
      </c>
      <c r="Z383" t="n">
        <v>0</v>
      </c>
      <c r="AA383" t="n">
        <v>2410</v>
      </c>
      <c r="AB383" t="n">
        <v>3</v>
      </c>
      <c r="AC383" t="n">
        <v>19</v>
      </c>
      <c r="AD383" t="n">
        <v>170</v>
      </c>
      <c r="AE383" t="n">
        <v>13</v>
      </c>
      <c r="AF383" t="n">
        <v>21</v>
      </c>
      <c r="AG383" t="n">
        <v>52</v>
      </c>
      <c r="AH383" t="n">
        <v>0</v>
      </c>
      <c r="AI383" t="n">
        <v>0</v>
      </c>
      <c r="AJ383" t="n">
        <v>570</v>
      </c>
      <c r="AK383" t="n">
        <v>0</v>
      </c>
      <c r="AL383" t="n">
        <v>114</v>
      </c>
      <c r="AM383" t="n">
        <v>206</v>
      </c>
      <c r="AN383" t="n">
        <v>63</v>
      </c>
      <c r="AO383" t="n">
        <v>2</v>
      </c>
      <c r="AP383" t="n">
        <v>0</v>
      </c>
      <c r="AQ383" t="n">
        <v>0</v>
      </c>
      <c r="AR383" t="n">
        <v>0</v>
      </c>
      <c r="AS383" t="n">
        <v>0</v>
      </c>
      <c r="AT383" t="n">
        <v>0</v>
      </c>
      <c r="AU383" t="n">
        <v>0</v>
      </c>
      <c r="AV383" t="n">
        <v>0</v>
      </c>
      <c r="AW383" t="n">
        <v>0</v>
      </c>
      <c r="AX383" t="n">
        <v>1620</v>
      </c>
      <c r="AY383" t="n">
        <v>0</v>
      </c>
      <c r="AZ383" t="n">
        <v>0</v>
      </c>
      <c r="BA383" t="n">
        <v>1620</v>
      </c>
      <c r="BB383" t="n">
        <v>0</v>
      </c>
      <c r="BC383" t="n">
        <v>0</v>
      </c>
      <c r="BD383" t="n">
        <v>0</v>
      </c>
      <c r="BE383" t="n">
        <v>0</v>
      </c>
      <c r="BF383" t="n">
        <v>0</v>
      </c>
      <c r="BG383">
        <f>IF($F383=0,"0",MIN(
BH383/(30*$F383),
BI383/(61*$F383),
BJ383/(48*$F383),
(BK383+BL383)/(23*$F383),
(BM383+BN383)/(41*$F383),
BO383/(25*$F383),
BP383/(6.6*$F383),
BQ383/(40*$F383),
BS383/(16*$F383)
)*100)</f>
        <v/>
      </c>
      <c r="BH383" t="n">
        <v>161</v>
      </c>
      <c r="BI383" t="n">
        <v>262</v>
      </c>
      <c r="BJ383" t="n">
        <v>221</v>
      </c>
      <c r="BK383" t="n">
        <v>0</v>
      </c>
      <c r="BL383" t="n">
        <v>50</v>
      </c>
      <c r="BM383" t="n">
        <v>181</v>
      </c>
      <c r="BN383" t="n">
        <v>121</v>
      </c>
      <c r="BO383" t="n">
        <v>131</v>
      </c>
      <c r="BP383" t="n">
        <v>48</v>
      </c>
      <c r="BQ383" t="n">
        <v>171</v>
      </c>
      <c r="BR383" t="n">
        <v>252</v>
      </c>
      <c r="BS383" t="n">
        <v>91</v>
      </c>
      <c r="BT383" t="n">
        <v>1689</v>
      </c>
      <c r="BU383" t="n">
        <v>151</v>
      </c>
      <c r="BV383" t="n">
        <v>423</v>
      </c>
      <c r="BW383" t="n">
        <v>684</v>
      </c>
      <c r="BX383" t="n">
        <v>151</v>
      </c>
      <c r="BY383" t="n">
        <v>181</v>
      </c>
      <c r="BZ383" t="n">
        <v>181</v>
      </c>
      <c r="CA383" t="n">
        <v>1771</v>
      </c>
      <c r="CB383" t="n">
        <v>0</v>
      </c>
      <c r="CC383" t="n">
        <v>0</v>
      </c>
      <c r="CD383" t="n">
        <v>60</v>
      </c>
      <c r="CE383" t="n">
        <v>376</v>
      </c>
      <c r="CF383" t="n">
        <v>6.27</v>
      </c>
      <c r="CG383" t="n">
        <v>0</v>
      </c>
      <c r="CH383" t="n">
        <v>0</v>
      </c>
      <c r="CI383" t="n">
        <v>0</v>
      </c>
      <c r="CJ383" t="n">
        <v>0</v>
      </c>
      <c r="CK383" t="n">
        <v>0</v>
      </c>
      <c r="CL383" t="n">
        <v>1</v>
      </c>
      <c r="CM383" t="n">
        <v>0</v>
      </c>
      <c r="CN383" t="n">
        <v>79</v>
      </c>
      <c r="CO383" t="n">
        <v>1</v>
      </c>
      <c r="CP383" t="n">
        <v>29</v>
      </c>
      <c r="CQ383" t="n">
        <v>2</v>
      </c>
      <c r="CR383" t="n">
        <v>3</v>
      </c>
      <c r="CS383" t="n">
        <v>1</v>
      </c>
      <c r="CT383" t="n">
        <v>116</v>
      </c>
      <c r="CU383" t="n">
        <v>0</v>
      </c>
      <c r="CV383" t="n">
        <v>0</v>
      </c>
      <c r="CW383" t="n">
        <v>1</v>
      </c>
      <c r="CX383" t="n">
        <v>0</v>
      </c>
      <c r="CY383" t="n">
        <v>145</v>
      </c>
      <c r="CZ383" t="n">
        <v>1</v>
      </c>
      <c r="DA383" t="n">
        <v>0</v>
      </c>
      <c r="DB383" t="n">
        <v>0</v>
      </c>
      <c r="DC383" t="n">
        <v>147</v>
      </c>
      <c r="DD383" t="n">
        <v>0</v>
      </c>
      <c r="DE383" t="n">
        <v>0</v>
      </c>
      <c r="DF383" t="n">
        <v>376</v>
      </c>
      <c r="DG383" t="n">
        <v>60</v>
      </c>
      <c r="DH383" t="n">
        <v>0</v>
      </c>
      <c r="DI383" t="n">
        <v>0</v>
      </c>
      <c r="DJ383" t="n">
        <v>0</v>
      </c>
      <c r="DK383" t="n">
        <v>0</v>
      </c>
      <c r="DL383" t="n">
        <v>0</v>
      </c>
      <c r="DM383" t="n">
        <v>0</v>
      </c>
      <c r="DN383" t="n">
        <v>0</v>
      </c>
      <c r="DO383" t="n">
        <v>0</v>
      </c>
      <c r="DP383" t="n">
        <v>0</v>
      </c>
      <c r="DQ383" t="n">
        <v>0</v>
      </c>
      <c r="DR383" t="n">
        <v>0</v>
      </c>
      <c r="DS383" t="n">
        <v>436</v>
      </c>
      <c r="DT383" t="n">
        <v>699</v>
      </c>
      <c r="DU383" t="n">
        <v>1</v>
      </c>
      <c r="DV383" t="n">
        <v>0</v>
      </c>
      <c r="DW383" t="n">
        <v>0</v>
      </c>
      <c r="DX383" t="n">
        <v>0</v>
      </c>
      <c r="DY383" t="n">
        <v>0</v>
      </c>
      <c r="DZ383" t="n">
        <v>0</v>
      </c>
      <c r="EA383" t="n">
        <v>0</v>
      </c>
      <c r="EB383" t="n">
        <v>0</v>
      </c>
      <c r="EC383" t="n">
        <v>0</v>
      </c>
      <c r="ED383" t="n">
        <v>0</v>
      </c>
      <c r="EE383" t="n">
        <v>1100</v>
      </c>
      <c r="EF383" t="n">
        <v>0</v>
      </c>
      <c r="EG383" t="n">
        <v>0</v>
      </c>
      <c r="EH383" t="n">
        <v>0.6</v>
      </c>
      <c r="EI383" t="n">
        <v>1.1</v>
      </c>
      <c r="EJ383" t="n">
        <v>0.7</v>
      </c>
      <c r="EK383" t="n">
        <v>3.5</v>
      </c>
    </row>
    <row r="384">
      <c r="A384">
        <f>[1]ingredient!B384</f>
        <v/>
      </c>
      <c r="B384" t="inlineStr">
        <is>
          <t>https://www.naehrwertrechner.de/naehrwerte/J221011/Sojamehl/?menge=100</t>
        </is>
      </c>
      <c r="C384" s="7">
        <f>_xlfn.XLOOKUP(A384,[1]ingredient!$B$2:$B$521,[1]ingredient!$A$2:$A$521)</f>
        <v/>
      </c>
      <c r="D384" t="n">
        <v>342</v>
      </c>
      <c r="E384" t="n">
        <v>20</v>
      </c>
      <c r="F384" t="n">
        <v>40</v>
      </c>
      <c r="G384" t="n">
        <v>0.4</v>
      </c>
      <c r="H384" t="n">
        <v>17</v>
      </c>
      <c r="I384" t="n">
        <v>0.4</v>
      </c>
      <c r="J384" t="n">
        <v>0.15</v>
      </c>
      <c r="K384" t="n">
        <v>9</v>
      </c>
      <c r="L384" t="n">
        <v>14</v>
      </c>
      <c r="M384" t="n">
        <v>7</v>
      </c>
      <c r="N384" t="n">
        <v>0</v>
      </c>
      <c r="O384" t="n">
        <v>84</v>
      </c>
      <c r="P384" t="n">
        <v>1500</v>
      </c>
      <c r="Q384" t="n">
        <v>250</v>
      </c>
      <c r="R384" t="n">
        <v>2200</v>
      </c>
      <c r="S384" t="n">
        <v>9533</v>
      </c>
      <c r="T384" t="n">
        <v>1800</v>
      </c>
      <c r="U384" t="n">
        <v>800</v>
      </c>
      <c r="V384" t="n">
        <v>60</v>
      </c>
      <c r="W384" t="n">
        <v>250</v>
      </c>
      <c r="X384" t="n">
        <v>0</v>
      </c>
      <c r="Y384" t="n">
        <v>0</v>
      </c>
      <c r="Z384" t="n">
        <v>0</v>
      </c>
      <c r="AA384" t="n">
        <v>1525</v>
      </c>
      <c r="AB384" t="n">
        <v>200</v>
      </c>
      <c r="AC384" t="n">
        <v>40</v>
      </c>
      <c r="AD384" t="n">
        <v>2250</v>
      </c>
      <c r="AE384" t="n">
        <v>250</v>
      </c>
      <c r="AF384" t="n">
        <v>250</v>
      </c>
      <c r="AG384" t="n">
        <v>650</v>
      </c>
      <c r="AH384" t="n">
        <v>206</v>
      </c>
      <c r="AI384" t="n">
        <v>106</v>
      </c>
      <c r="AJ384" t="n">
        <v>15000</v>
      </c>
      <c r="AK384" t="n">
        <v>4900</v>
      </c>
      <c r="AL384" t="n">
        <v>1600</v>
      </c>
      <c r="AM384" t="n">
        <v>4000</v>
      </c>
      <c r="AN384" t="n">
        <v>120</v>
      </c>
      <c r="AO384" t="n">
        <v>1</v>
      </c>
      <c r="AP384" t="n">
        <v>0</v>
      </c>
      <c r="AQ384" t="n">
        <v>0</v>
      </c>
      <c r="AR384" t="n">
        <v>0</v>
      </c>
      <c r="AS384" t="n">
        <v>0</v>
      </c>
      <c r="AT384" t="n">
        <v>0</v>
      </c>
      <c r="AU384" t="n">
        <v>0</v>
      </c>
      <c r="AV384" t="n">
        <v>0</v>
      </c>
      <c r="AW384" t="n">
        <v>0</v>
      </c>
      <c r="AX384" t="n">
        <v>396</v>
      </c>
      <c r="AY384" t="n">
        <v>0</v>
      </c>
      <c r="AZ384" t="n">
        <v>0</v>
      </c>
      <c r="BA384" t="n">
        <v>396</v>
      </c>
      <c r="BB384" t="n">
        <v>0</v>
      </c>
      <c r="BC384" t="n">
        <v>9000</v>
      </c>
      <c r="BD384" t="n">
        <v>0</v>
      </c>
      <c r="BE384" t="n">
        <v>4</v>
      </c>
      <c r="BF384" t="n">
        <v>4</v>
      </c>
      <c r="BG384">
        <f>IF($F384=0,"0",MIN(
BH384/(30*$F384),
BI384/(61*$F384),
BJ384/(48*$F384),
(BK384+BL384)/(23*$F384),
(BM384+BN384)/(41*$F384),
BO384/(25*$F384),
BP384/(6.6*$F384),
BQ384/(40*$F384),
BS384/(16*$F384)
)*100)</f>
        <v/>
      </c>
      <c r="BH384" t="n">
        <v>1800</v>
      </c>
      <c r="BI384" t="n">
        <v>2880</v>
      </c>
      <c r="BJ384" t="n">
        <v>2480</v>
      </c>
      <c r="BK384" t="n">
        <v>520</v>
      </c>
      <c r="BL384" t="n">
        <v>640</v>
      </c>
      <c r="BM384" t="n">
        <v>1800</v>
      </c>
      <c r="BN384" t="n">
        <v>1400</v>
      </c>
      <c r="BO384" t="n">
        <v>1560</v>
      </c>
      <c r="BP384" t="n">
        <v>440</v>
      </c>
      <c r="BQ384" t="n">
        <v>1880</v>
      </c>
      <c r="BR384" t="n">
        <v>3040</v>
      </c>
      <c r="BS384" t="n">
        <v>920</v>
      </c>
      <c r="BT384" t="n">
        <v>19360</v>
      </c>
      <c r="BU384" t="n">
        <v>1640</v>
      </c>
      <c r="BV384" t="n">
        <v>4400</v>
      </c>
      <c r="BW384" t="n">
        <v>7680</v>
      </c>
      <c r="BX384" t="n">
        <v>1640</v>
      </c>
      <c r="BY384" t="n">
        <v>2240</v>
      </c>
      <c r="BZ384" t="n">
        <v>2040</v>
      </c>
      <c r="CA384" t="n">
        <v>19640</v>
      </c>
      <c r="CB384" t="n">
        <v>380</v>
      </c>
      <c r="CC384" t="n">
        <v>158</v>
      </c>
      <c r="CD384" t="n">
        <v>1458</v>
      </c>
      <c r="CE384" t="n">
        <v>10712</v>
      </c>
      <c r="CF384" t="n">
        <v>7.35</v>
      </c>
      <c r="CG384" t="n">
        <v>0</v>
      </c>
      <c r="CH384" t="n">
        <v>0</v>
      </c>
      <c r="CI384" t="n">
        <v>0</v>
      </c>
      <c r="CJ384" t="n">
        <v>0</v>
      </c>
      <c r="CK384" t="n">
        <v>19</v>
      </c>
      <c r="CL384" t="n">
        <v>37</v>
      </c>
      <c r="CM384" t="n">
        <v>0</v>
      </c>
      <c r="CN384" t="n">
        <v>2056</v>
      </c>
      <c r="CO384" t="n">
        <v>0</v>
      </c>
      <c r="CP384" t="n">
        <v>710</v>
      </c>
      <c r="CQ384" t="n">
        <v>56</v>
      </c>
      <c r="CR384" t="n">
        <v>19</v>
      </c>
      <c r="CS384" t="n">
        <v>0</v>
      </c>
      <c r="CT384" t="n">
        <v>2897</v>
      </c>
      <c r="CU384" t="n">
        <v>0</v>
      </c>
      <c r="CV384" t="n">
        <v>0</v>
      </c>
      <c r="CW384" t="n">
        <v>37</v>
      </c>
      <c r="CX384" t="n">
        <v>0</v>
      </c>
      <c r="CY384" t="n">
        <v>3552</v>
      </c>
      <c r="CZ384" t="n">
        <v>37</v>
      </c>
      <c r="DA384" t="n">
        <v>0</v>
      </c>
      <c r="DB384" t="n">
        <v>0</v>
      </c>
      <c r="DC384" t="n">
        <v>3626</v>
      </c>
      <c r="DD384" t="n">
        <v>0</v>
      </c>
      <c r="DE384" t="n">
        <v>0</v>
      </c>
      <c r="DF384" t="n">
        <v>10712</v>
      </c>
      <c r="DG384" t="n">
        <v>1458</v>
      </c>
      <c r="DH384" t="n">
        <v>0</v>
      </c>
      <c r="DI384" t="n">
        <v>0</v>
      </c>
      <c r="DJ384" t="n">
        <v>0</v>
      </c>
      <c r="DK384" t="n">
        <v>0</v>
      </c>
      <c r="DL384" t="n">
        <v>0</v>
      </c>
      <c r="DM384" t="n">
        <v>0</v>
      </c>
      <c r="DN384" t="n">
        <v>0</v>
      </c>
      <c r="DO384" t="n">
        <v>0</v>
      </c>
      <c r="DP384" t="n">
        <v>0</v>
      </c>
      <c r="DQ384" t="n">
        <v>0</v>
      </c>
      <c r="DR384" t="n">
        <v>0</v>
      </c>
      <c r="DS384" t="n">
        <v>12170</v>
      </c>
      <c r="DT384" t="n">
        <v>18693</v>
      </c>
      <c r="DU384" t="n">
        <v>1407</v>
      </c>
      <c r="DV384" t="n">
        <v>0</v>
      </c>
      <c r="DW384" t="n">
        <v>0</v>
      </c>
      <c r="DX384" t="n">
        <v>0</v>
      </c>
      <c r="DY384" t="n">
        <v>4250</v>
      </c>
      <c r="DZ384" t="n">
        <v>6205</v>
      </c>
      <c r="EA384" t="n">
        <v>2380</v>
      </c>
      <c r="EB384" t="n">
        <v>4080</v>
      </c>
      <c r="EC384" t="n">
        <v>85</v>
      </c>
      <c r="ED384" t="n">
        <v>8500</v>
      </c>
      <c r="EE384" t="n">
        <v>8500</v>
      </c>
      <c r="EF384" t="n">
        <v>0</v>
      </c>
      <c r="EG384" t="n">
        <v>0</v>
      </c>
      <c r="EH384" t="n">
        <v>4.4</v>
      </c>
      <c r="EI384" t="n">
        <v>8.5</v>
      </c>
      <c r="EJ384" t="n">
        <v>20.1</v>
      </c>
      <c r="EK384" t="n">
        <v>40.3</v>
      </c>
    </row>
    <row r="385">
      <c r="A385">
        <f>[1]ingredient!B385</f>
        <v/>
      </c>
      <c r="B385" t="inlineStr">
        <is>
          <t>https://www.naehrwertrechner.de/naehrwerte/H841000/Sojadrink+Sojadrinkprodukte/?menge=100</t>
        </is>
      </c>
      <c r="C385" s="7">
        <f>_xlfn.XLOOKUP(A385,[1]ingredient!$B$2:$B$521,[1]ingredient!$A$2:$A$521)</f>
        <v/>
      </c>
      <c r="D385" t="n">
        <v>27</v>
      </c>
      <c r="E385" t="n">
        <v>1</v>
      </c>
      <c r="F385" t="n">
        <v>3</v>
      </c>
      <c r="G385" t="n">
        <v>2</v>
      </c>
      <c r="H385" t="n">
        <v>1</v>
      </c>
      <c r="I385" t="n">
        <v>2</v>
      </c>
      <c r="J385" t="n">
        <v>0.02</v>
      </c>
      <c r="K385" t="n">
        <v>93</v>
      </c>
      <c r="L385" t="n">
        <v>0</v>
      </c>
      <c r="M385" t="n">
        <v>0</v>
      </c>
      <c r="N385" t="n">
        <v>0</v>
      </c>
      <c r="O385" t="n">
        <v>0</v>
      </c>
      <c r="P385" t="n">
        <v>60</v>
      </c>
      <c r="Q385" t="n">
        <v>30</v>
      </c>
      <c r="R385" t="n">
        <v>49</v>
      </c>
      <c r="S385" t="n">
        <v>849</v>
      </c>
      <c r="T385" t="n">
        <v>0</v>
      </c>
      <c r="U385" t="n">
        <v>50</v>
      </c>
      <c r="V385" t="n">
        <v>2</v>
      </c>
      <c r="W385" t="n">
        <v>36</v>
      </c>
      <c r="X385" t="n">
        <v>0</v>
      </c>
      <c r="Y385" t="n">
        <v>0</v>
      </c>
      <c r="Z385" t="n">
        <v>0</v>
      </c>
      <c r="AA385" t="n">
        <v>2410</v>
      </c>
      <c r="AB385" t="n">
        <v>3</v>
      </c>
      <c r="AC385" t="n">
        <v>19</v>
      </c>
      <c r="AD385" t="n">
        <v>170</v>
      </c>
      <c r="AE385" t="n">
        <v>13</v>
      </c>
      <c r="AF385" t="n">
        <v>21</v>
      </c>
      <c r="AG385" t="n">
        <v>52</v>
      </c>
      <c r="AH385" t="n">
        <v>0</v>
      </c>
      <c r="AI385" t="n">
        <v>0</v>
      </c>
      <c r="AJ385" t="n">
        <v>570</v>
      </c>
      <c r="AK385" t="n">
        <v>0</v>
      </c>
      <c r="AL385" t="n">
        <v>114</v>
      </c>
      <c r="AM385" t="n">
        <v>206</v>
      </c>
      <c r="AN385" t="n">
        <v>63</v>
      </c>
      <c r="AO385" t="n">
        <v>2</v>
      </c>
      <c r="AP385" t="n">
        <v>0</v>
      </c>
      <c r="AQ385" t="n">
        <v>0</v>
      </c>
      <c r="AR385" t="n">
        <v>0</v>
      </c>
      <c r="AS385" t="n">
        <v>0</v>
      </c>
      <c r="AT385" t="n">
        <v>0</v>
      </c>
      <c r="AU385" t="n">
        <v>0</v>
      </c>
      <c r="AV385" t="n">
        <v>0</v>
      </c>
      <c r="AW385" t="n">
        <v>0</v>
      </c>
      <c r="AX385" t="n">
        <v>1620</v>
      </c>
      <c r="AY385" t="n">
        <v>0</v>
      </c>
      <c r="AZ385" t="n">
        <v>0</v>
      </c>
      <c r="BA385" t="n">
        <v>1620</v>
      </c>
      <c r="BB385" t="n">
        <v>0</v>
      </c>
      <c r="BC385" t="n">
        <v>0</v>
      </c>
      <c r="BD385" t="n">
        <v>0</v>
      </c>
      <c r="BE385" t="n">
        <v>0</v>
      </c>
      <c r="BF385" t="n">
        <v>0</v>
      </c>
      <c r="BG385">
        <f>IF($F385=0,"0",MIN(
BH385/(30*$F385),
BI385/(61*$F385),
BJ385/(48*$F385),
(BK385+BL385)/(23*$F385),
(BM385+BN385)/(41*$F385),
BO385/(25*$F385),
BP385/(6.6*$F385),
BQ385/(40*$F385),
BS385/(16*$F385)
)*100)</f>
        <v/>
      </c>
      <c r="BH385" t="n">
        <v>161</v>
      </c>
      <c r="BI385" t="n">
        <v>262</v>
      </c>
      <c r="BJ385" t="n">
        <v>221</v>
      </c>
      <c r="BK385" t="n">
        <v>0</v>
      </c>
      <c r="BL385" t="n">
        <v>50</v>
      </c>
      <c r="BM385" t="n">
        <v>181</v>
      </c>
      <c r="BN385" t="n">
        <v>121</v>
      </c>
      <c r="BO385" t="n">
        <v>131</v>
      </c>
      <c r="BP385" t="n">
        <v>48</v>
      </c>
      <c r="BQ385" t="n">
        <v>171</v>
      </c>
      <c r="BR385" t="n">
        <v>252</v>
      </c>
      <c r="BS385" t="n">
        <v>91</v>
      </c>
      <c r="BT385" t="n">
        <v>1689</v>
      </c>
      <c r="BU385" t="n">
        <v>151</v>
      </c>
      <c r="BV385" t="n">
        <v>423</v>
      </c>
      <c r="BW385" t="n">
        <v>684</v>
      </c>
      <c r="BX385" t="n">
        <v>151</v>
      </c>
      <c r="BY385" t="n">
        <v>181</v>
      </c>
      <c r="BZ385" t="n">
        <v>181</v>
      </c>
      <c r="CA385" t="n">
        <v>1771</v>
      </c>
      <c r="CB385" t="n">
        <v>0</v>
      </c>
      <c r="CC385" t="n">
        <v>0</v>
      </c>
      <c r="CD385" t="n">
        <v>60</v>
      </c>
      <c r="CE385" t="n">
        <v>376</v>
      </c>
      <c r="CF385" t="n">
        <v>6.27</v>
      </c>
      <c r="CG385" t="n">
        <v>0</v>
      </c>
      <c r="CH385" t="n">
        <v>0</v>
      </c>
      <c r="CI385" t="n">
        <v>0</v>
      </c>
      <c r="CJ385" t="n">
        <v>0</v>
      </c>
      <c r="CK385" t="n">
        <v>0</v>
      </c>
      <c r="CL385" t="n">
        <v>1</v>
      </c>
      <c r="CM385" t="n">
        <v>0</v>
      </c>
      <c r="CN385" t="n">
        <v>79</v>
      </c>
      <c r="CO385" t="n">
        <v>1</v>
      </c>
      <c r="CP385" t="n">
        <v>29</v>
      </c>
      <c r="CQ385" t="n">
        <v>2</v>
      </c>
      <c r="CR385" t="n">
        <v>3</v>
      </c>
      <c r="CS385" t="n">
        <v>1</v>
      </c>
      <c r="CT385" t="n">
        <v>116</v>
      </c>
      <c r="CU385" t="n">
        <v>0</v>
      </c>
      <c r="CV385" t="n">
        <v>0</v>
      </c>
      <c r="CW385" t="n">
        <v>1</v>
      </c>
      <c r="CX385" t="n">
        <v>0</v>
      </c>
      <c r="CY385" t="n">
        <v>145</v>
      </c>
      <c r="CZ385" t="n">
        <v>1</v>
      </c>
      <c r="DA385" t="n">
        <v>0</v>
      </c>
      <c r="DB385" t="n">
        <v>0</v>
      </c>
      <c r="DC385" t="n">
        <v>147</v>
      </c>
      <c r="DD385" t="n">
        <v>0</v>
      </c>
      <c r="DE385" t="n">
        <v>0</v>
      </c>
      <c r="DF385" t="n">
        <v>376</v>
      </c>
      <c r="DG385" t="n">
        <v>60</v>
      </c>
      <c r="DH385" t="n">
        <v>0</v>
      </c>
      <c r="DI385" t="n">
        <v>0</v>
      </c>
      <c r="DJ385" t="n">
        <v>0</v>
      </c>
      <c r="DK385" t="n">
        <v>0</v>
      </c>
      <c r="DL385" t="n">
        <v>0</v>
      </c>
      <c r="DM385" t="n">
        <v>0</v>
      </c>
      <c r="DN385" t="n">
        <v>0</v>
      </c>
      <c r="DO385" t="n">
        <v>0</v>
      </c>
      <c r="DP385" t="n">
        <v>0</v>
      </c>
      <c r="DQ385" t="n">
        <v>0</v>
      </c>
      <c r="DR385" t="n">
        <v>0</v>
      </c>
      <c r="DS385" t="n">
        <v>436</v>
      </c>
      <c r="DT385" t="n">
        <v>699</v>
      </c>
      <c r="DU385" t="n">
        <v>1</v>
      </c>
      <c r="DV385" t="n">
        <v>0</v>
      </c>
      <c r="DW385" t="n">
        <v>0</v>
      </c>
      <c r="DX385" t="n">
        <v>0</v>
      </c>
      <c r="DY385" t="n">
        <v>0</v>
      </c>
      <c r="DZ385" t="n">
        <v>0</v>
      </c>
      <c r="EA385" t="n">
        <v>0</v>
      </c>
      <c r="EB385" t="n">
        <v>0</v>
      </c>
      <c r="EC385" t="n">
        <v>0</v>
      </c>
      <c r="ED385" t="n">
        <v>0</v>
      </c>
      <c r="EE385" t="n">
        <v>1100</v>
      </c>
      <c r="EF385" t="n">
        <v>0</v>
      </c>
      <c r="EG385" t="n">
        <v>0</v>
      </c>
      <c r="EH385" t="n">
        <v>0.6</v>
      </c>
      <c r="EI385" t="n">
        <v>1.1</v>
      </c>
      <c r="EJ385" t="n">
        <v>0.7</v>
      </c>
      <c r="EK385" t="n">
        <v>3.5</v>
      </c>
    </row>
    <row r="386">
      <c r="A386">
        <f>[1]ingredient!B386</f>
        <v/>
      </c>
      <c r="B386" t="inlineStr">
        <is>
          <t>https://www.naehrwertrechner.de/naehrwerte/J721000/Sojaso%C3%9Fe/?menge=100</t>
        </is>
      </c>
      <c r="C386" s="7">
        <f>_xlfn.XLOOKUP(A386,[1]ingredient!$B$2:$B$521,[1]ingredient!$A$2:$A$521)</f>
        <v/>
      </c>
      <c r="D386" t="n">
        <v>108</v>
      </c>
      <c r="E386" t="n">
        <v>5</v>
      </c>
      <c r="F386" t="n">
        <v>10</v>
      </c>
      <c r="G386" t="n">
        <v>6</v>
      </c>
      <c r="H386" t="n">
        <v>4</v>
      </c>
      <c r="I386" t="n">
        <v>6</v>
      </c>
      <c r="J386" t="n">
        <v>3</v>
      </c>
      <c r="K386" t="n">
        <v>69</v>
      </c>
      <c r="L386" t="n">
        <v>19</v>
      </c>
      <c r="M386" t="n">
        <v>10</v>
      </c>
      <c r="N386" t="n">
        <v>0</v>
      </c>
      <c r="O386" t="n">
        <v>114</v>
      </c>
      <c r="P386" t="n">
        <v>378</v>
      </c>
      <c r="Q386" t="n">
        <v>70</v>
      </c>
      <c r="R386" t="n">
        <v>612</v>
      </c>
      <c r="S386" t="n">
        <v>2462</v>
      </c>
      <c r="T386" t="n">
        <v>461</v>
      </c>
      <c r="U386" t="n">
        <v>210</v>
      </c>
      <c r="V386" t="n">
        <v>15</v>
      </c>
      <c r="W386" t="n">
        <v>63</v>
      </c>
      <c r="X386" t="n">
        <v>0</v>
      </c>
      <c r="Y386" t="n">
        <v>1050</v>
      </c>
      <c r="Z386" t="n">
        <v>0</v>
      </c>
      <c r="AA386" t="n">
        <v>407</v>
      </c>
      <c r="AB386" t="n">
        <v>55</v>
      </c>
      <c r="AC386" t="n">
        <v>1177</v>
      </c>
      <c r="AD386" t="n">
        <v>577</v>
      </c>
      <c r="AE386" t="n">
        <v>77</v>
      </c>
      <c r="AF386" t="n">
        <v>68</v>
      </c>
      <c r="AG386" t="n">
        <v>169</v>
      </c>
      <c r="AH386" t="n">
        <v>54</v>
      </c>
      <c r="AI386" t="n">
        <v>1826</v>
      </c>
      <c r="AJ386" t="n">
        <v>3916</v>
      </c>
      <c r="AK386" t="n">
        <v>1343</v>
      </c>
      <c r="AL386" t="n">
        <v>432</v>
      </c>
      <c r="AM386" t="n">
        <v>1098</v>
      </c>
      <c r="AN386" t="n">
        <v>42</v>
      </c>
      <c r="AO386" t="n">
        <v>3</v>
      </c>
      <c r="AP386" t="n">
        <v>0</v>
      </c>
      <c r="AQ386" t="n">
        <v>0</v>
      </c>
      <c r="AR386" t="n">
        <v>0</v>
      </c>
      <c r="AS386" t="n">
        <v>0</v>
      </c>
      <c r="AT386" t="n">
        <v>168</v>
      </c>
      <c r="AU386" t="n">
        <v>168</v>
      </c>
      <c r="AV386" t="n">
        <v>0</v>
      </c>
      <c r="AW386" t="n">
        <v>336</v>
      </c>
      <c r="AX386" t="n">
        <v>5169</v>
      </c>
      <c r="AY386" t="n">
        <v>0</v>
      </c>
      <c r="AZ386" t="n">
        <v>0</v>
      </c>
      <c r="BA386" t="n">
        <v>5169</v>
      </c>
      <c r="BB386" t="n">
        <v>0</v>
      </c>
      <c r="BC386" t="n">
        <v>2252</v>
      </c>
      <c r="BD386" t="n">
        <v>0</v>
      </c>
      <c r="BE386" t="n">
        <v>5</v>
      </c>
      <c r="BF386" t="n">
        <v>5</v>
      </c>
      <c r="BG386">
        <f>IF($F386=0,"0",MIN(
BH386/(30*$F386),
BI386/(61*$F386),
BJ386/(48*$F386),
(BK386+BL386)/(23*$F386),
(BM386+BN386)/(41*$F386),
BO386/(25*$F386),
BP386/(6.6*$F386),
BQ386/(40*$F386),
BS386/(16*$F386)
)*100)</f>
        <v/>
      </c>
      <c r="BH386" t="n">
        <v>453</v>
      </c>
      <c r="BI386" t="n">
        <v>725</v>
      </c>
      <c r="BJ386" t="n">
        <v>624</v>
      </c>
      <c r="BK386" t="n">
        <v>131</v>
      </c>
      <c r="BL386" t="n">
        <v>161</v>
      </c>
      <c r="BM386" t="n">
        <v>453</v>
      </c>
      <c r="BN386" t="n">
        <v>352</v>
      </c>
      <c r="BO386" t="n">
        <v>393</v>
      </c>
      <c r="BP386" t="n">
        <v>111</v>
      </c>
      <c r="BQ386" t="n">
        <v>474</v>
      </c>
      <c r="BR386" t="n">
        <v>763</v>
      </c>
      <c r="BS386" t="n">
        <v>231</v>
      </c>
      <c r="BT386" t="n">
        <v>4871</v>
      </c>
      <c r="BU386" t="n">
        <v>413</v>
      </c>
      <c r="BV386" t="n">
        <v>1110</v>
      </c>
      <c r="BW386" t="n">
        <v>1931</v>
      </c>
      <c r="BX386" t="n">
        <v>412</v>
      </c>
      <c r="BY386" t="n">
        <v>563</v>
      </c>
      <c r="BZ386" t="n">
        <v>513</v>
      </c>
      <c r="CA386" t="n">
        <v>4942</v>
      </c>
      <c r="CB386" t="n">
        <v>96</v>
      </c>
      <c r="CC386" t="n">
        <v>40</v>
      </c>
      <c r="CD386" t="n">
        <v>368</v>
      </c>
      <c r="CE386" t="n">
        <v>2685</v>
      </c>
      <c r="CF386" t="n">
        <v>7.3</v>
      </c>
      <c r="CG386" t="n">
        <v>0</v>
      </c>
      <c r="CH386" t="n">
        <v>0</v>
      </c>
      <c r="CI386" t="n">
        <v>0</v>
      </c>
      <c r="CJ386" t="n">
        <v>0</v>
      </c>
      <c r="CK386" t="n">
        <v>6</v>
      </c>
      <c r="CL386" t="n">
        <v>10</v>
      </c>
      <c r="CM386" t="n">
        <v>0</v>
      </c>
      <c r="CN386" t="n">
        <v>519</v>
      </c>
      <c r="CO386" t="n">
        <v>0</v>
      </c>
      <c r="CP386" t="n">
        <v>178</v>
      </c>
      <c r="CQ386" t="n">
        <v>14</v>
      </c>
      <c r="CR386" t="n">
        <v>5</v>
      </c>
      <c r="CS386" t="n">
        <v>0</v>
      </c>
      <c r="CT386" t="n">
        <v>732</v>
      </c>
      <c r="CU386" t="n">
        <v>0</v>
      </c>
      <c r="CV386" t="n">
        <v>0</v>
      </c>
      <c r="CW386" t="n">
        <v>10</v>
      </c>
      <c r="CX386" t="n">
        <v>0</v>
      </c>
      <c r="CY386" t="n">
        <v>891</v>
      </c>
      <c r="CZ386" t="n">
        <v>9</v>
      </c>
      <c r="DA386" t="n">
        <v>0</v>
      </c>
      <c r="DB386" t="n">
        <v>0</v>
      </c>
      <c r="DC386" t="n">
        <v>910</v>
      </c>
      <c r="DD386" t="n">
        <v>0</v>
      </c>
      <c r="DE386" t="n">
        <v>0</v>
      </c>
      <c r="DF386" t="n">
        <v>2685</v>
      </c>
      <c r="DG386" t="n">
        <v>368</v>
      </c>
      <c r="DH386" t="n">
        <v>0</v>
      </c>
      <c r="DI386" t="n">
        <v>0</v>
      </c>
      <c r="DJ386" t="n">
        <v>0</v>
      </c>
      <c r="DK386" t="n">
        <v>0</v>
      </c>
      <c r="DL386" t="n">
        <v>0</v>
      </c>
      <c r="DM386" t="n">
        <v>0</v>
      </c>
      <c r="DN386" t="n">
        <v>0</v>
      </c>
      <c r="DO386" t="n">
        <v>0</v>
      </c>
      <c r="DP386" t="n">
        <v>0</v>
      </c>
      <c r="DQ386" t="n">
        <v>0</v>
      </c>
      <c r="DR386" t="n">
        <v>0</v>
      </c>
      <c r="DS386" t="n">
        <v>3053</v>
      </c>
      <c r="DT386" t="n">
        <v>4695</v>
      </c>
      <c r="DU386" t="n">
        <v>359</v>
      </c>
      <c r="DV386" t="n">
        <v>0</v>
      </c>
      <c r="DW386" t="n">
        <v>0</v>
      </c>
      <c r="DX386" t="n">
        <v>0</v>
      </c>
      <c r="DY386" t="n">
        <v>1079</v>
      </c>
      <c r="DZ386" t="n">
        <v>1571</v>
      </c>
      <c r="EA386" t="n">
        <v>624</v>
      </c>
      <c r="EB386" t="n">
        <v>1060</v>
      </c>
      <c r="EC386" t="n">
        <v>25</v>
      </c>
      <c r="ED386" t="n">
        <v>2156</v>
      </c>
      <c r="EE386" t="n">
        <v>2203</v>
      </c>
      <c r="EF386" t="n">
        <v>0</v>
      </c>
      <c r="EG386" t="n">
        <v>0.01</v>
      </c>
      <c r="EH386" t="n">
        <v>4.2</v>
      </c>
      <c r="EI386" t="n">
        <v>2.2</v>
      </c>
      <c r="EJ386" t="n">
        <v>5.1</v>
      </c>
      <c r="EK386" t="n">
        <v>10.1</v>
      </c>
    </row>
    <row r="387">
      <c r="A387">
        <f>[1]ingredient!B387</f>
        <v/>
      </c>
      <c r="B387" t="inlineStr">
        <is>
          <t>https://www.naehrwertrechner.de/naehrwerte/H430000/Sonnenblumenkern/?menge=100</t>
        </is>
      </c>
      <c r="C387" s="7">
        <f>_xlfn.XLOOKUP(A387,[1]ingredient!$B$2:$B$521,[1]ingredient!$A$2:$A$521)</f>
        <v/>
      </c>
      <c r="D387" t="n">
        <v>480</v>
      </c>
      <c r="E387" t="n">
        <v>26</v>
      </c>
      <c r="F387" t="n">
        <v>26</v>
      </c>
      <c r="G387" t="n">
        <v>35</v>
      </c>
      <c r="H387" t="n">
        <v>6</v>
      </c>
      <c r="I387" t="n">
        <v>35</v>
      </c>
      <c r="J387" t="n">
        <v>0.05</v>
      </c>
      <c r="K387" t="n">
        <v>4</v>
      </c>
      <c r="L387" t="n">
        <v>3</v>
      </c>
      <c r="M387" t="n">
        <v>1</v>
      </c>
      <c r="N387" t="n">
        <v>0</v>
      </c>
      <c r="O387" t="n">
        <v>15</v>
      </c>
      <c r="P387" t="n">
        <v>1900</v>
      </c>
      <c r="Q387" t="n">
        <v>260</v>
      </c>
      <c r="R387" t="n">
        <v>5000</v>
      </c>
      <c r="S387" t="n">
        <v>11183</v>
      </c>
      <c r="T387" t="n">
        <v>0</v>
      </c>
      <c r="U387" t="n">
        <v>1270</v>
      </c>
      <c r="V387" t="n">
        <v>56</v>
      </c>
      <c r="W387" t="n">
        <v>121</v>
      </c>
      <c r="X387" t="n">
        <v>0</v>
      </c>
      <c r="Y387" t="n">
        <v>0</v>
      </c>
      <c r="Z387" t="n">
        <v>0</v>
      </c>
      <c r="AA387" t="n">
        <v>38840</v>
      </c>
      <c r="AB387" t="n">
        <v>0</v>
      </c>
      <c r="AC387" t="n">
        <v>0</v>
      </c>
      <c r="AD387" t="n">
        <v>784</v>
      </c>
      <c r="AE387" t="n">
        <v>86</v>
      </c>
      <c r="AF387" t="n">
        <v>336</v>
      </c>
      <c r="AG387" t="n">
        <v>688</v>
      </c>
      <c r="AH387" t="n">
        <v>280</v>
      </c>
      <c r="AI387" t="n">
        <v>48</v>
      </c>
      <c r="AJ387" t="n">
        <v>5720</v>
      </c>
      <c r="AK387" t="n">
        <v>5760</v>
      </c>
      <c r="AL387" t="n">
        <v>1890</v>
      </c>
      <c r="AM387" t="n">
        <v>2380</v>
      </c>
      <c r="AN387" t="n">
        <v>63</v>
      </c>
      <c r="AO387" t="n">
        <v>4</v>
      </c>
      <c r="AP387" t="n">
        <v>0</v>
      </c>
      <c r="AQ387" t="n">
        <v>0</v>
      </c>
      <c r="AR387" t="n">
        <v>0</v>
      </c>
      <c r="AS387" t="n">
        <v>0</v>
      </c>
      <c r="AT387" t="n">
        <v>0</v>
      </c>
      <c r="AU387" t="n">
        <v>0</v>
      </c>
      <c r="AV387" t="n">
        <v>0</v>
      </c>
      <c r="AW387" t="n">
        <v>0</v>
      </c>
      <c r="AX387" t="n">
        <v>34740</v>
      </c>
      <c r="AY387" t="n">
        <v>0</v>
      </c>
      <c r="AZ387" t="n">
        <v>0</v>
      </c>
      <c r="BA387" t="n">
        <v>34740</v>
      </c>
      <c r="BB387" t="n">
        <v>0</v>
      </c>
      <c r="BC387" t="n">
        <v>0</v>
      </c>
      <c r="BD387" t="n">
        <v>0</v>
      </c>
      <c r="BE387" t="n">
        <v>0</v>
      </c>
      <c r="BF387" t="n">
        <v>0</v>
      </c>
      <c r="BG387">
        <f>IF($F387=0,"0",MIN(
BH387/(30*$F387),
BI387/(61*$F387),
BJ387/(48*$F387),
(BK387+BL387)/(23*$F387),
(BM387+BN387)/(41*$F387),
BO387/(25*$F387),
BP387/(6.6*$F387),
BQ387/(40*$F387),
BS387/(16*$F387)
)*100)</f>
        <v/>
      </c>
      <c r="BH387" t="n">
        <v>1135</v>
      </c>
      <c r="BI387" t="n">
        <v>1702</v>
      </c>
      <c r="BJ387" t="n">
        <v>990</v>
      </c>
      <c r="BK387" t="n">
        <v>567</v>
      </c>
      <c r="BL387" t="n">
        <v>464</v>
      </c>
      <c r="BM387" t="n">
        <v>1289</v>
      </c>
      <c r="BN387" t="n">
        <v>701</v>
      </c>
      <c r="BO387" t="n">
        <v>959</v>
      </c>
      <c r="BP387" t="n">
        <v>371</v>
      </c>
      <c r="BQ387" t="n">
        <v>1331</v>
      </c>
      <c r="BR387" t="n">
        <v>2466</v>
      </c>
      <c r="BS387" t="n">
        <v>691</v>
      </c>
      <c r="BT387" t="n">
        <v>12666</v>
      </c>
      <c r="BU387" t="n">
        <v>1155</v>
      </c>
      <c r="BV387" t="n">
        <v>2497</v>
      </c>
      <c r="BW387" t="n">
        <v>5952</v>
      </c>
      <c r="BX387" t="n">
        <v>1475</v>
      </c>
      <c r="BY387" t="n">
        <v>1207</v>
      </c>
      <c r="BZ387" t="n">
        <v>1155</v>
      </c>
      <c r="CA387" t="n">
        <v>13441</v>
      </c>
      <c r="CB387" t="n">
        <v>0</v>
      </c>
      <c r="CC387" t="n">
        <v>0</v>
      </c>
      <c r="CD387" t="n">
        <v>26</v>
      </c>
      <c r="CE387" t="n">
        <v>16709</v>
      </c>
      <c r="CF387" t="n">
        <v>642.65</v>
      </c>
      <c r="CG387" t="n">
        <v>0</v>
      </c>
      <c r="CH387" t="n">
        <v>0</v>
      </c>
      <c r="CI387" t="n">
        <v>0</v>
      </c>
      <c r="CJ387" t="n">
        <v>0</v>
      </c>
      <c r="CK387" t="n">
        <v>0</v>
      </c>
      <c r="CL387" t="n">
        <v>21</v>
      </c>
      <c r="CM387" t="n">
        <v>5</v>
      </c>
      <c r="CN387" t="n">
        <v>1639</v>
      </c>
      <c r="CO387" t="n">
        <v>13</v>
      </c>
      <c r="CP387" t="n">
        <v>1023</v>
      </c>
      <c r="CQ387" t="n">
        <v>72</v>
      </c>
      <c r="CR387" t="n">
        <v>212</v>
      </c>
      <c r="CS387" t="n">
        <v>67</v>
      </c>
      <c r="CT387" t="n">
        <v>3052</v>
      </c>
      <c r="CU387" t="n">
        <v>0</v>
      </c>
      <c r="CV387" t="n">
        <v>0</v>
      </c>
      <c r="CW387" t="n">
        <v>24</v>
      </c>
      <c r="CX387" t="n">
        <v>8</v>
      </c>
      <c r="CY387" t="n">
        <v>6440</v>
      </c>
      <c r="CZ387" t="n">
        <v>37</v>
      </c>
      <c r="DA387" t="n">
        <v>0</v>
      </c>
      <c r="DB387" t="n">
        <v>3</v>
      </c>
      <c r="DC387" t="n">
        <v>6512</v>
      </c>
      <c r="DD387" t="n">
        <v>0</v>
      </c>
      <c r="DE387" t="n">
        <v>0</v>
      </c>
      <c r="DF387" t="n">
        <v>16706</v>
      </c>
      <c r="DG387" t="n">
        <v>26</v>
      </c>
      <c r="DH387" t="n">
        <v>0</v>
      </c>
      <c r="DI387" t="n">
        <v>0</v>
      </c>
      <c r="DJ387" t="n">
        <v>3</v>
      </c>
      <c r="DK387" t="n">
        <v>0</v>
      </c>
      <c r="DL387" t="n">
        <v>0</v>
      </c>
      <c r="DM387" t="n">
        <v>0</v>
      </c>
      <c r="DN387" t="n">
        <v>0</v>
      </c>
      <c r="DO387" t="n">
        <v>0</v>
      </c>
      <c r="DP387" t="n">
        <v>0</v>
      </c>
      <c r="DQ387" t="n">
        <v>0</v>
      </c>
      <c r="DR387" t="n">
        <v>0</v>
      </c>
      <c r="DS387" t="n">
        <v>16735</v>
      </c>
      <c r="DT387" t="n">
        <v>26299</v>
      </c>
      <c r="DU387" t="n">
        <v>1</v>
      </c>
      <c r="DV387" t="n">
        <v>0</v>
      </c>
      <c r="DW387" t="n">
        <v>0</v>
      </c>
      <c r="DX387" t="n">
        <v>0</v>
      </c>
      <c r="DY387" t="n">
        <v>0</v>
      </c>
      <c r="DZ387" t="n">
        <v>0</v>
      </c>
      <c r="EA387" t="n">
        <v>0</v>
      </c>
      <c r="EB387" t="n">
        <v>0</v>
      </c>
      <c r="EC387" t="n">
        <v>0</v>
      </c>
      <c r="ED387" t="n">
        <v>0</v>
      </c>
      <c r="EE387" t="n">
        <v>5800</v>
      </c>
      <c r="EF387" t="n">
        <v>0</v>
      </c>
      <c r="EG387" t="n">
        <v>0</v>
      </c>
      <c r="EH387" t="n">
        <v>3.3</v>
      </c>
      <c r="EI387" t="n">
        <v>5.8</v>
      </c>
      <c r="EJ387" t="n">
        <v>26.3</v>
      </c>
      <c r="EK387" t="n">
        <v>26.1</v>
      </c>
    </row>
    <row r="388">
      <c r="A388">
        <f>[1]ingredient!B388</f>
        <v/>
      </c>
      <c r="B388" t="inlineStr">
        <is>
          <t>https://www.naehrwertrechner.de/naehrwerte/H680011/%C3%96lsamen+und+anderes+Gekeimtes/?menge=100</t>
        </is>
      </c>
      <c r="C388" s="7">
        <f>_xlfn.XLOOKUP(A388,[1]ingredient!$B$2:$B$521,[1]ingredient!$A$2:$A$521)</f>
        <v/>
      </c>
      <c r="D388" t="n">
        <v>24</v>
      </c>
      <c r="E388" t="n">
        <v>0.3</v>
      </c>
      <c r="F388" t="n">
        <v>3</v>
      </c>
      <c r="G388" t="n">
        <v>2</v>
      </c>
      <c r="H388" t="n">
        <v>6</v>
      </c>
      <c r="I388" t="n">
        <v>1</v>
      </c>
      <c r="J388" t="n">
        <v>0.02</v>
      </c>
      <c r="K388" t="n">
        <v>88</v>
      </c>
      <c r="L388" t="n">
        <v>7</v>
      </c>
      <c r="M388" t="n">
        <v>3</v>
      </c>
      <c r="N388" t="n">
        <v>0</v>
      </c>
      <c r="O388" t="n">
        <v>40</v>
      </c>
      <c r="P388" t="n">
        <v>84</v>
      </c>
      <c r="Q388" t="n">
        <v>92</v>
      </c>
      <c r="R388" t="n">
        <v>750</v>
      </c>
      <c r="S388" t="n">
        <v>1817</v>
      </c>
      <c r="T388" t="n">
        <v>380</v>
      </c>
      <c r="U388" t="n">
        <v>88</v>
      </c>
      <c r="V388" t="n">
        <v>2</v>
      </c>
      <c r="W388" t="n">
        <v>61</v>
      </c>
      <c r="X388" t="n">
        <v>0</v>
      </c>
      <c r="Y388" t="n">
        <v>11000</v>
      </c>
      <c r="Z388" t="n">
        <v>0</v>
      </c>
      <c r="AA388" t="n">
        <v>90</v>
      </c>
      <c r="AB388" t="n">
        <v>5</v>
      </c>
      <c r="AC388" t="n">
        <v>5</v>
      </c>
      <c r="AD388" t="n">
        <v>134</v>
      </c>
      <c r="AE388" t="n">
        <v>13</v>
      </c>
      <c r="AF388" t="n">
        <v>18</v>
      </c>
      <c r="AG388" t="n">
        <v>49</v>
      </c>
      <c r="AH388" t="n">
        <v>70</v>
      </c>
      <c r="AI388" t="n">
        <v>15</v>
      </c>
      <c r="AJ388" t="n">
        <v>910</v>
      </c>
      <c r="AK388" t="n">
        <v>390</v>
      </c>
      <c r="AL388" t="n">
        <v>120</v>
      </c>
      <c r="AM388" t="n">
        <v>188</v>
      </c>
      <c r="AN388" t="n">
        <v>4</v>
      </c>
      <c r="AO388" t="n">
        <v>2</v>
      </c>
      <c r="AP388" t="n">
        <v>0</v>
      </c>
      <c r="AQ388" t="n">
        <v>0</v>
      </c>
      <c r="AR388" t="n">
        <v>0</v>
      </c>
      <c r="AS388" t="n">
        <v>0</v>
      </c>
      <c r="AT388" t="n">
        <v>282</v>
      </c>
      <c r="AU388" t="n">
        <v>88</v>
      </c>
      <c r="AV388" t="n">
        <v>0</v>
      </c>
      <c r="AW388" t="n">
        <v>370</v>
      </c>
      <c r="AX388" t="n">
        <v>364</v>
      </c>
      <c r="AY388" t="n">
        <v>0</v>
      </c>
      <c r="AZ388" t="n">
        <v>0</v>
      </c>
      <c r="BA388" t="n">
        <v>364</v>
      </c>
      <c r="BB388" t="n">
        <v>88</v>
      </c>
      <c r="BC388" t="n">
        <v>0</v>
      </c>
      <c r="BD388" t="n">
        <v>0</v>
      </c>
      <c r="BE388" t="n">
        <v>1038</v>
      </c>
      <c r="BF388" t="n">
        <v>1038</v>
      </c>
      <c r="BG388">
        <f>IF($F388=0,"0",MIN(
BH388/(30*$F388),
BI388/(61*$F388),
BJ388/(48*$F388),
(BK388+BL388)/(23*$F388),
(BM388+BN388)/(41*$F388),
BO388/(25*$F388),
BP388/(6.6*$F388),
BQ388/(40*$F388),
BS388/(16*$F388)
)*100)</f>
        <v/>
      </c>
      <c r="BH388" t="n">
        <v>138</v>
      </c>
      <c r="BI388" t="n">
        <v>195</v>
      </c>
      <c r="BJ388" t="n">
        <v>192</v>
      </c>
      <c r="BK388" t="n">
        <v>38</v>
      </c>
      <c r="BL388" t="n">
        <v>19</v>
      </c>
      <c r="BM388" t="n">
        <v>134</v>
      </c>
      <c r="BN388" t="n">
        <v>64</v>
      </c>
      <c r="BO388" t="n">
        <v>96</v>
      </c>
      <c r="BP388" t="n">
        <v>64</v>
      </c>
      <c r="BQ388" t="n">
        <v>144</v>
      </c>
      <c r="BR388" t="n">
        <v>231</v>
      </c>
      <c r="BS388" t="n">
        <v>74</v>
      </c>
      <c r="BT388" t="n">
        <v>1389</v>
      </c>
      <c r="BU388" t="n">
        <v>115</v>
      </c>
      <c r="BV388" t="n">
        <v>560</v>
      </c>
      <c r="BW388" t="n">
        <v>192</v>
      </c>
      <c r="BX388" t="n">
        <v>74</v>
      </c>
      <c r="BY388" t="n">
        <v>128</v>
      </c>
      <c r="BZ388" t="n">
        <v>38</v>
      </c>
      <c r="CA388" t="n">
        <v>1107</v>
      </c>
      <c r="CB388" t="n">
        <v>12</v>
      </c>
      <c r="CC388" t="n">
        <v>5</v>
      </c>
      <c r="CD388" t="n">
        <v>31</v>
      </c>
      <c r="CE388" t="n">
        <v>77</v>
      </c>
      <c r="CF388" t="n">
        <v>2.48</v>
      </c>
      <c r="CG388" t="n">
        <v>0</v>
      </c>
      <c r="CH388" t="n">
        <v>0</v>
      </c>
      <c r="CI388" t="n">
        <v>0</v>
      </c>
      <c r="CJ388" t="n">
        <v>0</v>
      </c>
      <c r="CK388" t="n">
        <v>0</v>
      </c>
      <c r="CL388" t="n">
        <v>0</v>
      </c>
      <c r="CM388" t="n">
        <v>10</v>
      </c>
      <c r="CN388" t="n">
        <v>64</v>
      </c>
      <c r="CO388" t="n">
        <v>0</v>
      </c>
      <c r="CP388" t="n">
        <v>19</v>
      </c>
      <c r="CQ388" t="n">
        <v>0</v>
      </c>
      <c r="CR388" t="n">
        <v>0</v>
      </c>
      <c r="CS388" t="n">
        <v>0</v>
      </c>
      <c r="CT388" t="n">
        <v>83</v>
      </c>
      <c r="CU388" t="n">
        <v>0</v>
      </c>
      <c r="CV388" t="n">
        <v>0</v>
      </c>
      <c r="CW388" t="n">
        <v>0</v>
      </c>
      <c r="CX388" t="n">
        <v>0</v>
      </c>
      <c r="CY388" t="n">
        <v>41</v>
      </c>
      <c r="CZ388" t="n">
        <v>0</v>
      </c>
      <c r="DA388" t="n">
        <v>0</v>
      </c>
      <c r="DB388" t="n">
        <v>0</v>
      </c>
      <c r="DC388" t="n">
        <v>41</v>
      </c>
      <c r="DD388" t="n">
        <v>0</v>
      </c>
      <c r="DE388" t="n">
        <v>0</v>
      </c>
      <c r="DF388" t="n">
        <v>77</v>
      </c>
      <c r="DG388" t="n">
        <v>31</v>
      </c>
      <c r="DH388" t="n">
        <v>0</v>
      </c>
      <c r="DI388" t="n">
        <v>0</v>
      </c>
      <c r="DJ388" t="n">
        <v>0</v>
      </c>
      <c r="DK388" t="n">
        <v>0</v>
      </c>
      <c r="DL388" t="n">
        <v>0</v>
      </c>
      <c r="DM388" t="n">
        <v>0</v>
      </c>
      <c r="DN388" t="n">
        <v>0</v>
      </c>
      <c r="DO388" t="n">
        <v>0</v>
      </c>
      <c r="DP388" t="n">
        <v>0</v>
      </c>
      <c r="DQ388" t="n">
        <v>0</v>
      </c>
      <c r="DR388" t="n">
        <v>0</v>
      </c>
      <c r="DS388" t="n">
        <v>108</v>
      </c>
      <c r="DT388" t="n">
        <v>232</v>
      </c>
      <c r="DU388" t="n">
        <v>68</v>
      </c>
      <c r="DV388" t="n">
        <v>0</v>
      </c>
      <c r="DW388" t="n">
        <v>0</v>
      </c>
      <c r="DX388" t="n">
        <v>0</v>
      </c>
      <c r="DY388" t="n">
        <v>728</v>
      </c>
      <c r="DZ388" t="n">
        <v>1960</v>
      </c>
      <c r="EA388" t="n">
        <v>728</v>
      </c>
      <c r="EB388" t="n">
        <v>2072</v>
      </c>
      <c r="EC388" t="n">
        <v>112</v>
      </c>
      <c r="ED388" t="n">
        <v>2800</v>
      </c>
      <c r="EE388" t="n">
        <v>2800</v>
      </c>
      <c r="EF388" t="n">
        <v>0</v>
      </c>
      <c r="EG388" t="n">
        <v>0.25</v>
      </c>
      <c r="EH388" t="n">
        <v>0.4</v>
      </c>
      <c r="EI388" t="n">
        <v>2.8</v>
      </c>
      <c r="EJ388" t="n">
        <v>0.3</v>
      </c>
      <c r="EK388" t="n">
        <v>2.5</v>
      </c>
    </row>
    <row r="389">
      <c r="A389">
        <f>[1]ingredient!B389</f>
        <v/>
      </c>
      <c r="B389" t="inlineStr">
        <is>
          <t>https://www.naehrwertrechner.de/naehrwerte/G900111/Spargel+gr%C3%BCn/?menge=100</t>
        </is>
      </c>
      <c r="C389" s="7">
        <f>_xlfn.XLOOKUP(A389,[1]ingredient!$B$2:$B$521,[1]ingredient!$A$2:$A$521)</f>
        <v/>
      </c>
      <c r="D389" t="n">
        <v>20</v>
      </c>
      <c r="E389" t="n">
        <v>0.2</v>
      </c>
      <c r="F389" t="n">
        <v>2</v>
      </c>
      <c r="G389" t="n">
        <v>2</v>
      </c>
      <c r="H389" t="n">
        <v>1</v>
      </c>
      <c r="I389" t="n">
        <v>2</v>
      </c>
      <c r="J389" t="n">
        <v>0.04</v>
      </c>
      <c r="K389" t="n">
        <v>94</v>
      </c>
      <c r="L389" t="n">
        <v>100</v>
      </c>
      <c r="M389" t="n">
        <v>42</v>
      </c>
      <c r="N389" t="n">
        <v>0</v>
      </c>
      <c r="O389" t="n">
        <v>500</v>
      </c>
      <c r="P389" t="n">
        <v>100</v>
      </c>
      <c r="Q389" t="n">
        <v>100</v>
      </c>
      <c r="R389" t="n">
        <v>1000</v>
      </c>
      <c r="S389" t="n">
        <v>1400</v>
      </c>
      <c r="T389" t="n">
        <v>600</v>
      </c>
      <c r="U389" t="n">
        <v>100</v>
      </c>
      <c r="V389" t="n">
        <v>2</v>
      </c>
      <c r="W389" t="n">
        <v>108</v>
      </c>
      <c r="X389" t="n">
        <v>0</v>
      </c>
      <c r="Y389" t="n">
        <v>19900</v>
      </c>
      <c r="Z389" t="n">
        <v>0</v>
      </c>
      <c r="AA389" t="n">
        <v>0</v>
      </c>
      <c r="AB389" t="n">
        <v>39</v>
      </c>
      <c r="AC389" t="n">
        <v>4</v>
      </c>
      <c r="AD389" t="n">
        <v>203</v>
      </c>
      <c r="AE389" t="n">
        <v>26</v>
      </c>
      <c r="AF389" t="n">
        <v>17</v>
      </c>
      <c r="AG389" t="n">
        <v>44</v>
      </c>
      <c r="AH389" t="n">
        <v>47</v>
      </c>
      <c r="AI389" t="n">
        <v>37</v>
      </c>
      <c r="AJ389" t="n">
        <v>700</v>
      </c>
      <c r="AK389" t="n">
        <v>400</v>
      </c>
      <c r="AL389" t="n">
        <v>200</v>
      </c>
      <c r="AM389" t="n">
        <v>100</v>
      </c>
      <c r="AN389" t="n">
        <v>0</v>
      </c>
      <c r="AO389" t="n">
        <v>7</v>
      </c>
      <c r="AP389" t="n">
        <v>0</v>
      </c>
      <c r="AQ389" t="n">
        <v>0</v>
      </c>
      <c r="AR389" t="n">
        <v>0</v>
      </c>
      <c r="AS389" t="n">
        <v>0</v>
      </c>
      <c r="AT389" t="n">
        <v>807</v>
      </c>
      <c r="AU389" t="n">
        <v>993</v>
      </c>
      <c r="AV389" t="n">
        <v>0</v>
      </c>
      <c r="AW389" t="n">
        <v>1800</v>
      </c>
      <c r="AX389" t="n">
        <v>200</v>
      </c>
      <c r="AY389" t="n">
        <v>0</v>
      </c>
      <c r="AZ389" t="n">
        <v>0</v>
      </c>
      <c r="BA389" t="n">
        <v>244</v>
      </c>
      <c r="BB389" t="n">
        <v>0</v>
      </c>
      <c r="BC389" t="n">
        <v>0</v>
      </c>
      <c r="BD389" t="n">
        <v>0</v>
      </c>
      <c r="BE389" t="n">
        <v>0</v>
      </c>
      <c r="BF389" t="n">
        <v>0</v>
      </c>
      <c r="BG389">
        <f>IF($F389=0,"0",MIN(
BH389/(30*$F389),
BI389/(61*$F389),
BJ389/(48*$F389),
(BK389+BL389)/(23*$F389),
(BM389+BN389)/(41*$F389),
BO389/(25*$F389),
BP389/(6.6*$F389),
BQ389/(40*$F389),
BS389/(16*$F389)
)*100)</f>
        <v/>
      </c>
      <c r="BH389" t="n">
        <v>69</v>
      </c>
      <c r="BI389" t="n">
        <v>83</v>
      </c>
      <c r="BJ389" t="n">
        <v>89</v>
      </c>
      <c r="BK389" t="n">
        <v>27</v>
      </c>
      <c r="BL389" t="n">
        <v>23</v>
      </c>
      <c r="BM389" t="n">
        <v>60</v>
      </c>
      <c r="BN389" t="n">
        <v>44</v>
      </c>
      <c r="BO389" t="n">
        <v>57</v>
      </c>
      <c r="BP389" t="n">
        <v>23</v>
      </c>
      <c r="BQ389" t="n">
        <v>91</v>
      </c>
      <c r="BR389" t="n">
        <v>110</v>
      </c>
      <c r="BS389" t="n">
        <v>31</v>
      </c>
      <c r="BT389" t="n">
        <v>707</v>
      </c>
      <c r="BU389" t="n">
        <v>124</v>
      </c>
      <c r="BV389" t="n">
        <v>273</v>
      </c>
      <c r="BW389" t="n">
        <v>476</v>
      </c>
      <c r="BX389" t="n">
        <v>82</v>
      </c>
      <c r="BY389" t="n">
        <v>137</v>
      </c>
      <c r="BZ389" t="n">
        <v>85</v>
      </c>
      <c r="CA389" t="n">
        <v>1177</v>
      </c>
      <c r="CB389" t="n">
        <v>23</v>
      </c>
      <c r="CC389" t="n">
        <v>10</v>
      </c>
      <c r="CD389" t="n">
        <v>0</v>
      </c>
      <c r="CE389" t="n">
        <v>100</v>
      </c>
      <c r="CG389" t="n">
        <v>0</v>
      </c>
      <c r="CH389" t="n">
        <v>0</v>
      </c>
      <c r="CI389" t="n">
        <v>0</v>
      </c>
      <c r="CJ389" t="n">
        <v>0</v>
      </c>
      <c r="CK389" t="n">
        <v>1</v>
      </c>
      <c r="CL389" t="n">
        <v>1</v>
      </c>
      <c r="CM389" t="n">
        <v>0</v>
      </c>
      <c r="CN389" t="n">
        <v>31</v>
      </c>
      <c r="CO389" t="n">
        <v>0</v>
      </c>
      <c r="CP389" t="n">
        <v>1</v>
      </c>
      <c r="CQ389" t="n">
        <v>0</v>
      </c>
      <c r="CR389" t="n">
        <v>0</v>
      </c>
      <c r="CS389" t="n">
        <v>0</v>
      </c>
      <c r="CT389" t="n">
        <v>0</v>
      </c>
      <c r="CU389" t="n">
        <v>0</v>
      </c>
      <c r="CV389" t="n">
        <v>0</v>
      </c>
      <c r="CW389" t="n">
        <v>1</v>
      </c>
      <c r="CX389" t="n">
        <v>0</v>
      </c>
      <c r="CY389" t="n">
        <v>2</v>
      </c>
      <c r="CZ389" t="n">
        <v>0</v>
      </c>
      <c r="DA389" t="n">
        <v>0</v>
      </c>
      <c r="DB389" t="n">
        <v>0</v>
      </c>
      <c r="DC389" t="n">
        <v>0</v>
      </c>
      <c r="DD389" t="n">
        <v>0</v>
      </c>
      <c r="DE389" t="n">
        <v>0</v>
      </c>
      <c r="DF389" t="n">
        <v>100</v>
      </c>
      <c r="DG389" t="n">
        <v>0</v>
      </c>
      <c r="DH389" t="n">
        <v>0</v>
      </c>
      <c r="DI389" t="n">
        <v>0</v>
      </c>
      <c r="DJ389" t="n">
        <v>0</v>
      </c>
      <c r="DK389" t="n">
        <v>0</v>
      </c>
      <c r="DL389" t="n">
        <v>0</v>
      </c>
      <c r="DM389" t="n">
        <v>0</v>
      </c>
      <c r="DN389" t="n">
        <v>0</v>
      </c>
      <c r="DO389" t="n">
        <v>0</v>
      </c>
      <c r="DP389" t="n">
        <v>0</v>
      </c>
      <c r="DQ389" t="n">
        <v>0</v>
      </c>
      <c r="DR389" t="n">
        <v>0</v>
      </c>
      <c r="DS389" t="n">
        <v>100</v>
      </c>
      <c r="DT389" t="n">
        <v>113</v>
      </c>
      <c r="DU389" t="n">
        <v>31</v>
      </c>
      <c r="DV389" t="n">
        <v>0</v>
      </c>
      <c r="DW389" t="n">
        <v>0</v>
      </c>
      <c r="DX389" t="n">
        <v>0</v>
      </c>
      <c r="DY389" t="n">
        <v>224</v>
      </c>
      <c r="DZ389" t="n">
        <v>182</v>
      </c>
      <c r="EA389" t="n">
        <v>196</v>
      </c>
      <c r="EB389" t="n">
        <v>750</v>
      </c>
      <c r="EC389" t="n">
        <v>100</v>
      </c>
      <c r="ED389" t="n">
        <v>396</v>
      </c>
      <c r="EE389" t="n">
        <v>914</v>
      </c>
      <c r="EF389" t="n">
        <v>0</v>
      </c>
      <c r="EG389" t="n">
        <v>160</v>
      </c>
      <c r="EH389" t="n">
        <v>0.6</v>
      </c>
      <c r="EI389" t="n">
        <v>0.9</v>
      </c>
      <c r="EJ389" t="n">
        <v>0.2</v>
      </c>
      <c r="EK389" t="n">
        <v>2</v>
      </c>
    </row>
    <row r="390">
      <c r="A390">
        <f>[1]ingredient!B390</f>
        <v/>
      </c>
      <c r="B390" t="inlineStr">
        <is>
          <t>https://www.naehrwertrechner.de/naehrwerte/G451111/Spargel+wei%C3%9F+frisch/?menge=100</t>
        </is>
      </c>
      <c r="C390" s="7">
        <f>_xlfn.XLOOKUP(A390,[1]ingredient!$B$2:$B$521,[1]ingredient!$A$2:$A$521)</f>
        <v/>
      </c>
      <c r="D390" t="n">
        <v>18</v>
      </c>
      <c r="E390" t="n">
        <v>0.14</v>
      </c>
      <c r="F390" t="n">
        <v>2</v>
      </c>
      <c r="G390" t="n">
        <v>2</v>
      </c>
      <c r="H390" t="n">
        <v>1</v>
      </c>
      <c r="I390" t="n">
        <v>2</v>
      </c>
      <c r="J390" t="n">
        <v>0.06</v>
      </c>
      <c r="K390" t="n">
        <v>94</v>
      </c>
      <c r="L390" t="n">
        <v>87</v>
      </c>
      <c r="M390" t="n">
        <v>43</v>
      </c>
      <c r="N390" t="n">
        <v>0</v>
      </c>
      <c r="O390" t="n">
        <v>516</v>
      </c>
      <c r="P390" t="n">
        <v>110</v>
      </c>
      <c r="Q390" t="n">
        <v>105</v>
      </c>
      <c r="R390" t="n">
        <v>1000</v>
      </c>
      <c r="S390" t="n">
        <v>1317</v>
      </c>
      <c r="T390" t="n">
        <v>620</v>
      </c>
      <c r="U390" t="n">
        <v>60</v>
      </c>
      <c r="V390" t="n">
        <v>2</v>
      </c>
      <c r="W390" t="n">
        <v>86</v>
      </c>
      <c r="X390" t="n">
        <v>0</v>
      </c>
      <c r="Y390" t="n">
        <v>19889</v>
      </c>
      <c r="Z390" t="n">
        <v>0</v>
      </c>
      <c r="AA390" t="n">
        <v>2027</v>
      </c>
      <c r="AB390" t="n">
        <v>40</v>
      </c>
      <c r="AC390" t="n">
        <v>4</v>
      </c>
      <c r="AD390" t="n">
        <v>203</v>
      </c>
      <c r="AE390" t="n">
        <v>26</v>
      </c>
      <c r="AF390" t="n">
        <v>18</v>
      </c>
      <c r="AG390" t="n">
        <v>46</v>
      </c>
      <c r="AH390" t="n">
        <v>47</v>
      </c>
      <c r="AI390" t="n">
        <v>53</v>
      </c>
      <c r="AJ390" t="n">
        <v>651</v>
      </c>
      <c r="AK390" t="n">
        <v>401</v>
      </c>
      <c r="AL390" t="n">
        <v>156</v>
      </c>
      <c r="AM390" t="n">
        <v>102</v>
      </c>
      <c r="AN390" t="n">
        <v>48</v>
      </c>
      <c r="AO390" t="n">
        <v>7</v>
      </c>
      <c r="AP390" t="n">
        <v>0</v>
      </c>
      <c r="AQ390" t="n">
        <v>0</v>
      </c>
      <c r="AR390" t="n">
        <v>0</v>
      </c>
      <c r="AS390" t="n">
        <v>0</v>
      </c>
      <c r="AT390" t="n">
        <v>571</v>
      </c>
      <c r="AU390" t="n">
        <v>1163</v>
      </c>
      <c r="AV390" t="n">
        <v>0</v>
      </c>
      <c r="AW390" t="n">
        <v>1734</v>
      </c>
      <c r="AX390" t="n">
        <v>306</v>
      </c>
      <c r="AY390" t="n">
        <v>0</v>
      </c>
      <c r="AZ390" t="n">
        <v>0</v>
      </c>
      <c r="BA390" t="n">
        <v>306</v>
      </c>
      <c r="BB390" t="n">
        <v>0</v>
      </c>
      <c r="BC390" t="n">
        <v>0</v>
      </c>
      <c r="BD390" t="n">
        <v>0</v>
      </c>
      <c r="BE390" t="n">
        <v>0</v>
      </c>
      <c r="BF390" t="n">
        <v>0</v>
      </c>
      <c r="BG390">
        <f>IF($F390=0,"0",MIN(
BH390/(30*$F390),
BI390/(61*$F390),
BJ390/(48*$F390),
(BK390+BL390)/(23*$F390),
(BM390+BN390)/(41*$F390),
BO390/(25*$F390),
BP390/(6.6*$F390),
BQ390/(40*$F390),
BS390/(16*$F390)
)*100)</f>
        <v/>
      </c>
      <c r="BH390" t="n">
        <v>57</v>
      </c>
      <c r="BI390" t="n">
        <v>82</v>
      </c>
      <c r="BJ390" t="n">
        <v>82</v>
      </c>
      <c r="BK390" t="n">
        <v>19</v>
      </c>
      <c r="BL390" t="n">
        <v>17</v>
      </c>
      <c r="BM390" t="n">
        <v>49</v>
      </c>
      <c r="BN390" t="n">
        <v>34</v>
      </c>
      <c r="BO390" t="n">
        <v>51</v>
      </c>
      <c r="BP390" t="n">
        <v>19</v>
      </c>
      <c r="BQ390" t="n">
        <v>74</v>
      </c>
      <c r="BR390" t="n">
        <v>87</v>
      </c>
      <c r="BS390" t="n">
        <v>29</v>
      </c>
      <c r="BT390" t="n">
        <v>600</v>
      </c>
      <c r="BU390" t="n">
        <v>95</v>
      </c>
      <c r="BV390" t="n">
        <v>209</v>
      </c>
      <c r="BW390" t="n">
        <v>364</v>
      </c>
      <c r="BX390" t="n">
        <v>63</v>
      </c>
      <c r="BY390" t="n">
        <v>105</v>
      </c>
      <c r="BZ390" t="n">
        <v>65</v>
      </c>
      <c r="CA390" t="n">
        <v>901</v>
      </c>
      <c r="CB390" t="n">
        <v>25</v>
      </c>
      <c r="CC390" t="n">
        <v>10</v>
      </c>
      <c r="CD390" t="n">
        <v>5</v>
      </c>
      <c r="CE390" t="n">
        <v>67</v>
      </c>
      <c r="CF390" t="n">
        <v>13.4</v>
      </c>
      <c r="CG390" t="n">
        <v>0</v>
      </c>
      <c r="CH390" t="n">
        <v>0</v>
      </c>
      <c r="CI390" t="n">
        <v>0</v>
      </c>
      <c r="CJ390" t="n">
        <v>0</v>
      </c>
      <c r="CK390" t="n">
        <v>1</v>
      </c>
      <c r="CL390" t="n">
        <v>1</v>
      </c>
      <c r="CM390" t="n">
        <v>0</v>
      </c>
      <c r="CN390" t="n">
        <v>32</v>
      </c>
      <c r="CO390" t="n">
        <v>0</v>
      </c>
      <c r="CP390" t="n">
        <v>2</v>
      </c>
      <c r="CQ390" t="n">
        <v>0</v>
      </c>
      <c r="CR390" t="n">
        <v>0</v>
      </c>
      <c r="CS390" t="n">
        <v>0</v>
      </c>
      <c r="CT390" t="n">
        <v>36</v>
      </c>
      <c r="CU390" t="n">
        <v>0</v>
      </c>
      <c r="CV390" t="n">
        <v>0</v>
      </c>
      <c r="CW390" t="n">
        <v>1</v>
      </c>
      <c r="CX390" t="n">
        <v>0</v>
      </c>
      <c r="CY390" t="n">
        <v>3</v>
      </c>
      <c r="CZ390" t="n">
        <v>0</v>
      </c>
      <c r="DA390" t="n">
        <v>0</v>
      </c>
      <c r="DB390" t="n">
        <v>0</v>
      </c>
      <c r="DC390" t="n">
        <v>4</v>
      </c>
      <c r="DD390" t="n">
        <v>0</v>
      </c>
      <c r="DE390" t="n">
        <v>0</v>
      </c>
      <c r="DF390" t="n">
        <v>67</v>
      </c>
      <c r="DG390" t="n">
        <v>5</v>
      </c>
      <c r="DH390" t="n">
        <v>0</v>
      </c>
      <c r="DI390" t="n">
        <v>0</v>
      </c>
      <c r="DJ390" t="n">
        <v>0</v>
      </c>
      <c r="DK390" t="n">
        <v>0</v>
      </c>
      <c r="DL390" t="n">
        <v>0</v>
      </c>
      <c r="DM390" t="n">
        <v>0</v>
      </c>
      <c r="DN390" t="n">
        <v>0</v>
      </c>
      <c r="DO390" t="n">
        <v>0</v>
      </c>
      <c r="DP390" t="n">
        <v>0</v>
      </c>
      <c r="DQ390" t="n">
        <v>0</v>
      </c>
      <c r="DR390" t="n">
        <v>0</v>
      </c>
      <c r="DS390" t="n">
        <v>72</v>
      </c>
      <c r="DT390" t="n">
        <v>112</v>
      </c>
      <c r="DU390" t="n">
        <v>28</v>
      </c>
      <c r="DV390" t="n">
        <v>0</v>
      </c>
      <c r="DW390" t="n">
        <v>0</v>
      </c>
      <c r="DX390" t="n">
        <v>0</v>
      </c>
      <c r="DY390" t="n">
        <v>224</v>
      </c>
      <c r="DZ390" t="n">
        <v>182</v>
      </c>
      <c r="EA390" t="n">
        <v>196</v>
      </c>
      <c r="EB390" t="n">
        <v>700</v>
      </c>
      <c r="EC390" t="n">
        <v>98</v>
      </c>
      <c r="ED390" t="n">
        <v>434</v>
      </c>
      <c r="EE390" t="n">
        <v>966</v>
      </c>
      <c r="EF390" t="n">
        <v>0</v>
      </c>
      <c r="EG390" t="n">
        <v>0.16</v>
      </c>
      <c r="EH390" t="n">
        <v>0.6</v>
      </c>
      <c r="EI390" t="n">
        <v>1</v>
      </c>
      <c r="EJ390" t="n">
        <v>0.1</v>
      </c>
      <c r="EK390" t="n">
        <v>1.6</v>
      </c>
    </row>
    <row r="391">
      <c r="A391" s="9">
        <f>[1]ingredient!B391</f>
        <v/>
      </c>
      <c r="C391" s="7">
        <f>_xlfn.XLOOKUP(A391,[1]ingredient!$B$2:$B$521,[1]ingredient!$A$2:$A$521)</f>
        <v/>
      </c>
      <c r="D391" s="10">
        <f>(7*D461+2*D276+2*D280+D166+D177+D307)/14</f>
        <v/>
      </c>
      <c r="E391" s="10">
        <f>(7*E461+2*E276+2*E280+E166+E177+E307)/14</f>
        <v/>
      </c>
      <c r="F391" s="10">
        <f>(7*F461+2*F276+2*F280+F166+F177+F307)/14</f>
        <v/>
      </c>
      <c r="G391" s="10">
        <f>(7*G461+2*G276+2*G280+G166+G177+G307)/14</f>
        <v/>
      </c>
      <c r="H391" s="10">
        <f>(7*H461+2*H276+2*H280+H166+H177+H307)/14</f>
        <v/>
      </c>
      <c r="I391" s="10">
        <f>(7*I461+2*I276+2*I280+I166+I177+I307)/14</f>
        <v/>
      </c>
      <c r="J391" s="10">
        <f>(7*J461+2*J276+2*J280+J166+J177+J307)/14</f>
        <v/>
      </c>
      <c r="K391" s="10">
        <f>(7*K461+2*K276+2*K280+K166+K177+K307)/14</f>
        <v/>
      </c>
      <c r="L391" s="10">
        <f>(7*L461+2*L276+2*L280+L166+L177+L307)/14</f>
        <v/>
      </c>
      <c r="M391" s="10">
        <f>(7*M461+2*M276+2*M280+M166+M177+M307)/14</f>
        <v/>
      </c>
      <c r="N391" s="10">
        <f>(7*N461+2*N276+2*N280+N166+N177+N307)/14</f>
        <v/>
      </c>
      <c r="O391" s="10">
        <f>(7*O461+2*O276+2*O280+O166+O177+O307)/14</f>
        <v/>
      </c>
      <c r="P391" s="10">
        <f>(7*P461+2*P276+2*P280+P166+P177+P307)/14</f>
        <v/>
      </c>
      <c r="Q391" s="10">
        <f>(7*Q461+2*Q276+2*Q280+Q166+Q177+Q307)/14</f>
        <v/>
      </c>
      <c r="R391" s="10">
        <f>(7*R461+2*R276+2*R280+R166+R177+R307)/14</f>
        <v/>
      </c>
      <c r="S391" s="10">
        <f>(7*S461+2*S276+2*S280+S166+S177+S307)/14</f>
        <v/>
      </c>
      <c r="T391" s="10">
        <f>(7*T461+2*T276+2*T280+T166+T177+T307)/14</f>
        <v/>
      </c>
      <c r="U391" s="10">
        <f>(7*U461+2*U276+2*U280+U166+U177+U307)/14</f>
        <v/>
      </c>
      <c r="V391" s="10">
        <f>(7*V461+2*V276+2*V280+V166+V177+V307)/14</f>
        <v/>
      </c>
      <c r="W391" s="10">
        <f>(7*W461+2*W276+2*W280+W166+W177+W307)/14</f>
        <v/>
      </c>
      <c r="X391" s="10">
        <f>(7*X461+2*X276+2*X280+X166+X177+X307)/14</f>
        <v/>
      </c>
      <c r="Y391" s="10">
        <f>(7*Y461+2*Y276+2*Y280+Y166+Y177+Y307)/14</f>
        <v/>
      </c>
      <c r="Z391" s="10">
        <f>(7*Z461+2*Z276+2*Z280+Z166+Z177+Z307)/14</f>
        <v/>
      </c>
      <c r="AA391" s="10">
        <f>(7*AA461+2*AA276+2*AA280+AA166+AA177+AA307)/14</f>
        <v/>
      </c>
      <c r="AB391" s="10">
        <f>(7*AB461+2*AB276+2*AB280+AB166+AB177+AB307)/14</f>
        <v/>
      </c>
      <c r="AC391" s="10">
        <f>(7*AC461+2*AC276+2*AC280+AC166+AC177+AC307)/14</f>
        <v/>
      </c>
      <c r="AD391" s="10">
        <f>(7*AD461+2*AD276+2*AD280+AD166+AD177+AD307)/14</f>
        <v/>
      </c>
      <c r="AE391" s="10">
        <f>(7*AE461+2*AE276+2*AE280+AE166+AE177+AE307)/14</f>
        <v/>
      </c>
      <c r="AF391" s="10">
        <f>(7*AF461+2*AF276+2*AF280+AF166+AF177+AF307)/14</f>
        <v/>
      </c>
      <c r="AG391" s="10">
        <f>(7*AG461+2*AG276+2*AG280+AG166+AG177+AG307)/14</f>
        <v/>
      </c>
      <c r="AH391" s="10">
        <f>(7*AH461+2*AH276+2*AH280+AH166+AH177+AH307)/14</f>
        <v/>
      </c>
      <c r="AI391" s="10">
        <f>(7*AI461+2*AI276+2*AI280+AI166+AI177+AI307)/14</f>
        <v/>
      </c>
      <c r="AJ391" s="10">
        <f>(7*AJ461+2*AJ276+2*AJ280+AJ166+AJ177+AJ307)/14</f>
        <v/>
      </c>
      <c r="AK391" s="10">
        <f>(7*AK461+2*AK276+2*AK280+AK166+AK177+AK307)/14</f>
        <v/>
      </c>
      <c r="AL391" s="10">
        <f>(7*AL461+2*AL276+2*AL280+AL166+AL177+AL307)/14</f>
        <v/>
      </c>
      <c r="AM391" s="10">
        <f>(7*AM461+2*AM276+2*AM280+AM166+AM177+AM307)/14</f>
        <v/>
      </c>
      <c r="AN391" s="10">
        <f>(7*AN461+2*AN276+2*AN280+AN166+AN177+AN307)/14</f>
        <v/>
      </c>
      <c r="AO391" s="10">
        <f>(7*AO461+2*AO276+2*AO280+AO166+AO177+AO307)/14</f>
        <v/>
      </c>
      <c r="AP391" s="10">
        <f>(7*AP461+2*AP276+2*AP280+AP166+AP177+AP307)/14</f>
        <v/>
      </c>
      <c r="AQ391" s="10">
        <f>(7*AQ461+2*AQ276+2*AQ280+AQ166+AQ177+AQ307)/14</f>
        <v/>
      </c>
      <c r="AR391" s="10">
        <f>(7*AR461+2*AR276+2*AR280+AR166+AR177+AR307)/14</f>
        <v/>
      </c>
      <c r="AS391" s="10">
        <f>(7*AS461+2*AS276+2*AS280+AS166+AS177+AS307)/14</f>
        <v/>
      </c>
      <c r="AT391" s="10">
        <f>(7*AT461+2*AT276+2*AT280+AT166+AT177+AT307)/14</f>
        <v/>
      </c>
      <c r="AU391" s="10">
        <f>(7*AU461+2*AU276+2*AU280+AU166+AU177+AU307)/14</f>
        <v/>
      </c>
      <c r="AV391" s="10">
        <f>(7*AV461+2*AV276+2*AV280+AV166+AV177+AV307)/14</f>
        <v/>
      </c>
      <c r="AW391" s="10">
        <f>(7*AW461+2*AW276+2*AW280+AW166+AW177+AW307)/14</f>
        <v/>
      </c>
      <c r="AX391" s="10">
        <f>(7*AX461+2*AX276+2*AX280+AX166+AX177+AX307)/14</f>
        <v/>
      </c>
      <c r="AY391" s="10">
        <f>(7*AY461+2*AY276+2*AY280+AY166+AY177+AY307)/14</f>
        <v/>
      </c>
      <c r="AZ391" s="10">
        <f>(7*AZ461+2*AZ276+2*AZ280+AZ166+AZ177+AZ307)/14</f>
        <v/>
      </c>
      <c r="BA391" s="10">
        <f>(7*BA461+2*BA276+2*BA280+BA166+BA177+BA307)/14</f>
        <v/>
      </c>
      <c r="BB391" s="10">
        <f>(7*BB461+2*BB276+2*BB280+BB166+BB177+BB307)/14</f>
        <v/>
      </c>
      <c r="BC391" s="10">
        <f>(7*BC461+2*BC276+2*BC280+BC166+BC177+BC307)/14</f>
        <v/>
      </c>
      <c r="BD391" s="10">
        <f>(7*BD461+2*BD276+2*BD280+BD166+BD177+BD307)/14</f>
        <v/>
      </c>
      <c r="BE391" s="10">
        <f>(7*BE461+2*BE276+2*BE280+BE166+BE177+BE307)/14</f>
        <v/>
      </c>
      <c r="BF391" s="10">
        <f>(7*BF461+2*BF276+2*BF280+BF166+BF177+BF307)/14</f>
        <v/>
      </c>
      <c r="BG391">
        <f>IF($F391=0,"0",MIN(
BH391/(30*$F391),
BI391/(61*$F391),
BJ391/(48*$F391),
(BK391+BL391)/(23*$F391),
(BM391+BN391)/(41*$F391),
BO391/(25*$F391),
BP391/(6.6*$F391),
BQ391/(40*$F391),
BS391/(16*$F391)
)*100)</f>
        <v/>
      </c>
      <c r="BH391" s="10">
        <f>(7*BH461+2*BH276+2*BH280+BH166+BH177+BH307)/14</f>
        <v/>
      </c>
      <c r="BI391" s="10">
        <f>(7*BI461+2*BI276+2*BI280+BI166+BI177+BI307)/14</f>
        <v/>
      </c>
      <c r="BJ391" s="10">
        <f>(7*BJ461+2*BJ276+2*BJ280+BJ166+BJ177+BJ307)/14</f>
        <v/>
      </c>
      <c r="BK391" s="10">
        <f>(7*BK461+2*BK276+2*BK280+BK166+BK177+BK307)/14</f>
        <v/>
      </c>
      <c r="BL391" s="10">
        <f>(7*BL461+2*BL276+2*BL280+BL166+BL177+BL307)/14</f>
        <v/>
      </c>
      <c r="BM391" s="10">
        <f>(7*BM461+2*BM276+2*BM280+BM166+BM177+BM307)/14</f>
        <v/>
      </c>
      <c r="BN391" s="10">
        <f>(7*BN461+2*BN276+2*BN280+BN166+BN177+BN307)/14</f>
        <v/>
      </c>
      <c r="BO391" s="10">
        <f>(7*BO461+2*BO276+2*BO280+BO166+BO177+BO307)/14</f>
        <v/>
      </c>
      <c r="BP391" s="10">
        <f>(7*BP461+2*BP276+2*BP280+BP166+BP177+BP307)/14</f>
        <v/>
      </c>
      <c r="BQ391" s="10">
        <f>(7*BQ461+2*BQ276+2*BQ280+BQ166+BQ177+BQ307)/14</f>
        <v/>
      </c>
      <c r="BR391" s="10">
        <f>(7*BR461+2*BR276+2*BR280+BR166+BR177+BR307)/14</f>
        <v/>
      </c>
      <c r="BS391" s="10">
        <f>(7*BS461+2*BS276+2*BS280+BS166+BS177+BS307)/14</f>
        <v/>
      </c>
      <c r="BT391" s="10">
        <f>(7*BT461+2*BT276+2*BT280+BT166+BT177+BT307)/14</f>
        <v/>
      </c>
      <c r="BU391" s="10">
        <f>(7*BU461+2*BU276+2*BU280+BU166+BU177+BU307)/14</f>
        <v/>
      </c>
      <c r="BV391" s="10">
        <f>(7*BV461+2*BV276+2*BV280+BV166+BV177+BV307)/14</f>
        <v/>
      </c>
      <c r="BW391" s="10">
        <f>(7*BW461+2*BW276+2*BW280+BW166+BW177+BW307)/14</f>
        <v/>
      </c>
      <c r="BX391" s="10">
        <f>(7*BX461+2*BX276+2*BX280+BX166+BX177+BX307)/14</f>
        <v/>
      </c>
      <c r="BY391" s="10">
        <f>(7*BY461+2*BY276+2*BY280+BY166+BY177+BY307)/14</f>
        <v/>
      </c>
      <c r="BZ391" s="10">
        <f>(7*BZ461+2*BZ276+2*BZ280+BZ166+BZ177+BZ307)/14</f>
        <v/>
      </c>
      <c r="CA391" s="10">
        <f>(7*CA461+2*CA276+2*CA280+CA166+CA177+CA307)/14</f>
        <v/>
      </c>
      <c r="CB391" s="10">
        <f>(7*CB461+2*CB276+2*CB280+CB166+CB177+CB307)/14</f>
        <v/>
      </c>
      <c r="CC391" s="10">
        <f>(7*CC461+2*CC276+2*CC280+CC166+CC177+CC307)/14</f>
        <v/>
      </c>
      <c r="CD391" s="10">
        <f>(7*CD461+2*CD276+2*CD280+CD166+CD177+CD307)/14</f>
        <v/>
      </c>
      <c r="CE391" s="10">
        <f>(7*CE461+2*CE276+2*CE280+CE166+CE177+CE307)/14</f>
        <v/>
      </c>
      <c r="CF391" s="10">
        <f>(7*CF461+2*CF276+2*CF280+CF166+CF177+CF307)/14</f>
        <v/>
      </c>
      <c r="CG391" s="10">
        <f>(7*CG461+2*CG276+2*CG280+CG166+CG177+CG307)/14</f>
        <v/>
      </c>
      <c r="CH391" s="10">
        <f>(7*CH461+2*CH276+2*CH280+CH166+CH177+CH307)/14</f>
        <v/>
      </c>
      <c r="CI391" s="10">
        <f>(7*CI461+2*CI276+2*CI280+CI166+CI177+CI307)/14</f>
        <v/>
      </c>
      <c r="CJ391" s="10">
        <f>(7*CJ461+2*CJ276+2*CJ280+CJ166+CJ177+CJ307)/14</f>
        <v/>
      </c>
      <c r="CK391" s="10">
        <f>(7*CK461+2*CK276+2*CK280+CK166+CK177+CK307)/14</f>
        <v/>
      </c>
      <c r="CL391" s="10">
        <f>(7*CL461+2*CL276+2*CL280+CL166+CL177+CL307)/14</f>
        <v/>
      </c>
      <c r="CM391" s="10">
        <f>(7*CM461+2*CM276+2*CM280+CM166+CM177+CM307)/14</f>
        <v/>
      </c>
      <c r="CN391" s="10">
        <f>(7*CN461+2*CN276+2*CN280+CN166+CN177+CN307)/14</f>
        <v/>
      </c>
      <c r="CO391" s="10">
        <f>(7*CO461+2*CO276+2*CO280+CO166+CO177+CO307)/14</f>
        <v/>
      </c>
      <c r="CP391" s="10">
        <f>(7*CP461+2*CP276+2*CP280+CP166+CP177+CP307)/14</f>
        <v/>
      </c>
      <c r="CQ391" s="10">
        <f>(7*CQ461+2*CQ276+2*CQ280+CQ166+CQ177+CQ307)/14</f>
        <v/>
      </c>
      <c r="CR391" s="10">
        <f>(7*CR461+2*CR276+2*CR280+CR166+CR177+CR307)/14</f>
        <v/>
      </c>
      <c r="CS391" s="10">
        <f>(7*CS461+2*CS276+2*CS280+CS166+CS177+CS307)/14</f>
        <v/>
      </c>
      <c r="CT391" s="10">
        <f>(7*CT461+2*CT276+2*CT280+CT166+CT177+CT307)/14</f>
        <v/>
      </c>
      <c r="CU391" s="10">
        <f>(7*CU461+2*CU276+2*CU280+CU166+CU177+CU307)/14</f>
        <v/>
      </c>
      <c r="CV391" s="10">
        <f>(7*CV461+2*CV276+2*CV280+CV166+CV177+CV307)/14</f>
        <v/>
      </c>
      <c r="CW391" s="10">
        <f>(7*CW461+2*CW276+2*CW280+CW166+CW177+CW307)/14</f>
        <v/>
      </c>
      <c r="CX391" s="10">
        <f>(7*CX461+2*CX276+2*CX280+CX166+CX177+CX307)/14</f>
        <v/>
      </c>
      <c r="CY391" s="10">
        <f>(7*CY461+2*CY276+2*CY280+CY166+CY177+CY307)/14</f>
        <v/>
      </c>
      <c r="CZ391" s="10">
        <f>(7*CZ461+2*CZ276+2*CZ280+CZ166+CZ177+CZ307)/14</f>
        <v/>
      </c>
      <c r="DA391" s="10">
        <f>(7*DA461+2*DA276+2*DA280+DA166+DA177+DA307)/14</f>
        <v/>
      </c>
      <c r="DB391" s="10">
        <f>(7*DB461+2*DB276+2*DB280+DB166+DB177+DB307)/14</f>
        <v/>
      </c>
      <c r="DC391" s="10">
        <f>(7*DC461+2*DC276+2*DC280+DC166+DC177+DC307)/14</f>
        <v/>
      </c>
      <c r="DD391" s="10">
        <f>(7*DD461+2*DD276+2*DD280+DD166+DD177+DD307)/14</f>
        <v/>
      </c>
      <c r="DE391" s="10">
        <f>(7*DE461+2*DE276+2*DE280+DE166+DE177+DE307)/14</f>
        <v/>
      </c>
      <c r="DF391" s="10">
        <f>(7*DF461+2*DF276+2*DF280+DF166+DF177+DF307)/14</f>
        <v/>
      </c>
      <c r="DG391" s="10">
        <f>(7*DG461+2*DG276+2*DG280+DG166+DG177+DG307)/14</f>
        <v/>
      </c>
      <c r="DH391" s="10">
        <f>(7*DH461+2*DH276+2*DH280+DH166+DH177+DH307)/14</f>
        <v/>
      </c>
      <c r="DI391" s="10">
        <f>(7*DI461+2*DI276+2*DI280+DI166+DI177+DI307)/14</f>
        <v/>
      </c>
      <c r="DJ391" s="10">
        <f>(7*DJ461+2*DJ276+2*DJ280+DJ166+DJ177+DJ307)/14</f>
        <v/>
      </c>
      <c r="DK391" s="10">
        <f>(7*DK461+2*DK276+2*DK280+DK166+DK177+DK307)/14</f>
        <v/>
      </c>
      <c r="DL391" s="10">
        <f>(7*DL461+2*DL276+2*DL280+DL166+DL177+DL307)/14</f>
        <v/>
      </c>
      <c r="DM391" s="10">
        <f>(7*DM461+2*DM276+2*DM280+DM166+DM177+DM307)/14</f>
        <v/>
      </c>
      <c r="DN391" s="10">
        <f>(7*DN461+2*DN276+2*DN280+DN166+DN177+DN307)/14</f>
        <v/>
      </c>
      <c r="DO391" s="10">
        <f>(7*DO461+2*DO276+2*DO280+DO166+DO177+DO307)/14</f>
        <v/>
      </c>
      <c r="DP391" s="10">
        <f>(7*DP461+2*DP276+2*DP280+DP166+DP177+DP307)/14</f>
        <v/>
      </c>
      <c r="DQ391" s="10">
        <f>(7*DQ461+2*DQ276+2*DQ280+DQ166+DQ177+DQ307)/14</f>
        <v/>
      </c>
      <c r="DR391" s="10">
        <f>(7*DR461+2*DR276+2*DR280+DR166+DR177+DR307)/14</f>
        <v/>
      </c>
      <c r="DS391" s="10">
        <f>(7*DS461+2*DS276+2*DS280+DS166+DS177+DS307)/14</f>
        <v/>
      </c>
      <c r="DT391" s="10">
        <f>(7*DT461+2*DT276+2*DT280+DT166+DT177+DT307)/14</f>
        <v/>
      </c>
      <c r="DU391" s="10">
        <f>(7*DU461+2*DU276+2*DU280+DU166+DU177+DU307)/14</f>
        <v/>
      </c>
      <c r="DV391" s="10">
        <f>(7*DV461+2*DV276+2*DV280+DV166+DV177+DV307)/14</f>
        <v/>
      </c>
      <c r="DW391" s="10">
        <f>(7*DW461+2*DW276+2*DW280+DW166+DW177+DW307)/14</f>
        <v/>
      </c>
      <c r="DX391" s="10">
        <f>(7*DX461+2*DX276+2*DX280+DX166+DX177+DX307)/14</f>
        <v/>
      </c>
      <c r="DY391" s="10">
        <f>(7*DY461+2*DY276+2*DY280+DY166+DY177+DY307)/14</f>
        <v/>
      </c>
      <c r="DZ391" s="10">
        <f>(7*DZ461+2*DZ276+2*DZ280+DZ166+DZ177+DZ307)/14</f>
        <v/>
      </c>
      <c r="EA391" s="10">
        <f>(7*EA461+2*EA276+2*EA280+EA166+EA177+EA307)/14</f>
        <v/>
      </c>
      <c r="EB391" s="10">
        <f>(7*EB461+2*EB276+2*EB280+EB166+EB177+EB307)/14</f>
        <v/>
      </c>
      <c r="EC391" s="10">
        <f>(7*EC461+2*EC276+2*EC280+EC166+EC177+EC307)/14</f>
        <v/>
      </c>
      <c r="ED391" s="10">
        <f>(7*ED461+2*ED276+2*ED280+ED166+ED177+ED307)/14</f>
        <v/>
      </c>
      <c r="EE391" s="10">
        <f>(7*EE461+2*EE276+2*EE280+EE166+EE177+EE307)/14</f>
        <v/>
      </c>
      <c r="EF391" s="10">
        <f>(7*EF461+2*EF276+2*EF280+EF166+EF177+EF307)/14</f>
        <v/>
      </c>
      <c r="EG391" s="10">
        <f>(7*EG461+2*EG276+2*EG280+EG166+EG177+EG307)/14</f>
        <v/>
      </c>
      <c r="EH391" s="10">
        <f>(7*EH461+2*EH276+2*EH280+EH166+EH177+EH307)/14</f>
        <v/>
      </c>
      <c r="EI391" s="10">
        <f>(7*EI461+2*EI276+2*EI280+EI166+EI177+EI307)/14</f>
        <v/>
      </c>
      <c r="EJ391" s="10">
        <f>(7*EJ461+2*EJ276+2*EJ280+EJ166+EJ177+EJ307)/14</f>
        <v/>
      </c>
      <c r="EK391" s="10">
        <f>(7*EK461+2*EK276+2*EK280+EK166+EK177+EK307)/14</f>
        <v/>
      </c>
    </row>
    <row r="392">
      <c r="A392">
        <f>[1]ingredient!B392</f>
        <v/>
      </c>
      <c r="B392" t="inlineStr">
        <is>
          <t>https://www.naehrwertrechner.de/naehrwerte/G211111/Blattspinat+frisch/?menge=100</t>
        </is>
      </c>
      <c r="C392" s="7">
        <f>_xlfn.XLOOKUP(A392,[1]ingredient!$B$2:$B$521,[1]ingredient!$A$2:$A$521)</f>
        <v/>
      </c>
      <c r="D392" t="n">
        <v>17</v>
      </c>
      <c r="E392" t="n">
        <v>0.3</v>
      </c>
      <c r="F392" t="n">
        <v>3</v>
      </c>
      <c r="G392" t="n">
        <v>1</v>
      </c>
      <c r="H392" t="n">
        <v>3</v>
      </c>
      <c r="I392" t="n">
        <v>0.47</v>
      </c>
      <c r="J392" t="n">
        <v>0.12</v>
      </c>
      <c r="K392" t="n">
        <v>92</v>
      </c>
      <c r="L392" t="n">
        <v>781</v>
      </c>
      <c r="M392" t="n">
        <v>391</v>
      </c>
      <c r="N392" t="n">
        <v>0</v>
      </c>
      <c r="O392" t="n">
        <v>4687</v>
      </c>
      <c r="P392" t="n">
        <v>110</v>
      </c>
      <c r="Q392" t="n">
        <v>230</v>
      </c>
      <c r="R392" t="n">
        <v>620</v>
      </c>
      <c r="S392" t="n">
        <v>1253</v>
      </c>
      <c r="T392" t="n">
        <v>250</v>
      </c>
      <c r="U392" t="n">
        <v>220</v>
      </c>
      <c r="V392" t="n">
        <v>7</v>
      </c>
      <c r="W392" t="n">
        <v>78</v>
      </c>
      <c r="X392" t="n">
        <v>0</v>
      </c>
      <c r="Y392" t="n">
        <v>52000</v>
      </c>
      <c r="Z392" t="n">
        <v>0</v>
      </c>
      <c r="AA392" t="n">
        <v>1367</v>
      </c>
      <c r="AB392" t="n">
        <v>280</v>
      </c>
      <c r="AC392" t="n">
        <v>65</v>
      </c>
      <c r="AD392" t="n">
        <v>633</v>
      </c>
      <c r="AE392" t="n">
        <v>126</v>
      </c>
      <c r="AF392" t="n">
        <v>58</v>
      </c>
      <c r="AG392" t="n">
        <v>55</v>
      </c>
      <c r="AH392" t="n">
        <v>20</v>
      </c>
      <c r="AI392" t="n">
        <v>54</v>
      </c>
      <c r="AJ392" t="n">
        <v>4100</v>
      </c>
      <c r="AK392" t="n">
        <v>584</v>
      </c>
      <c r="AL392" t="n">
        <v>120</v>
      </c>
      <c r="AM392" t="n">
        <v>474</v>
      </c>
      <c r="AN392" t="n">
        <v>110</v>
      </c>
      <c r="AO392" t="n">
        <v>12</v>
      </c>
      <c r="AP392" t="n">
        <v>0</v>
      </c>
      <c r="AQ392" t="n">
        <v>0</v>
      </c>
      <c r="AR392" t="n">
        <v>0</v>
      </c>
      <c r="AS392" t="n">
        <v>0</v>
      </c>
      <c r="AT392" t="n">
        <v>137</v>
      </c>
      <c r="AU392" t="n">
        <v>110</v>
      </c>
      <c r="AV392" t="n">
        <v>0</v>
      </c>
      <c r="AW392" t="n">
        <v>247</v>
      </c>
      <c r="AX392" t="n">
        <v>220</v>
      </c>
      <c r="AY392" t="n">
        <v>0</v>
      </c>
      <c r="AZ392" t="n">
        <v>0</v>
      </c>
      <c r="BA392" t="n">
        <v>220</v>
      </c>
      <c r="BB392" t="n">
        <v>0</v>
      </c>
      <c r="BC392" t="n">
        <v>0</v>
      </c>
      <c r="BD392" t="n">
        <v>0</v>
      </c>
      <c r="BE392" t="n">
        <v>83</v>
      </c>
      <c r="BF392" t="n">
        <v>83</v>
      </c>
      <c r="BG392">
        <f>IF($F392=0,"0",MIN(
BH392/(30*$F392),
BI392/(61*$F392),
BJ392/(48*$F392),
(BK392+BL392)/(23*$F392),
(BM392+BN392)/(41*$F392),
BO392/(25*$F392),
BP392/(6.6*$F392),
BQ392/(40*$F392),
BS392/(16*$F392)
)*100)</f>
        <v/>
      </c>
      <c r="BH392" t="n">
        <v>121</v>
      </c>
      <c r="BI392" t="n">
        <v>202</v>
      </c>
      <c r="BJ392" t="n">
        <v>164</v>
      </c>
      <c r="BK392" t="n">
        <v>45</v>
      </c>
      <c r="BL392" t="n">
        <v>30</v>
      </c>
      <c r="BM392" t="n">
        <v>126</v>
      </c>
      <c r="BN392" t="n">
        <v>101</v>
      </c>
      <c r="BO392" t="n">
        <v>113</v>
      </c>
      <c r="BP392" t="n">
        <v>38</v>
      </c>
      <c r="BQ392" t="n">
        <v>144</v>
      </c>
      <c r="BR392" t="n">
        <v>141</v>
      </c>
      <c r="BS392" t="n">
        <v>55</v>
      </c>
      <c r="BT392" t="n">
        <v>1280</v>
      </c>
      <c r="BU392" t="n">
        <v>134</v>
      </c>
      <c r="BV392" t="n">
        <v>227</v>
      </c>
      <c r="BW392" t="n">
        <v>297</v>
      </c>
      <c r="BX392" t="n">
        <v>121</v>
      </c>
      <c r="BY392" t="n">
        <v>108</v>
      </c>
      <c r="BZ392" t="n">
        <v>101</v>
      </c>
      <c r="CA392" t="n">
        <v>988</v>
      </c>
      <c r="CB392" t="n">
        <v>57</v>
      </c>
      <c r="CC392" t="n">
        <v>24</v>
      </c>
      <c r="CD392" t="n">
        <v>150</v>
      </c>
      <c r="CE392" t="n">
        <v>30</v>
      </c>
      <c r="CF392" t="n">
        <v>0.2</v>
      </c>
      <c r="CG392" t="n">
        <v>0</v>
      </c>
      <c r="CH392" t="n">
        <v>0</v>
      </c>
      <c r="CI392" t="n">
        <v>0</v>
      </c>
      <c r="CJ392" t="n">
        <v>0</v>
      </c>
      <c r="CK392" t="n">
        <v>0</v>
      </c>
      <c r="CL392" t="n">
        <v>2</v>
      </c>
      <c r="CM392" t="n">
        <v>0</v>
      </c>
      <c r="CN392" t="n">
        <v>30</v>
      </c>
      <c r="CO392" t="n">
        <v>0</v>
      </c>
      <c r="CP392" t="n">
        <v>5</v>
      </c>
      <c r="CQ392" t="n">
        <v>0</v>
      </c>
      <c r="CR392" t="n">
        <v>0</v>
      </c>
      <c r="CS392" t="n">
        <v>0</v>
      </c>
      <c r="CT392" t="n">
        <v>37</v>
      </c>
      <c r="CU392" t="n">
        <v>0</v>
      </c>
      <c r="CV392" t="n">
        <v>0</v>
      </c>
      <c r="CW392" t="n">
        <v>5</v>
      </c>
      <c r="CX392" t="n">
        <v>0</v>
      </c>
      <c r="CY392" t="n">
        <v>18</v>
      </c>
      <c r="CZ392" t="n">
        <v>0</v>
      </c>
      <c r="DA392" t="n">
        <v>0</v>
      </c>
      <c r="DB392" t="n">
        <v>0</v>
      </c>
      <c r="DC392" t="n">
        <v>23</v>
      </c>
      <c r="DD392" t="n">
        <v>0</v>
      </c>
      <c r="DE392" t="n">
        <v>0</v>
      </c>
      <c r="DF392" t="n">
        <v>30</v>
      </c>
      <c r="DG392" t="n">
        <v>150</v>
      </c>
      <c r="DH392" t="n">
        <v>0</v>
      </c>
      <c r="DI392" t="n">
        <v>0</v>
      </c>
      <c r="DJ392" t="n">
        <v>0</v>
      </c>
      <c r="DK392" t="n">
        <v>0</v>
      </c>
      <c r="DL392" t="n">
        <v>0</v>
      </c>
      <c r="DM392" t="n">
        <v>0</v>
      </c>
      <c r="DN392" t="n">
        <v>0</v>
      </c>
      <c r="DO392" t="n">
        <v>0</v>
      </c>
      <c r="DP392" t="n">
        <v>0</v>
      </c>
      <c r="DQ392" t="n">
        <v>0</v>
      </c>
      <c r="DR392" t="n">
        <v>0</v>
      </c>
      <c r="DS392" t="n">
        <v>180</v>
      </c>
      <c r="DT392" t="n">
        <v>240</v>
      </c>
      <c r="DU392" t="n">
        <v>60</v>
      </c>
      <c r="DV392" t="n">
        <v>0</v>
      </c>
      <c r="DW392" t="n">
        <v>0</v>
      </c>
      <c r="DX392" t="n">
        <v>0</v>
      </c>
      <c r="DY392" t="n">
        <v>387</v>
      </c>
      <c r="DZ392" t="n">
        <v>387</v>
      </c>
      <c r="EA392" t="n">
        <v>645</v>
      </c>
      <c r="EB392" t="n">
        <v>1032</v>
      </c>
      <c r="EC392" t="n">
        <v>129</v>
      </c>
      <c r="ED392" t="n">
        <v>645</v>
      </c>
      <c r="EE392" t="n">
        <v>1935</v>
      </c>
      <c r="EF392" t="n">
        <v>0</v>
      </c>
      <c r="EG392" t="n">
        <v>1</v>
      </c>
      <c r="EH392" t="n">
        <v>1.5</v>
      </c>
      <c r="EI392" t="n">
        <v>1.9</v>
      </c>
      <c r="EJ392" t="n">
        <v>0.3</v>
      </c>
      <c r="EK392" t="n">
        <v>2.5</v>
      </c>
    </row>
    <row r="393">
      <c r="A393">
        <f>[1]ingredient!B393</f>
        <v/>
      </c>
      <c r="B393" t="inlineStr">
        <is>
          <t>https://www.naehrwertrechner.de/naehrwerte/G211211/Blattspinat+tiefgefroren/?menge=100</t>
        </is>
      </c>
      <c r="C393" s="7">
        <f>_xlfn.XLOOKUP(A393,[1]ingredient!$B$2:$B$521,[1]ingredient!$A$2:$A$521)</f>
        <v/>
      </c>
      <c r="D393" t="n">
        <v>18</v>
      </c>
      <c r="E393" t="n">
        <v>0.32</v>
      </c>
      <c r="F393" t="n">
        <v>3</v>
      </c>
      <c r="G393" t="n">
        <v>1</v>
      </c>
      <c r="H393" t="n">
        <v>3</v>
      </c>
      <c r="I393" t="n">
        <v>0.47</v>
      </c>
      <c r="J393" t="n">
        <v>0.11</v>
      </c>
      <c r="K393" t="n">
        <v>91</v>
      </c>
      <c r="L393" t="n">
        <v>779</v>
      </c>
      <c r="M393" t="n">
        <v>389</v>
      </c>
      <c r="N393" t="n">
        <v>0</v>
      </c>
      <c r="O393" t="n">
        <v>4672</v>
      </c>
      <c r="P393" t="n">
        <v>92</v>
      </c>
      <c r="Q393" t="n">
        <v>217</v>
      </c>
      <c r="R393" t="n">
        <v>585</v>
      </c>
      <c r="S393" t="n">
        <v>1252</v>
      </c>
      <c r="T393" t="n">
        <v>249</v>
      </c>
      <c r="U393" t="n">
        <v>185</v>
      </c>
      <c r="V393" t="n">
        <v>7</v>
      </c>
      <c r="W393" t="n">
        <v>57</v>
      </c>
      <c r="X393" t="n">
        <v>0</v>
      </c>
      <c r="Y393" t="n">
        <v>38192</v>
      </c>
      <c r="Z393" t="n">
        <v>0</v>
      </c>
      <c r="AA393" t="n">
        <v>1434</v>
      </c>
      <c r="AB393" t="n">
        <v>294</v>
      </c>
      <c r="AC393" t="n">
        <v>62</v>
      </c>
      <c r="AD393" t="n">
        <v>598</v>
      </c>
      <c r="AE393" t="n">
        <v>119</v>
      </c>
      <c r="AF393" t="n">
        <v>55</v>
      </c>
      <c r="AG393" t="n">
        <v>52</v>
      </c>
      <c r="AH393" t="n">
        <v>19</v>
      </c>
      <c r="AI393" t="n">
        <v>51</v>
      </c>
      <c r="AJ393" t="n">
        <v>3872</v>
      </c>
      <c r="AK393" t="n">
        <v>552</v>
      </c>
      <c r="AL393" t="n">
        <v>113</v>
      </c>
      <c r="AM393" t="n">
        <v>448</v>
      </c>
      <c r="AN393" t="n">
        <v>104</v>
      </c>
      <c r="AO393" t="n">
        <v>12</v>
      </c>
      <c r="AP393" t="n">
        <v>0</v>
      </c>
      <c r="AQ393" t="n">
        <v>0</v>
      </c>
      <c r="AR393" t="n">
        <v>0</v>
      </c>
      <c r="AS393" t="n">
        <v>0</v>
      </c>
      <c r="AT393" t="n">
        <v>136</v>
      </c>
      <c r="AU393" t="n">
        <v>110</v>
      </c>
      <c r="AV393" t="n">
        <v>0</v>
      </c>
      <c r="AW393" t="n">
        <v>246</v>
      </c>
      <c r="AX393" t="n">
        <v>219</v>
      </c>
      <c r="AY393" t="n">
        <v>0</v>
      </c>
      <c r="AZ393" t="n">
        <v>0</v>
      </c>
      <c r="BA393" t="n">
        <v>219</v>
      </c>
      <c r="BB393" t="n">
        <v>0</v>
      </c>
      <c r="BC393" t="n">
        <v>0</v>
      </c>
      <c r="BD393" t="n">
        <v>0</v>
      </c>
      <c r="BE393" t="n">
        <v>83</v>
      </c>
      <c r="BF393" t="n">
        <v>83</v>
      </c>
      <c r="BG393">
        <f>IF($F393=0,"0",MIN(
BH393/(30*$F393),
BI393/(61*$F393),
BJ393/(48*$F393),
(BK393+BL393)/(23*$F393),
(BM393+BN393)/(41*$F393),
BO393/(25*$F393),
BP393/(6.6*$F393),
BQ393/(40*$F393),
BS393/(16*$F393)
)*100)</f>
        <v/>
      </c>
      <c r="BH393" t="n">
        <v>127</v>
      </c>
      <c r="BI393" t="n">
        <v>212</v>
      </c>
      <c r="BJ393" t="n">
        <v>172</v>
      </c>
      <c r="BK393" t="n">
        <v>47</v>
      </c>
      <c r="BL393" t="n">
        <v>31</v>
      </c>
      <c r="BM393" t="n">
        <v>132</v>
      </c>
      <c r="BN393" t="n">
        <v>106</v>
      </c>
      <c r="BO393" t="n">
        <v>119</v>
      </c>
      <c r="BP393" t="n">
        <v>40</v>
      </c>
      <c r="BQ393" t="n">
        <v>151</v>
      </c>
      <c r="BR393" t="n">
        <v>148</v>
      </c>
      <c r="BS393" t="n">
        <v>58</v>
      </c>
      <c r="BT393" t="n">
        <v>1343</v>
      </c>
      <c r="BU393" t="n">
        <v>141</v>
      </c>
      <c r="BV393" t="n">
        <v>238</v>
      </c>
      <c r="BW393" t="n">
        <v>312</v>
      </c>
      <c r="BX393" t="n">
        <v>127</v>
      </c>
      <c r="BY393" t="n">
        <v>113</v>
      </c>
      <c r="BZ393" t="n">
        <v>106</v>
      </c>
      <c r="CA393" t="n">
        <v>1037</v>
      </c>
      <c r="CB393" t="n">
        <v>60</v>
      </c>
      <c r="CC393" t="n">
        <v>25</v>
      </c>
      <c r="CD393" t="n">
        <v>159</v>
      </c>
      <c r="CE393" t="n">
        <v>31</v>
      </c>
      <c r="CF393" t="n">
        <v>0.19</v>
      </c>
      <c r="CG393" t="n">
        <v>0</v>
      </c>
      <c r="CH393" t="n">
        <v>0</v>
      </c>
      <c r="CI393" t="n">
        <v>0</v>
      </c>
      <c r="CJ393" t="n">
        <v>0</v>
      </c>
      <c r="CK393" t="n">
        <v>0</v>
      </c>
      <c r="CL393" t="n">
        <v>2</v>
      </c>
      <c r="CM393" t="n">
        <v>0</v>
      </c>
      <c r="CN393" t="n">
        <v>31</v>
      </c>
      <c r="CO393" t="n">
        <v>0</v>
      </c>
      <c r="CP393" t="n">
        <v>5</v>
      </c>
      <c r="CQ393" t="n">
        <v>0</v>
      </c>
      <c r="CR393" t="n">
        <v>0</v>
      </c>
      <c r="CS393" t="n">
        <v>0</v>
      </c>
      <c r="CT393" t="n">
        <v>38</v>
      </c>
      <c r="CU393" t="n">
        <v>0</v>
      </c>
      <c r="CV393" t="n">
        <v>0</v>
      </c>
      <c r="CW393" t="n">
        <v>5</v>
      </c>
      <c r="CX393" t="n">
        <v>0</v>
      </c>
      <c r="CY393" t="n">
        <v>19</v>
      </c>
      <c r="CZ393" t="n">
        <v>0</v>
      </c>
      <c r="DA393" t="n">
        <v>0</v>
      </c>
      <c r="DB393" t="n">
        <v>0</v>
      </c>
      <c r="DC393" t="n">
        <v>24</v>
      </c>
      <c r="DD393" t="n">
        <v>0</v>
      </c>
      <c r="DE393" t="n">
        <v>0</v>
      </c>
      <c r="DF393" t="n">
        <v>31</v>
      </c>
      <c r="DG393" t="n">
        <v>159</v>
      </c>
      <c r="DH393" t="n">
        <v>0</v>
      </c>
      <c r="DI393" t="n">
        <v>0</v>
      </c>
      <c r="DJ393" t="n">
        <v>0</v>
      </c>
      <c r="DK393" t="n">
        <v>0</v>
      </c>
      <c r="DL393" t="n">
        <v>0</v>
      </c>
      <c r="DM393" t="n">
        <v>0</v>
      </c>
      <c r="DN393" t="n">
        <v>0</v>
      </c>
      <c r="DO393" t="n">
        <v>0</v>
      </c>
      <c r="DP393" t="n">
        <v>0</v>
      </c>
      <c r="DQ393" t="n">
        <v>0</v>
      </c>
      <c r="DR393" t="n">
        <v>0</v>
      </c>
      <c r="DS393" t="n">
        <v>190</v>
      </c>
      <c r="DT393" t="n">
        <v>252</v>
      </c>
      <c r="DU393" t="n">
        <v>63</v>
      </c>
      <c r="DV393" t="n">
        <v>0</v>
      </c>
      <c r="DW393" t="n">
        <v>0</v>
      </c>
      <c r="DX393" t="n">
        <v>0</v>
      </c>
      <c r="DY393" t="n">
        <v>406</v>
      </c>
      <c r="DZ393" t="n">
        <v>406</v>
      </c>
      <c r="EA393" t="n">
        <v>677</v>
      </c>
      <c r="EB393" t="n">
        <v>1083</v>
      </c>
      <c r="EC393" t="n">
        <v>135</v>
      </c>
      <c r="ED393" t="n">
        <v>677</v>
      </c>
      <c r="EE393" t="n">
        <v>2030</v>
      </c>
      <c r="EF393" t="n">
        <v>0</v>
      </c>
      <c r="EG393" t="n">
        <v>1</v>
      </c>
      <c r="EH393" t="n">
        <v>1.5</v>
      </c>
      <c r="EI393" t="n">
        <v>2</v>
      </c>
      <c r="EJ393" t="n">
        <v>0.3</v>
      </c>
      <c r="EK393" t="n">
        <v>2.6</v>
      </c>
    </row>
    <row r="394">
      <c r="A394">
        <f>[1]ingredient!B394</f>
        <v/>
      </c>
      <c r="B394" t="inlineStr">
        <is>
          <t>https://www.naehrwertrechner.de/naehrwerte/G004511/Spirulina+Pulver/?menge=100</t>
        </is>
      </c>
      <c r="C394" s="7">
        <f>_xlfn.XLOOKUP(A394,[1]ingredient!$B$2:$B$521,[1]ingredient!$A$2:$A$521)</f>
        <v/>
      </c>
      <c r="D394" t="n">
        <v>371</v>
      </c>
      <c r="E394" t="n">
        <v>4</v>
      </c>
      <c r="F394" t="n">
        <v>60</v>
      </c>
      <c r="G394" t="n">
        <v>20</v>
      </c>
      <c r="H394" t="n">
        <v>3</v>
      </c>
      <c r="I394" t="n">
        <v>20</v>
      </c>
      <c r="J394" t="n">
        <v>1</v>
      </c>
      <c r="K394" t="n">
        <v>4</v>
      </c>
      <c r="L394" t="n">
        <v>615</v>
      </c>
      <c r="M394" t="n">
        <v>308</v>
      </c>
      <c r="N394" t="n">
        <v>0</v>
      </c>
      <c r="O394" t="n">
        <v>3690</v>
      </c>
      <c r="P394" t="n">
        <v>1911</v>
      </c>
      <c r="Q394" t="n">
        <v>3311</v>
      </c>
      <c r="R394" t="n">
        <v>11672</v>
      </c>
      <c r="S394" t="n">
        <v>21722</v>
      </c>
      <c r="T394" t="n">
        <v>2995</v>
      </c>
      <c r="U394" t="n">
        <v>327</v>
      </c>
      <c r="V394" t="n">
        <v>0</v>
      </c>
      <c r="W394" t="n">
        <v>1840</v>
      </c>
      <c r="X394" t="n">
        <v>51</v>
      </c>
      <c r="Y394" t="n">
        <v>5069</v>
      </c>
      <c r="Z394" t="n">
        <v>0</v>
      </c>
      <c r="AA394" t="n">
        <v>0</v>
      </c>
      <c r="AB394" t="n">
        <v>3066</v>
      </c>
      <c r="AC394" t="n">
        <v>848</v>
      </c>
      <c r="AD394" t="n">
        <v>1104</v>
      </c>
      <c r="AE394" t="n">
        <v>644</v>
      </c>
      <c r="AF394" t="n">
        <v>920</v>
      </c>
      <c r="AG394" t="n">
        <v>102</v>
      </c>
      <c r="AH394" t="n">
        <v>460</v>
      </c>
      <c r="AI394" t="n">
        <v>112</v>
      </c>
      <c r="AJ394" t="n">
        <v>20011</v>
      </c>
      <c r="AK394" t="n">
        <v>10139</v>
      </c>
      <c r="AL394" t="n">
        <v>1840</v>
      </c>
      <c r="AM394" t="n">
        <v>4609</v>
      </c>
      <c r="AN394" t="n">
        <v>920</v>
      </c>
      <c r="AO394" t="n">
        <v>461</v>
      </c>
      <c r="AP394" t="n">
        <v>0</v>
      </c>
      <c r="AQ394" t="n">
        <v>0</v>
      </c>
      <c r="AR394" t="n">
        <v>0</v>
      </c>
      <c r="AS394" t="n">
        <v>0</v>
      </c>
      <c r="AT394" t="n">
        <v>8166</v>
      </c>
      <c r="AU394" t="n">
        <v>8166</v>
      </c>
      <c r="AV394" t="n">
        <v>0</v>
      </c>
      <c r="AW394" t="n">
        <v>16332</v>
      </c>
      <c r="AX394" t="n">
        <v>3884</v>
      </c>
      <c r="AY394" t="n">
        <v>0</v>
      </c>
      <c r="AZ394" t="n">
        <v>0</v>
      </c>
      <c r="BA394" t="n">
        <v>3884</v>
      </c>
      <c r="BB394" t="n">
        <v>0</v>
      </c>
      <c r="BC394" t="n">
        <v>0</v>
      </c>
      <c r="BD394" t="n">
        <v>0</v>
      </c>
      <c r="BE394" t="n">
        <v>204</v>
      </c>
      <c r="BF394" t="n">
        <v>204</v>
      </c>
      <c r="BG394">
        <f>IF($F394=0,"0",MIN(
BH394/(30*$F394),
BI394/(61*$F394),
BJ394/(48*$F394),
(BK394+BL394)/(23*$F394),
(BM394+BN394)/(41*$F394),
BO394/(25*$F394),
BP394/(6.6*$F394),
BQ394/(40*$F394),
BS394/(16*$F394)
)*100)</f>
        <v/>
      </c>
      <c r="BH394" t="n">
        <v>2412</v>
      </c>
      <c r="BI394" t="n">
        <v>3628</v>
      </c>
      <c r="BJ394" t="n">
        <v>3015</v>
      </c>
      <c r="BK394" t="n">
        <v>726</v>
      </c>
      <c r="BL394" t="n">
        <v>603</v>
      </c>
      <c r="BM394" t="n">
        <v>1809</v>
      </c>
      <c r="BN394" t="n">
        <v>1206</v>
      </c>
      <c r="BO394" t="n">
        <v>2116</v>
      </c>
      <c r="BP394" t="n">
        <v>603</v>
      </c>
      <c r="BQ394" t="n">
        <v>2412</v>
      </c>
      <c r="BR394" t="n">
        <v>2412</v>
      </c>
      <c r="BS394" t="n">
        <v>910</v>
      </c>
      <c r="BT394" t="n">
        <v>21852</v>
      </c>
      <c r="BU394" t="n">
        <v>3015</v>
      </c>
      <c r="BV394" t="n">
        <v>6040</v>
      </c>
      <c r="BW394" t="n">
        <v>9107</v>
      </c>
      <c r="BX394" t="n">
        <v>1686</v>
      </c>
      <c r="BY394" t="n">
        <v>2412</v>
      </c>
      <c r="BZ394" t="n">
        <v>1809</v>
      </c>
      <c r="CA394" t="n">
        <v>24069</v>
      </c>
      <c r="CB394" t="n">
        <v>511</v>
      </c>
      <c r="CC394" t="n">
        <v>213</v>
      </c>
      <c r="CD394" t="n">
        <v>439</v>
      </c>
      <c r="CE394" t="n">
        <v>675</v>
      </c>
      <c r="CF394" t="n">
        <v>1.54</v>
      </c>
      <c r="CG394" t="n">
        <v>0</v>
      </c>
      <c r="CH394" t="n">
        <v>0</v>
      </c>
      <c r="CI394" t="n">
        <v>0</v>
      </c>
      <c r="CJ394" t="n">
        <v>0</v>
      </c>
      <c r="CK394" t="n">
        <v>0</v>
      </c>
      <c r="CL394" t="n">
        <v>41</v>
      </c>
      <c r="CM394" t="n">
        <v>0</v>
      </c>
      <c r="CN394" t="n">
        <v>1329</v>
      </c>
      <c r="CO394" t="n">
        <v>0</v>
      </c>
      <c r="CP394" t="n">
        <v>41</v>
      </c>
      <c r="CQ394" t="n">
        <v>0</v>
      </c>
      <c r="CR394" t="n">
        <v>0</v>
      </c>
      <c r="CS394" t="n">
        <v>0</v>
      </c>
      <c r="CT394" t="n">
        <v>1411</v>
      </c>
      <c r="CU394" t="n">
        <v>0</v>
      </c>
      <c r="CV394" t="n">
        <v>0</v>
      </c>
      <c r="CW394" t="n">
        <v>174</v>
      </c>
      <c r="CX394" t="n">
        <v>0</v>
      </c>
      <c r="CY394" t="n">
        <v>184</v>
      </c>
      <c r="CZ394" t="n">
        <v>0</v>
      </c>
      <c r="DA394" t="n">
        <v>0</v>
      </c>
      <c r="DB394" t="n">
        <v>0</v>
      </c>
      <c r="DC394" t="n">
        <v>358</v>
      </c>
      <c r="DD394" t="n">
        <v>0</v>
      </c>
      <c r="DE394" t="n">
        <v>0</v>
      </c>
      <c r="DF394" t="n">
        <v>675</v>
      </c>
      <c r="DG394" t="n">
        <v>439</v>
      </c>
      <c r="DH394" t="n">
        <v>0</v>
      </c>
      <c r="DI394" t="n">
        <v>0</v>
      </c>
      <c r="DJ394" t="n">
        <v>0</v>
      </c>
      <c r="DK394" t="n">
        <v>0</v>
      </c>
      <c r="DL394" t="n">
        <v>0</v>
      </c>
      <c r="DM394" t="n">
        <v>0</v>
      </c>
      <c r="DN394" t="n">
        <v>0</v>
      </c>
      <c r="DO394" t="n">
        <v>0</v>
      </c>
      <c r="DP394" t="n">
        <v>0</v>
      </c>
      <c r="DQ394" t="n">
        <v>0</v>
      </c>
      <c r="DR394" t="n">
        <v>0</v>
      </c>
      <c r="DS394" t="n">
        <v>1114</v>
      </c>
      <c r="DT394" t="n">
        <v>2883</v>
      </c>
      <c r="DU394" t="n">
        <v>1226</v>
      </c>
      <c r="DV394" t="n">
        <v>0</v>
      </c>
      <c r="DW394" t="n">
        <v>0</v>
      </c>
      <c r="DX394" t="n">
        <v>0</v>
      </c>
      <c r="DY394" t="n">
        <v>521</v>
      </c>
      <c r="DZ394" t="n">
        <v>695</v>
      </c>
      <c r="EA394" t="n">
        <v>940</v>
      </c>
      <c r="EB394" t="n">
        <v>1227</v>
      </c>
      <c r="EC394" t="n">
        <v>102</v>
      </c>
      <c r="ED394" t="n">
        <v>1042</v>
      </c>
      <c r="EE394" t="n">
        <v>2432</v>
      </c>
      <c r="EF394" t="n">
        <v>0</v>
      </c>
      <c r="EG394" t="n">
        <v>2</v>
      </c>
      <c r="EH394" t="n">
        <v>5.5</v>
      </c>
      <c r="EI394" t="n">
        <v>2.4</v>
      </c>
      <c r="EJ394" t="n">
        <v>4.1</v>
      </c>
      <c r="EK394" t="n">
        <v>47.6</v>
      </c>
    </row>
    <row r="395">
      <c r="A395">
        <f>[1]ingredient!B395</f>
        <v/>
      </c>
      <c r="B395" t="inlineStr">
        <is>
          <t>https://www.naehrwertrechner.de/naehrwerte/G344111/Spitzkohl+frisch/?menge=100</t>
        </is>
      </c>
      <c r="C395" s="7">
        <f>_xlfn.XLOOKUP(A395,[1]ingredient!$B$2:$B$521,[1]ingredient!$A$2:$A$521)</f>
        <v/>
      </c>
      <c r="D395" t="n">
        <v>23</v>
      </c>
      <c r="E395" t="n">
        <v>0.3</v>
      </c>
      <c r="F395" t="n">
        <v>2</v>
      </c>
      <c r="G395" t="n">
        <v>3</v>
      </c>
      <c r="H395" t="n">
        <v>3</v>
      </c>
      <c r="I395" t="n">
        <v>3</v>
      </c>
      <c r="J395" t="n">
        <v>0.04</v>
      </c>
      <c r="K395" t="n">
        <v>91</v>
      </c>
      <c r="L395" t="n">
        <v>25</v>
      </c>
      <c r="M395" t="n">
        <v>13</v>
      </c>
      <c r="N395" t="n">
        <v>0</v>
      </c>
      <c r="O395" t="n">
        <v>150</v>
      </c>
      <c r="P395" t="n">
        <v>50</v>
      </c>
      <c r="Q395" t="n">
        <v>50</v>
      </c>
      <c r="R395" t="n">
        <v>300</v>
      </c>
      <c r="S395" t="n">
        <v>650</v>
      </c>
      <c r="T395" t="n">
        <v>150</v>
      </c>
      <c r="U395" t="n">
        <v>150</v>
      </c>
      <c r="V395" t="n">
        <v>0</v>
      </c>
      <c r="W395" t="n">
        <v>73</v>
      </c>
      <c r="X395" t="n">
        <v>0</v>
      </c>
      <c r="Y395" t="n">
        <v>60000</v>
      </c>
      <c r="Z395" t="n">
        <v>0</v>
      </c>
      <c r="AA395" t="n">
        <v>150</v>
      </c>
      <c r="AB395" t="n">
        <v>170</v>
      </c>
      <c r="AC395" t="n">
        <v>6</v>
      </c>
      <c r="AD395" t="n">
        <v>249</v>
      </c>
      <c r="AE395" t="n">
        <v>50</v>
      </c>
      <c r="AF395" t="n">
        <v>9</v>
      </c>
      <c r="AG395" t="n">
        <v>30</v>
      </c>
      <c r="AH395" t="n">
        <v>70</v>
      </c>
      <c r="AI395" t="n">
        <v>30</v>
      </c>
      <c r="AJ395" t="n">
        <v>500</v>
      </c>
      <c r="AK395" t="n">
        <v>200</v>
      </c>
      <c r="AL395" t="n">
        <v>70</v>
      </c>
      <c r="AM395" t="n">
        <v>200</v>
      </c>
      <c r="AN395" t="n">
        <v>12</v>
      </c>
      <c r="AO395" t="n">
        <v>5</v>
      </c>
      <c r="AP395" t="n">
        <v>0</v>
      </c>
      <c r="AQ395" t="n">
        <v>0</v>
      </c>
      <c r="AR395" t="n">
        <v>0</v>
      </c>
      <c r="AS395" t="n">
        <v>0</v>
      </c>
      <c r="AT395" t="n">
        <v>958</v>
      </c>
      <c r="AU395" t="n">
        <v>959</v>
      </c>
      <c r="AV395" t="n">
        <v>0</v>
      </c>
      <c r="AW395" t="n">
        <v>1917</v>
      </c>
      <c r="AX395" t="n">
        <v>675</v>
      </c>
      <c r="AY395" t="n">
        <v>0</v>
      </c>
      <c r="AZ395" t="n">
        <v>0</v>
      </c>
      <c r="BA395" t="n">
        <v>675</v>
      </c>
      <c r="BB395" t="n">
        <v>0</v>
      </c>
      <c r="BC395" t="n">
        <v>0</v>
      </c>
      <c r="BD395" t="n">
        <v>0</v>
      </c>
      <c r="BE395" t="n">
        <v>108</v>
      </c>
      <c r="BF395" t="n">
        <v>108</v>
      </c>
      <c r="BG395">
        <f>IF($F395=0,"0",MIN(
BH395/(30*$F395),
BI395/(61*$F395),
BJ395/(48*$F395),
(BK395+BL395)/(23*$F395),
(BM395+BN395)/(41*$F395),
BO395/(25*$F395),
BP395/(6.6*$F395),
BQ395/(40*$F395),
BS395/(16*$F395)
)*100)</f>
        <v/>
      </c>
      <c r="BH395" t="n">
        <v>63</v>
      </c>
      <c r="BI395" t="n">
        <v>107</v>
      </c>
      <c r="BJ395" t="n">
        <v>97</v>
      </c>
      <c r="BK395" t="n">
        <v>21</v>
      </c>
      <c r="BL395" t="n">
        <v>25</v>
      </c>
      <c r="BM395" t="n">
        <v>63</v>
      </c>
      <c r="BN395" t="n">
        <v>38</v>
      </c>
      <c r="BO395" t="n">
        <v>71</v>
      </c>
      <c r="BP395" t="n">
        <v>21</v>
      </c>
      <c r="BQ395" t="n">
        <v>84</v>
      </c>
      <c r="BR395" t="n">
        <v>158</v>
      </c>
      <c r="BS395" t="n">
        <v>42</v>
      </c>
      <c r="BT395" t="n">
        <v>790</v>
      </c>
      <c r="BU395" t="n">
        <v>84</v>
      </c>
      <c r="BV395" t="n">
        <v>179</v>
      </c>
      <c r="BW395" t="n">
        <v>439</v>
      </c>
      <c r="BX395" t="n">
        <v>53</v>
      </c>
      <c r="BY395" t="n">
        <v>397</v>
      </c>
      <c r="BZ395" t="n">
        <v>116</v>
      </c>
      <c r="CA395" t="n">
        <v>1268</v>
      </c>
      <c r="CB395" t="n">
        <v>20</v>
      </c>
      <c r="CC395" t="n">
        <v>8</v>
      </c>
      <c r="CD395" t="n">
        <v>72</v>
      </c>
      <c r="CE395" t="n">
        <v>73</v>
      </c>
      <c r="CF395" t="n">
        <v>1.01</v>
      </c>
      <c r="CG395" t="n">
        <v>0</v>
      </c>
      <c r="CH395" t="n">
        <v>0</v>
      </c>
      <c r="CI395" t="n">
        <v>0</v>
      </c>
      <c r="CJ395" t="n">
        <v>0</v>
      </c>
      <c r="CK395" t="n">
        <v>1</v>
      </c>
      <c r="CL395" t="n">
        <v>1</v>
      </c>
      <c r="CM395" t="n">
        <v>0</v>
      </c>
      <c r="CN395" t="n">
        <v>60</v>
      </c>
      <c r="CO395" t="n">
        <v>0</v>
      </c>
      <c r="CP395" t="n">
        <v>7</v>
      </c>
      <c r="CQ395" t="n">
        <v>0</v>
      </c>
      <c r="CR395" t="n">
        <v>0</v>
      </c>
      <c r="CS395" t="n">
        <v>0</v>
      </c>
      <c r="CT395" t="n">
        <v>69</v>
      </c>
      <c r="CU395" t="n">
        <v>0</v>
      </c>
      <c r="CV395" t="n">
        <v>0</v>
      </c>
      <c r="CW395" t="n">
        <v>7</v>
      </c>
      <c r="CX395" t="n">
        <v>0</v>
      </c>
      <c r="CY395" t="n">
        <v>19</v>
      </c>
      <c r="CZ395" t="n">
        <v>0</v>
      </c>
      <c r="DA395" t="n">
        <v>0</v>
      </c>
      <c r="DB395" t="n">
        <v>0</v>
      </c>
      <c r="DC395" t="n">
        <v>26</v>
      </c>
      <c r="DD395" t="n">
        <v>0</v>
      </c>
      <c r="DE395" t="n">
        <v>0</v>
      </c>
      <c r="DF395" t="n">
        <v>73</v>
      </c>
      <c r="DG395" t="n">
        <v>72</v>
      </c>
      <c r="DH395" t="n">
        <v>0</v>
      </c>
      <c r="DI395" t="n">
        <v>0</v>
      </c>
      <c r="DJ395" t="n">
        <v>0</v>
      </c>
      <c r="DK395" t="n">
        <v>0</v>
      </c>
      <c r="DL395" t="n">
        <v>0</v>
      </c>
      <c r="DM395" t="n">
        <v>0</v>
      </c>
      <c r="DN395" t="n">
        <v>0</v>
      </c>
      <c r="DO395" t="n">
        <v>0</v>
      </c>
      <c r="DP395" t="n">
        <v>0</v>
      </c>
      <c r="DQ395" t="n">
        <v>0</v>
      </c>
      <c r="DR395" t="n">
        <v>0</v>
      </c>
      <c r="DS395" t="n">
        <v>145</v>
      </c>
      <c r="DT395" t="n">
        <v>240</v>
      </c>
      <c r="DU395" t="n">
        <v>60</v>
      </c>
      <c r="DV395" t="n">
        <v>0</v>
      </c>
      <c r="DW395" t="n">
        <v>0</v>
      </c>
      <c r="DX395" t="n">
        <v>0</v>
      </c>
      <c r="DY395" t="n">
        <v>400</v>
      </c>
      <c r="DZ395" t="n">
        <v>325</v>
      </c>
      <c r="EA395" t="n">
        <v>350</v>
      </c>
      <c r="EB395" t="n">
        <v>1250</v>
      </c>
      <c r="EC395" t="n">
        <v>175</v>
      </c>
      <c r="ED395" t="n">
        <v>750</v>
      </c>
      <c r="EE395" t="n">
        <v>1750</v>
      </c>
      <c r="EF395" t="n">
        <v>0</v>
      </c>
      <c r="EG395" t="n">
        <v>0.25</v>
      </c>
      <c r="EH395" t="n">
        <v>0.9</v>
      </c>
      <c r="EI395" t="n">
        <v>1.8</v>
      </c>
      <c r="EJ395" t="n">
        <v>0.3</v>
      </c>
      <c r="EK395" t="n">
        <v>2.1</v>
      </c>
    </row>
    <row r="396">
      <c r="A396">
        <f>[1]ingredient!B396</f>
        <v/>
      </c>
      <c r="B396" s="11" t="inlineStr">
        <is>
          <t>https://www.naehrwertrechner.de/naehrwerte/G542111-1/Spitzpaprika+gelb+frisch/?menge=100</t>
        </is>
      </c>
      <c r="C396" s="7" t="n"/>
      <c r="D396" s="15" t="n">
        <v>30</v>
      </c>
      <c r="E396" s="15" t="n">
        <v>0.3</v>
      </c>
      <c r="F396" s="15" t="n">
        <v>1</v>
      </c>
      <c r="G396" s="15" t="n">
        <v>5</v>
      </c>
      <c r="H396" s="15" t="n">
        <v>4</v>
      </c>
      <c r="I396" s="15" t="n">
        <v>5</v>
      </c>
      <c r="J396" s="15" t="n">
        <v>0.02</v>
      </c>
      <c r="K396" s="15" t="n">
        <v>89</v>
      </c>
      <c r="L396" s="15" t="n">
        <v>31</v>
      </c>
      <c r="M396" s="15" t="n">
        <v>11</v>
      </c>
      <c r="N396" s="15" t="n">
        <v>0</v>
      </c>
      <c r="O396" s="15" t="n">
        <v>135</v>
      </c>
      <c r="P396" s="15" t="n">
        <v>10</v>
      </c>
      <c r="Q396" s="15" t="n">
        <v>20</v>
      </c>
      <c r="R396" s="15" t="n">
        <v>700</v>
      </c>
      <c r="S396" s="15" t="n">
        <v>900</v>
      </c>
      <c r="T396" s="15" t="n">
        <v>80</v>
      </c>
      <c r="U396" s="15" t="n">
        <v>330</v>
      </c>
      <c r="V396" s="15" t="n">
        <v>3</v>
      </c>
      <c r="W396" s="15" t="n">
        <v>18</v>
      </c>
      <c r="X396" s="15" t="n">
        <v>0</v>
      </c>
      <c r="Y396" s="15" t="n">
        <v>130000</v>
      </c>
      <c r="Z396" s="15" t="n">
        <v>0</v>
      </c>
      <c r="AA396" s="15" t="n">
        <v>2519</v>
      </c>
      <c r="AB396" s="15" t="n">
        <v>5</v>
      </c>
      <c r="AC396" s="15" t="n">
        <v>4</v>
      </c>
      <c r="AD396" s="15" t="n">
        <v>220</v>
      </c>
      <c r="AE396" s="15" t="n">
        <v>8</v>
      </c>
      <c r="AF396" s="15" t="n">
        <v>16</v>
      </c>
      <c r="AG396" s="15" t="n">
        <v>26</v>
      </c>
      <c r="AH396" s="15" t="n">
        <v>19</v>
      </c>
      <c r="AI396" s="15" t="n">
        <v>15</v>
      </c>
      <c r="AJ396" s="15" t="n">
        <v>400</v>
      </c>
      <c r="AK396" s="15" t="n">
        <v>100</v>
      </c>
      <c r="AL396" s="15" t="n">
        <v>20</v>
      </c>
      <c r="AM396" s="15" t="n">
        <v>100</v>
      </c>
      <c r="AN396" s="15" t="n">
        <v>20</v>
      </c>
      <c r="AO396" s="15" t="n">
        <v>2</v>
      </c>
      <c r="AP396" s="15" t="n">
        <v>0</v>
      </c>
      <c r="AQ396" s="15" t="n">
        <v>0</v>
      </c>
      <c r="AR396" s="15" t="n">
        <v>0</v>
      </c>
      <c r="AS396" s="15" t="n">
        <v>0</v>
      </c>
      <c r="AT396" s="15" t="n">
        <v>2650</v>
      </c>
      <c r="AU396" s="15" t="n">
        <v>2173</v>
      </c>
      <c r="AV396" s="15" t="n">
        <v>0</v>
      </c>
      <c r="AW396" s="15" t="n">
        <v>4823</v>
      </c>
      <c r="AX396" s="15" t="n">
        <v>212</v>
      </c>
      <c r="AY396" s="15" t="n">
        <v>0</v>
      </c>
      <c r="AZ396" s="15" t="n">
        <v>0</v>
      </c>
      <c r="BA396" s="15" t="n">
        <v>212</v>
      </c>
      <c r="BB396" s="15" t="n">
        <v>0</v>
      </c>
      <c r="BC396" s="15" t="n">
        <v>0</v>
      </c>
      <c r="BD396" s="15" t="n">
        <v>0</v>
      </c>
      <c r="BE396" s="15" t="n">
        <v>265</v>
      </c>
      <c r="BF396" s="15" t="n">
        <v>265</v>
      </c>
      <c r="BG396" s="15" t="n">
        <v>9</v>
      </c>
      <c r="BH396" s="15" t="n">
        <v>40</v>
      </c>
      <c r="BI396" s="15" t="n">
        <v>55</v>
      </c>
      <c r="BJ396" s="15" t="n">
        <v>52</v>
      </c>
      <c r="BK396" s="15" t="n">
        <v>11</v>
      </c>
      <c r="BL396" s="15" t="n">
        <v>22</v>
      </c>
      <c r="BM396" s="15" t="n">
        <v>46</v>
      </c>
      <c r="BN396" s="15" t="n">
        <v>24</v>
      </c>
      <c r="BO396" s="15" t="n">
        <v>42</v>
      </c>
      <c r="BP396" s="15" t="n">
        <v>12</v>
      </c>
      <c r="BQ396" s="15" t="n">
        <v>43</v>
      </c>
      <c r="BR396" s="15" t="n">
        <v>46</v>
      </c>
      <c r="BS396" s="15" t="n">
        <v>18</v>
      </c>
      <c r="BT396" s="15" t="n">
        <v>411</v>
      </c>
      <c r="BU396" s="15" t="n">
        <v>48</v>
      </c>
      <c r="BV396" s="15" t="n">
        <v>169</v>
      </c>
      <c r="BW396" s="15" t="n">
        <v>163</v>
      </c>
      <c r="BX396" s="15" t="n">
        <v>43</v>
      </c>
      <c r="BY396" s="15" t="n">
        <v>48</v>
      </c>
      <c r="BZ396" s="15" t="n">
        <v>54</v>
      </c>
      <c r="CA396" s="15" t="n">
        <v>525</v>
      </c>
      <c r="CB396" s="15" t="n">
        <v>10</v>
      </c>
      <c r="CC396" s="15" t="n">
        <v>4</v>
      </c>
      <c r="CD396" s="15" t="n">
        <v>29</v>
      </c>
      <c r="CE396" s="15" t="n">
        <v>138</v>
      </c>
      <c r="CF396" s="15" t="n">
        <v>4.76</v>
      </c>
      <c r="CG396" s="15" t="n">
        <v>0</v>
      </c>
      <c r="CH396" s="15" t="n">
        <v>0</v>
      </c>
      <c r="CI396" s="15" t="n">
        <v>0</v>
      </c>
      <c r="CJ396" s="15" t="n">
        <v>0</v>
      </c>
      <c r="CK396" s="15" t="n">
        <v>0</v>
      </c>
      <c r="CL396" s="15" t="n">
        <v>7</v>
      </c>
      <c r="CM396" s="15" t="n">
        <v>0</v>
      </c>
      <c r="CN396" s="15" t="n">
        <v>37</v>
      </c>
      <c r="CO396" s="15" t="n">
        <v>0</v>
      </c>
      <c r="CP396" s="15" t="n">
        <v>10</v>
      </c>
      <c r="CQ396" s="15" t="n">
        <v>0</v>
      </c>
      <c r="CR396" s="15" t="n">
        <v>0</v>
      </c>
      <c r="CS396" s="15" t="n">
        <v>0</v>
      </c>
      <c r="CT396" s="15" t="n">
        <v>54</v>
      </c>
      <c r="CU396" s="15" t="n">
        <v>0</v>
      </c>
      <c r="CV396" s="15" t="n">
        <v>0</v>
      </c>
      <c r="CW396" s="15" t="n">
        <v>1</v>
      </c>
      <c r="CX396" s="15" t="n">
        <v>0</v>
      </c>
      <c r="CY396" s="15" t="n">
        <v>18</v>
      </c>
      <c r="CZ396" s="15" t="n">
        <v>0</v>
      </c>
      <c r="DA396" s="15" t="n">
        <v>0</v>
      </c>
      <c r="DB396" s="15" t="n">
        <v>0</v>
      </c>
      <c r="DC396" s="15" t="n">
        <v>19</v>
      </c>
      <c r="DD396" s="15" t="n">
        <v>0</v>
      </c>
      <c r="DE396" s="15" t="n">
        <v>0</v>
      </c>
      <c r="DF396" s="15" t="n">
        <v>138</v>
      </c>
      <c r="DG396" s="15" t="n">
        <v>29</v>
      </c>
      <c r="DH396" s="15" t="n">
        <v>0</v>
      </c>
      <c r="DI396" s="15" t="n">
        <v>0</v>
      </c>
      <c r="DJ396" s="15" t="n">
        <v>0</v>
      </c>
      <c r="DK396" s="15" t="n">
        <v>0</v>
      </c>
      <c r="DL396" s="15" t="n">
        <v>0</v>
      </c>
      <c r="DM396" s="15" t="n">
        <v>0</v>
      </c>
      <c r="DN396" s="15" t="n">
        <v>0</v>
      </c>
      <c r="DO396" s="15" t="n">
        <v>0</v>
      </c>
      <c r="DP396" s="15" t="n">
        <v>0</v>
      </c>
      <c r="DQ396" s="15" t="n">
        <v>0</v>
      </c>
      <c r="DR396" s="15" t="n">
        <v>0</v>
      </c>
      <c r="DS396" s="15" t="n">
        <v>167</v>
      </c>
      <c r="DT396" s="15" t="n">
        <v>240</v>
      </c>
      <c r="DU396" s="15" t="n">
        <v>60</v>
      </c>
      <c r="DV396" s="15" t="n">
        <v>0</v>
      </c>
      <c r="DW396" s="15" t="n">
        <v>0</v>
      </c>
      <c r="DX396" s="15" t="n">
        <v>0</v>
      </c>
      <c r="DY396" s="15" t="n">
        <v>251</v>
      </c>
      <c r="DZ396" s="15" t="n">
        <v>431</v>
      </c>
      <c r="EA396" s="15" t="n">
        <v>1257</v>
      </c>
      <c r="EB396" s="15" t="n">
        <v>1149</v>
      </c>
      <c r="EC396" s="15" t="n">
        <v>503</v>
      </c>
      <c r="ED396" s="15" t="n">
        <v>539</v>
      </c>
      <c r="EE396" s="15" t="n">
        <v>3052</v>
      </c>
      <c r="EF396" s="15" t="n">
        <v>0</v>
      </c>
      <c r="EG396" s="15" t="n">
        <v>0.33</v>
      </c>
      <c r="EH396" s="15" t="n">
        <v>0.6</v>
      </c>
      <c r="EI396" s="15" t="n">
        <v>3.1</v>
      </c>
      <c r="EJ396" s="15" t="n">
        <v>0.3</v>
      </c>
      <c r="EK396" s="15" t="n">
        <v>1</v>
      </c>
    </row>
    <row r="397">
      <c r="A397">
        <f>[1]ingredient!B397</f>
        <v/>
      </c>
      <c r="B397" s="11" t="inlineStr">
        <is>
          <t>https://www.naehrwertrechner.de/naehrwerte/G541111-1/Spitzpaprika+gr%C3%BCn+frisch/?menge=100</t>
        </is>
      </c>
      <c r="C397" s="7" t="n"/>
      <c r="D397" s="15" t="n">
        <v>20</v>
      </c>
      <c r="E397" s="15" t="n">
        <v>0.3</v>
      </c>
      <c r="F397" s="15" t="n">
        <v>1</v>
      </c>
      <c r="G397" s="15" t="n">
        <v>3</v>
      </c>
      <c r="H397" s="15" t="n">
        <v>4</v>
      </c>
      <c r="I397" s="15" t="n">
        <v>3</v>
      </c>
      <c r="J397" s="15" t="n">
        <v>0.02</v>
      </c>
      <c r="K397" s="15" t="n">
        <v>91</v>
      </c>
      <c r="L397" s="15" t="n">
        <v>180</v>
      </c>
      <c r="M397" s="15" t="n">
        <v>45</v>
      </c>
      <c r="N397" s="15" t="n">
        <v>0</v>
      </c>
      <c r="O397" s="15" t="n">
        <v>535</v>
      </c>
      <c r="P397" s="15" t="n">
        <v>52</v>
      </c>
      <c r="Q397" s="15" t="n">
        <v>43</v>
      </c>
      <c r="R397" s="15" t="n">
        <v>330</v>
      </c>
      <c r="S397" s="15" t="n">
        <v>530</v>
      </c>
      <c r="T397" s="15" t="n">
        <v>230</v>
      </c>
      <c r="U397" s="15" t="n">
        <v>270</v>
      </c>
      <c r="V397" s="15" t="n">
        <v>3</v>
      </c>
      <c r="W397" s="15" t="n">
        <v>18</v>
      </c>
      <c r="X397" s="15" t="n">
        <v>0</v>
      </c>
      <c r="Y397" s="15" t="n">
        <v>139000</v>
      </c>
      <c r="Z397" s="15" t="n">
        <v>0</v>
      </c>
      <c r="AA397" s="15" t="n">
        <v>2519</v>
      </c>
      <c r="AB397" s="15" t="n">
        <v>14</v>
      </c>
      <c r="AC397" s="15" t="n">
        <v>3</v>
      </c>
      <c r="AD397" s="15" t="n">
        <v>177</v>
      </c>
      <c r="AE397" s="15" t="n">
        <v>11</v>
      </c>
      <c r="AF397" s="15" t="n">
        <v>12</v>
      </c>
      <c r="AG397" s="15" t="n">
        <v>29</v>
      </c>
      <c r="AH397" s="15" t="n">
        <v>21</v>
      </c>
      <c r="AI397" s="15" t="n">
        <v>19</v>
      </c>
      <c r="AJ397" s="15" t="n">
        <v>750</v>
      </c>
      <c r="AK397" s="15" t="n">
        <v>180</v>
      </c>
      <c r="AL397" s="15" t="n">
        <v>71</v>
      </c>
      <c r="AM397" s="15" t="n">
        <v>100</v>
      </c>
      <c r="AN397" s="15" t="n">
        <v>20</v>
      </c>
      <c r="AO397" s="15" t="n">
        <v>2</v>
      </c>
      <c r="AP397" s="15" t="n">
        <v>0</v>
      </c>
      <c r="AQ397" s="15" t="n">
        <v>0</v>
      </c>
      <c r="AR397" s="15" t="n">
        <v>0</v>
      </c>
      <c r="AS397" s="15" t="n">
        <v>0</v>
      </c>
      <c r="AT397" s="15" t="n">
        <v>1455</v>
      </c>
      <c r="AU397" s="15" t="n">
        <v>1193</v>
      </c>
      <c r="AV397" s="15" t="n">
        <v>0</v>
      </c>
      <c r="AW397" s="15" t="n">
        <v>2648</v>
      </c>
      <c r="AX397" s="15" t="n">
        <v>116</v>
      </c>
      <c r="AY397" s="15" t="n">
        <v>0</v>
      </c>
      <c r="AZ397" s="15" t="n">
        <v>0</v>
      </c>
      <c r="BA397" s="15" t="n">
        <v>116</v>
      </c>
      <c r="BB397" s="15" t="n">
        <v>0</v>
      </c>
      <c r="BC397" s="15" t="n">
        <v>0</v>
      </c>
      <c r="BD397" s="15" t="n">
        <v>0</v>
      </c>
      <c r="BE397" s="15" t="n">
        <v>146</v>
      </c>
      <c r="BF397" s="15" t="n">
        <v>146</v>
      </c>
      <c r="BG397" s="15" t="n">
        <v>9</v>
      </c>
      <c r="BH397" s="15" t="n">
        <v>39</v>
      </c>
      <c r="BI397" s="15" t="n">
        <v>54</v>
      </c>
      <c r="BJ397" s="15" t="n">
        <v>50</v>
      </c>
      <c r="BK397" s="15" t="n">
        <v>11</v>
      </c>
      <c r="BL397" s="15" t="n">
        <v>21</v>
      </c>
      <c r="BM397" s="15" t="n">
        <v>44</v>
      </c>
      <c r="BN397" s="15" t="n">
        <v>23</v>
      </c>
      <c r="BO397" s="15" t="n">
        <v>41</v>
      </c>
      <c r="BP397" s="15" t="n">
        <v>12</v>
      </c>
      <c r="BQ397" s="15" t="n">
        <v>42</v>
      </c>
      <c r="BR397" s="15" t="n">
        <v>44</v>
      </c>
      <c r="BS397" s="15" t="n">
        <v>18</v>
      </c>
      <c r="BT397" s="15" t="n">
        <v>399</v>
      </c>
      <c r="BU397" s="15" t="n">
        <v>47</v>
      </c>
      <c r="BV397" s="15" t="n">
        <v>166</v>
      </c>
      <c r="BW397" s="15" t="n">
        <v>159</v>
      </c>
      <c r="BX397" s="15" t="n">
        <v>42</v>
      </c>
      <c r="BY397" s="15" t="n">
        <v>47</v>
      </c>
      <c r="BZ397" s="15" t="n">
        <v>53</v>
      </c>
      <c r="CA397" s="15" t="n">
        <v>514</v>
      </c>
      <c r="CB397" s="15" t="n">
        <v>10</v>
      </c>
      <c r="CC397" s="15" t="n">
        <v>4</v>
      </c>
      <c r="CD397" s="15" t="n">
        <v>29</v>
      </c>
      <c r="CE397" s="15" t="n">
        <v>138</v>
      </c>
      <c r="CF397" s="15" t="n">
        <v>4.76</v>
      </c>
      <c r="CG397" s="15" t="n">
        <v>0</v>
      </c>
      <c r="CH397" s="15" t="n">
        <v>0</v>
      </c>
      <c r="CI397" s="15" t="n">
        <v>0</v>
      </c>
      <c r="CJ397" s="15" t="n">
        <v>0</v>
      </c>
      <c r="CK397" s="15" t="n">
        <v>0</v>
      </c>
      <c r="CL397" s="15" t="n">
        <v>7</v>
      </c>
      <c r="CM397" s="15" t="n">
        <v>0</v>
      </c>
      <c r="CN397" s="15" t="n">
        <v>37</v>
      </c>
      <c r="CO397" s="15" t="n">
        <v>0</v>
      </c>
      <c r="CP397" s="15" t="n">
        <v>10</v>
      </c>
      <c r="CQ397" s="15" t="n">
        <v>0</v>
      </c>
      <c r="CR397" s="15" t="n">
        <v>0</v>
      </c>
      <c r="CS397" s="15" t="n">
        <v>0</v>
      </c>
      <c r="CT397" s="15" t="n">
        <v>54</v>
      </c>
      <c r="CU397" s="15" t="n">
        <v>0</v>
      </c>
      <c r="CV397" s="15" t="n">
        <v>0</v>
      </c>
      <c r="CW397" s="15" t="n">
        <v>1</v>
      </c>
      <c r="CX397" s="15" t="n">
        <v>0</v>
      </c>
      <c r="CY397" s="15" t="n">
        <v>18</v>
      </c>
      <c r="CZ397" s="15" t="n">
        <v>0</v>
      </c>
      <c r="DA397" s="15" t="n">
        <v>0</v>
      </c>
      <c r="DB397" s="15" t="n">
        <v>0</v>
      </c>
      <c r="DC397" s="15" t="n">
        <v>19</v>
      </c>
      <c r="DD397" s="15" t="n">
        <v>0</v>
      </c>
      <c r="DE397" s="15" t="n">
        <v>0</v>
      </c>
      <c r="DF397" s="15" t="n">
        <v>138</v>
      </c>
      <c r="DG397" s="15" t="n">
        <v>29</v>
      </c>
      <c r="DH397" s="15" t="n">
        <v>0</v>
      </c>
      <c r="DI397" s="15" t="n">
        <v>0</v>
      </c>
      <c r="DJ397" s="15" t="n">
        <v>0</v>
      </c>
      <c r="DK397" s="15" t="n">
        <v>0</v>
      </c>
      <c r="DL397" s="15" t="n">
        <v>0</v>
      </c>
      <c r="DM397" s="15" t="n">
        <v>0</v>
      </c>
      <c r="DN397" s="15" t="n">
        <v>0</v>
      </c>
      <c r="DO397" s="15" t="n">
        <v>0</v>
      </c>
      <c r="DP397" s="15" t="n">
        <v>0</v>
      </c>
      <c r="DQ397" s="15" t="n">
        <v>0</v>
      </c>
      <c r="DR397" s="15" t="n">
        <v>0</v>
      </c>
      <c r="DS397" s="15" t="n">
        <v>167</v>
      </c>
      <c r="DT397" s="15" t="n">
        <v>240</v>
      </c>
      <c r="DU397" s="15" t="n">
        <v>60</v>
      </c>
      <c r="DV397" s="15" t="n">
        <v>0</v>
      </c>
      <c r="DW397" s="15" t="n">
        <v>0</v>
      </c>
      <c r="DX397" s="15" t="n">
        <v>0</v>
      </c>
      <c r="DY397" s="15" t="n">
        <v>251</v>
      </c>
      <c r="DZ397" s="15" t="n">
        <v>431</v>
      </c>
      <c r="EA397" s="15" t="n">
        <v>1257</v>
      </c>
      <c r="EB397" s="15" t="n">
        <v>1149</v>
      </c>
      <c r="EC397" s="15" t="n">
        <v>503</v>
      </c>
      <c r="ED397" s="15" t="n">
        <v>539</v>
      </c>
      <c r="EE397" s="15" t="n">
        <v>3052</v>
      </c>
      <c r="EF397" s="15" t="n">
        <v>0</v>
      </c>
      <c r="EG397" s="15" t="n">
        <v>0.32</v>
      </c>
      <c r="EH397" s="15" t="n">
        <v>0.6</v>
      </c>
      <c r="EI397" s="15" t="n">
        <v>3.1</v>
      </c>
      <c r="EJ397" s="15" t="n">
        <v>0.3</v>
      </c>
      <c r="EK397" s="15" t="n">
        <v>0.9</v>
      </c>
    </row>
    <row r="398">
      <c r="A398">
        <f>[1]ingredient!B398</f>
        <v/>
      </c>
      <c r="B398" s="11" t="inlineStr">
        <is>
          <t>https://www.naehrwertrechner.de/naehrwerte/G542111-1/Spitzpaprika+gelb+frisch/?menge=100</t>
        </is>
      </c>
      <c r="C398" s="7" t="n"/>
      <c r="D398" s="15" t="n">
        <v>30</v>
      </c>
      <c r="E398" s="15" t="n">
        <v>0.3</v>
      </c>
      <c r="F398" s="15" t="n">
        <v>1</v>
      </c>
      <c r="G398" s="15" t="n">
        <v>5</v>
      </c>
      <c r="H398" s="15" t="n">
        <v>4</v>
      </c>
      <c r="I398" s="15" t="n">
        <v>5</v>
      </c>
      <c r="J398" s="15" t="n">
        <v>0.02</v>
      </c>
      <c r="K398" s="15" t="n">
        <v>89</v>
      </c>
      <c r="L398" s="15" t="n">
        <v>31</v>
      </c>
      <c r="M398" s="15" t="n">
        <v>11</v>
      </c>
      <c r="N398" s="15" t="n">
        <v>0</v>
      </c>
      <c r="O398" s="15" t="n">
        <v>135</v>
      </c>
      <c r="P398" s="15" t="n">
        <v>10</v>
      </c>
      <c r="Q398" s="15" t="n">
        <v>20</v>
      </c>
      <c r="R398" s="15" t="n">
        <v>700</v>
      </c>
      <c r="S398" s="15" t="n">
        <v>900</v>
      </c>
      <c r="T398" s="15" t="n">
        <v>80</v>
      </c>
      <c r="U398" s="15" t="n">
        <v>330</v>
      </c>
      <c r="V398" s="15" t="n">
        <v>3</v>
      </c>
      <c r="W398" s="15" t="n">
        <v>18</v>
      </c>
      <c r="X398" s="15" t="n">
        <v>0</v>
      </c>
      <c r="Y398" s="15" t="n">
        <v>130000</v>
      </c>
      <c r="Z398" s="15" t="n">
        <v>0</v>
      </c>
      <c r="AA398" s="15" t="n">
        <v>2519</v>
      </c>
      <c r="AB398" s="15" t="n">
        <v>5</v>
      </c>
      <c r="AC398" s="15" t="n">
        <v>4</v>
      </c>
      <c r="AD398" s="15" t="n">
        <v>220</v>
      </c>
      <c r="AE398" s="15" t="n">
        <v>8</v>
      </c>
      <c r="AF398" s="15" t="n">
        <v>16</v>
      </c>
      <c r="AG398" s="15" t="n">
        <v>26</v>
      </c>
      <c r="AH398" s="15" t="n">
        <v>19</v>
      </c>
      <c r="AI398" s="15" t="n">
        <v>15</v>
      </c>
      <c r="AJ398" s="15" t="n">
        <v>400</v>
      </c>
      <c r="AK398" s="15" t="n">
        <v>100</v>
      </c>
      <c r="AL398" s="15" t="n">
        <v>20</v>
      </c>
      <c r="AM398" s="15" t="n">
        <v>100</v>
      </c>
      <c r="AN398" s="15" t="n">
        <v>20</v>
      </c>
      <c r="AO398" s="15" t="n">
        <v>2</v>
      </c>
      <c r="AP398" s="15" t="n">
        <v>0</v>
      </c>
      <c r="AQ398" s="15" t="n">
        <v>0</v>
      </c>
      <c r="AR398" s="15" t="n">
        <v>0</v>
      </c>
      <c r="AS398" s="15" t="n">
        <v>0</v>
      </c>
      <c r="AT398" s="15" t="n">
        <v>2650</v>
      </c>
      <c r="AU398" s="15" t="n">
        <v>2173</v>
      </c>
      <c r="AV398" s="15" t="n">
        <v>0</v>
      </c>
      <c r="AW398" s="15" t="n">
        <v>4823</v>
      </c>
      <c r="AX398" s="15" t="n">
        <v>212</v>
      </c>
      <c r="AY398" s="15" t="n">
        <v>0</v>
      </c>
      <c r="AZ398" s="15" t="n">
        <v>0</v>
      </c>
      <c r="BA398" s="15" t="n">
        <v>212</v>
      </c>
      <c r="BB398" s="15" t="n">
        <v>0</v>
      </c>
      <c r="BC398" s="15" t="n">
        <v>0</v>
      </c>
      <c r="BD398" s="15" t="n">
        <v>0</v>
      </c>
      <c r="BE398" s="15" t="n">
        <v>265</v>
      </c>
      <c r="BF398" s="15" t="n">
        <v>265</v>
      </c>
      <c r="BG398" s="15" t="n">
        <v>9</v>
      </c>
      <c r="BH398" s="15" t="n">
        <v>40</v>
      </c>
      <c r="BI398" s="15" t="n">
        <v>55</v>
      </c>
      <c r="BJ398" s="15" t="n">
        <v>52</v>
      </c>
      <c r="BK398" s="15" t="n">
        <v>11</v>
      </c>
      <c r="BL398" s="15" t="n">
        <v>22</v>
      </c>
      <c r="BM398" s="15" t="n">
        <v>46</v>
      </c>
      <c r="BN398" s="15" t="n">
        <v>24</v>
      </c>
      <c r="BO398" s="15" t="n">
        <v>42</v>
      </c>
      <c r="BP398" s="15" t="n">
        <v>12</v>
      </c>
      <c r="BQ398" s="15" t="n">
        <v>43</v>
      </c>
      <c r="BR398" s="15" t="n">
        <v>46</v>
      </c>
      <c r="BS398" s="15" t="n">
        <v>18</v>
      </c>
      <c r="BT398" s="15" t="n">
        <v>411</v>
      </c>
      <c r="BU398" s="15" t="n">
        <v>48</v>
      </c>
      <c r="BV398" s="15" t="n">
        <v>169</v>
      </c>
      <c r="BW398" s="15" t="n">
        <v>163</v>
      </c>
      <c r="BX398" s="15" t="n">
        <v>43</v>
      </c>
      <c r="BY398" s="15" t="n">
        <v>48</v>
      </c>
      <c r="BZ398" s="15" t="n">
        <v>54</v>
      </c>
      <c r="CA398" s="15" t="n">
        <v>525</v>
      </c>
      <c r="CB398" s="15" t="n">
        <v>10</v>
      </c>
      <c r="CC398" s="15" t="n">
        <v>4</v>
      </c>
      <c r="CD398" s="15" t="n">
        <v>29</v>
      </c>
      <c r="CE398" s="15" t="n">
        <v>138</v>
      </c>
      <c r="CF398" s="15" t="n">
        <v>4.76</v>
      </c>
      <c r="CG398" s="15" t="n">
        <v>0</v>
      </c>
      <c r="CH398" s="15" t="n">
        <v>0</v>
      </c>
      <c r="CI398" s="15" t="n">
        <v>0</v>
      </c>
      <c r="CJ398" s="15" t="n">
        <v>0</v>
      </c>
      <c r="CK398" s="15" t="n">
        <v>0</v>
      </c>
      <c r="CL398" s="15" t="n">
        <v>7</v>
      </c>
      <c r="CM398" s="15" t="n">
        <v>0</v>
      </c>
      <c r="CN398" s="15" t="n">
        <v>37</v>
      </c>
      <c r="CO398" s="15" t="n">
        <v>0</v>
      </c>
      <c r="CP398" s="15" t="n">
        <v>10</v>
      </c>
      <c r="CQ398" s="15" t="n">
        <v>0</v>
      </c>
      <c r="CR398" s="15" t="n">
        <v>0</v>
      </c>
      <c r="CS398" s="15" t="n">
        <v>0</v>
      </c>
      <c r="CT398" s="15" t="n">
        <v>54</v>
      </c>
      <c r="CU398" s="15" t="n">
        <v>0</v>
      </c>
      <c r="CV398" s="15" t="n">
        <v>0</v>
      </c>
      <c r="CW398" s="15" t="n">
        <v>1</v>
      </c>
      <c r="CX398" s="15" t="n">
        <v>0</v>
      </c>
      <c r="CY398" s="15" t="n">
        <v>18</v>
      </c>
      <c r="CZ398" s="15" t="n">
        <v>0</v>
      </c>
      <c r="DA398" s="15" t="n">
        <v>0</v>
      </c>
      <c r="DB398" s="15" t="n">
        <v>0</v>
      </c>
      <c r="DC398" s="15" t="n">
        <v>19</v>
      </c>
      <c r="DD398" s="15" t="n">
        <v>0</v>
      </c>
      <c r="DE398" s="15" t="n">
        <v>0</v>
      </c>
      <c r="DF398" s="15" t="n">
        <v>138</v>
      </c>
      <c r="DG398" s="15" t="n">
        <v>29</v>
      </c>
      <c r="DH398" s="15" t="n">
        <v>0</v>
      </c>
      <c r="DI398" s="15" t="n">
        <v>0</v>
      </c>
      <c r="DJ398" s="15" t="n">
        <v>0</v>
      </c>
      <c r="DK398" s="15" t="n">
        <v>0</v>
      </c>
      <c r="DL398" s="15" t="n">
        <v>0</v>
      </c>
      <c r="DM398" s="15" t="n">
        <v>0</v>
      </c>
      <c r="DN398" s="15" t="n">
        <v>0</v>
      </c>
      <c r="DO398" s="15" t="n">
        <v>0</v>
      </c>
      <c r="DP398" s="15" t="n">
        <v>0</v>
      </c>
      <c r="DQ398" s="15" t="n">
        <v>0</v>
      </c>
      <c r="DR398" s="15" t="n">
        <v>0</v>
      </c>
      <c r="DS398" s="15" t="n">
        <v>167</v>
      </c>
      <c r="DT398" s="15" t="n">
        <v>240</v>
      </c>
      <c r="DU398" s="15" t="n">
        <v>60</v>
      </c>
      <c r="DV398" s="15" t="n">
        <v>0</v>
      </c>
      <c r="DW398" s="15" t="n">
        <v>0</v>
      </c>
      <c r="DX398" s="15" t="n">
        <v>0</v>
      </c>
      <c r="DY398" s="15" t="n">
        <v>251</v>
      </c>
      <c r="DZ398" s="15" t="n">
        <v>431</v>
      </c>
      <c r="EA398" s="15" t="n">
        <v>1257</v>
      </c>
      <c r="EB398" s="15" t="n">
        <v>1149</v>
      </c>
      <c r="EC398" s="15" t="n">
        <v>503</v>
      </c>
      <c r="ED398" s="15" t="n">
        <v>539</v>
      </c>
      <c r="EE398" s="15" t="n">
        <v>3052</v>
      </c>
      <c r="EF398" s="15" t="n">
        <v>0</v>
      </c>
      <c r="EG398" s="15" t="n">
        <v>0.33</v>
      </c>
      <c r="EH398" s="15" t="n">
        <v>0.6</v>
      </c>
      <c r="EI398" s="15" t="n">
        <v>3.1</v>
      </c>
      <c r="EJ398" s="15" t="n">
        <v>0.3</v>
      </c>
      <c r="EK398" s="15" t="n">
        <v>1</v>
      </c>
    </row>
    <row r="399">
      <c r="A399">
        <f>[1]ingredient!B399</f>
        <v/>
      </c>
      <c r="B399" s="11" t="inlineStr">
        <is>
          <t>https://www.naehrwertrechner.de/naehrwerte/G543111-1/Spitzpaprika+rot+frisch/?menge=100</t>
        </is>
      </c>
      <c r="C399" s="7" t="n"/>
      <c r="D399" s="15" t="n">
        <v>37</v>
      </c>
      <c r="E399" s="15" t="n">
        <v>1</v>
      </c>
      <c r="F399" s="15" t="n">
        <v>1</v>
      </c>
      <c r="G399" s="15" t="n">
        <v>6</v>
      </c>
      <c r="H399" s="15" t="n">
        <v>4</v>
      </c>
      <c r="I399" s="15" t="n">
        <v>6</v>
      </c>
      <c r="J399" s="15" t="n">
        <v>0.02</v>
      </c>
      <c r="K399" s="15" t="n">
        <v>87</v>
      </c>
      <c r="L399" s="15" t="n">
        <v>354</v>
      </c>
      <c r="M399" s="15" t="n">
        <v>177</v>
      </c>
      <c r="N399" s="15" t="n">
        <v>0</v>
      </c>
      <c r="O399" s="15" t="n">
        <v>2125</v>
      </c>
      <c r="P399" s="15" t="n">
        <v>40</v>
      </c>
      <c r="Q399" s="15" t="n">
        <v>120</v>
      </c>
      <c r="R399" s="15" t="n">
        <v>1600</v>
      </c>
      <c r="S399" s="15" t="n">
        <v>1817</v>
      </c>
      <c r="T399" s="15" t="n">
        <v>270</v>
      </c>
      <c r="U399" s="15" t="n">
        <v>450</v>
      </c>
      <c r="V399" s="15" t="n">
        <v>3</v>
      </c>
      <c r="W399" s="15" t="n">
        <v>50</v>
      </c>
      <c r="X399" s="15" t="n">
        <v>0</v>
      </c>
      <c r="Y399" s="15" t="n">
        <v>140000</v>
      </c>
      <c r="Z399" s="15" t="n">
        <v>0</v>
      </c>
      <c r="AA399" s="15" t="n">
        <v>2900</v>
      </c>
      <c r="AB399" s="15" t="n">
        <v>5</v>
      </c>
      <c r="AC399" s="15" t="n">
        <v>5</v>
      </c>
      <c r="AD399" s="15" t="n">
        <v>260</v>
      </c>
      <c r="AE399" s="15" t="n">
        <v>10</v>
      </c>
      <c r="AF399" s="15" t="n">
        <v>14</v>
      </c>
      <c r="AG399" s="15" t="n">
        <v>30</v>
      </c>
      <c r="AH399" s="15" t="n">
        <v>20</v>
      </c>
      <c r="AI399" s="15" t="n">
        <v>18</v>
      </c>
      <c r="AJ399" s="15" t="n">
        <v>550</v>
      </c>
      <c r="AK399" s="15" t="n">
        <v>260</v>
      </c>
      <c r="AL399" s="15" t="n">
        <v>80</v>
      </c>
      <c r="AM399" s="15" t="n">
        <v>100</v>
      </c>
      <c r="AN399" s="15" t="n">
        <v>20</v>
      </c>
      <c r="AO399" s="15" t="n">
        <v>1</v>
      </c>
      <c r="AP399" s="15" t="n">
        <v>0</v>
      </c>
      <c r="AQ399" s="15" t="n">
        <v>0</v>
      </c>
      <c r="AR399" s="15" t="n">
        <v>0</v>
      </c>
      <c r="AS399" s="15" t="n">
        <v>0</v>
      </c>
      <c r="AT399" s="15" t="n">
        <v>2336</v>
      </c>
      <c r="AU399" s="15" t="n">
        <v>3744</v>
      </c>
      <c r="AV399" s="15" t="n">
        <v>256</v>
      </c>
      <c r="AW399" s="15" t="n">
        <v>6336</v>
      </c>
      <c r="AX399" s="15" t="n">
        <v>64</v>
      </c>
      <c r="AY399" s="15" t="n">
        <v>0</v>
      </c>
      <c r="AZ399" s="15" t="n">
        <v>0</v>
      </c>
      <c r="BA399" s="15" t="n">
        <v>64</v>
      </c>
      <c r="BB399" s="15" t="n">
        <v>0</v>
      </c>
      <c r="BC399" s="15" t="n">
        <v>0</v>
      </c>
      <c r="BD399" s="15" t="n">
        <v>0</v>
      </c>
      <c r="BE399" s="15" t="n">
        <v>0</v>
      </c>
      <c r="BF399" s="15" t="n">
        <v>0</v>
      </c>
      <c r="BG399" s="15" t="n">
        <v>10</v>
      </c>
      <c r="BH399" s="15" t="n">
        <v>43</v>
      </c>
      <c r="BI399" s="15" t="n">
        <v>60</v>
      </c>
      <c r="BJ399" s="15" t="n">
        <v>56</v>
      </c>
      <c r="BK399" s="15" t="n">
        <v>12</v>
      </c>
      <c r="BL399" s="15" t="n">
        <v>23</v>
      </c>
      <c r="BM399" s="15" t="n">
        <v>49</v>
      </c>
      <c r="BN399" s="15" t="n">
        <v>26</v>
      </c>
      <c r="BO399" s="15" t="n">
        <v>46</v>
      </c>
      <c r="BP399" s="15" t="n">
        <v>13</v>
      </c>
      <c r="BQ399" s="15" t="n">
        <v>47</v>
      </c>
      <c r="BR399" s="15" t="n">
        <v>49</v>
      </c>
      <c r="BS399" s="15" t="n">
        <v>20</v>
      </c>
      <c r="BT399" s="15" t="n">
        <v>444</v>
      </c>
      <c r="BU399" s="15" t="n">
        <v>52</v>
      </c>
      <c r="BV399" s="15" t="n">
        <v>183</v>
      </c>
      <c r="BW399" s="15" t="n">
        <v>177</v>
      </c>
      <c r="BX399" s="15" t="n">
        <v>47</v>
      </c>
      <c r="BY399" s="15" t="n">
        <v>52</v>
      </c>
      <c r="BZ399" s="15" t="n">
        <v>59</v>
      </c>
      <c r="CA399" s="15" t="n">
        <v>570</v>
      </c>
      <c r="CB399" s="15" t="n">
        <v>15</v>
      </c>
      <c r="CC399" s="15" t="n">
        <v>6</v>
      </c>
      <c r="CD399" s="15" t="n">
        <v>48</v>
      </c>
      <c r="CE399" s="15" t="n">
        <v>229</v>
      </c>
      <c r="CF399" s="15" t="n">
        <v>4.77</v>
      </c>
      <c r="CG399" s="15" t="n">
        <v>0</v>
      </c>
      <c r="CH399" s="15" t="n">
        <v>0</v>
      </c>
      <c r="CI399" s="15" t="n">
        <v>0</v>
      </c>
      <c r="CJ399" s="15" t="n">
        <v>0</v>
      </c>
      <c r="CK399" s="15" t="n">
        <v>0</v>
      </c>
      <c r="CL399" s="15" t="n">
        <v>12</v>
      </c>
      <c r="CM399" s="15" t="n">
        <v>0</v>
      </c>
      <c r="CN399" s="15" t="n">
        <v>62</v>
      </c>
      <c r="CO399" s="15" t="n">
        <v>0</v>
      </c>
      <c r="CP399" s="15" t="n">
        <v>17</v>
      </c>
      <c r="CQ399" s="15" t="n">
        <v>0</v>
      </c>
      <c r="CR399" s="15" t="n">
        <v>0</v>
      </c>
      <c r="CS399" s="15" t="n">
        <v>0</v>
      </c>
      <c r="CT399" s="15" t="n">
        <v>91</v>
      </c>
      <c r="CU399" s="15" t="n">
        <v>0</v>
      </c>
      <c r="CV399" s="15" t="n">
        <v>0</v>
      </c>
      <c r="CW399" s="15" t="n">
        <v>2</v>
      </c>
      <c r="CX399" s="15" t="n">
        <v>0</v>
      </c>
      <c r="CY399" s="15" t="n">
        <v>30</v>
      </c>
      <c r="CZ399" s="15" t="n">
        <v>0</v>
      </c>
      <c r="DA399" s="15" t="n">
        <v>0</v>
      </c>
      <c r="DB399" s="15" t="n">
        <v>0</v>
      </c>
      <c r="DC399" s="15" t="n">
        <v>32</v>
      </c>
      <c r="DD399" s="15" t="n">
        <v>0</v>
      </c>
      <c r="DE399" s="15" t="n">
        <v>0</v>
      </c>
      <c r="DF399" s="15" t="n">
        <v>229</v>
      </c>
      <c r="DG399" s="15" t="n">
        <v>48</v>
      </c>
      <c r="DH399" s="15" t="n">
        <v>0</v>
      </c>
      <c r="DI399" s="15" t="n">
        <v>0</v>
      </c>
      <c r="DJ399" s="15" t="n">
        <v>0</v>
      </c>
      <c r="DK399" s="15" t="n">
        <v>0</v>
      </c>
      <c r="DL399" s="15" t="n">
        <v>0</v>
      </c>
      <c r="DM399" s="15" t="n">
        <v>0</v>
      </c>
      <c r="DN399" s="15" t="n">
        <v>0</v>
      </c>
      <c r="DO399" s="15" t="n">
        <v>0</v>
      </c>
      <c r="DP399" s="15" t="n">
        <v>0</v>
      </c>
      <c r="DQ399" s="15" t="n">
        <v>0</v>
      </c>
      <c r="DR399" s="15" t="n">
        <v>0</v>
      </c>
      <c r="DS399" s="15" t="n">
        <v>277</v>
      </c>
      <c r="DT399" s="15" t="n">
        <v>400</v>
      </c>
      <c r="DU399" s="15" t="n">
        <v>100</v>
      </c>
      <c r="DV399" s="15" t="n">
        <v>0</v>
      </c>
      <c r="DW399" s="15" t="n">
        <v>0</v>
      </c>
      <c r="DX399" s="15" t="n">
        <v>0</v>
      </c>
      <c r="DY399" s="15" t="n">
        <v>251</v>
      </c>
      <c r="DZ399" s="15" t="n">
        <v>431</v>
      </c>
      <c r="EA399" s="15" t="n">
        <v>1257</v>
      </c>
      <c r="EB399" s="15" t="n">
        <v>1149</v>
      </c>
      <c r="EC399" s="15" t="n">
        <v>503</v>
      </c>
      <c r="ED399" s="15" t="n">
        <v>539</v>
      </c>
      <c r="EE399" s="15" t="n">
        <v>3052</v>
      </c>
      <c r="EF399" s="15" t="n">
        <v>0</v>
      </c>
      <c r="EG399" s="15" t="n">
        <v>0.33</v>
      </c>
      <c r="EH399" s="15" t="n">
        <v>0.6</v>
      </c>
      <c r="EI399" s="15" t="n">
        <v>3.1</v>
      </c>
      <c r="EJ399" s="15" t="n">
        <v>0.5</v>
      </c>
      <c r="EK399" s="15" t="n">
        <v>1.1</v>
      </c>
    </row>
    <row r="400">
      <c r="A400">
        <f>[1]ingredient!B400</f>
        <v/>
      </c>
      <c r="B400" t="inlineStr">
        <is>
          <t>https://www.naehrwertrechner.de/naehrwerte/F305111/Stachelbeere+frisch/?menge=100</t>
        </is>
      </c>
      <c r="C400" s="7">
        <f>_xlfn.XLOOKUP(A400,[1]ingredient!$B$2:$B$521,[1]ingredient!$A$2:$A$521)</f>
        <v/>
      </c>
      <c r="D400" t="n">
        <v>44</v>
      </c>
      <c r="E400" t="n">
        <v>0.2</v>
      </c>
      <c r="F400" t="n">
        <v>1</v>
      </c>
      <c r="G400" t="n">
        <v>9</v>
      </c>
      <c r="H400" t="n">
        <v>3</v>
      </c>
      <c r="I400" t="n">
        <v>9</v>
      </c>
      <c r="J400" t="n">
        <v>0</v>
      </c>
      <c r="K400" t="n">
        <v>86</v>
      </c>
      <c r="L400" t="n">
        <v>35</v>
      </c>
      <c r="M400" t="n">
        <v>18</v>
      </c>
      <c r="N400" t="n">
        <v>0</v>
      </c>
      <c r="O400" t="n">
        <v>210</v>
      </c>
      <c r="P400" t="n">
        <v>20</v>
      </c>
      <c r="Q400" t="n">
        <v>20</v>
      </c>
      <c r="R400" t="n">
        <v>250</v>
      </c>
      <c r="S400" t="n">
        <v>383</v>
      </c>
      <c r="T400" t="n">
        <v>200</v>
      </c>
      <c r="U400" t="n">
        <v>15</v>
      </c>
      <c r="V400" t="n">
        <v>1</v>
      </c>
      <c r="W400" t="n">
        <v>8</v>
      </c>
      <c r="X400" t="n">
        <v>0</v>
      </c>
      <c r="Y400" t="n">
        <v>35000</v>
      </c>
      <c r="Z400" t="n">
        <v>0</v>
      </c>
      <c r="AA400" t="n">
        <v>621</v>
      </c>
      <c r="AB400" t="n">
        <v>10</v>
      </c>
      <c r="AC400" t="n">
        <v>2</v>
      </c>
      <c r="AD400" t="n">
        <v>200</v>
      </c>
      <c r="AE400" t="n">
        <v>30</v>
      </c>
      <c r="AF400" t="n">
        <v>15</v>
      </c>
      <c r="AG400" t="n">
        <v>30</v>
      </c>
      <c r="AH400" t="n">
        <v>16</v>
      </c>
      <c r="AI400" t="n">
        <v>1</v>
      </c>
      <c r="AJ400" t="n">
        <v>630</v>
      </c>
      <c r="AK400" t="n">
        <v>100</v>
      </c>
      <c r="AL400" t="n">
        <v>95</v>
      </c>
      <c r="AM400" t="n">
        <v>40</v>
      </c>
      <c r="AN400" t="n">
        <v>11</v>
      </c>
      <c r="AO400" t="n">
        <v>0.1</v>
      </c>
      <c r="AP400" t="n">
        <v>0</v>
      </c>
      <c r="AQ400" t="n">
        <v>0</v>
      </c>
      <c r="AR400" t="n">
        <v>0</v>
      </c>
      <c r="AS400" t="n">
        <v>0</v>
      </c>
      <c r="AT400" t="n">
        <v>3630</v>
      </c>
      <c r="AU400" t="n">
        <v>4011</v>
      </c>
      <c r="AV400" t="n">
        <v>0</v>
      </c>
      <c r="AW400" t="n">
        <v>7641</v>
      </c>
      <c r="AX400" t="n">
        <v>859</v>
      </c>
      <c r="AY400" t="n">
        <v>0</v>
      </c>
      <c r="AZ400" t="n">
        <v>0</v>
      </c>
      <c r="BA400" t="n">
        <v>859</v>
      </c>
      <c r="BB400" t="n">
        <v>0</v>
      </c>
      <c r="BC400" t="n">
        <v>0</v>
      </c>
      <c r="BD400" t="n">
        <v>0</v>
      </c>
      <c r="BE400" t="n">
        <v>0</v>
      </c>
      <c r="BF400" t="n">
        <v>0</v>
      </c>
      <c r="BG400">
        <f>IF($F400=0,"0",MIN(
BH400/(30*$F400),
BI400/(61*$F400),
BJ400/(48*$F400),
(BK400+BL400)/(23*$F400),
(BM400+BN400)/(41*$F400),
BO400/(25*$F400),
BP400/(6.6*$F400),
BQ400/(40*$F400),
BS400/(16*$F400)
)*100)</f>
        <v/>
      </c>
      <c r="BH400" t="n">
        <v>16</v>
      </c>
      <c r="BI400" t="n">
        <v>36</v>
      </c>
      <c r="BJ400" t="n">
        <v>20</v>
      </c>
      <c r="BK400" t="n">
        <v>12</v>
      </c>
      <c r="BL400" t="n">
        <v>8</v>
      </c>
      <c r="BM400" t="n">
        <v>24</v>
      </c>
      <c r="BN400" t="n">
        <v>16</v>
      </c>
      <c r="BO400" t="n">
        <v>24</v>
      </c>
      <c r="BP400" t="n">
        <v>8</v>
      </c>
      <c r="BQ400" t="n">
        <v>28</v>
      </c>
      <c r="BR400" t="n">
        <v>44</v>
      </c>
      <c r="BS400" t="n">
        <v>20</v>
      </c>
      <c r="BT400" t="n">
        <v>256</v>
      </c>
      <c r="BU400" t="n">
        <v>36</v>
      </c>
      <c r="BV400" t="n">
        <v>116</v>
      </c>
      <c r="BW400" t="n">
        <v>128</v>
      </c>
      <c r="BX400" t="n">
        <v>32</v>
      </c>
      <c r="BY400" t="n">
        <v>28</v>
      </c>
      <c r="BZ400" t="n">
        <v>32</v>
      </c>
      <c r="CA400" t="n">
        <v>372</v>
      </c>
      <c r="CB400" t="n">
        <v>15</v>
      </c>
      <c r="CC400" t="n">
        <v>6</v>
      </c>
      <c r="CD400" t="n">
        <v>18</v>
      </c>
      <c r="CE400" t="n">
        <v>105</v>
      </c>
      <c r="CF400" t="n">
        <v>5.83</v>
      </c>
      <c r="CG400" t="n">
        <v>0</v>
      </c>
      <c r="CH400" t="n">
        <v>0</v>
      </c>
      <c r="CI400" t="n">
        <v>0</v>
      </c>
      <c r="CJ400" t="n">
        <v>0</v>
      </c>
      <c r="CK400" t="n">
        <v>0</v>
      </c>
      <c r="CL400" t="n">
        <v>0</v>
      </c>
      <c r="CM400" t="n">
        <v>0</v>
      </c>
      <c r="CN400" t="n">
        <v>12</v>
      </c>
      <c r="CO400" t="n">
        <v>0</v>
      </c>
      <c r="CP400" t="n">
        <v>4</v>
      </c>
      <c r="CQ400" t="n">
        <v>0</v>
      </c>
      <c r="CR400" t="n">
        <v>0</v>
      </c>
      <c r="CS400" t="n">
        <v>0</v>
      </c>
      <c r="CT400" t="n">
        <v>16</v>
      </c>
      <c r="CU400" t="n">
        <v>0</v>
      </c>
      <c r="CV400" t="n">
        <v>0</v>
      </c>
      <c r="CW400" t="n">
        <v>2</v>
      </c>
      <c r="CX400" t="n">
        <v>0</v>
      </c>
      <c r="CY400" t="n">
        <v>19</v>
      </c>
      <c r="CZ400" t="n">
        <v>0</v>
      </c>
      <c r="DA400" t="n">
        <v>0</v>
      </c>
      <c r="DB400" t="n">
        <v>0</v>
      </c>
      <c r="DC400" t="n">
        <v>21</v>
      </c>
      <c r="DD400" t="n">
        <v>0</v>
      </c>
      <c r="DE400" t="n">
        <v>0</v>
      </c>
      <c r="DF400" t="n">
        <v>105</v>
      </c>
      <c r="DG400" t="n">
        <v>18</v>
      </c>
      <c r="DH400" t="n">
        <v>0</v>
      </c>
      <c r="DI400" t="n">
        <v>0</v>
      </c>
      <c r="DJ400" t="n">
        <v>0</v>
      </c>
      <c r="DK400" t="n">
        <v>0</v>
      </c>
      <c r="DL400" t="n">
        <v>0</v>
      </c>
      <c r="DM400" t="n">
        <v>0</v>
      </c>
      <c r="DN400" t="n">
        <v>0</v>
      </c>
      <c r="DO400" t="n">
        <v>0</v>
      </c>
      <c r="DP400" t="n">
        <v>0</v>
      </c>
      <c r="DQ400" t="n">
        <v>0</v>
      </c>
      <c r="DR400" t="n">
        <v>0</v>
      </c>
      <c r="DS400" t="n">
        <v>123</v>
      </c>
      <c r="DT400" t="n">
        <v>160</v>
      </c>
      <c r="DU400" t="n">
        <v>40</v>
      </c>
      <c r="DV400" t="n">
        <v>0</v>
      </c>
      <c r="DW400" t="n">
        <v>0</v>
      </c>
      <c r="DX400" t="n">
        <v>0</v>
      </c>
      <c r="DY400" t="n">
        <v>510</v>
      </c>
      <c r="DZ400" t="n">
        <v>383</v>
      </c>
      <c r="EA400" t="n">
        <v>609</v>
      </c>
      <c r="EB400" t="n">
        <v>1169</v>
      </c>
      <c r="EC400" t="n">
        <v>229</v>
      </c>
      <c r="ED400" t="n">
        <v>1044</v>
      </c>
      <c r="EE400" t="n">
        <v>1856</v>
      </c>
      <c r="EF400" t="n">
        <v>0</v>
      </c>
      <c r="EG400" t="n">
        <v>1</v>
      </c>
      <c r="EH400" t="n">
        <v>0.5</v>
      </c>
      <c r="EI400" t="n">
        <v>1.9</v>
      </c>
      <c r="EJ400" t="n">
        <v>0.2</v>
      </c>
      <c r="EK400" t="n">
        <v>0.7</v>
      </c>
    </row>
    <row r="401">
      <c r="A401">
        <f>[1]ingredient!B401</f>
        <v/>
      </c>
      <c r="B401" t="inlineStr">
        <is>
          <t>https://www.naehrwertrechner.de/naehrwerte/G220111/Bleichsellerie+frisch/?menge=100</t>
        </is>
      </c>
      <c r="C401" s="7">
        <f>_xlfn.XLOOKUP(A401,[1]ingredient!$B$2:$B$521,[1]ingredient!$A$2:$A$521)</f>
        <v/>
      </c>
      <c r="D401" t="n">
        <v>17</v>
      </c>
      <c r="E401" t="n">
        <v>0.2</v>
      </c>
      <c r="F401" t="n">
        <v>1</v>
      </c>
      <c r="G401" t="n">
        <v>2</v>
      </c>
      <c r="H401" t="n">
        <v>3</v>
      </c>
      <c r="I401" t="n">
        <v>2</v>
      </c>
      <c r="J401" t="n">
        <v>0.26</v>
      </c>
      <c r="K401" t="n">
        <v>92</v>
      </c>
      <c r="L401" t="n">
        <v>483</v>
      </c>
      <c r="M401" t="n">
        <v>242</v>
      </c>
      <c r="N401" t="n">
        <v>0</v>
      </c>
      <c r="O401" t="n">
        <v>2900</v>
      </c>
      <c r="P401" t="n">
        <v>48</v>
      </c>
      <c r="Q401" t="n">
        <v>76</v>
      </c>
      <c r="R401" t="n">
        <v>550</v>
      </c>
      <c r="S401" t="n">
        <v>850</v>
      </c>
      <c r="T401" t="n">
        <v>400</v>
      </c>
      <c r="U401" t="n">
        <v>90</v>
      </c>
      <c r="V401" t="n">
        <v>0.1</v>
      </c>
      <c r="W401" t="n">
        <v>7</v>
      </c>
      <c r="X401" t="n">
        <v>0</v>
      </c>
      <c r="Y401" t="n">
        <v>7000</v>
      </c>
      <c r="Z401" t="n">
        <v>0</v>
      </c>
      <c r="AA401" t="n">
        <v>200</v>
      </c>
      <c r="AB401" t="n">
        <v>19</v>
      </c>
      <c r="AC401" t="n">
        <v>132</v>
      </c>
      <c r="AD401" t="n">
        <v>344</v>
      </c>
      <c r="AE401" t="n">
        <v>80</v>
      </c>
      <c r="AF401" t="n">
        <v>12</v>
      </c>
      <c r="AG401" t="n">
        <v>48</v>
      </c>
      <c r="AH401" t="n">
        <v>15</v>
      </c>
      <c r="AI401" t="n">
        <v>130</v>
      </c>
      <c r="AJ401" t="n">
        <v>500</v>
      </c>
      <c r="AK401" t="n">
        <v>110</v>
      </c>
      <c r="AL401" t="n">
        <v>120</v>
      </c>
      <c r="AM401" t="n">
        <v>100</v>
      </c>
      <c r="AN401" t="n">
        <v>70</v>
      </c>
      <c r="AO401" t="n">
        <v>0.1</v>
      </c>
      <c r="AP401" t="n">
        <v>218</v>
      </c>
      <c r="AQ401" t="n">
        <v>0</v>
      </c>
      <c r="AR401" t="n">
        <v>0</v>
      </c>
      <c r="AS401" t="n">
        <v>218</v>
      </c>
      <c r="AT401" t="n">
        <v>611</v>
      </c>
      <c r="AU401" t="n">
        <v>610</v>
      </c>
      <c r="AV401" t="n">
        <v>0</v>
      </c>
      <c r="AW401" t="n">
        <v>1221</v>
      </c>
      <c r="AX401" t="n">
        <v>567</v>
      </c>
      <c r="AY401" t="n">
        <v>0</v>
      </c>
      <c r="AZ401" t="n">
        <v>0</v>
      </c>
      <c r="BA401" t="n">
        <v>567</v>
      </c>
      <c r="BB401" t="n">
        <v>0</v>
      </c>
      <c r="BC401" t="n">
        <v>0</v>
      </c>
      <c r="BD401" t="n">
        <v>0</v>
      </c>
      <c r="BE401" t="n">
        <v>174</v>
      </c>
      <c r="BF401" t="n">
        <v>174</v>
      </c>
      <c r="BG401">
        <f>IF($F401=0,"0",MIN(
BH401/(30*$F401),
BI401/(61*$F401),
BJ401/(48*$F401),
(BK401+BL401)/(23*$F401),
(BM401+BN401)/(41*$F401),
BO401/(25*$F401),
BP401/(6.6*$F401),
BQ401/(40*$F401),
BS401/(16*$F401)
)*100)</f>
        <v/>
      </c>
      <c r="BH401" t="n">
        <v>48</v>
      </c>
      <c r="BI401" t="n">
        <v>90</v>
      </c>
      <c r="BJ401" t="n">
        <v>72</v>
      </c>
      <c r="BK401" t="n">
        <v>18</v>
      </c>
      <c r="BL401" t="n">
        <v>12</v>
      </c>
      <c r="BM401" t="n">
        <v>60</v>
      </c>
      <c r="BN401" t="n">
        <v>36</v>
      </c>
      <c r="BO401" t="n">
        <v>54</v>
      </c>
      <c r="BP401" t="n">
        <v>18</v>
      </c>
      <c r="BQ401" t="n">
        <v>72</v>
      </c>
      <c r="BR401" t="n">
        <v>48</v>
      </c>
      <c r="BS401" t="n">
        <v>24</v>
      </c>
      <c r="BT401" t="n">
        <v>552</v>
      </c>
      <c r="BU401" t="n">
        <v>66</v>
      </c>
      <c r="BV401" t="n">
        <v>108</v>
      </c>
      <c r="BW401" t="n">
        <v>120</v>
      </c>
      <c r="BX401" t="n">
        <v>60</v>
      </c>
      <c r="BY401" t="n">
        <v>54</v>
      </c>
      <c r="BZ401" t="n">
        <v>48</v>
      </c>
      <c r="CA401" t="n">
        <v>456</v>
      </c>
      <c r="CB401" t="n">
        <v>70</v>
      </c>
      <c r="CC401" t="n">
        <v>29</v>
      </c>
      <c r="CD401" t="n">
        <v>82</v>
      </c>
      <c r="CE401" t="n">
        <v>27</v>
      </c>
      <c r="CF401" t="n">
        <v>0.33</v>
      </c>
      <c r="CG401" t="n">
        <v>0</v>
      </c>
      <c r="CH401" t="n">
        <v>0</v>
      </c>
      <c r="CI401" t="n">
        <v>0</v>
      </c>
      <c r="CJ401" t="n">
        <v>0</v>
      </c>
      <c r="CK401" t="n">
        <v>0</v>
      </c>
      <c r="CL401" t="n">
        <v>3</v>
      </c>
      <c r="CM401" t="n">
        <v>0</v>
      </c>
      <c r="CN401" t="n">
        <v>29</v>
      </c>
      <c r="CO401" t="n">
        <v>0</v>
      </c>
      <c r="CP401" t="n">
        <v>3</v>
      </c>
      <c r="CQ401" t="n">
        <v>0</v>
      </c>
      <c r="CR401" t="n">
        <v>0</v>
      </c>
      <c r="CS401" t="n">
        <v>0</v>
      </c>
      <c r="CT401" t="n">
        <v>35</v>
      </c>
      <c r="CU401" t="n">
        <v>0</v>
      </c>
      <c r="CV401" t="n">
        <v>0</v>
      </c>
      <c r="CW401" t="n">
        <v>4</v>
      </c>
      <c r="CX401" t="n">
        <v>0</v>
      </c>
      <c r="CY401" t="n">
        <v>12</v>
      </c>
      <c r="CZ401" t="n">
        <v>0</v>
      </c>
      <c r="DA401" t="n">
        <v>0</v>
      </c>
      <c r="DB401" t="n">
        <v>0</v>
      </c>
      <c r="DC401" t="n">
        <v>16</v>
      </c>
      <c r="DD401" t="n">
        <v>0</v>
      </c>
      <c r="DE401" t="n">
        <v>0</v>
      </c>
      <c r="DF401" t="n">
        <v>27</v>
      </c>
      <c r="DG401" t="n">
        <v>82</v>
      </c>
      <c r="DH401" t="n">
        <v>0</v>
      </c>
      <c r="DI401" t="n">
        <v>0</v>
      </c>
      <c r="DJ401" t="n">
        <v>0</v>
      </c>
      <c r="DK401" t="n">
        <v>0</v>
      </c>
      <c r="DL401" t="n">
        <v>0</v>
      </c>
      <c r="DM401" t="n">
        <v>0</v>
      </c>
      <c r="DN401" t="n">
        <v>0</v>
      </c>
      <c r="DO401" t="n">
        <v>0</v>
      </c>
      <c r="DP401" t="n">
        <v>0</v>
      </c>
      <c r="DQ401" t="n">
        <v>0</v>
      </c>
      <c r="DR401" t="n">
        <v>0</v>
      </c>
      <c r="DS401" t="n">
        <v>109</v>
      </c>
      <c r="DT401" t="n">
        <v>160</v>
      </c>
      <c r="DU401" t="n">
        <v>40</v>
      </c>
      <c r="DV401" t="n">
        <v>0</v>
      </c>
      <c r="DW401" t="n">
        <v>0</v>
      </c>
      <c r="DX401" t="n">
        <v>0</v>
      </c>
      <c r="DY401" t="n">
        <v>331</v>
      </c>
      <c r="DZ401" t="n">
        <v>357</v>
      </c>
      <c r="EA401" t="n">
        <v>611</v>
      </c>
      <c r="EB401" t="n">
        <v>1146</v>
      </c>
      <c r="EC401" t="n">
        <v>102</v>
      </c>
      <c r="ED401" t="n">
        <v>637</v>
      </c>
      <c r="EE401" t="n">
        <v>1910</v>
      </c>
      <c r="EF401" t="n">
        <v>0</v>
      </c>
      <c r="EG401" t="n">
        <v>1</v>
      </c>
      <c r="EH401" t="n">
        <v>1.1</v>
      </c>
      <c r="EI401" t="n">
        <v>1.9</v>
      </c>
      <c r="EJ401" t="n">
        <v>0.2</v>
      </c>
      <c r="EK401" t="n">
        <v>1.2</v>
      </c>
    </row>
    <row r="402">
      <c r="A402">
        <f>[1]ingredient!B402</f>
        <v/>
      </c>
      <c r="B402" t="inlineStr">
        <is>
          <t>https://www.naehrwertrechner.de/naehrwerte/K718111/Steinpilz+frisch/?menge=100</t>
        </is>
      </c>
      <c r="C402" s="7">
        <f>_xlfn.XLOOKUP(A402,[1]ingredient!$B$2:$B$521,[1]ingredient!$A$2:$A$521)</f>
        <v/>
      </c>
      <c r="D402" t="n">
        <v>20</v>
      </c>
      <c r="E402" t="n">
        <v>0.4</v>
      </c>
      <c r="F402" t="n">
        <v>4</v>
      </c>
      <c r="G402" t="n">
        <v>1</v>
      </c>
      <c r="H402" t="n">
        <v>7</v>
      </c>
      <c r="I402" t="n">
        <v>0.11</v>
      </c>
      <c r="J402" t="n">
        <v>0.04</v>
      </c>
      <c r="K402" t="n">
        <v>88</v>
      </c>
      <c r="L402" t="n">
        <v>1</v>
      </c>
      <c r="M402" t="n">
        <v>1</v>
      </c>
      <c r="N402" t="n">
        <v>0</v>
      </c>
      <c r="O402" t="n">
        <v>6</v>
      </c>
      <c r="P402" t="n">
        <v>33</v>
      </c>
      <c r="Q402" t="n">
        <v>370</v>
      </c>
      <c r="R402" t="n">
        <v>4900</v>
      </c>
      <c r="S402" t="n">
        <v>9350</v>
      </c>
      <c r="T402" t="n">
        <v>2700</v>
      </c>
      <c r="U402" t="n">
        <v>30</v>
      </c>
      <c r="V402" t="n">
        <v>15</v>
      </c>
      <c r="W402" t="n">
        <v>25</v>
      </c>
      <c r="X402" t="n">
        <v>0</v>
      </c>
      <c r="Y402" t="n">
        <v>2500</v>
      </c>
      <c r="Z402" t="n">
        <v>3</v>
      </c>
      <c r="AA402" t="n">
        <v>158</v>
      </c>
      <c r="AB402" t="n">
        <v>15</v>
      </c>
      <c r="AC402" t="n">
        <v>6</v>
      </c>
      <c r="AD402" t="n">
        <v>341</v>
      </c>
      <c r="AE402" t="n">
        <v>23</v>
      </c>
      <c r="AF402" t="n">
        <v>12</v>
      </c>
      <c r="AG402" t="n">
        <v>85</v>
      </c>
      <c r="AH402" t="n">
        <v>20</v>
      </c>
      <c r="AI402" t="n">
        <v>30</v>
      </c>
      <c r="AJ402" t="n">
        <v>1000</v>
      </c>
      <c r="AK402" t="n">
        <v>700</v>
      </c>
      <c r="AL402" t="n">
        <v>230</v>
      </c>
      <c r="AM402" t="n">
        <v>170</v>
      </c>
      <c r="AN402" t="n">
        <v>60</v>
      </c>
      <c r="AO402" t="n">
        <v>10</v>
      </c>
      <c r="AP402" t="n">
        <v>423</v>
      </c>
      <c r="AQ402" t="n">
        <v>0</v>
      </c>
      <c r="AR402" t="n">
        <v>0</v>
      </c>
      <c r="AS402" t="n">
        <v>423</v>
      </c>
      <c r="AT402" t="n">
        <v>64</v>
      </c>
      <c r="AU402" t="n">
        <v>27</v>
      </c>
      <c r="AV402" t="n">
        <v>0</v>
      </c>
      <c r="AW402" t="n">
        <v>91</v>
      </c>
      <c r="AX402" t="n">
        <v>16</v>
      </c>
      <c r="AY402" t="n">
        <v>0</v>
      </c>
      <c r="AZ402" t="n">
        <v>0</v>
      </c>
      <c r="BA402" t="n">
        <v>16</v>
      </c>
      <c r="BB402" t="n">
        <v>0</v>
      </c>
      <c r="BC402" t="n">
        <v>0</v>
      </c>
      <c r="BD402" t="n">
        <v>0</v>
      </c>
      <c r="BE402" t="n">
        <v>0</v>
      </c>
      <c r="BF402" t="n">
        <v>0</v>
      </c>
      <c r="BG402">
        <f>IF($F402=0,"0",MIN(
BH402/(30*$F402),
BI402/(61*$F402),
BJ402/(48*$F402),
(BK402+BL402)/(23*$F402),
(BM402+BN402)/(41*$F402),
BO402/(25*$F402),
BP402/(6.6*$F402),
BQ402/(40*$F402),
BS402/(16*$F402)
)*100)</f>
        <v/>
      </c>
      <c r="BH402" t="n">
        <v>36</v>
      </c>
      <c r="BI402" t="n">
        <v>155</v>
      </c>
      <c r="BJ402" t="n">
        <v>245</v>
      </c>
      <c r="BK402" t="n">
        <v>72</v>
      </c>
      <c r="BL402" t="n">
        <v>367</v>
      </c>
      <c r="BM402" t="n">
        <v>130</v>
      </c>
      <c r="BN402" t="n">
        <v>155</v>
      </c>
      <c r="BO402" t="n">
        <v>141</v>
      </c>
      <c r="BP402" t="n">
        <v>267</v>
      </c>
      <c r="BQ402" t="n">
        <v>101</v>
      </c>
      <c r="BR402" t="n">
        <v>331</v>
      </c>
      <c r="BS402" t="n">
        <v>281</v>
      </c>
      <c r="BT402" t="n">
        <v>2281</v>
      </c>
      <c r="BU402" t="n">
        <v>180</v>
      </c>
      <c r="BV402" t="n">
        <v>166</v>
      </c>
      <c r="BW402" t="n">
        <v>249</v>
      </c>
      <c r="BX402" t="n">
        <v>97</v>
      </c>
      <c r="BY402" t="n">
        <v>198</v>
      </c>
      <c r="BZ402" t="n">
        <v>108</v>
      </c>
      <c r="CA402" t="n">
        <v>998</v>
      </c>
      <c r="CB402" t="n">
        <v>80</v>
      </c>
      <c r="CC402" t="n">
        <v>33</v>
      </c>
      <c r="CD402" t="n">
        <v>178</v>
      </c>
      <c r="CE402" t="n">
        <v>42</v>
      </c>
      <c r="CF402" t="n">
        <v>0.24</v>
      </c>
      <c r="CG402" t="n">
        <v>0</v>
      </c>
      <c r="CH402" t="n">
        <v>0</v>
      </c>
      <c r="CI402" t="n">
        <v>0</v>
      </c>
      <c r="CJ402" t="n">
        <v>0</v>
      </c>
      <c r="CK402" t="n">
        <v>0</v>
      </c>
      <c r="CL402" t="n">
        <v>1</v>
      </c>
      <c r="CM402" t="n">
        <v>0</v>
      </c>
      <c r="CN402" t="n">
        <v>88</v>
      </c>
      <c r="CO402" t="n">
        <v>0</v>
      </c>
      <c r="CP402" t="n">
        <v>6</v>
      </c>
      <c r="CQ402" t="n">
        <v>0</v>
      </c>
      <c r="CR402" t="n">
        <v>0</v>
      </c>
      <c r="CS402" t="n">
        <v>0</v>
      </c>
      <c r="CT402" t="n">
        <v>95</v>
      </c>
      <c r="CU402" t="n">
        <v>0</v>
      </c>
      <c r="CV402" t="n">
        <v>0</v>
      </c>
      <c r="CW402" t="n">
        <v>1</v>
      </c>
      <c r="CX402" t="n">
        <v>0</v>
      </c>
      <c r="CY402" t="n">
        <v>4</v>
      </c>
      <c r="CZ402" t="n">
        <v>0</v>
      </c>
      <c r="DA402" t="n">
        <v>0</v>
      </c>
      <c r="DB402" t="n">
        <v>0</v>
      </c>
      <c r="DC402" t="n">
        <v>5</v>
      </c>
      <c r="DD402" t="n">
        <v>0</v>
      </c>
      <c r="DE402" t="n">
        <v>0</v>
      </c>
      <c r="DF402" t="n">
        <v>42</v>
      </c>
      <c r="DG402" t="n">
        <v>178</v>
      </c>
      <c r="DH402" t="n">
        <v>0</v>
      </c>
      <c r="DI402" t="n">
        <v>0</v>
      </c>
      <c r="DJ402" t="n">
        <v>0</v>
      </c>
      <c r="DK402" t="n">
        <v>0</v>
      </c>
      <c r="DL402" t="n">
        <v>0</v>
      </c>
      <c r="DM402" t="n">
        <v>0</v>
      </c>
      <c r="DN402" t="n">
        <v>0</v>
      </c>
      <c r="DO402" t="n">
        <v>0</v>
      </c>
      <c r="DP402" t="n">
        <v>0</v>
      </c>
      <c r="DQ402" t="n">
        <v>0</v>
      </c>
      <c r="DR402" t="n">
        <v>0</v>
      </c>
      <c r="DS402" t="n">
        <v>220</v>
      </c>
      <c r="DT402" t="n">
        <v>320</v>
      </c>
      <c r="DU402" t="n">
        <v>80</v>
      </c>
      <c r="DV402" t="n">
        <v>0</v>
      </c>
      <c r="DW402" t="n">
        <v>0</v>
      </c>
      <c r="DX402" t="n">
        <v>0</v>
      </c>
      <c r="DY402" t="n">
        <v>0</v>
      </c>
      <c r="DZ402" t="n">
        <v>2825</v>
      </c>
      <c r="EA402" t="n">
        <v>69</v>
      </c>
      <c r="EB402" t="n">
        <v>3927</v>
      </c>
      <c r="EC402" t="n">
        <v>69</v>
      </c>
      <c r="ED402" t="n">
        <v>1309</v>
      </c>
      <c r="EE402" t="n">
        <v>5581</v>
      </c>
      <c r="EF402" t="n">
        <v>0</v>
      </c>
      <c r="EG402" t="n">
        <v>0.06</v>
      </c>
      <c r="EH402" t="n">
        <v>0.8</v>
      </c>
      <c r="EI402" t="n">
        <v>5.6</v>
      </c>
      <c r="EJ402" t="n">
        <v>0.4</v>
      </c>
      <c r="EK402" t="n">
        <v>3.5</v>
      </c>
    </row>
    <row r="403">
      <c r="A403">
        <f>[1]ingredient!B403</f>
        <v/>
      </c>
      <c r="C403" s="7">
        <f>_xlfn.XLOOKUP(A403,[1]ingredient!$B$2:$B$521,[1]ingredient!$A$2:$A$521)</f>
        <v/>
      </c>
      <c r="D403" t="n">
        <v>270</v>
      </c>
      <c r="E403" t="n">
        <v>8.4</v>
      </c>
      <c r="F403" t="n">
        <v>4.4</v>
      </c>
      <c r="G403" t="n">
        <v>50</v>
      </c>
      <c r="H403" t="n">
        <v>54</v>
      </c>
      <c r="I403" t="n">
        <v>34</v>
      </c>
      <c r="BG403">
        <f>IF($F403=0,"0",MIN(
BH403/(30*$F403),
BI403/(61*$F403),
BJ403/(48*$F403),
(BK403+BL403)/(23*$F403),
(BM403+BN403)/(41*$F403),
BO403/(25*$F403),
BP403/(6.6*$F403),
BQ403/(40*$F403),
BS403/(16*$F403)
)*100)</f>
        <v/>
      </c>
      <c r="CT403" t="n">
        <v>2.3</v>
      </c>
    </row>
    <row r="404">
      <c r="A404">
        <f>[1]ingredient!B404</f>
        <v/>
      </c>
      <c r="B404" t="inlineStr">
        <is>
          <t>https://www.naehrwertrechner.de/naehrwerte/K420000/Batate+%28S%C3%BC%C3%9Fkartoffel%29/?menge=100</t>
        </is>
      </c>
      <c r="C404" s="7">
        <f>_xlfn.XLOOKUP(A404,[1]ingredient!$B$2:$B$521,[1]ingredient!$A$2:$A$521)</f>
        <v/>
      </c>
      <c r="D404" t="n">
        <v>111</v>
      </c>
      <c r="E404" t="n">
        <v>1</v>
      </c>
      <c r="F404" t="n">
        <v>2</v>
      </c>
      <c r="G404" t="n">
        <v>24</v>
      </c>
      <c r="H404" t="n">
        <v>3</v>
      </c>
      <c r="I404" t="n">
        <v>5</v>
      </c>
      <c r="J404" t="n">
        <v>0.05</v>
      </c>
      <c r="K404" t="n">
        <v>69</v>
      </c>
      <c r="L404" t="n">
        <v>1314</v>
      </c>
      <c r="M404" t="n">
        <v>657</v>
      </c>
      <c r="N404" t="n">
        <v>0</v>
      </c>
      <c r="O404" t="n">
        <v>7887</v>
      </c>
      <c r="P404" t="n">
        <v>64</v>
      </c>
      <c r="Q404" t="n">
        <v>50</v>
      </c>
      <c r="R404" t="n">
        <v>600</v>
      </c>
      <c r="S404" t="n">
        <v>1100</v>
      </c>
      <c r="T404" t="n">
        <v>830</v>
      </c>
      <c r="U404" t="n">
        <v>270</v>
      </c>
      <c r="V404" t="n">
        <v>4</v>
      </c>
      <c r="W404" t="n">
        <v>12</v>
      </c>
      <c r="X404" t="n">
        <v>0</v>
      </c>
      <c r="Y404" t="n">
        <v>30000</v>
      </c>
      <c r="Z404" t="n">
        <v>0</v>
      </c>
      <c r="AA404" t="n">
        <v>4560</v>
      </c>
      <c r="AB404" t="n">
        <v>0</v>
      </c>
      <c r="AC404" t="n">
        <v>4</v>
      </c>
      <c r="AD404" t="n">
        <v>360</v>
      </c>
      <c r="AE404" t="n">
        <v>22</v>
      </c>
      <c r="AF404" t="n">
        <v>18</v>
      </c>
      <c r="AG404" t="n">
        <v>39</v>
      </c>
      <c r="AH404" t="n">
        <v>16</v>
      </c>
      <c r="AI404" t="n">
        <v>46</v>
      </c>
      <c r="AJ404" t="n">
        <v>664</v>
      </c>
      <c r="AK404" t="n">
        <v>230</v>
      </c>
      <c r="AL404" t="n">
        <v>130</v>
      </c>
      <c r="AM404" t="n">
        <v>240</v>
      </c>
      <c r="AN404" t="n">
        <v>17</v>
      </c>
      <c r="AO404" t="n">
        <v>2</v>
      </c>
      <c r="AP404" t="n">
        <v>0</v>
      </c>
      <c r="AQ404" t="n">
        <v>0</v>
      </c>
      <c r="AR404" t="n">
        <v>0</v>
      </c>
      <c r="AS404" t="n">
        <v>0</v>
      </c>
      <c r="AT404" t="n">
        <v>786</v>
      </c>
      <c r="AU404" t="n">
        <v>655</v>
      </c>
      <c r="AV404" t="n">
        <v>0</v>
      </c>
      <c r="AW404" t="n">
        <v>1441</v>
      </c>
      <c r="AX404" t="n">
        <v>3176</v>
      </c>
      <c r="AY404" t="n">
        <v>0</v>
      </c>
      <c r="AZ404" t="n">
        <v>0</v>
      </c>
      <c r="BA404" t="n">
        <v>3176</v>
      </c>
      <c r="BB404" t="n">
        <v>0</v>
      </c>
      <c r="BC404" t="n">
        <v>0</v>
      </c>
      <c r="BD404" t="n">
        <v>0</v>
      </c>
      <c r="BE404" t="n">
        <v>19463</v>
      </c>
      <c r="BF404" t="n">
        <v>19463</v>
      </c>
      <c r="BG404">
        <f>IF($F404=0,"0",MIN(
BH404/(30*$F404),
BI404/(61*$F404),
BJ404/(48*$F404),
(BK404+BL404)/(23*$F404),
(BM404+BN404)/(41*$F404),
BO404/(25*$F404),
BP404/(6.6*$F404),
BQ404/(40*$F404),
BS404/(16*$F404)
)*100)</f>
        <v/>
      </c>
      <c r="BH404" t="n">
        <v>72</v>
      </c>
      <c r="BI404" t="n">
        <v>89</v>
      </c>
      <c r="BJ404" t="n">
        <v>70</v>
      </c>
      <c r="BK404" t="n">
        <v>30</v>
      </c>
      <c r="BL404" t="n">
        <v>26</v>
      </c>
      <c r="BM404" t="n">
        <v>84</v>
      </c>
      <c r="BN404" t="n">
        <v>75</v>
      </c>
      <c r="BO404" t="n">
        <v>72</v>
      </c>
      <c r="BP404" t="n">
        <v>30</v>
      </c>
      <c r="BQ404" t="n">
        <v>116</v>
      </c>
      <c r="BR404" t="n">
        <v>69</v>
      </c>
      <c r="BS404" t="n">
        <v>31</v>
      </c>
      <c r="BT404" t="n">
        <v>764</v>
      </c>
      <c r="BU404" t="n">
        <v>108</v>
      </c>
      <c r="BV404" t="n">
        <v>302</v>
      </c>
      <c r="BW404" t="n">
        <v>194</v>
      </c>
      <c r="BX404" t="n">
        <v>86</v>
      </c>
      <c r="BY404" t="n">
        <v>82</v>
      </c>
      <c r="BZ404" t="n">
        <v>96</v>
      </c>
      <c r="CA404" t="n">
        <v>868</v>
      </c>
      <c r="CB404" t="n">
        <v>14</v>
      </c>
      <c r="CC404" t="n">
        <v>6</v>
      </c>
      <c r="CD404" t="n">
        <v>36</v>
      </c>
      <c r="CE404" t="n">
        <v>170</v>
      </c>
      <c r="CF404" t="n">
        <v>4.72</v>
      </c>
      <c r="CG404" t="n">
        <v>0</v>
      </c>
      <c r="CH404" t="n">
        <v>0</v>
      </c>
      <c r="CI404" t="n">
        <v>0</v>
      </c>
      <c r="CJ404" t="n">
        <v>7</v>
      </c>
      <c r="CK404" t="n">
        <v>26</v>
      </c>
      <c r="CL404" t="n">
        <v>3</v>
      </c>
      <c r="CM404" t="n">
        <v>0</v>
      </c>
      <c r="CN404" t="n">
        <v>169</v>
      </c>
      <c r="CO404" t="n">
        <v>7</v>
      </c>
      <c r="CP404" t="n">
        <v>17</v>
      </c>
      <c r="CQ404" t="n">
        <v>6</v>
      </c>
      <c r="CR404" t="n">
        <v>0</v>
      </c>
      <c r="CS404" t="n">
        <v>0</v>
      </c>
      <c r="CT404" t="n">
        <v>235</v>
      </c>
      <c r="CU404" t="n">
        <v>0</v>
      </c>
      <c r="CV404" t="n">
        <v>0</v>
      </c>
      <c r="CW404" t="n">
        <v>7</v>
      </c>
      <c r="CX404" t="n">
        <v>0</v>
      </c>
      <c r="CY404" t="n">
        <v>32</v>
      </c>
      <c r="CZ404" t="n">
        <v>0</v>
      </c>
      <c r="DA404" t="n">
        <v>0</v>
      </c>
      <c r="DB404" t="n">
        <v>0</v>
      </c>
      <c r="DC404" t="n">
        <v>39</v>
      </c>
      <c r="DD404" t="n">
        <v>0</v>
      </c>
      <c r="DE404" t="n">
        <v>0</v>
      </c>
      <c r="DF404" t="n">
        <v>170</v>
      </c>
      <c r="DG404" t="n">
        <v>36</v>
      </c>
      <c r="DH404" t="n">
        <v>0</v>
      </c>
      <c r="DI404" t="n">
        <v>0</v>
      </c>
      <c r="DJ404" t="n">
        <v>0</v>
      </c>
      <c r="DK404" t="n">
        <v>0</v>
      </c>
      <c r="DL404" t="n">
        <v>0</v>
      </c>
      <c r="DM404" t="n">
        <v>0</v>
      </c>
      <c r="DN404" t="n">
        <v>0</v>
      </c>
      <c r="DO404" t="n">
        <v>0</v>
      </c>
      <c r="DP404" t="n">
        <v>0</v>
      </c>
      <c r="DQ404" t="n">
        <v>0</v>
      </c>
      <c r="DR404" t="n">
        <v>0</v>
      </c>
      <c r="DS404" t="n">
        <v>206</v>
      </c>
      <c r="DT404" t="n">
        <v>473</v>
      </c>
      <c r="DU404" t="n">
        <v>120</v>
      </c>
      <c r="DV404" t="n">
        <v>0</v>
      </c>
      <c r="DW404" t="n">
        <v>0</v>
      </c>
      <c r="DX404" t="n">
        <v>7</v>
      </c>
      <c r="DY404" t="n">
        <v>443</v>
      </c>
      <c r="DZ404" t="n">
        <v>1034</v>
      </c>
      <c r="EA404" t="n">
        <v>443</v>
      </c>
      <c r="EB404" t="n">
        <v>975</v>
      </c>
      <c r="EC404" t="n">
        <v>245</v>
      </c>
      <c r="ED404" t="n">
        <v>1630</v>
      </c>
      <c r="EE404" t="n">
        <v>1510</v>
      </c>
      <c r="EF404" t="n">
        <v>0</v>
      </c>
      <c r="EG404" t="n">
        <v>0.49</v>
      </c>
      <c r="EH404" t="n">
        <v>1.1</v>
      </c>
      <c r="EI404" t="n">
        <v>1.5</v>
      </c>
      <c r="EJ404" t="n">
        <v>0.6</v>
      </c>
      <c r="EK404" t="n">
        <v>1.7</v>
      </c>
    </row>
    <row r="405">
      <c r="A405">
        <f>[1]ingredient!B405</f>
        <v/>
      </c>
      <c r="B405" t="inlineStr">
        <is>
          <t>https://www.naehrwertrechner.de/naehrwerte/K420000/Batate+%28S%C3%BC%C3%9Fkartoffel%29/?menge=100</t>
        </is>
      </c>
      <c r="C405" s="7">
        <f>_xlfn.XLOOKUP(A405,[1]ingredient!$B$2:$B$521,[1]ingredient!$A$2:$A$521)</f>
        <v/>
      </c>
      <c r="D405" t="n">
        <v>111</v>
      </c>
      <c r="E405" t="n">
        <v>1</v>
      </c>
      <c r="F405" t="n">
        <v>2</v>
      </c>
      <c r="G405" t="n">
        <v>24</v>
      </c>
      <c r="H405" t="n">
        <v>3</v>
      </c>
      <c r="I405" t="n">
        <v>5</v>
      </c>
      <c r="J405" t="n">
        <v>0.05</v>
      </c>
      <c r="K405" t="n">
        <v>69</v>
      </c>
      <c r="L405" t="n">
        <v>1314</v>
      </c>
      <c r="M405" t="n">
        <v>657</v>
      </c>
      <c r="N405" t="n">
        <v>0</v>
      </c>
      <c r="O405" t="n">
        <v>7887</v>
      </c>
      <c r="P405" t="n">
        <v>64</v>
      </c>
      <c r="Q405" t="n">
        <v>50</v>
      </c>
      <c r="R405" t="n">
        <v>600</v>
      </c>
      <c r="S405" t="n">
        <v>1100</v>
      </c>
      <c r="T405" t="n">
        <v>830</v>
      </c>
      <c r="U405" t="n">
        <v>270</v>
      </c>
      <c r="V405" t="n">
        <v>4</v>
      </c>
      <c r="W405" t="n">
        <v>12</v>
      </c>
      <c r="X405" t="n">
        <v>0</v>
      </c>
      <c r="Y405" t="n">
        <v>30000</v>
      </c>
      <c r="Z405" t="n">
        <v>0</v>
      </c>
      <c r="AA405" t="n">
        <v>4560</v>
      </c>
      <c r="AB405" t="n">
        <v>0</v>
      </c>
      <c r="AC405" t="n">
        <v>4</v>
      </c>
      <c r="AD405" t="n">
        <v>360</v>
      </c>
      <c r="AE405" t="n">
        <v>22</v>
      </c>
      <c r="AF405" t="n">
        <v>18</v>
      </c>
      <c r="AG405" t="n">
        <v>39</v>
      </c>
      <c r="AH405" t="n">
        <v>16</v>
      </c>
      <c r="AI405" t="n">
        <v>46</v>
      </c>
      <c r="AJ405" t="n">
        <v>664</v>
      </c>
      <c r="AK405" t="n">
        <v>230</v>
      </c>
      <c r="AL405" t="n">
        <v>130</v>
      </c>
      <c r="AM405" t="n">
        <v>240</v>
      </c>
      <c r="AN405" t="n">
        <v>17</v>
      </c>
      <c r="AO405" t="n">
        <v>2</v>
      </c>
      <c r="AP405" t="n">
        <v>0</v>
      </c>
      <c r="AQ405" t="n">
        <v>0</v>
      </c>
      <c r="AR405" t="n">
        <v>0</v>
      </c>
      <c r="AS405" t="n">
        <v>0</v>
      </c>
      <c r="AT405" t="n">
        <v>786</v>
      </c>
      <c r="AU405" t="n">
        <v>655</v>
      </c>
      <c r="AV405" t="n">
        <v>0</v>
      </c>
      <c r="AW405" t="n">
        <v>1441</v>
      </c>
      <c r="AX405" t="n">
        <v>3176</v>
      </c>
      <c r="AY405" t="n">
        <v>0</v>
      </c>
      <c r="AZ405" t="n">
        <v>0</v>
      </c>
      <c r="BA405" t="n">
        <v>3176</v>
      </c>
      <c r="BB405" t="n">
        <v>0</v>
      </c>
      <c r="BC405" t="n">
        <v>0</v>
      </c>
      <c r="BD405" t="n">
        <v>0</v>
      </c>
      <c r="BE405" t="n">
        <v>19463</v>
      </c>
      <c r="BF405" t="n">
        <v>19463</v>
      </c>
      <c r="BG405">
        <f>IF($F405=0,"0",MIN(
BH405/(30*$F405),
BI405/(61*$F405),
BJ405/(48*$F405),
(BK405+BL405)/(23*$F405),
(BM405+BN405)/(41*$F405),
BO405/(25*$F405),
BP405/(6.6*$F405),
BQ405/(40*$F405),
BS405/(16*$F405)
)*100)</f>
        <v/>
      </c>
      <c r="BH405" t="n">
        <v>72</v>
      </c>
      <c r="BI405" t="n">
        <v>89</v>
      </c>
      <c r="BJ405" t="n">
        <v>70</v>
      </c>
      <c r="BK405" t="n">
        <v>30</v>
      </c>
      <c r="BL405" t="n">
        <v>26</v>
      </c>
      <c r="BM405" t="n">
        <v>84</v>
      </c>
      <c r="BN405" t="n">
        <v>75</v>
      </c>
      <c r="BO405" t="n">
        <v>72</v>
      </c>
      <c r="BP405" t="n">
        <v>30</v>
      </c>
      <c r="BQ405" t="n">
        <v>116</v>
      </c>
      <c r="BR405" t="n">
        <v>69</v>
      </c>
      <c r="BS405" t="n">
        <v>31</v>
      </c>
      <c r="BT405" t="n">
        <v>764</v>
      </c>
      <c r="BU405" t="n">
        <v>108</v>
      </c>
      <c r="BV405" t="n">
        <v>302</v>
      </c>
      <c r="BW405" t="n">
        <v>194</v>
      </c>
      <c r="BX405" t="n">
        <v>86</v>
      </c>
      <c r="BY405" t="n">
        <v>82</v>
      </c>
      <c r="BZ405" t="n">
        <v>96</v>
      </c>
      <c r="CA405" t="n">
        <v>868</v>
      </c>
      <c r="CB405" t="n">
        <v>14</v>
      </c>
      <c r="CC405" t="n">
        <v>6</v>
      </c>
      <c r="CD405" t="n">
        <v>36</v>
      </c>
      <c r="CE405" t="n">
        <v>170</v>
      </c>
      <c r="CF405" t="n">
        <v>4.72</v>
      </c>
      <c r="CG405" t="n">
        <v>0</v>
      </c>
      <c r="CH405" t="n">
        <v>0</v>
      </c>
      <c r="CI405" t="n">
        <v>0</v>
      </c>
      <c r="CJ405" t="n">
        <v>7</v>
      </c>
      <c r="CK405" t="n">
        <v>26</v>
      </c>
      <c r="CL405" t="n">
        <v>3</v>
      </c>
      <c r="CM405" t="n">
        <v>0</v>
      </c>
      <c r="CN405" t="n">
        <v>169</v>
      </c>
      <c r="CO405" t="n">
        <v>7</v>
      </c>
      <c r="CP405" t="n">
        <v>17</v>
      </c>
      <c r="CQ405" t="n">
        <v>6</v>
      </c>
      <c r="CR405" t="n">
        <v>0</v>
      </c>
      <c r="CS405" t="n">
        <v>0</v>
      </c>
      <c r="CT405" t="n">
        <v>235</v>
      </c>
      <c r="CU405" t="n">
        <v>0</v>
      </c>
      <c r="CV405" t="n">
        <v>0</v>
      </c>
      <c r="CW405" t="n">
        <v>7</v>
      </c>
      <c r="CX405" t="n">
        <v>0</v>
      </c>
      <c r="CY405" t="n">
        <v>32</v>
      </c>
      <c r="CZ405" t="n">
        <v>0</v>
      </c>
      <c r="DA405" t="n">
        <v>0</v>
      </c>
      <c r="DB405" t="n">
        <v>0</v>
      </c>
      <c r="DC405" t="n">
        <v>39</v>
      </c>
      <c r="DD405" t="n">
        <v>0</v>
      </c>
      <c r="DE405" t="n">
        <v>0</v>
      </c>
      <c r="DF405" t="n">
        <v>170</v>
      </c>
      <c r="DG405" t="n">
        <v>36</v>
      </c>
      <c r="DH405" t="n">
        <v>0</v>
      </c>
      <c r="DI405" t="n">
        <v>0</v>
      </c>
      <c r="DJ405" t="n">
        <v>0</v>
      </c>
      <c r="DK405" t="n">
        <v>0</v>
      </c>
      <c r="DL405" t="n">
        <v>0</v>
      </c>
      <c r="DM405" t="n">
        <v>0</v>
      </c>
      <c r="DN405" t="n">
        <v>0</v>
      </c>
      <c r="DO405" t="n">
        <v>0</v>
      </c>
      <c r="DP405" t="n">
        <v>0</v>
      </c>
      <c r="DQ405" t="n">
        <v>0</v>
      </c>
      <c r="DR405" t="n">
        <v>0</v>
      </c>
      <c r="DS405" t="n">
        <v>206</v>
      </c>
      <c r="DT405" t="n">
        <v>473</v>
      </c>
      <c r="DU405" t="n">
        <v>120</v>
      </c>
      <c r="DV405" t="n">
        <v>0</v>
      </c>
      <c r="DW405" t="n">
        <v>0</v>
      </c>
      <c r="DX405" t="n">
        <v>7</v>
      </c>
      <c r="DY405" t="n">
        <v>443</v>
      </c>
      <c r="DZ405" t="n">
        <v>1034</v>
      </c>
      <c r="EA405" t="n">
        <v>443</v>
      </c>
      <c r="EB405" t="n">
        <v>975</v>
      </c>
      <c r="EC405" t="n">
        <v>245</v>
      </c>
      <c r="ED405" t="n">
        <v>1630</v>
      </c>
      <c r="EE405" t="n">
        <v>1510</v>
      </c>
      <c r="EF405" t="n">
        <v>0</v>
      </c>
      <c r="EG405" t="n">
        <v>0.49</v>
      </c>
      <c r="EH405" t="n">
        <v>1.1</v>
      </c>
      <c r="EI405" t="n">
        <v>1.5</v>
      </c>
      <c r="EJ405" t="n">
        <v>0.6</v>
      </c>
      <c r="EK405" t="n">
        <v>1.7</v>
      </c>
    </row>
    <row r="406">
      <c r="A406">
        <f>[1]ingredient!B406</f>
        <v/>
      </c>
      <c r="B406" t="inlineStr">
        <is>
          <t>https://www.naehrwertrechner.de/naehrwerte/R258111/Pfeffer+schwarz/?menge=100</t>
        </is>
      </c>
      <c r="C406" s="7">
        <f>_xlfn.XLOOKUP(A406,[1]ingredient!$B$2:$B$521,[1]ingredient!$A$2:$A$521)</f>
        <v/>
      </c>
      <c r="D406" t="n">
        <v>285</v>
      </c>
      <c r="E406" t="n">
        <v>3</v>
      </c>
      <c r="F406" t="n">
        <v>11</v>
      </c>
      <c r="G406" t="n">
        <v>52</v>
      </c>
      <c r="H406" t="n">
        <v>13</v>
      </c>
      <c r="I406" t="n">
        <v>49</v>
      </c>
      <c r="J406" t="n">
        <v>0.1</v>
      </c>
      <c r="K406" t="n">
        <v>16</v>
      </c>
      <c r="L406" t="n">
        <v>19</v>
      </c>
      <c r="M406" t="n">
        <v>10</v>
      </c>
      <c r="N406" t="n">
        <v>0</v>
      </c>
      <c r="O406" t="n">
        <v>115</v>
      </c>
      <c r="P406" t="n">
        <v>110</v>
      </c>
      <c r="Q406" t="n">
        <v>240</v>
      </c>
      <c r="R406" t="n">
        <v>1100</v>
      </c>
      <c r="S406" t="n">
        <v>3100</v>
      </c>
      <c r="T406" t="n">
        <v>500</v>
      </c>
      <c r="U406" t="n">
        <v>200</v>
      </c>
      <c r="V406" t="n">
        <v>10</v>
      </c>
      <c r="W406" t="n">
        <v>0</v>
      </c>
      <c r="X406" t="n">
        <v>0</v>
      </c>
      <c r="Y406" t="n">
        <v>0</v>
      </c>
      <c r="Z406" t="n">
        <v>0</v>
      </c>
      <c r="AA406" t="n">
        <v>0</v>
      </c>
      <c r="AB406" t="n">
        <v>0</v>
      </c>
      <c r="AC406" t="n">
        <v>44</v>
      </c>
      <c r="AD406" t="n">
        <v>1260</v>
      </c>
      <c r="AE406" t="n">
        <v>430</v>
      </c>
      <c r="AF406" t="n">
        <v>190</v>
      </c>
      <c r="AG406" t="n">
        <v>170</v>
      </c>
      <c r="AH406" t="n">
        <v>99</v>
      </c>
      <c r="AI406" t="n">
        <v>60</v>
      </c>
      <c r="AJ406" t="n">
        <v>11200</v>
      </c>
      <c r="AK406" t="n">
        <v>1400</v>
      </c>
      <c r="AL406" t="n">
        <v>1130</v>
      </c>
      <c r="AM406" t="n">
        <v>6500</v>
      </c>
      <c r="AN406" t="n">
        <v>50</v>
      </c>
      <c r="AO406" t="n">
        <v>5</v>
      </c>
      <c r="AP406" t="n">
        <v>0</v>
      </c>
      <c r="AQ406" t="n">
        <v>0</v>
      </c>
      <c r="AR406" t="n">
        <v>0</v>
      </c>
      <c r="AS406" t="n">
        <v>0</v>
      </c>
      <c r="AT406" t="n">
        <v>26000</v>
      </c>
      <c r="AU406" t="n">
        <v>21320</v>
      </c>
      <c r="AV406" t="n">
        <v>0</v>
      </c>
      <c r="AW406" t="n">
        <v>47320</v>
      </c>
      <c r="AX406" t="n">
        <v>2080</v>
      </c>
      <c r="AY406" t="n">
        <v>0</v>
      </c>
      <c r="AZ406" t="n">
        <v>0</v>
      </c>
      <c r="BA406" t="n">
        <v>2080</v>
      </c>
      <c r="BB406" t="n">
        <v>0</v>
      </c>
      <c r="BC406" t="n">
        <v>0</v>
      </c>
      <c r="BD406" t="n">
        <v>0</v>
      </c>
      <c r="BE406" t="n">
        <v>2600</v>
      </c>
      <c r="BF406" t="n">
        <v>2600</v>
      </c>
      <c r="BG406">
        <f>IF($F406=0,"0",MIN(
BH406/(30*$F406),
BI406/(61*$F406),
BJ406/(48*$F406),
(BK406+BL406)/(23*$F406),
(BM406+BN406)/(41*$F406),
BO406/(25*$F406),
BP406/(6.6*$F406),
BQ406/(40*$F406),
BS406/(16*$F406)
)*100)</f>
        <v/>
      </c>
      <c r="BH406" t="n">
        <v>436</v>
      </c>
      <c r="BI406" t="n">
        <v>839</v>
      </c>
      <c r="BJ406" t="n">
        <v>469</v>
      </c>
      <c r="BK406" t="n">
        <v>131</v>
      </c>
      <c r="BL406" t="n">
        <v>131</v>
      </c>
      <c r="BM406" t="n">
        <v>349</v>
      </c>
      <c r="BN406" t="n">
        <v>316</v>
      </c>
      <c r="BO406" t="n">
        <v>403</v>
      </c>
      <c r="BP406" t="n">
        <v>120</v>
      </c>
      <c r="BQ406" t="n">
        <v>632</v>
      </c>
      <c r="BR406" t="n">
        <v>1210</v>
      </c>
      <c r="BS406" t="n">
        <v>240</v>
      </c>
      <c r="BT406" t="n">
        <v>5276</v>
      </c>
      <c r="BU406" t="n">
        <v>578</v>
      </c>
      <c r="BV406" t="n">
        <v>1123</v>
      </c>
      <c r="BW406" t="n">
        <v>2331</v>
      </c>
      <c r="BX406" t="n">
        <v>643</v>
      </c>
      <c r="BY406" t="n">
        <v>556</v>
      </c>
      <c r="BZ406" t="n">
        <v>338</v>
      </c>
      <c r="CA406" t="n">
        <v>5569</v>
      </c>
      <c r="CB406" t="n">
        <v>50</v>
      </c>
      <c r="CC406" t="n">
        <v>21</v>
      </c>
      <c r="CD406" t="n">
        <v>143</v>
      </c>
      <c r="CE406" t="n">
        <v>853</v>
      </c>
      <c r="CF406" t="n">
        <v>5.97</v>
      </c>
      <c r="CG406" t="n">
        <v>0</v>
      </c>
      <c r="CH406" t="n">
        <v>0</v>
      </c>
      <c r="CI406" t="n">
        <v>0</v>
      </c>
      <c r="CJ406" t="n">
        <v>0</v>
      </c>
      <c r="CK406" t="n">
        <v>25</v>
      </c>
      <c r="CL406" t="n">
        <v>44</v>
      </c>
      <c r="CM406" t="n">
        <v>0</v>
      </c>
      <c r="CN406" t="n">
        <v>791</v>
      </c>
      <c r="CO406" t="n">
        <v>0</v>
      </c>
      <c r="CP406" t="n">
        <v>0</v>
      </c>
      <c r="CQ406" t="n">
        <v>0</v>
      </c>
      <c r="CR406" t="n">
        <v>0</v>
      </c>
      <c r="CS406" t="n">
        <v>0</v>
      </c>
      <c r="CT406" t="n">
        <v>860</v>
      </c>
      <c r="CU406" t="n">
        <v>0</v>
      </c>
      <c r="CV406" t="n">
        <v>0</v>
      </c>
      <c r="CW406" t="n">
        <v>0</v>
      </c>
      <c r="CX406" t="n">
        <v>0</v>
      </c>
      <c r="CY406" t="n">
        <v>890</v>
      </c>
      <c r="CZ406" t="n">
        <v>0</v>
      </c>
      <c r="DA406" t="n">
        <v>0</v>
      </c>
      <c r="DB406" t="n">
        <v>0</v>
      </c>
      <c r="DC406" t="n">
        <v>890</v>
      </c>
      <c r="DD406" t="n">
        <v>0</v>
      </c>
      <c r="DE406" t="n">
        <v>0</v>
      </c>
      <c r="DF406" t="n">
        <v>853</v>
      </c>
      <c r="DG406" t="n">
        <v>143</v>
      </c>
      <c r="DH406" t="n">
        <v>0</v>
      </c>
      <c r="DI406" t="n">
        <v>0</v>
      </c>
      <c r="DJ406" t="n">
        <v>0</v>
      </c>
      <c r="DK406" t="n">
        <v>0</v>
      </c>
      <c r="DL406" t="n">
        <v>0</v>
      </c>
      <c r="DM406" t="n">
        <v>0</v>
      </c>
      <c r="DN406" t="n">
        <v>0</v>
      </c>
      <c r="DO406" t="n">
        <v>0</v>
      </c>
      <c r="DP406" t="n">
        <v>0</v>
      </c>
      <c r="DQ406" t="n">
        <v>0</v>
      </c>
      <c r="DR406" t="n">
        <v>0</v>
      </c>
      <c r="DS406" t="n">
        <v>996</v>
      </c>
      <c r="DT406" t="n">
        <v>2746</v>
      </c>
      <c r="DU406" t="n">
        <v>554</v>
      </c>
      <c r="DV406" t="n">
        <v>0</v>
      </c>
      <c r="DW406" t="n">
        <v>0</v>
      </c>
      <c r="DX406" t="n">
        <v>0</v>
      </c>
      <c r="DY406" t="n">
        <v>2889</v>
      </c>
      <c r="DZ406" t="n">
        <v>2363</v>
      </c>
      <c r="EA406" t="n">
        <v>2626</v>
      </c>
      <c r="EB406" t="n">
        <v>2626</v>
      </c>
      <c r="EC406" t="n">
        <v>2626</v>
      </c>
      <c r="ED406" t="n">
        <v>3939</v>
      </c>
      <c r="EE406" t="n">
        <v>9191</v>
      </c>
      <c r="EF406" t="n">
        <v>0</v>
      </c>
      <c r="EG406" t="n">
        <v>0.02</v>
      </c>
      <c r="EH406" t="n">
        <v>4.3</v>
      </c>
      <c r="EI406" t="n">
        <v>9.199999999999999</v>
      </c>
      <c r="EJ406" t="n">
        <v>3.3</v>
      </c>
      <c r="EK406" t="n">
        <v>11</v>
      </c>
    </row>
    <row r="407">
      <c r="A407">
        <f>[1]ingredient!B407</f>
        <v/>
      </c>
      <c r="B407" t="inlineStr">
        <is>
          <t>https://www.naehrwertrechner.de/naehrwerte/R149311/Tabasco/?menge=100</t>
        </is>
      </c>
      <c r="C407" s="7">
        <f>_xlfn.XLOOKUP(A407,[1]ingredient!$B$2:$B$521,[1]ingredient!$A$2:$A$521)</f>
        <v/>
      </c>
      <c r="D407" t="n">
        <v>70</v>
      </c>
      <c r="E407" t="n">
        <v>3</v>
      </c>
      <c r="F407" t="n">
        <v>2</v>
      </c>
      <c r="G407" t="n">
        <v>7</v>
      </c>
      <c r="H407" t="n">
        <v>5</v>
      </c>
      <c r="I407" t="n">
        <v>6</v>
      </c>
      <c r="J407" t="n">
        <v>20</v>
      </c>
      <c r="K407" t="n">
        <v>61</v>
      </c>
      <c r="L407" t="n">
        <v>833</v>
      </c>
      <c r="M407" t="n">
        <v>417</v>
      </c>
      <c r="N407" t="n">
        <v>0</v>
      </c>
      <c r="O407" t="n">
        <v>5000</v>
      </c>
      <c r="P407" t="n">
        <v>66</v>
      </c>
      <c r="Q407" t="n">
        <v>184</v>
      </c>
      <c r="R407" t="n">
        <v>1740</v>
      </c>
      <c r="S407" t="n">
        <v>2140</v>
      </c>
      <c r="T407" t="n">
        <v>0</v>
      </c>
      <c r="U407" t="n">
        <v>0</v>
      </c>
      <c r="V407" t="n">
        <v>0</v>
      </c>
      <c r="W407" t="n">
        <v>0</v>
      </c>
      <c r="X407" t="n">
        <v>0</v>
      </c>
      <c r="Y407" t="n">
        <v>15200</v>
      </c>
      <c r="Z407" t="n">
        <v>0</v>
      </c>
      <c r="AA407" t="n">
        <v>0</v>
      </c>
      <c r="AB407" t="n">
        <v>0</v>
      </c>
      <c r="AC407" t="n">
        <v>7780</v>
      </c>
      <c r="AD407" t="n">
        <v>421</v>
      </c>
      <c r="AE407" t="n">
        <v>85</v>
      </c>
      <c r="AF407" t="n">
        <v>59</v>
      </c>
      <c r="AG407" t="n">
        <v>95</v>
      </c>
      <c r="AH407" t="n">
        <v>29</v>
      </c>
      <c r="AI407" t="n">
        <v>12030</v>
      </c>
      <c r="AJ407" t="n">
        <v>1685</v>
      </c>
      <c r="AK407" t="n">
        <v>566</v>
      </c>
      <c r="AL407" t="n">
        <v>202</v>
      </c>
      <c r="AM407" t="n">
        <v>191</v>
      </c>
      <c r="AN407" t="n">
        <v>98</v>
      </c>
      <c r="AO407" t="n">
        <v>6</v>
      </c>
      <c r="AP407" t="n">
        <v>0</v>
      </c>
      <c r="AQ407" t="n">
        <v>0</v>
      </c>
      <c r="AR407" t="n">
        <v>0</v>
      </c>
      <c r="AS407" t="n">
        <v>0</v>
      </c>
      <c r="AT407" t="n">
        <v>3260</v>
      </c>
      <c r="AU407" t="n">
        <v>2684</v>
      </c>
      <c r="AV407" t="n">
        <v>0</v>
      </c>
      <c r="AW407" t="n">
        <v>5944</v>
      </c>
      <c r="AX407" t="n">
        <v>256</v>
      </c>
      <c r="AY407" t="n">
        <v>0</v>
      </c>
      <c r="AZ407" t="n">
        <v>0</v>
      </c>
      <c r="BA407" t="n">
        <v>256</v>
      </c>
      <c r="BB407" t="n">
        <v>0</v>
      </c>
      <c r="BC407" t="n">
        <v>0</v>
      </c>
      <c r="BD407" t="n">
        <v>0</v>
      </c>
      <c r="BE407" t="n">
        <v>320</v>
      </c>
      <c r="BF407" t="n">
        <v>320</v>
      </c>
      <c r="BG407">
        <f>IF($F407=0,"0",MIN(
BH407/(30*$F407),
BI407/(61*$F407),
BJ407/(48*$F407),
(BK407+BL407)/(23*$F407),
(BM407+BN407)/(41*$F407),
BO407/(25*$F407),
BP407/(6.6*$F407),
BQ407/(40*$F407),
BS407/(16*$F407)
)*100)</f>
        <v/>
      </c>
      <c r="BH407" t="n">
        <v>73</v>
      </c>
      <c r="BI407" t="n">
        <v>121</v>
      </c>
      <c r="BJ407" t="n">
        <v>122</v>
      </c>
      <c r="BK407" t="n">
        <v>36</v>
      </c>
      <c r="BL407" t="n">
        <v>25</v>
      </c>
      <c r="BM407" t="n">
        <v>85</v>
      </c>
      <c r="BN407" t="n">
        <v>48</v>
      </c>
      <c r="BO407" t="n">
        <v>66</v>
      </c>
      <c r="BP407" t="n">
        <v>24</v>
      </c>
      <c r="BQ407" t="n">
        <v>98</v>
      </c>
      <c r="BR407" t="n">
        <v>112</v>
      </c>
      <c r="BS407" t="n">
        <v>37</v>
      </c>
      <c r="BT407" t="n">
        <v>847</v>
      </c>
      <c r="BU407" t="n">
        <v>146</v>
      </c>
      <c r="BV407" t="n">
        <v>360</v>
      </c>
      <c r="BW407" t="n">
        <v>344</v>
      </c>
      <c r="BX407" t="n">
        <v>97</v>
      </c>
      <c r="BY407" t="n">
        <v>90</v>
      </c>
      <c r="BZ407" t="n">
        <v>98</v>
      </c>
      <c r="CA407" t="n">
        <v>1135</v>
      </c>
      <c r="CB407" t="n">
        <v>30</v>
      </c>
      <c r="CC407" t="n">
        <v>13</v>
      </c>
      <c r="CD407" t="n">
        <v>127</v>
      </c>
      <c r="CE407" t="n">
        <v>1516</v>
      </c>
      <c r="CF407" t="n">
        <v>11.94</v>
      </c>
      <c r="CG407" t="n">
        <v>0</v>
      </c>
      <c r="CH407" t="n">
        <v>0</v>
      </c>
      <c r="CI407" t="n">
        <v>0</v>
      </c>
      <c r="CJ407" t="n">
        <v>6</v>
      </c>
      <c r="CK407" t="n">
        <v>6</v>
      </c>
      <c r="CL407" t="n">
        <v>20</v>
      </c>
      <c r="CM407" t="n">
        <v>0</v>
      </c>
      <c r="CN407" t="n">
        <v>515</v>
      </c>
      <c r="CO407" t="n">
        <v>0</v>
      </c>
      <c r="CP407" t="n">
        <v>99</v>
      </c>
      <c r="CQ407" t="n">
        <v>0</v>
      </c>
      <c r="CR407" t="n">
        <v>0</v>
      </c>
      <c r="CS407" t="n">
        <v>0</v>
      </c>
      <c r="CT407" t="n">
        <v>646</v>
      </c>
      <c r="CU407" t="n">
        <v>0</v>
      </c>
      <c r="CV407" t="n">
        <v>0</v>
      </c>
      <c r="CW407" t="n">
        <v>45</v>
      </c>
      <c r="CX407" t="n">
        <v>0</v>
      </c>
      <c r="CY407" t="n">
        <v>495</v>
      </c>
      <c r="CZ407" t="n">
        <v>0</v>
      </c>
      <c r="DA407" t="n">
        <v>0</v>
      </c>
      <c r="DB407" t="n">
        <v>0</v>
      </c>
      <c r="DC407" t="n">
        <v>540</v>
      </c>
      <c r="DD407" t="n">
        <v>0</v>
      </c>
      <c r="DE407" t="n">
        <v>0</v>
      </c>
      <c r="DF407" t="n">
        <v>1516</v>
      </c>
      <c r="DG407" t="n">
        <v>127</v>
      </c>
      <c r="DH407" t="n">
        <v>0</v>
      </c>
      <c r="DI407" t="n">
        <v>0</v>
      </c>
      <c r="DJ407" t="n">
        <v>0</v>
      </c>
      <c r="DK407" t="n">
        <v>0</v>
      </c>
      <c r="DL407" t="n">
        <v>0</v>
      </c>
      <c r="DM407" t="n">
        <v>0</v>
      </c>
      <c r="DN407" t="n">
        <v>0</v>
      </c>
      <c r="DO407" t="n">
        <v>0</v>
      </c>
      <c r="DP407" t="n">
        <v>0</v>
      </c>
      <c r="DQ407" t="n">
        <v>0</v>
      </c>
      <c r="DR407" t="n">
        <v>0</v>
      </c>
      <c r="DS407" t="n">
        <v>1643</v>
      </c>
      <c r="DT407" t="n">
        <v>2823</v>
      </c>
      <c r="DU407" t="n">
        <v>571</v>
      </c>
      <c r="DV407" t="n">
        <v>0</v>
      </c>
      <c r="DW407" t="n">
        <v>0</v>
      </c>
      <c r="DX407" t="n">
        <v>6</v>
      </c>
      <c r="DY407" t="n">
        <v>1096</v>
      </c>
      <c r="DZ407" t="n">
        <v>896</v>
      </c>
      <c r="EA407" t="n">
        <v>996</v>
      </c>
      <c r="EB407" t="n">
        <v>996</v>
      </c>
      <c r="EC407" t="n">
        <v>996</v>
      </c>
      <c r="ED407" t="n">
        <v>1494</v>
      </c>
      <c r="EE407" t="n">
        <v>3486</v>
      </c>
      <c r="EF407" t="n">
        <v>0</v>
      </c>
      <c r="EG407" t="n">
        <v>1</v>
      </c>
      <c r="EH407" t="n">
        <v>21.1</v>
      </c>
      <c r="EI407" t="n">
        <v>3.5</v>
      </c>
      <c r="EJ407" t="n">
        <v>3.4</v>
      </c>
      <c r="EK407" t="n">
        <v>2.1</v>
      </c>
    </row>
    <row r="408">
      <c r="A408">
        <f>[1]ingredient!B408</f>
        <v/>
      </c>
      <c r="B408" t="inlineStr">
        <is>
          <t>https://www.naehrwertrechner.de/naehrwerte/J521111/Tahini+aus+rohem+Sesam/?menge=100</t>
        </is>
      </c>
      <c r="C408" s="7">
        <f>_xlfn.XLOOKUP(A408,[1]ingredient!$B$2:$B$521,[1]ingredient!$A$2:$A$521)</f>
        <v/>
      </c>
      <c r="D408" t="n">
        <v>583</v>
      </c>
      <c r="E408" t="n">
        <v>48</v>
      </c>
      <c r="F408" t="n">
        <v>18</v>
      </c>
      <c r="G408" t="n">
        <v>21</v>
      </c>
      <c r="H408" t="n">
        <v>5</v>
      </c>
      <c r="I408" t="n">
        <v>0.42</v>
      </c>
      <c r="J408" t="n">
        <v>0.17</v>
      </c>
      <c r="K408" t="n">
        <v>3</v>
      </c>
      <c r="L408" t="n">
        <v>0</v>
      </c>
      <c r="M408" t="n">
        <v>0</v>
      </c>
      <c r="N408" t="n">
        <v>0</v>
      </c>
      <c r="O408" t="n">
        <v>0</v>
      </c>
      <c r="P408" t="n">
        <v>1280</v>
      </c>
      <c r="Q408" t="n">
        <v>510</v>
      </c>
      <c r="R408" t="n">
        <v>5925</v>
      </c>
      <c r="S408" t="n">
        <v>10075</v>
      </c>
      <c r="T408" t="n">
        <v>50</v>
      </c>
      <c r="U408" t="n">
        <v>790</v>
      </c>
      <c r="V408" t="n">
        <v>20</v>
      </c>
      <c r="W408" t="n">
        <v>90</v>
      </c>
      <c r="X408" t="n">
        <v>0</v>
      </c>
      <c r="Y408" t="n">
        <v>0</v>
      </c>
      <c r="Z408" t="n">
        <v>0</v>
      </c>
      <c r="AA408" t="n">
        <v>4000</v>
      </c>
      <c r="AB408" t="n">
        <v>2</v>
      </c>
      <c r="AC408" t="n">
        <v>74</v>
      </c>
      <c r="AD408" t="n">
        <v>414</v>
      </c>
      <c r="AE408" t="n">
        <v>420</v>
      </c>
      <c r="AF408" t="n">
        <v>100</v>
      </c>
      <c r="AG408" t="n">
        <v>752</v>
      </c>
      <c r="AH408" t="n">
        <v>200</v>
      </c>
      <c r="AI408" t="n">
        <v>100</v>
      </c>
      <c r="AJ408" t="n">
        <v>2510</v>
      </c>
      <c r="AK408" t="n">
        <v>4640</v>
      </c>
      <c r="AL408" t="n">
        <v>1680</v>
      </c>
      <c r="AM408" t="n">
        <v>1200</v>
      </c>
      <c r="AN408" t="n">
        <v>30</v>
      </c>
      <c r="AO408" t="n">
        <v>5</v>
      </c>
      <c r="AP408" t="n">
        <v>0</v>
      </c>
      <c r="AQ408" t="n">
        <v>0</v>
      </c>
      <c r="AR408" t="n">
        <v>0</v>
      </c>
      <c r="AS408" t="n">
        <v>0</v>
      </c>
      <c r="AT408" t="n">
        <v>0</v>
      </c>
      <c r="AU408" t="n">
        <v>0</v>
      </c>
      <c r="AV408" t="n">
        <v>0</v>
      </c>
      <c r="AW408" t="n">
        <v>0</v>
      </c>
      <c r="AX408" t="n">
        <v>424</v>
      </c>
      <c r="AY408" t="n">
        <v>0</v>
      </c>
      <c r="AZ408" t="n">
        <v>0</v>
      </c>
      <c r="BA408" t="n">
        <v>424</v>
      </c>
      <c r="BB408" t="n">
        <v>0</v>
      </c>
      <c r="BC408" t="n">
        <v>0</v>
      </c>
      <c r="BD408" t="n">
        <v>0</v>
      </c>
      <c r="BE408" t="n">
        <v>20766</v>
      </c>
      <c r="BF408" t="n">
        <v>20766</v>
      </c>
      <c r="BG408">
        <f>IF($F408=0,"0",MIN(
BH408/(30*$F408),
BI408/(61*$F408),
BJ408/(48*$F408),
(BK408+BL408)/(23*$F408),
(BM408+BN408)/(41*$F408),
BO408/(25*$F408),
BP408/(6.6*$F408),
BQ408/(40*$F408),
BS408/(16*$F408)
)*100)</f>
        <v/>
      </c>
      <c r="BH408" t="n">
        <v>677</v>
      </c>
      <c r="BI408" t="n">
        <v>1247</v>
      </c>
      <c r="BJ408" t="n">
        <v>516</v>
      </c>
      <c r="BK408" t="n">
        <v>534</v>
      </c>
      <c r="BL408" t="n">
        <v>338</v>
      </c>
      <c r="BM408" t="n">
        <v>837</v>
      </c>
      <c r="BN408" t="n">
        <v>588</v>
      </c>
      <c r="BO408" t="n">
        <v>677</v>
      </c>
      <c r="BP408" t="n">
        <v>249</v>
      </c>
      <c r="BQ408" t="n">
        <v>873</v>
      </c>
      <c r="BR408" t="n">
        <v>2244</v>
      </c>
      <c r="BS408" t="n">
        <v>463</v>
      </c>
      <c r="BT408" t="n">
        <v>9243</v>
      </c>
      <c r="BU408" t="n">
        <v>837</v>
      </c>
      <c r="BV408" t="n">
        <v>1514</v>
      </c>
      <c r="BW408" t="n">
        <v>3651</v>
      </c>
      <c r="BX408" t="n">
        <v>908</v>
      </c>
      <c r="BY408" t="n">
        <v>695</v>
      </c>
      <c r="BZ408" t="n">
        <v>873</v>
      </c>
      <c r="CA408" t="n">
        <v>8478</v>
      </c>
      <c r="CB408" t="n">
        <v>80</v>
      </c>
      <c r="CC408" t="n">
        <v>33</v>
      </c>
      <c r="CD408" t="n">
        <v>505</v>
      </c>
      <c r="CE408" t="n">
        <v>20741</v>
      </c>
      <c r="CF408" t="n">
        <v>41.07</v>
      </c>
      <c r="CG408" t="n">
        <v>0</v>
      </c>
      <c r="CH408" t="n">
        <v>0</v>
      </c>
      <c r="CI408" t="n">
        <v>0</v>
      </c>
      <c r="CJ408" t="n">
        <v>0</v>
      </c>
      <c r="CK408" t="n">
        <v>0</v>
      </c>
      <c r="CL408" t="n">
        <v>92</v>
      </c>
      <c r="CM408" t="n">
        <v>0</v>
      </c>
      <c r="CN408" t="n">
        <v>4359</v>
      </c>
      <c r="CO408" t="n">
        <v>0</v>
      </c>
      <c r="CP408" t="n">
        <v>2019</v>
      </c>
      <c r="CQ408" t="n">
        <v>0</v>
      </c>
      <c r="CR408" t="n">
        <v>0</v>
      </c>
      <c r="CS408" t="n">
        <v>0</v>
      </c>
      <c r="CT408" t="n">
        <v>6470</v>
      </c>
      <c r="CU408" t="n">
        <v>0</v>
      </c>
      <c r="CV408" t="n">
        <v>0</v>
      </c>
      <c r="CW408" t="n">
        <v>138</v>
      </c>
      <c r="CX408" t="n">
        <v>0</v>
      </c>
      <c r="CY408" t="n">
        <v>17988</v>
      </c>
      <c r="CZ408" t="n">
        <v>46</v>
      </c>
      <c r="DA408" t="n">
        <v>0</v>
      </c>
      <c r="DB408" t="n">
        <v>0</v>
      </c>
      <c r="DC408" t="n">
        <v>18172</v>
      </c>
      <c r="DD408" t="n">
        <v>0</v>
      </c>
      <c r="DE408" t="n">
        <v>0</v>
      </c>
      <c r="DF408" t="n">
        <v>20741</v>
      </c>
      <c r="DG408" t="n">
        <v>321</v>
      </c>
      <c r="DH408" t="n">
        <v>0</v>
      </c>
      <c r="DI408" t="n">
        <v>0</v>
      </c>
      <c r="DJ408" t="n">
        <v>0</v>
      </c>
      <c r="DK408" t="n">
        <v>0</v>
      </c>
      <c r="DL408" t="n">
        <v>0</v>
      </c>
      <c r="DM408" t="n">
        <v>184</v>
      </c>
      <c r="DN408" t="n">
        <v>0</v>
      </c>
      <c r="DO408" t="n">
        <v>0</v>
      </c>
      <c r="DP408" t="n">
        <v>0</v>
      </c>
      <c r="DQ408" t="n">
        <v>0</v>
      </c>
      <c r="DR408" t="n">
        <v>0</v>
      </c>
      <c r="DS408" t="n">
        <v>21246</v>
      </c>
      <c r="DT408" t="n">
        <v>45888</v>
      </c>
      <c r="DU408" t="n">
        <v>2112</v>
      </c>
      <c r="DV408" t="n">
        <v>0</v>
      </c>
      <c r="DW408" t="n">
        <v>0</v>
      </c>
      <c r="DX408" t="n">
        <v>0</v>
      </c>
      <c r="DY408" t="n">
        <v>2250</v>
      </c>
      <c r="DZ408" t="n">
        <v>1500</v>
      </c>
      <c r="EA408" t="n">
        <v>250</v>
      </c>
      <c r="EB408" t="n">
        <v>750</v>
      </c>
      <c r="EC408" t="n">
        <v>250</v>
      </c>
      <c r="ED408" t="n">
        <v>600</v>
      </c>
      <c r="EE408" t="n">
        <v>4400</v>
      </c>
      <c r="EF408" t="n">
        <v>0</v>
      </c>
      <c r="EG408" t="n">
        <v>0</v>
      </c>
      <c r="EH408" t="n">
        <v>4.7</v>
      </c>
      <c r="EI408" t="n">
        <v>4.4</v>
      </c>
      <c r="EJ408" t="n">
        <v>48</v>
      </c>
      <c r="EK408" t="n">
        <v>18</v>
      </c>
    </row>
    <row r="409">
      <c r="A409">
        <f>[1]ingredient!B409</f>
        <v/>
      </c>
      <c r="B409" t="inlineStr">
        <is>
          <t>https://www.naehrwertrechner.de/naehrwerte/J721000/Sojaso%C3%9Fe/?menge=100</t>
        </is>
      </c>
      <c r="C409" s="7">
        <f>_xlfn.XLOOKUP(A409,[1]ingredient!$B$2:$B$521,[1]ingredient!$A$2:$A$521)</f>
        <v/>
      </c>
      <c r="D409" t="n">
        <v>108</v>
      </c>
      <c r="E409" t="n">
        <v>5</v>
      </c>
      <c r="F409" t="n">
        <v>10</v>
      </c>
      <c r="G409" t="n">
        <v>6</v>
      </c>
      <c r="H409" t="n">
        <v>4</v>
      </c>
      <c r="I409" t="n">
        <v>6</v>
      </c>
      <c r="J409" t="n">
        <v>3</v>
      </c>
      <c r="K409" t="n">
        <v>69</v>
      </c>
      <c r="L409" t="n">
        <v>19</v>
      </c>
      <c r="M409" t="n">
        <v>10</v>
      </c>
      <c r="N409" t="n">
        <v>0</v>
      </c>
      <c r="O409" t="n">
        <v>114</v>
      </c>
      <c r="P409" t="n">
        <v>378</v>
      </c>
      <c r="Q409" t="n">
        <v>70</v>
      </c>
      <c r="R409" t="n">
        <v>612</v>
      </c>
      <c r="S409" t="n">
        <v>2462</v>
      </c>
      <c r="T409" t="n">
        <v>461</v>
      </c>
      <c r="U409" t="n">
        <v>210</v>
      </c>
      <c r="V409" t="n">
        <v>15</v>
      </c>
      <c r="W409" t="n">
        <v>63</v>
      </c>
      <c r="X409" t="n">
        <v>0</v>
      </c>
      <c r="Y409" t="n">
        <v>1050</v>
      </c>
      <c r="Z409" t="n">
        <v>0</v>
      </c>
      <c r="AA409" t="n">
        <v>407</v>
      </c>
      <c r="AB409" t="n">
        <v>55</v>
      </c>
      <c r="AC409" t="n">
        <v>1177</v>
      </c>
      <c r="AD409" t="n">
        <v>577</v>
      </c>
      <c r="AE409" t="n">
        <v>77</v>
      </c>
      <c r="AF409" t="n">
        <v>68</v>
      </c>
      <c r="AG409" t="n">
        <v>169</v>
      </c>
      <c r="AH409" t="n">
        <v>54</v>
      </c>
      <c r="AI409" t="n">
        <v>1826</v>
      </c>
      <c r="AJ409" t="n">
        <v>3916</v>
      </c>
      <c r="AK409" t="n">
        <v>1343</v>
      </c>
      <c r="AL409" t="n">
        <v>432</v>
      </c>
      <c r="AM409" t="n">
        <v>1098</v>
      </c>
      <c r="AN409" t="n">
        <v>42</v>
      </c>
      <c r="AO409" t="n">
        <v>3</v>
      </c>
      <c r="AP409" t="n">
        <v>0</v>
      </c>
      <c r="AQ409" t="n">
        <v>0</v>
      </c>
      <c r="AR409" t="n">
        <v>0</v>
      </c>
      <c r="AS409" t="n">
        <v>0</v>
      </c>
      <c r="AT409" t="n">
        <v>168</v>
      </c>
      <c r="AU409" t="n">
        <v>168</v>
      </c>
      <c r="AV409" t="n">
        <v>0</v>
      </c>
      <c r="AW409" t="n">
        <v>336</v>
      </c>
      <c r="AX409" t="n">
        <v>5169</v>
      </c>
      <c r="AY409" t="n">
        <v>0</v>
      </c>
      <c r="AZ409" t="n">
        <v>0</v>
      </c>
      <c r="BA409" t="n">
        <v>5169</v>
      </c>
      <c r="BB409" t="n">
        <v>0</v>
      </c>
      <c r="BC409" t="n">
        <v>2252</v>
      </c>
      <c r="BD409" t="n">
        <v>0</v>
      </c>
      <c r="BE409" t="n">
        <v>5</v>
      </c>
      <c r="BF409" t="n">
        <v>5</v>
      </c>
      <c r="BG409">
        <f>IF($F409=0,"0",MIN(
BH409/(30*$F409),
BI409/(61*$F409),
BJ409/(48*$F409),
(BK409+BL409)/(23*$F409),
(BM409+BN409)/(41*$F409),
BO409/(25*$F409),
BP409/(6.6*$F409),
BQ409/(40*$F409),
BS409/(16*$F409)
)*100)</f>
        <v/>
      </c>
      <c r="BH409" t="n">
        <v>453</v>
      </c>
      <c r="BI409" t="n">
        <v>725</v>
      </c>
      <c r="BJ409" t="n">
        <v>624</v>
      </c>
      <c r="BK409" t="n">
        <v>131</v>
      </c>
      <c r="BL409" t="n">
        <v>161</v>
      </c>
      <c r="BM409" t="n">
        <v>453</v>
      </c>
      <c r="BN409" t="n">
        <v>352</v>
      </c>
      <c r="BO409" t="n">
        <v>393</v>
      </c>
      <c r="BP409" t="n">
        <v>111</v>
      </c>
      <c r="BQ409" t="n">
        <v>474</v>
      </c>
      <c r="BR409" t="n">
        <v>763</v>
      </c>
      <c r="BS409" t="n">
        <v>231</v>
      </c>
      <c r="BT409" t="n">
        <v>4871</v>
      </c>
      <c r="BU409" t="n">
        <v>413</v>
      </c>
      <c r="BV409" t="n">
        <v>1110</v>
      </c>
      <c r="BW409" t="n">
        <v>1931</v>
      </c>
      <c r="BX409" t="n">
        <v>412</v>
      </c>
      <c r="BY409" t="n">
        <v>563</v>
      </c>
      <c r="BZ409" t="n">
        <v>513</v>
      </c>
      <c r="CA409" t="n">
        <v>4942</v>
      </c>
      <c r="CB409" t="n">
        <v>96</v>
      </c>
      <c r="CC409" t="n">
        <v>40</v>
      </c>
      <c r="CD409" t="n">
        <v>368</v>
      </c>
      <c r="CE409" t="n">
        <v>2685</v>
      </c>
      <c r="CF409" t="n">
        <v>7.3</v>
      </c>
      <c r="CG409" t="n">
        <v>0</v>
      </c>
      <c r="CH409" t="n">
        <v>0</v>
      </c>
      <c r="CI409" t="n">
        <v>0</v>
      </c>
      <c r="CJ409" t="n">
        <v>0</v>
      </c>
      <c r="CK409" t="n">
        <v>6</v>
      </c>
      <c r="CL409" t="n">
        <v>10</v>
      </c>
      <c r="CM409" t="n">
        <v>0</v>
      </c>
      <c r="CN409" t="n">
        <v>519</v>
      </c>
      <c r="CO409" t="n">
        <v>0</v>
      </c>
      <c r="CP409" t="n">
        <v>178</v>
      </c>
      <c r="CQ409" t="n">
        <v>14</v>
      </c>
      <c r="CR409" t="n">
        <v>5</v>
      </c>
      <c r="CS409" t="n">
        <v>0</v>
      </c>
      <c r="CT409" t="n">
        <v>732</v>
      </c>
      <c r="CU409" t="n">
        <v>0</v>
      </c>
      <c r="CV409" t="n">
        <v>0</v>
      </c>
      <c r="CW409" t="n">
        <v>10</v>
      </c>
      <c r="CX409" t="n">
        <v>0</v>
      </c>
      <c r="CY409" t="n">
        <v>891</v>
      </c>
      <c r="CZ409" t="n">
        <v>9</v>
      </c>
      <c r="DA409" t="n">
        <v>0</v>
      </c>
      <c r="DB409" t="n">
        <v>0</v>
      </c>
      <c r="DC409" t="n">
        <v>910</v>
      </c>
      <c r="DD409" t="n">
        <v>0</v>
      </c>
      <c r="DE409" t="n">
        <v>0</v>
      </c>
      <c r="DF409" t="n">
        <v>2685</v>
      </c>
      <c r="DG409" t="n">
        <v>368</v>
      </c>
      <c r="DH409" t="n">
        <v>0</v>
      </c>
      <c r="DI409" t="n">
        <v>0</v>
      </c>
      <c r="DJ409" t="n">
        <v>0</v>
      </c>
      <c r="DK409" t="n">
        <v>0</v>
      </c>
      <c r="DL409" t="n">
        <v>0</v>
      </c>
      <c r="DM409" t="n">
        <v>0</v>
      </c>
      <c r="DN409" t="n">
        <v>0</v>
      </c>
      <c r="DO409" t="n">
        <v>0</v>
      </c>
      <c r="DP409" t="n">
        <v>0</v>
      </c>
      <c r="DQ409" t="n">
        <v>0</v>
      </c>
      <c r="DR409" t="n">
        <v>0</v>
      </c>
      <c r="DS409" t="n">
        <v>3053</v>
      </c>
      <c r="DT409" t="n">
        <v>4695</v>
      </c>
      <c r="DU409" t="n">
        <v>359</v>
      </c>
      <c r="DV409" t="n">
        <v>0</v>
      </c>
      <c r="DW409" t="n">
        <v>0</v>
      </c>
      <c r="DX409" t="n">
        <v>0</v>
      </c>
      <c r="DY409" t="n">
        <v>1079</v>
      </c>
      <c r="DZ409" t="n">
        <v>1571</v>
      </c>
      <c r="EA409" t="n">
        <v>624</v>
      </c>
      <c r="EB409" t="n">
        <v>1060</v>
      </c>
      <c r="EC409" t="n">
        <v>25</v>
      </c>
      <c r="ED409" t="n">
        <v>2156</v>
      </c>
      <c r="EE409" t="n">
        <v>2203</v>
      </c>
      <c r="EF409" t="n">
        <v>0</v>
      </c>
      <c r="EG409" t="n">
        <v>0.01</v>
      </c>
      <c r="EH409" t="n">
        <v>4.2</v>
      </c>
      <c r="EI409" t="n">
        <v>2.2</v>
      </c>
      <c r="EJ409" t="n">
        <v>5.1</v>
      </c>
      <c r="EK409" t="n">
        <v>10.1</v>
      </c>
    </row>
    <row r="410">
      <c r="A410">
        <f>[1]ingredient!B410</f>
        <v/>
      </c>
      <c r="B410" t="inlineStr">
        <is>
          <t>https://www.naehrwertrechner.de/naehrwerte/C263011/Teffmehl/?menge=100</t>
        </is>
      </c>
      <c r="C410" s="7">
        <f>_xlfn.XLOOKUP(A410,[1]ingredient!$B$2:$B$521,[1]ingredient!$A$2:$A$521)</f>
        <v/>
      </c>
      <c r="D410" t="n">
        <v>346</v>
      </c>
      <c r="E410" t="n">
        <v>3</v>
      </c>
      <c r="F410" t="n">
        <v>11</v>
      </c>
      <c r="G410" t="n">
        <v>67</v>
      </c>
      <c r="H410" t="n">
        <v>6</v>
      </c>
      <c r="I410" t="n">
        <v>2</v>
      </c>
      <c r="J410" t="n">
        <v>0.1</v>
      </c>
      <c r="K410" t="n">
        <v>11</v>
      </c>
      <c r="L410" t="n">
        <v>0</v>
      </c>
      <c r="M410" t="n">
        <v>0</v>
      </c>
      <c r="N410" t="n">
        <v>0</v>
      </c>
      <c r="O410" t="n">
        <v>0</v>
      </c>
      <c r="P410" t="n">
        <v>300</v>
      </c>
      <c r="Q410" t="n">
        <v>100</v>
      </c>
      <c r="R410" t="n">
        <v>1800</v>
      </c>
      <c r="S410" t="n">
        <v>4600</v>
      </c>
      <c r="T410" t="n">
        <v>1200</v>
      </c>
      <c r="U410" t="n">
        <v>800</v>
      </c>
      <c r="V410" t="n">
        <v>1</v>
      </c>
      <c r="W410" t="n">
        <v>32</v>
      </c>
      <c r="X410" t="n">
        <v>0</v>
      </c>
      <c r="Y410" t="n">
        <v>0</v>
      </c>
      <c r="Z410" t="n">
        <v>0</v>
      </c>
      <c r="AA410" t="n">
        <v>0</v>
      </c>
      <c r="AB410" t="n">
        <v>1</v>
      </c>
      <c r="AC410" t="n">
        <v>5</v>
      </c>
      <c r="AD410" t="n">
        <v>833</v>
      </c>
      <c r="AE410" t="n">
        <v>39</v>
      </c>
      <c r="AF410" t="n">
        <v>330</v>
      </c>
      <c r="AG410" t="n">
        <v>601</v>
      </c>
      <c r="AH410" t="n">
        <v>271</v>
      </c>
      <c r="AI410" t="n">
        <v>97</v>
      </c>
      <c r="AJ410" t="n">
        <v>17400</v>
      </c>
      <c r="AK410" t="n">
        <v>4300</v>
      </c>
      <c r="AL410" t="n">
        <v>900</v>
      </c>
      <c r="AM410" t="n">
        <v>1400</v>
      </c>
      <c r="AN410" t="n">
        <v>100</v>
      </c>
      <c r="AO410" t="n">
        <v>10</v>
      </c>
      <c r="AP410" t="n">
        <v>0</v>
      </c>
      <c r="AQ410" t="n">
        <v>0</v>
      </c>
      <c r="AR410" t="n">
        <v>0</v>
      </c>
      <c r="AS410" t="n">
        <v>0</v>
      </c>
      <c r="AT410" t="n">
        <v>1160</v>
      </c>
      <c r="AU410" t="n">
        <v>0</v>
      </c>
      <c r="AV410" t="n">
        <v>0</v>
      </c>
      <c r="AW410" t="n">
        <v>1160</v>
      </c>
      <c r="AX410" t="n">
        <v>900</v>
      </c>
      <c r="AY410" t="n">
        <v>0</v>
      </c>
      <c r="AZ410" t="n">
        <v>0</v>
      </c>
      <c r="BA410" t="n">
        <v>930</v>
      </c>
      <c r="BB410" t="n">
        <v>610</v>
      </c>
      <c r="BC410" t="n">
        <v>330</v>
      </c>
      <c r="BD410" t="n">
        <v>0</v>
      </c>
      <c r="BE410" t="n">
        <v>64000</v>
      </c>
      <c r="BF410" t="n">
        <v>0</v>
      </c>
      <c r="BG410">
        <f>IF($F410=0,"0",MIN(
BH410/(30*$F410),
BI410/(61*$F410),
BJ410/(48*$F410),
(BK410+BL410)/(23*$F410),
(BM410+BN410)/(41*$F410),
BO410/(25*$F410),
BP410/(6.6*$F410),
BQ410/(40*$F410),
BS410/(16*$F410)
)*100)</f>
        <v/>
      </c>
      <c r="BH410" t="n">
        <v>522</v>
      </c>
      <c r="BI410" t="n">
        <v>1301</v>
      </c>
      <c r="BJ410" t="n">
        <v>257</v>
      </c>
      <c r="BK410" t="n">
        <v>234</v>
      </c>
      <c r="BL410" t="n">
        <v>145</v>
      </c>
      <c r="BM410" t="n">
        <v>434</v>
      </c>
      <c r="BN410" t="n">
        <v>257</v>
      </c>
      <c r="BO410" t="n">
        <v>389</v>
      </c>
      <c r="BP410" t="n">
        <v>167</v>
      </c>
      <c r="BQ410" t="n">
        <v>578</v>
      </c>
      <c r="BR410" t="n">
        <v>345</v>
      </c>
      <c r="BS410" t="n">
        <v>189</v>
      </c>
      <c r="BT410" t="n">
        <v>4817</v>
      </c>
      <c r="BU410" t="n">
        <v>1267</v>
      </c>
      <c r="BV410" t="n">
        <v>601</v>
      </c>
      <c r="BW410" t="n">
        <v>2168</v>
      </c>
      <c r="BX410" t="n">
        <v>290</v>
      </c>
      <c r="BY410" t="n">
        <v>1034</v>
      </c>
      <c r="BZ410" t="n">
        <v>723</v>
      </c>
      <c r="CA410" t="n">
        <v>6083</v>
      </c>
      <c r="CB410" t="n">
        <v>66</v>
      </c>
      <c r="CC410" t="n">
        <v>22</v>
      </c>
      <c r="CD410" t="n">
        <v>100</v>
      </c>
      <c r="CE410" t="n">
        <v>1200</v>
      </c>
      <c r="CF410" t="n">
        <v>12</v>
      </c>
      <c r="CG410" t="n">
        <v>0</v>
      </c>
      <c r="CH410" t="n">
        <v>0</v>
      </c>
      <c r="CI410" t="n">
        <v>0</v>
      </c>
      <c r="CJ410" t="n">
        <v>0</v>
      </c>
      <c r="CK410" t="n">
        <v>0</v>
      </c>
      <c r="CL410" t="n">
        <v>7</v>
      </c>
      <c r="CM410" t="n">
        <v>0</v>
      </c>
      <c r="CN410" t="n">
        <v>447</v>
      </c>
      <c r="CO410" t="n">
        <v>0</v>
      </c>
      <c r="CP410" t="n">
        <v>114</v>
      </c>
      <c r="CQ410" t="n">
        <v>23</v>
      </c>
      <c r="CR410" t="n">
        <v>0</v>
      </c>
      <c r="CS410" t="n">
        <v>0</v>
      </c>
      <c r="CT410" t="n">
        <v>600</v>
      </c>
      <c r="CU410" t="n">
        <v>0</v>
      </c>
      <c r="CV410" t="n">
        <v>0</v>
      </c>
      <c r="CW410" t="n">
        <v>13</v>
      </c>
      <c r="CX410" t="n">
        <v>0</v>
      </c>
      <c r="CY410" t="n">
        <v>618</v>
      </c>
      <c r="CZ410" t="n">
        <v>0</v>
      </c>
      <c r="DA410" t="n">
        <v>0</v>
      </c>
      <c r="DB410" t="n">
        <v>0</v>
      </c>
      <c r="DC410" t="n">
        <v>600</v>
      </c>
      <c r="DD410" t="n">
        <v>0</v>
      </c>
      <c r="DE410" t="n">
        <v>0</v>
      </c>
      <c r="DF410" t="n">
        <v>1200</v>
      </c>
      <c r="DG410" t="n">
        <v>100</v>
      </c>
      <c r="DH410" t="n">
        <v>0</v>
      </c>
      <c r="DI410" t="n">
        <v>0</v>
      </c>
      <c r="DJ410" t="n">
        <v>0</v>
      </c>
      <c r="DK410" t="n">
        <v>0</v>
      </c>
      <c r="DL410" t="n">
        <v>0</v>
      </c>
      <c r="DM410" t="n">
        <v>0</v>
      </c>
      <c r="DN410" t="n">
        <v>0</v>
      </c>
      <c r="DO410" t="n">
        <v>0</v>
      </c>
      <c r="DP410" t="n">
        <v>0</v>
      </c>
      <c r="DQ410" t="n">
        <v>0</v>
      </c>
      <c r="DR410" t="n">
        <v>0</v>
      </c>
      <c r="DS410" t="n">
        <v>1200</v>
      </c>
      <c r="DT410" t="n">
        <v>2457</v>
      </c>
      <c r="DU410" t="n">
        <v>13</v>
      </c>
      <c r="DV410" t="n">
        <v>0</v>
      </c>
      <c r="DW410" t="n">
        <v>0</v>
      </c>
      <c r="DX410" t="n">
        <v>0</v>
      </c>
      <c r="DY410" t="n">
        <v>689</v>
      </c>
      <c r="DZ410" t="n">
        <v>3255</v>
      </c>
      <c r="EA410" t="n">
        <v>1002</v>
      </c>
      <c r="EB410" t="n">
        <v>814</v>
      </c>
      <c r="EC410" t="n">
        <v>501</v>
      </c>
      <c r="ED410" t="n">
        <v>2316</v>
      </c>
      <c r="EE410" t="n">
        <v>3944</v>
      </c>
      <c r="EF410" t="n">
        <v>0</v>
      </c>
      <c r="EG410" t="n">
        <v>0</v>
      </c>
      <c r="EH410" t="n">
        <v>2.2</v>
      </c>
      <c r="EI410" t="n">
        <v>3.9</v>
      </c>
      <c r="EJ410" t="n">
        <v>2.5</v>
      </c>
      <c r="EK410" t="n">
        <v>11.1</v>
      </c>
    </row>
    <row r="411">
      <c r="A411">
        <f>[1]ingredient!B411</f>
        <v/>
      </c>
      <c r="B411" t="inlineStr">
        <is>
          <t>https://www.naehrwertrechner.de/naehrwerte/F203111/Pfirsich+frisch/?menge=100</t>
        </is>
      </c>
      <c r="C411" s="7">
        <f>_xlfn.XLOOKUP(A411,[1]ingredient!$B$2:$B$521,[1]ingredient!$A$2:$A$521)</f>
        <v/>
      </c>
      <c r="D411" t="n">
        <v>41</v>
      </c>
      <c r="E411" t="n">
        <v>0.1</v>
      </c>
      <c r="F411" t="n">
        <v>1</v>
      </c>
      <c r="G411" t="n">
        <v>9</v>
      </c>
      <c r="H411" t="n">
        <v>2</v>
      </c>
      <c r="I411" t="n">
        <v>8</v>
      </c>
      <c r="J411" t="n">
        <v>0</v>
      </c>
      <c r="K411" t="n">
        <v>87</v>
      </c>
      <c r="L411" t="n">
        <v>73</v>
      </c>
      <c r="M411" t="n">
        <v>37</v>
      </c>
      <c r="N411" t="n">
        <v>0</v>
      </c>
      <c r="O411" t="n">
        <v>440</v>
      </c>
      <c r="P411" t="n">
        <v>27</v>
      </c>
      <c r="Q411" t="n">
        <v>50</v>
      </c>
      <c r="R411" t="n">
        <v>900</v>
      </c>
      <c r="S411" t="n">
        <v>1000</v>
      </c>
      <c r="T411" t="n">
        <v>140</v>
      </c>
      <c r="U411" t="n">
        <v>25</v>
      </c>
      <c r="V411" t="n">
        <v>2</v>
      </c>
      <c r="W411" t="n">
        <v>3</v>
      </c>
      <c r="X411" t="n">
        <v>0</v>
      </c>
      <c r="Y411" t="n">
        <v>10000</v>
      </c>
      <c r="Z411" t="n">
        <v>0</v>
      </c>
      <c r="AA411" t="n">
        <v>965</v>
      </c>
      <c r="AB411" t="n">
        <v>10</v>
      </c>
      <c r="AC411" t="n">
        <v>1</v>
      </c>
      <c r="AD411" t="n">
        <v>176</v>
      </c>
      <c r="AE411" t="n">
        <v>7</v>
      </c>
      <c r="AF411" t="n">
        <v>9</v>
      </c>
      <c r="AG411" t="n">
        <v>25</v>
      </c>
      <c r="AH411" t="n">
        <v>6</v>
      </c>
      <c r="AI411" t="n">
        <v>3</v>
      </c>
      <c r="AJ411" t="n">
        <v>480</v>
      </c>
      <c r="AK411" t="n">
        <v>145</v>
      </c>
      <c r="AL411" t="n">
        <v>50</v>
      </c>
      <c r="AM411" t="n">
        <v>83</v>
      </c>
      <c r="AN411" t="n">
        <v>20</v>
      </c>
      <c r="AO411" t="n">
        <v>1</v>
      </c>
      <c r="AP411" t="n">
        <v>0</v>
      </c>
      <c r="AQ411" t="n">
        <v>890</v>
      </c>
      <c r="AR411" t="n">
        <v>0</v>
      </c>
      <c r="AS411" t="n">
        <v>890</v>
      </c>
      <c r="AT411" t="n">
        <v>1041</v>
      </c>
      <c r="AU411" t="n">
        <v>1237</v>
      </c>
      <c r="AV411" t="n">
        <v>0</v>
      </c>
      <c r="AW411" t="n">
        <v>2278</v>
      </c>
      <c r="AX411" t="n">
        <v>5732</v>
      </c>
      <c r="AY411" t="n">
        <v>0</v>
      </c>
      <c r="AZ411" t="n">
        <v>0</v>
      </c>
      <c r="BA411" t="n">
        <v>5732</v>
      </c>
      <c r="BB411" t="n">
        <v>0</v>
      </c>
      <c r="BC411" t="n">
        <v>0</v>
      </c>
      <c r="BD411" t="n">
        <v>0</v>
      </c>
      <c r="BE411" t="n">
        <v>0</v>
      </c>
      <c r="BF411" t="n">
        <v>0</v>
      </c>
      <c r="BG411">
        <f>IF($F411=0,"0",MIN(
BH411/(30*$F411),
BI411/(61*$F411),
BJ411/(48*$F411),
(BK411+BL411)/(23*$F411),
(BM411+BN411)/(41*$F411),
BO411/(25*$F411),
BP411/(6.6*$F411),
BQ411/(40*$F411),
BS411/(16*$F411)
)*100)</f>
        <v/>
      </c>
      <c r="BH411" t="n">
        <v>14</v>
      </c>
      <c r="BI411" t="n">
        <v>30</v>
      </c>
      <c r="BJ411" t="n">
        <v>30</v>
      </c>
      <c r="BK411" t="n">
        <v>31</v>
      </c>
      <c r="BL411" t="n">
        <v>10</v>
      </c>
      <c r="BM411" t="n">
        <v>19</v>
      </c>
      <c r="BN411" t="n">
        <v>21</v>
      </c>
      <c r="BO411" t="n">
        <v>29</v>
      </c>
      <c r="BP411" t="n">
        <v>6</v>
      </c>
      <c r="BQ411" t="n">
        <v>41</v>
      </c>
      <c r="BR411" t="n">
        <v>18</v>
      </c>
      <c r="BS411" t="n">
        <v>18</v>
      </c>
      <c r="BT411" t="n">
        <v>267</v>
      </c>
      <c r="BU411" t="n">
        <v>41</v>
      </c>
      <c r="BV411" t="n">
        <v>94</v>
      </c>
      <c r="BW411" t="n">
        <v>145</v>
      </c>
      <c r="BX411" t="n">
        <v>16</v>
      </c>
      <c r="BY411" t="n">
        <v>29</v>
      </c>
      <c r="BZ411" t="n">
        <v>34</v>
      </c>
      <c r="CA411" t="n">
        <v>359</v>
      </c>
      <c r="CB411" t="n">
        <v>18</v>
      </c>
      <c r="CC411" t="n">
        <v>8</v>
      </c>
      <c r="CD411" t="n">
        <v>1</v>
      </c>
      <c r="CE411" t="n">
        <v>39</v>
      </c>
      <c r="CF411" t="n">
        <v>39</v>
      </c>
      <c r="CG411" t="n">
        <v>0</v>
      </c>
      <c r="CH411" t="n">
        <v>0</v>
      </c>
      <c r="CI411" t="n">
        <v>0</v>
      </c>
      <c r="CJ411" t="n">
        <v>0</v>
      </c>
      <c r="CK411" t="n">
        <v>0</v>
      </c>
      <c r="CL411" t="n">
        <v>0</v>
      </c>
      <c r="CM411" t="n">
        <v>0</v>
      </c>
      <c r="CN411" t="n">
        <v>8</v>
      </c>
      <c r="CO411" t="n">
        <v>0</v>
      </c>
      <c r="CP411" t="n">
        <v>1</v>
      </c>
      <c r="CQ411" t="n">
        <v>0</v>
      </c>
      <c r="CR411" t="n">
        <v>0</v>
      </c>
      <c r="CS411" t="n">
        <v>0</v>
      </c>
      <c r="CT411" t="n">
        <v>9</v>
      </c>
      <c r="CU411" t="n">
        <v>0</v>
      </c>
      <c r="CV411" t="n">
        <v>0</v>
      </c>
      <c r="CW411" t="n">
        <v>1</v>
      </c>
      <c r="CX411" t="n">
        <v>0</v>
      </c>
      <c r="CY411" t="n">
        <v>30</v>
      </c>
      <c r="CZ411" t="n">
        <v>0</v>
      </c>
      <c r="DA411" t="n">
        <v>0</v>
      </c>
      <c r="DB411" t="n">
        <v>0</v>
      </c>
      <c r="DC411" t="n">
        <v>31</v>
      </c>
      <c r="DD411" t="n">
        <v>0</v>
      </c>
      <c r="DE411" t="n">
        <v>0</v>
      </c>
      <c r="DF411" t="n">
        <v>39</v>
      </c>
      <c r="DG411" t="n">
        <v>1</v>
      </c>
      <c r="DH411" t="n">
        <v>0</v>
      </c>
      <c r="DI411" t="n">
        <v>0</v>
      </c>
      <c r="DJ411" t="n">
        <v>0</v>
      </c>
      <c r="DK411" t="n">
        <v>0</v>
      </c>
      <c r="DL411" t="n">
        <v>0</v>
      </c>
      <c r="DM411" t="n">
        <v>0</v>
      </c>
      <c r="DN411" t="n">
        <v>0</v>
      </c>
      <c r="DO411" t="n">
        <v>0</v>
      </c>
      <c r="DP411" t="n">
        <v>0</v>
      </c>
      <c r="DQ411" t="n">
        <v>0</v>
      </c>
      <c r="DR411" t="n">
        <v>0</v>
      </c>
      <c r="DS411" t="n">
        <v>40</v>
      </c>
      <c r="DT411" t="n">
        <v>80</v>
      </c>
      <c r="DU411" t="n">
        <v>20</v>
      </c>
      <c r="DV411" t="n">
        <v>0</v>
      </c>
      <c r="DW411" t="n">
        <v>0</v>
      </c>
      <c r="DX411" t="n">
        <v>0</v>
      </c>
      <c r="DY411" t="n">
        <v>1035</v>
      </c>
      <c r="DZ411" t="n">
        <v>115</v>
      </c>
      <c r="EA411" t="n">
        <v>575</v>
      </c>
      <c r="EB411" t="n">
        <v>460</v>
      </c>
      <c r="EC411" t="n">
        <v>115</v>
      </c>
      <c r="ED411" t="n">
        <v>932</v>
      </c>
      <c r="EE411" t="n">
        <v>1369</v>
      </c>
      <c r="EF411" t="n">
        <v>0</v>
      </c>
      <c r="EG411" t="n">
        <v>1</v>
      </c>
      <c r="EH411" t="n">
        <v>0.5</v>
      </c>
      <c r="EI411" t="n">
        <v>1.4</v>
      </c>
      <c r="EJ411" t="n">
        <v>0.1</v>
      </c>
      <c r="EK411" t="n">
        <v>0.7</v>
      </c>
    </row>
    <row r="412">
      <c r="A412">
        <f>[1]ingredient!B412</f>
        <v/>
      </c>
      <c r="B412" t="inlineStr">
        <is>
          <t>https://www.naehrwertrechner.de/naehrwerte/J372001/Tempeh/?menge=100</t>
        </is>
      </c>
      <c r="C412" s="7">
        <f>_xlfn.XLOOKUP(A412,[1]ingredient!$B$2:$B$521,[1]ingredient!$A$2:$A$521)</f>
        <v/>
      </c>
      <c r="D412" t="n">
        <v>152</v>
      </c>
      <c r="E412" t="n">
        <v>8</v>
      </c>
      <c r="F412" t="n">
        <v>19</v>
      </c>
      <c r="G412" t="n">
        <v>2</v>
      </c>
      <c r="H412" t="n">
        <v>7</v>
      </c>
      <c r="I412" t="n">
        <v>2</v>
      </c>
      <c r="J412" t="n">
        <v>0.04</v>
      </c>
      <c r="K412" t="n">
        <v>63</v>
      </c>
      <c r="L412" t="n">
        <v>4</v>
      </c>
      <c r="M412" t="n">
        <v>2</v>
      </c>
      <c r="N412" t="n">
        <v>0</v>
      </c>
      <c r="O412" t="n">
        <v>25</v>
      </c>
      <c r="P412" t="n">
        <v>260</v>
      </c>
      <c r="Q412" t="n">
        <v>650</v>
      </c>
      <c r="R412" t="n">
        <v>1300</v>
      </c>
      <c r="S412" t="n">
        <v>5083</v>
      </c>
      <c r="T412" t="n">
        <v>300</v>
      </c>
      <c r="U412" t="n">
        <v>300</v>
      </c>
      <c r="V412" t="n">
        <v>53</v>
      </c>
      <c r="W412" t="n">
        <v>156</v>
      </c>
      <c r="X412" t="n">
        <v>0.8</v>
      </c>
      <c r="Y412" t="n">
        <v>0</v>
      </c>
      <c r="Z412" t="n">
        <v>0</v>
      </c>
      <c r="AA412" t="n">
        <v>1000</v>
      </c>
      <c r="AB412" t="n">
        <v>120</v>
      </c>
      <c r="AC412" t="n">
        <v>8</v>
      </c>
      <c r="AD412" t="n">
        <v>250</v>
      </c>
      <c r="AE412" t="n">
        <v>142</v>
      </c>
      <c r="AF412" t="n">
        <v>230</v>
      </c>
      <c r="AG412" t="n">
        <v>240</v>
      </c>
      <c r="AH412" t="n">
        <v>65</v>
      </c>
      <c r="AI412" t="n">
        <v>30</v>
      </c>
      <c r="AJ412" t="n">
        <v>5000</v>
      </c>
      <c r="AK412" t="n">
        <v>3800</v>
      </c>
      <c r="AL412" t="n">
        <v>800</v>
      </c>
      <c r="AM412" t="n">
        <v>1200</v>
      </c>
      <c r="AN412" t="n">
        <v>26</v>
      </c>
      <c r="AO412" t="n">
        <v>3</v>
      </c>
      <c r="AP412" t="n">
        <v>0</v>
      </c>
      <c r="AQ412" t="n">
        <v>0</v>
      </c>
      <c r="AR412" t="n">
        <v>0</v>
      </c>
      <c r="AS412" t="n">
        <v>0</v>
      </c>
      <c r="AT412" t="n">
        <v>0</v>
      </c>
      <c r="AU412" t="n">
        <v>0</v>
      </c>
      <c r="AV412" t="n">
        <v>0</v>
      </c>
      <c r="AW412" t="n">
        <v>0</v>
      </c>
      <c r="AX412" t="n">
        <v>1782</v>
      </c>
      <c r="AY412" t="n">
        <v>0</v>
      </c>
      <c r="AZ412" t="n">
        <v>0</v>
      </c>
      <c r="BA412" t="n">
        <v>1782</v>
      </c>
      <c r="BB412" t="n">
        <v>0</v>
      </c>
      <c r="BC412" t="n">
        <v>900</v>
      </c>
      <c r="BD412" t="n">
        <v>0</v>
      </c>
      <c r="BE412" t="n">
        <v>18</v>
      </c>
      <c r="BF412" t="n">
        <v>18</v>
      </c>
      <c r="BG412">
        <f>IF($F412=0,"0",MIN(
BH412/(30*$F412),
BI412/(61*$F412),
BJ412/(48*$F412),
(BK412+BL412)/(23*$F412),
(BM412+BN412)/(41*$F412),
BO412/(25*$F412),
BP412/(6.6*$F412),
BQ412/(40*$F412),
BS412/(16*$F412)
)*100)</f>
        <v/>
      </c>
      <c r="BH412" t="n">
        <v>1042</v>
      </c>
      <c r="BI412" t="n">
        <v>1647</v>
      </c>
      <c r="BJ412" t="n">
        <v>1137</v>
      </c>
      <c r="BK412" t="n">
        <v>208</v>
      </c>
      <c r="BL412" t="n">
        <v>303</v>
      </c>
      <c r="BM412" t="n">
        <v>948</v>
      </c>
      <c r="BN412" t="n">
        <v>512</v>
      </c>
      <c r="BO412" t="n">
        <v>758</v>
      </c>
      <c r="BP412" t="n">
        <v>227</v>
      </c>
      <c r="BQ412" t="n">
        <v>1042</v>
      </c>
      <c r="BR412" t="n">
        <v>1270</v>
      </c>
      <c r="BS412" t="n">
        <v>531</v>
      </c>
      <c r="BT412" t="n">
        <v>9625</v>
      </c>
      <c r="BU412" t="n">
        <v>891</v>
      </c>
      <c r="BV412" t="n">
        <v>2236</v>
      </c>
      <c r="BW412" t="n">
        <v>3108</v>
      </c>
      <c r="BX412" t="n">
        <v>815</v>
      </c>
      <c r="BY412" t="n">
        <v>948</v>
      </c>
      <c r="BZ412" t="n">
        <v>853</v>
      </c>
      <c r="CA412" t="n">
        <v>8851</v>
      </c>
      <c r="CB412" t="n">
        <v>110</v>
      </c>
      <c r="CC412" t="n">
        <v>46</v>
      </c>
      <c r="CD412" t="n">
        <v>557</v>
      </c>
      <c r="CE412" t="n">
        <v>4094</v>
      </c>
      <c r="CF412" t="n">
        <v>7.35</v>
      </c>
      <c r="CG412" t="n">
        <v>0</v>
      </c>
      <c r="CH412" t="n">
        <v>0</v>
      </c>
      <c r="CI412" t="n">
        <v>0</v>
      </c>
      <c r="CJ412" t="n">
        <v>0</v>
      </c>
      <c r="CK412" t="n">
        <v>7</v>
      </c>
      <c r="CL412" t="n">
        <v>14</v>
      </c>
      <c r="CM412" t="n">
        <v>0</v>
      </c>
      <c r="CN412" t="n">
        <v>786</v>
      </c>
      <c r="CO412" t="n">
        <v>0</v>
      </c>
      <c r="CP412" t="n">
        <v>271</v>
      </c>
      <c r="CQ412" t="n">
        <v>21</v>
      </c>
      <c r="CR412" t="n">
        <v>7</v>
      </c>
      <c r="CS412" t="n">
        <v>0</v>
      </c>
      <c r="CT412" t="n">
        <v>1106</v>
      </c>
      <c r="CU412" t="n">
        <v>0</v>
      </c>
      <c r="CV412" t="n">
        <v>0</v>
      </c>
      <c r="CW412" t="n">
        <v>14</v>
      </c>
      <c r="CX412" t="n">
        <v>0</v>
      </c>
      <c r="CY412" t="n">
        <v>1357</v>
      </c>
      <c r="CZ412" t="n">
        <v>14</v>
      </c>
      <c r="DA412" t="n">
        <v>0</v>
      </c>
      <c r="DB412" t="n">
        <v>0</v>
      </c>
      <c r="DC412" t="n">
        <v>1385</v>
      </c>
      <c r="DD412" t="n">
        <v>0</v>
      </c>
      <c r="DE412" t="n">
        <v>0</v>
      </c>
      <c r="DF412" t="n">
        <v>4094</v>
      </c>
      <c r="DG412" t="n">
        <v>557</v>
      </c>
      <c r="DH412" t="n">
        <v>0</v>
      </c>
      <c r="DI412" t="n">
        <v>0</v>
      </c>
      <c r="DJ412" t="n">
        <v>0</v>
      </c>
      <c r="DK412" t="n">
        <v>0</v>
      </c>
      <c r="DL412" t="n">
        <v>0</v>
      </c>
      <c r="DM412" t="n">
        <v>0</v>
      </c>
      <c r="DN412" t="n">
        <v>0</v>
      </c>
      <c r="DO412" t="n">
        <v>0</v>
      </c>
      <c r="DP412" t="n">
        <v>0</v>
      </c>
      <c r="DQ412" t="n">
        <v>0</v>
      </c>
      <c r="DR412" t="n">
        <v>0</v>
      </c>
      <c r="DS412" t="n">
        <v>4651</v>
      </c>
      <c r="DT412" t="n">
        <v>7142</v>
      </c>
      <c r="DU412" t="n">
        <v>538</v>
      </c>
      <c r="DV412" t="n">
        <v>0</v>
      </c>
      <c r="DW412" t="n">
        <v>0</v>
      </c>
      <c r="DX412" t="n">
        <v>0</v>
      </c>
      <c r="DY412" t="n">
        <v>1625</v>
      </c>
      <c r="DZ412" t="n">
        <v>2372</v>
      </c>
      <c r="EA412" t="n">
        <v>910</v>
      </c>
      <c r="EB412" t="n">
        <v>1560</v>
      </c>
      <c r="EC412" t="n">
        <v>33</v>
      </c>
      <c r="ED412" t="n">
        <v>3250</v>
      </c>
      <c r="EE412" t="n">
        <v>3250</v>
      </c>
      <c r="EF412" t="n">
        <v>0</v>
      </c>
      <c r="EG412" t="n">
        <v>0</v>
      </c>
      <c r="EH412" t="n">
        <v>1.4</v>
      </c>
      <c r="EI412" t="n">
        <v>3.3</v>
      </c>
      <c r="EJ412" t="n">
        <v>7.7</v>
      </c>
      <c r="EK412" t="n">
        <v>18.8</v>
      </c>
    </row>
    <row r="413">
      <c r="A413" s="9">
        <f>[1]ingredient!B413</f>
        <v/>
      </c>
      <c r="C413" s="7">
        <f>_xlfn.XLOOKUP(A413,[1]ingredient!$B$2:$B$521,[1]ingredient!$A$2:$A$521)</f>
        <v/>
      </c>
      <c r="D413" s="10">
        <f>(5*D166+10*D307+100*D81+150*D386+20*D11)/285</f>
        <v/>
      </c>
      <c r="E413" s="10">
        <f>(5*E166+10*E307+100*E81+150*E386+20*E11)/285</f>
        <v/>
      </c>
      <c r="F413" s="10">
        <f>(5*F166+10*F307+100*F81+150*F386+20*F11)/285</f>
        <v/>
      </c>
      <c r="G413" s="10">
        <f>(5*G166+10*G307+100*G81+150*G386+20*G11)/285</f>
        <v/>
      </c>
      <c r="H413" s="10">
        <f>(5*H166+10*H307+100*H81+150*H386+20*H11)/285</f>
        <v/>
      </c>
      <c r="I413" s="10">
        <f>(5*I166+10*I307+100*I81+150*I386+20*I11)/285</f>
        <v/>
      </c>
      <c r="J413" s="10">
        <f>(5*J166+10*J307+100*J81+150*J386+20*J11)/285</f>
        <v/>
      </c>
      <c r="K413" s="10">
        <f>(5*K166+10*K307+100*K81+150*K386+20*K11)/285</f>
        <v/>
      </c>
      <c r="L413" s="10">
        <f>(5*L166+10*L307+100*L81+150*L386+20*L11)/285</f>
        <v/>
      </c>
      <c r="M413" s="10">
        <f>(5*M166+10*M307+100*M81+150*M386+20*M11)/285</f>
        <v/>
      </c>
      <c r="N413" s="10">
        <f>(5*N166+10*N307+100*N81+150*N386+20*N11)/285</f>
        <v/>
      </c>
      <c r="O413" s="10">
        <f>(5*O166+10*O307+100*O81+150*O386+20*O11)/285</f>
        <v/>
      </c>
      <c r="P413" s="10">
        <f>(5*P166+10*P307+100*P81+150*P386+20*P11)/285</f>
        <v/>
      </c>
      <c r="Q413" s="10">
        <f>(5*Q166+10*Q307+100*Q81+150*Q386+20*Q11)/285</f>
        <v/>
      </c>
      <c r="R413" s="10">
        <f>(5*R166+10*R307+100*R81+150*R386+20*R11)/285</f>
        <v/>
      </c>
      <c r="S413" s="10">
        <f>(5*S166+10*S307+100*S81+150*S386+20*S11)/285</f>
        <v/>
      </c>
      <c r="T413" s="10">
        <f>(5*T166+10*T307+100*T81+150*T386+20*T11)/285</f>
        <v/>
      </c>
      <c r="U413" s="10">
        <f>(5*U166+10*U307+100*U81+150*U386+20*U11)/285</f>
        <v/>
      </c>
      <c r="V413" s="10">
        <f>(5*V166+10*V307+100*V81+150*V386+20*V11)/285</f>
        <v/>
      </c>
      <c r="W413" s="10">
        <f>(5*W166+10*W307+100*W81+150*W386+20*W11)/285</f>
        <v/>
      </c>
      <c r="X413" s="10">
        <f>(5*X166+10*X307+100*X81+150*X386+20*X11)/285</f>
        <v/>
      </c>
      <c r="Y413" s="10">
        <f>(5*Y166+10*Y307+100*Y81+150*Y386+20*Y11)/285</f>
        <v/>
      </c>
      <c r="Z413" s="10">
        <f>(5*Z166+10*Z307+100*Z81+150*Z386+20*Z11)/285</f>
        <v/>
      </c>
      <c r="AA413" s="10">
        <f>(5*AA166+10*AA307+100*AA81+150*AA386+20*AA11)/285</f>
        <v/>
      </c>
      <c r="AB413" s="10">
        <f>(5*AB166+10*AB307+100*AB81+150*AB386+20*AB11)/285</f>
        <v/>
      </c>
      <c r="AC413" s="10">
        <f>(5*AC166+10*AC307+100*AC81+150*AC386+20*AC11)/285</f>
        <v/>
      </c>
      <c r="AD413" s="10">
        <f>(5*AD166+10*AD307+100*AD81+150*AD386+20*AD11)/285</f>
        <v/>
      </c>
      <c r="AE413" s="10">
        <f>(5*AE166+10*AE307+100*AE81+150*AE386+20*AE11)/285</f>
        <v/>
      </c>
      <c r="AF413" s="10">
        <f>(5*AF166+10*AF307+100*AF81+150*AF386+20*AF11)/285</f>
        <v/>
      </c>
      <c r="AG413" s="10">
        <f>(5*AG166+10*AG307+100*AG81+150*AG386+20*AG11)/285</f>
        <v/>
      </c>
      <c r="AH413" s="10">
        <f>(5*AH166+10*AH307+100*AH81+150*AH386+20*AH11)/285</f>
        <v/>
      </c>
      <c r="AI413" s="10">
        <f>(5*AI166+10*AI307+100*AI81+150*AI386+20*AI11)/285</f>
        <v/>
      </c>
      <c r="AJ413" s="10">
        <f>(5*AJ166+10*AJ307+100*AJ81+150*AJ386+20*AJ11)/285</f>
        <v/>
      </c>
      <c r="AK413" s="10">
        <f>(5*AK166+10*AK307+100*AK81+150*AK386+20*AK11)/285</f>
        <v/>
      </c>
      <c r="AL413" s="10">
        <f>(5*AL166+10*AL307+100*AL81+150*AL386+20*AL11)/285</f>
        <v/>
      </c>
      <c r="AM413" s="10">
        <f>(5*AM166+10*AM307+100*AM81+150*AM386+20*AM11)/285</f>
        <v/>
      </c>
      <c r="AN413" s="10">
        <f>(5*AN166+10*AN307+100*AN81+150*AN386+20*AN11)/285</f>
        <v/>
      </c>
      <c r="AO413" s="10">
        <f>(5*AO166+10*AO307+100*AO81+150*AO386+20*AO11)/285</f>
        <v/>
      </c>
      <c r="AP413" s="10">
        <f>(5*AP166+10*AP307+100*AP81+150*AP386+20*AP11)/285</f>
        <v/>
      </c>
      <c r="AQ413" s="10">
        <f>(5*AQ166+10*AQ307+100*AQ81+150*AQ386+20*AQ11)/285</f>
        <v/>
      </c>
      <c r="AR413" s="10">
        <f>(5*AR166+10*AR307+100*AR81+150*AR386+20*AR11)/285</f>
        <v/>
      </c>
      <c r="AS413" s="10">
        <f>(5*AS166+10*AS307+100*AS81+150*AS386+20*AS11)/285</f>
        <v/>
      </c>
      <c r="AT413" s="10">
        <f>(5*AT166+10*AT307+100*AT81+150*AT386+20*AT11)/285</f>
        <v/>
      </c>
      <c r="AU413" s="10">
        <f>(5*AU166+10*AU307+100*AU81+150*AU386+20*AU11)/285</f>
        <v/>
      </c>
      <c r="AV413" s="10">
        <f>(5*AV166+10*AV307+100*AV81+150*AV386+20*AV11)/285</f>
        <v/>
      </c>
      <c r="AW413" s="10">
        <f>(5*AW166+10*AW307+100*AW81+150*AW386+20*AW11)/285</f>
        <v/>
      </c>
      <c r="AX413" s="10">
        <f>(5*AX166+10*AX307+100*AX81+150*AX386+20*AX11)/285</f>
        <v/>
      </c>
      <c r="AY413" s="10">
        <f>(5*AY166+10*AY307+100*AY81+150*AY386+20*AY11)/285</f>
        <v/>
      </c>
      <c r="AZ413" s="10">
        <f>(5*AZ166+10*AZ307+100*AZ81+150*AZ386+20*AZ11)/285</f>
        <v/>
      </c>
      <c r="BA413" s="10">
        <f>(5*BA166+10*BA307+100*BA81+150*BA386+20*BA11)/285</f>
        <v/>
      </c>
      <c r="BB413" s="10">
        <f>(5*BB166+10*BB307+100*BB81+150*BB386+20*BB11)/285</f>
        <v/>
      </c>
      <c r="BC413" s="10">
        <f>(5*BC166+10*BC307+100*BC81+150*BC386+20*BC11)/285</f>
        <v/>
      </c>
      <c r="BD413" s="10">
        <f>(5*BD166+10*BD307+100*BD81+150*BD386+20*BD11)/285</f>
        <v/>
      </c>
      <c r="BE413" s="10">
        <f>(5*BE166+10*BE307+100*BE81+150*BE386+20*BE11)/285</f>
        <v/>
      </c>
      <c r="BF413" s="10">
        <f>(5*BF166+10*BF307+100*BF81+150*BF386+20*BF11)/285</f>
        <v/>
      </c>
      <c r="BG413">
        <f>IF($F413=0,"0",MIN(
BH413/(30*$F413),
BI413/(61*$F413),
BJ413/(48*$F413),
(BK413+BL413)/(23*$F413),
(BM413+BN413)/(41*$F413),
BO413/(25*$F413),
BP413/(6.6*$F413),
BQ413/(40*$F413),
BS413/(16*$F413)
)*100)</f>
        <v/>
      </c>
      <c r="BH413" s="10">
        <f>(5*BH166+10*BH307+100*BH81+150*BH386+20*BH11)/285</f>
        <v/>
      </c>
      <c r="BI413" s="10">
        <f>(5*BI166+10*BI307+100*BI81+150*BI386+20*BI11)/285</f>
        <v/>
      </c>
      <c r="BJ413" s="10">
        <f>(5*BJ166+10*BJ307+100*BJ81+150*BJ386+20*BJ11)/285</f>
        <v/>
      </c>
      <c r="BK413" s="10">
        <f>(5*BK166+10*BK307+100*BK81+150*BK386+20*BK11)/285</f>
        <v/>
      </c>
      <c r="BL413" s="10">
        <f>(5*BL166+10*BL307+100*BL81+150*BL386+20*BL11)/285</f>
        <v/>
      </c>
      <c r="BM413" s="10">
        <f>(5*BM166+10*BM307+100*BM81+150*BM386+20*BM11)/285</f>
        <v/>
      </c>
      <c r="BN413" s="10">
        <f>(5*BN166+10*BN307+100*BN81+150*BN386+20*BN11)/285</f>
        <v/>
      </c>
      <c r="BO413" s="10">
        <f>(5*BO166+10*BO307+100*BO81+150*BO386+20*BO11)/285</f>
        <v/>
      </c>
      <c r="BP413" s="10">
        <f>(5*BP166+10*BP307+100*BP81+150*BP386+20*BP11)/285</f>
        <v/>
      </c>
      <c r="BQ413" s="10">
        <f>(5*BQ166+10*BQ307+100*BQ81+150*BQ386+20*BQ11)/285</f>
        <v/>
      </c>
      <c r="BR413" s="10">
        <f>(5*BR166+10*BR307+100*BR81+150*BR386+20*BR11)/285</f>
        <v/>
      </c>
      <c r="BS413" s="10">
        <f>(5*BS166+10*BS307+100*BS81+150*BS386+20*BS11)/285</f>
        <v/>
      </c>
      <c r="BT413" s="10">
        <f>(5*BT166+10*BT307+100*BT81+150*BT386+20*BT11)/285</f>
        <v/>
      </c>
      <c r="BU413" s="10">
        <f>(5*BU166+10*BU307+100*BU81+150*BU386+20*BU11)/285</f>
        <v/>
      </c>
      <c r="BV413" s="10">
        <f>(5*BV166+10*BV307+100*BV81+150*BV386+20*BV11)/285</f>
        <v/>
      </c>
      <c r="BW413" s="10">
        <f>(5*BW166+10*BW307+100*BW81+150*BW386+20*BW11)/285</f>
        <v/>
      </c>
      <c r="BX413" s="10">
        <f>(5*BX166+10*BX307+100*BX81+150*BX386+20*BX11)/285</f>
        <v/>
      </c>
      <c r="BY413" s="10">
        <f>(5*BY166+10*BY307+100*BY81+150*BY386+20*BY11)/285</f>
        <v/>
      </c>
      <c r="BZ413" s="10">
        <f>(5*BZ166+10*BZ307+100*BZ81+150*BZ386+20*BZ11)/285</f>
        <v/>
      </c>
      <c r="CA413" s="10">
        <f>(5*CA166+10*CA307+100*CA81+150*CA386+20*CA11)/285</f>
        <v/>
      </c>
      <c r="CB413" s="10">
        <f>(5*CB166+10*CB307+100*CB81+150*CB386+20*CB11)/285</f>
        <v/>
      </c>
      <c r="CC413" s="10">
        <f>(5*CC166+10*CC307+100*CC81+150*CC386+20*CC11)/285</f>
        <v/>
      </c>
      <c r="CD413" s="10">
        <f>(5*CD166+10*CD307+100*CD81+150*CD386+20*CD11)/285</f>
        <v/>
      </c>
      <c r="CE413" s="10">
        <f>(5*CE166+10*CE307+100*CE81+150*CE386+20*CE11)/285</f>
        <v/>
      </c>
      <c r="CF413" s="10">
        <f>(5*CF166+10*CF307+100*CF81+150*CF386+20*CF11)/285</f>
        <v/>
      </c>
      <c r="CG413" s="10">
        <f>(5*CG166+10*CG307+100*CG81+150*CG386+20*CG11)/285</f>
        <v/>
      </c>
      <c r="CH413" s="10">
        <f>(5*CH166+10*CH307+100*CH81+150*CH386+20*CH11)/285</f>
        <v/>
      </c>
      <c r="CI413" s="10">
        <f>(5*CI166+10*CI307+100*CI81+150*CI386+20*CI11)/285</f>
        <v/>
      </c>
      <c r="CJ413" s="10">
        <f>(5*CJ166+10*CJ307+100*CJ81+150*CJ386+20*CJ11)/285</f>
        <v/>
      </c>
      <c r="CK413" s="10">
        <f>(5*CK166+10*CK307+100*CK81+150*CK386+20*CK11)/285</f>
        <v/>
      </c>
      <c r="CL413" s="10">
        <f>(5*CL166+10*CL307+100*CL81+150*CL386+20*CL11)/285</f>
        <v/>
      </c>
      <c r="CM413" s="10">
        <f>(5*CM166+10*CM307+100*CM81+150*CM386+20*CM11)/285</f>
        <v/>
      </c>
      <c r="CN413" s="10">
        <f>(5*CN166+10*CN307+100*CN81+150*CN386+20*CN11)/285</f>
        <v/>
      </c>
      <c r="CO413" s="10">
        <f>(5*CO166+10*CO307+100*CO81+150*CO386+20*CO11)/285</f>
        <v/>
      </c>
      <c r="CP413" s="10">
        <f>(5*CP166+10*CP307+100*CP81+150*CP386+20*CP11)/285</f>
        <v/>
      </c>
      <c r="CQ413" s="10">
        <f>(5*CQ166+10*CQ307+100*CQ81+150*CQ386+20*CQ11)/285</f>
        <v/>
      </c>
      <c r="CR413" s="10">
        <f>(5*CR166+10*CR307+100*CR81+150*CR386+20*CR11)/285</f>
        <v/>
      </c>
      <c r="CS413" s="10">
        <f>(5*CS166+10*CS307+100*CS81+150*CS386+20*CS11)/285</f>
        <v/>
      </c>
      <c r="CT413" s="10">
        <f>(5*CT166+10*CT307+100*CT81+150*CT386+20*CT11)/285</f>
        <v/>
      </c>
      <c r="CU413" s="10">
        <f>(5*CU166+10*CU307+100*CU81+150*CU386+20*CU11)/285</f>
        <v/>
      </c>
      <c r="CV413" s="10">
        <f>(5*CV166+10*CV307+100*CV81+150*CV386+20*CV11)/285</f>
        <v/>
      </c>
      <c r="CW413" s="10">
        <f>(5*CW166+10*CW307+100*CW81+150*CW386+20*CW11)/285</f>
        <v/>
      </c>
      <c r="CX413" s="10">
        <f>(5*CX166+10*CX307+100*CX81+150*CX386+20*CX11)/285</f>
        <v/>
      </c>
      <c r="CY413" s="10">
        <f>(5*CY166+10*CY307+100*CY81+150*CY386+20*CY11)/285</f>
        <v/>
      </c>
      <c r="CZ413" s="10">
        <f>(5*CZ166+10*CZ307+100*CZ81+150*CZ386+20*CZ11)/285</f>
        <v/>
      </c>
      <c r="DA413" s="10">
        <f>(5*DA166+10*DA307+100*DA81+150*DA386+20*DA11)/285</f>
        <v/>
      </c>
      <c r="DB413" s="10">
        <f>(5*DB166+10*DB307+100*DB81+150*DB386+20*DB11)/285</f>
        <v/>
      </c>
      <c r="DC413" s="10">
        <f>(5*DC166+10*DC307+100*DC81+150*DC386+20*DC11)/285</f>
        <v/>
      </c>
      <c r="DD413" s="10">
        <f>(5*DD166+10*DD307+100*DD81+150*DD386+20*DD11)/285</f>
        <v/>
      </c>
      <c r="DE413" s="10">
        <f>(5*DE166+10*DE307+100*DE81+150*DE386+20*DE11)/285</f>
        <v/>
      </c>
      <c r="DF413" s="10">
        <f>(5*DF166+10*DF307+100*DF81+150*DF386+20*DF11)/285</f>
        <v/>
      </c>
      <c r="DG413" s="10">
        <f>(5*DG166+10*DG307+100*DG81+150*DG386+20*DG11)/285</f>
        <v/>
      </c>
      <c r="DH413" s="10">
        <f>(5*DH166+10*DH307+100*DH81+150*DH386+20*DH11)/285</f>
        <v/>
      </c>
      <c r="DI413" s="10">
        <f>(5*DI166+10*DI307+100*DI81+150*DI386+20*DI11)/285</f>
        <v/>
      </c>
      <c r="DJ413" s="10">
        <f>(5*DJ166+10*DJ307+100*DJ81+150*DJ386+20*DJ11)/285</f>
        <v/>
      </c>
      <c r="DK413" s="10">
        <f>(5*DK166+10*DK307+100*DK81+150*DK386+20*DK11)/285</f>
        <v/>
      </c>
      <c r="DL413" s="10">
        <f>(5*DL166+10*DL307+100*DL81+150*DL386+20*DL11)/285</f>
        <v/>
      </c>
      <c r="DM413" s="10">
        <f>(5*DM166+10*DM307+100*DM81+150*DM386+20*DM11)/285</f>
        <v/>
      </c>
      <c r="DN413" s="10">
        <f>(5*DN166+10*DN307+100*DN81+150*DN386+20*DN11)/285</f>
        <v/>
      </c>
      <c r="DO413" s="10">
        <f>(5*DO166+10*DO307+100*DO81+150*DO386+20*DO11)/285</f>
        <v/>
      </c>
      <c r="DP413" s="10">
        <f>(5*DP166+10*DP307+100*DP81+150*DP386+20*DP11)/285</f>
        <v/>
      </c>
      <c r="DQ413" s="10">
        <f>(5*DQ166+10*DQ307+100*DQ81+150*DQ386+20*DQ11)/285</f>
        <v/>
      </c>
      <c r="DR413" s="10">
        <f>(5*DR166+10*DR307+100*DR81+150*DR386+20*DR11)/285</f>
        <v/>
      </c>
      <c r="DS413" s="10">
        <f>(5*DS166+10*DS307+100*DS81+150*DS386+20*DS11)/285</f>
        <v/>
      </c>
      <c r="DT413" s="10">
        <f>(5*DT166+10*DT307+100*DT81+150*DT386+20*DT11)/285</f>
        <v/>
      </c>
      <c r="DU413" s="10">
        <f>(5*DU166+10*DU307+100*DU81+150*DU386+20*DU11)/285</f>
        <v/>
      </c>
      <c r="DV413" s="10">
        <f>(5*DV166+10*DV307+100*DV81+150*DV386+20*DV11)/285</f>
        <v/>
      </c>
      <c r="DW413" s="10">
        <f>(5*DW166+10*DW307+100*DW81+150*DW386+20*DW11)/285</f>
        <v/>
      </c>
      <c r="DX413" s="10">
        <f>(5*DX166+10*DX307+100*DX81+150*DX386+20*DX11)/285</f>
        <v/>
      </c>
      <c r="DY413" s="10">
        <f>(5*DY166+10*DY307+100*DY81+150*DY386+20*DY11)/285</f>
        <v/>
      </c>
      <c r="DZ413" s="10">
        <f>(5*DZ166+10*DZ307+100*DZ81+150*DZ386+20*DZ11)/285</f>
        <v/>
      </c>
      <c r="EA413" s="10">
        <f>(5*EA166+10*EA307+100*EA81+150*EA386+20*EA11)/285</f>
        <v/>
      </c>
      <c r="EB413" s="10">
        <f>(5*EB166+10*EB307+100*EB81+150*EB386+20*EB11)/285</f>
        <v/>
      </c>
      <c r="EC413" s="10">
        <f>(5*EC166+10*EC307+100*EC81+150*EC386+20*EC11)/285</f>
        <v/>
      </c>
      <c r="ED413" s="10">
        <f>(5*ED166+10*ED307+100*ED81+150*ED386+20*ED11)/285</f>
        <v/>
      </c>
      <c r="EE413" s="10">
        <f>(5*EE166+10*EE307+100*EE81+150*EE386+20*EE11)/285</f>
        <v/>
      </c>
      <c r="EF413" s="10">
        <f>(5*EF166+10*EF307+100*EF81+150*EF386+20*EF11)/285</f>
        <v/>
      </c>
      <c r="EG413" s="10">
        <f>(5*EG166+10*EG307+100*EG81+150*EG386+20*EG11)/285</f>
        <v/>
      </c>
      <c r="EH413" s="10">
        <f>(5*EH166+10*EH307+100*EH81+150*EH386+20*EH11)/285</f>
        <v/>
      </c>
      <c r="EI413" s="10">
        <f>(5*EI166+10*EI307+100*EI81+150*EI386+20*EI11)/285</f>
        <v/>
      </c>
      <c r="EJ413" s="10">
        <f>(5*EJ166+10*EJ307+100*EJ81+150*EJ386+20*EJ11)/285</f>
        <v/>
      </c>
      <c r="EK413" s="10">
        <f>(5*EK166+10*EK307+100*EK81+150*EK386+20*EK11)/285</f>
        <v/>
      </c>
    </row>
    <row r="414">
      <c r="A414">
        <f>[1]ingredient!B414</f>
        <v/>
      </c>
      <c r="B414" t="inlineStr">
        <is>
          <t>https://www.naehrwertrechner.de/naehrwerte/G082111/Thymian+frisch/?menge=100</t>
        </is>
      </c>
      <c r="C414" s="7">
        <f>_xlfn.XLOOKUP(A414,[1]ingredient!$B$2:$B$521,[1]ingredient!$A$2:$A$521)</f>
        <v/>
      </c>
      <c r="D414" t="n">
        <v>47</v>
      </c>
      <c r="E414" t="n">
        <v>1</v>
      </c>
      <c r="F414" t="n">
        <v>1</v>
      </c>
      <c r="G414" t="n">
        <v>7</v>
      </c>
      <c r="H414" t="n">
        <v>3</v>
      </c>
      <c r="I414" t="n">
        <v>7</v>
      </c>
      <c r="J414" t="n">
        <v>0.04</v>
      </c>
      <c r="K414" t="n">
        <v>85</v>
      </c>
      <c r="L414" t="n">
        <v>62</v>
      </c>
      <c r="M414" t="n">
        <v>31</v>
      </c>
      <c r="N414" t="n">
        <v>0</v>
      </c>
      <c r="O414" t="n">
        <v>370</v>
      </c>
      <c r="P414" t="n">
        <v>83</v>
      </c>
      <c r="Q414" t="n">
        <v>65</v>
      </c>
      <c r="R414" t="n">
        <v>795</v>
      </c>
      <c r="S414" t="n">
        <v>1045</v>
      </c>
      <c r="T414" t="n">
        <v>0</v>
      </c>
      <c r="U414" t="n">
        <v>0</v>
      </c>
      <c r="V414" t="n">
        <v>0</v>
      </c>
      <c r="W414" t="n">
        <v>0</v>
      </c>
      <c r="X414" t="n">
        <v>0</v>
      </c>
      <c r="Y414" t="n">
        <v>0</v>
      </c>
      <c r="Z414" t="n">
        <v>0</v>
      </c>
      <c r="AA414" t="n">
        <v>0</v>
      </c>
      <c r="AB414" t="n">
        <v>0</v>
      </c>
      <c r="AC414" t="n">
        <v>9</v>
      </c>
      <c r="AD414" t="n">
        <v>131</v>
      </c>
      <c r="AE414" t="n">
        <v>307</v>
      </c>
      <c r="AF414" t="n">
        <v>36</v>
      </c>
      <c r="AG414" t="n">
        <v>32</v>
      </c>
      <c r="AH414" t="n">
        <v>16</v>
      </c>
      <c r="AI414" t="n">
        <v>32</v>
      </c>
      <c r="AJ414" t="n">
        <v>20045</v>
      </c>
      <c r="AK414" t="n">
        <v>1005</v>
      </c>
      <c r="AL414" t="n">
        <v>139</v>
      </c>
      <c r="AM414" t="n">
        <v>1233</v>
      </c>
      <c r="AN414" t="n">
        <v>65</v>
      </c>
      <c r="AO414" t="n">
        <v>1</v>
      </c>
      <c r="AP414" t="n">
        <v>0</v>
      </c>
      <c r="AQ414" t="n">
        <v>0</v>
      </c>
      <c r="AR414" t="n">
        <v>0</v>
      </c>
      <c r="AS414" t="n">
        <v>0</v>
      </c>
      <c r="AT414" t="n">
        <v>2939</v>
      </c>
      <c r="AU414" t="n">
        <v>2939</v>
      </c>
      <c r="AV414" t="n">
        <v>0</v>
      </c>
      <c r="AW414" t="n">
        <v>5878</v>
      </c>
      <c r="AX414" t="n">
        <v>1396</v>
      </c>
      <c r="AY414" t="n">
        <v>0</v>
      </c>
      <c r="AZ414" t="n">
        <v>0</v>
      </c>
      <c r="BA414" t="n">
        <v>1396</v>
      </c>
      <c r="BB414" t="n">
        <v>0</v>
      </c>
      <c r="BC414" t="n">
        <v>0</v>
      </c>
      <c r="BD414" t="n">
        <v>0</v>
      </c>
      <c r="BE414" t="n">
        <v>73</v>
      </c>
      <c r="BF414" t="n">
        <v>73</v>
      </c>
      <c r="BG414">
        <f>IF($F414=0,"0",MIN(
BH414/(30*$F414),
BI414/(61*$F414),
BJ414/(48*$F414),
(BK414+BL414)/(23*$F414),
(BM414+BN414)/(41*$F414),
BO414/(25*$F414),
BP414/(6.6*$F414),
BQ414/(40*$F414),
BS414/(16*$F414)
)*100)</f>
        <v/>
      </c>
      <c r="BH414" t="n">
        <v>59</v>
      </c>
      <c r="BI414" t="n">
        <v>89</v>
      </c>
      <c r="BJ414" t="n">
        <v>74</v>
      </c>
      <c r="BK414" t="n">
        <v>18</v>
      </c>
      <c r="BL414" t="n">
        <v>15</v>
      </c>
      <c r="BM414" t="n">
        <v>44</v>
      </c>
      <c r="BN414" t="n">
        <v>30</v>
      </c>
      <c r="BO414" t="n">
        <v>52</v>
      </c>
      <c r="BP414" t="n">
        <v>15</v>
      </c>
      <c r="BQ414" t="n">
        <v>59</v>
      </c>
      <c r="BR414" t="n">
        <v>59</v>
      </c>
      <c r="BS414" t="n">
        <v>22</v>
      </c>
      <c r="BT414" t="n">
        <v>536</v>
      </c>
      <c r="BU414" t="n">
        <v>74</v>
      </c>
      <c r="BV414" t="n">
        <v>148</v>
      </c>
      <c r="BW414" t="n">
        <v>220</v>
      </c>
      <c r="BX414" t="n">
        <v>41</v>
      </c>
      <c r="BY414" t="n">
        <v>59</v>
      </c>
      <c r="BZ414" t="n">
        <v>44</v>
      </c>
      <c r="CA414" t="n">
        <v>586</v>
      </c>
      <c r="CB414" t="n">
        <v>21</v>
      </c>
      <c r="CC414" t="n">
        <v>9</v>
      </c>
      <c r="CD414" t="n">
        <v>151</v>
      </c>
      <c r="CE414" t="n">
        <v>107</v>
      </c>
      <c r="CF414" t="n">
        <v>0.71</v>
      </c>
      <c r="CG414" t="n">
        <v>0</v>
      </c>
      <c r="CH414" t="n">
        <v>0</v>
      </c>
      <c r="CI414" t="n">
        <v>53</v>
      </c>
      <c r="CJ414" t="n">
        <v>26</v>
      </c>
      <c r="CK414" t="n">
        <v>50</v>
      </c>
      <c r="CL414" t="n">
        <v>32</v>
      </c>
      <c r="CM414" t="n">
        <v>0</v>
      </c>
      <c r="CN414" t="n">
        <v>378</v>
      </c>
      <c r="CO414" t="n">
        <v>0</v>
      </c>
      <c r="CP414" t="n">
        <v>60</v>
      </c>
      <c r="CQ414" t="n">
        <v>0</v>
      </c>
      <c r="CR414" t="n">
        <v>0</v>
      </c>
      <c r="CS414" t="n">
        <v>0</v>
      </c>
      <c r="CT414" t="n">
        <v>599</v>
      </c>
      <c r="CU414" t="n">
        <v>0</v>
      </c>
      <c r="CV414" t="n">
        <v>0</v>
      </c>
      <c r="CW414" t="n">
        <v>0</v>
      </c>
      <c r="CX414" t="n">
        <v>0</v>
      </c>
      <c r="CY414" t="n">
        <v>103</v>
      </c>
      <c r="CZ414" t="n">
        <v>0</v>
      </c>
      <c r="DA414" t="n">
        <v>0</v>
      </c>
      <c r="DB414" t="n">
        <v>0</v>
      </c>
      <c r="DC414" t="n">
        <v>103</v>
      </c>
      <c r="DD414" t="n">
        <v>0</v>
      </c>
      <c r="DE414" t="n">
        <v>0</v>
      </c>
      <c r="DF414" t="n">
        <v>107</v>
      </c>
      <c r="DG414" t="n">
        <v>151</v>
      </c>
      <c r="DH414" t="n">
        <v>0</v>
      </c>
      <c r="DI414" t="n">
        <v>0</v>
      </c>
      <c r="DJ414" t="n">
        <v>0</v>
      </c>
      <c r="DK414" t="n">
        <v>0</v>
      </c>
      <c r="DL414" t="n">
        <v>0</v>
      </c>
      <c r="DM414" t="n">
        <v>0</v>
      </c>
      <c r="DN414" t="n">
        <v>0</v>
      </c>
      <c r="DO414" t="n">
        <v>0</v>
      </c>
      <c r="DP414" t="n">
        <v>0</v>
      </c>
      <c r="DQ414" t="n">
        <v>0</v>
      </c>
      <c r="DR414" t="n">
        <v>0</v>
      </c>
      <c r="DS414" t="n">
        <v>258</v>
      </c>
      <c r="DT414" t="n">
        <v>881</v>
      </c>
      <c r="DU414" t="n">
        <v>240</v>
      </c>
      <c r="DV414" t="n">
        <v>0</v>
      </c>
      <c r="DW414" t="n">
        <v>0</v>
      </c>
      <c r="DX414" t="n">
        <v>79</v>
      </c>
      <c r="DY414" t="n">
        <v>453</v>
      </c>
      <c r="DZ414" t="n">
        <v>604</v>
      </c>
      <c r="EA414" t="n">
        <v>816</v>
      </c>
      <c r="EB414" t="n">
        <v>1057</v>
      </c>
      <c r="EC414" t="n">
        <v>91</v>
      </c>
      <c r="ED414" t="n">
        <v>906</v>
      </c>
      <c r="EE414" t="n">
        <v>2115</v>
      </c>
      <c r="EF414" t="n">
        <v>0</v>
      </c>
      <c r="EG414" t="n">
        <v>0.05</v>
      </c>
      <c r="EH414" t="n">
        <v>1.9</v>
      </c>
      <c r="EI414" t="n">
        <v>2.1</v>
      </c>
      <c r="EJ414" t="n">
        <v>1.2</v>
      </c>
      <c r="EK414" t="n">
        <v>1.2</v>
      </c>
    </row>
    <row r="415">
      <c r="A415">
        <f>[1]ingredient!B415</f>
        <v/>
      </c>
      <c r="B415" t="inlineStr">
        <is>
          <t>https://www.naehrwertrechner.de/naehrwerte/R226011/Thymian+Gew%C3%BCrz/?menge=100</t>
        </is>
      </c>
      <c r="C415" s="7">
        <f>_xlfn.XLOOKUP(A415,[1]ingredient!$B$2:$B$521,[1]ingredient!$A$2:$A$521)</f>
        <v/>
      </c>
      <c r="D415" t="n">
        <v>287</v>
      </c>
      <c r="E415" t="n">
        <v>7</v>
      </c>
      <c r="F415" t="n">
        <v>9</v>
      </c>
      <c r="G415" t="n">
        <v>45</v>
      </c>
      <c r="H415" t="n">
        <v>19</v>
      </c>
      <c r="I415" t="n">
        <v>45</v>
      </c>
      <c r="J415" t="n">
        <v>0.26</v>
      </c>
      <c r="K415" t="n">
        <v>8</v>
      </c>
      <c r="L415" t="n">
        <v>380</v>
      </c>
      <c r="M415" t="n">
        <v>190</v>
      </c>
      <c r="N415" t="n">
        <v>0</v>
      </c>
      <c r="O415" t="n">
        <v>2280</v>
      </c>
      <c r="P415" t="n">
        <v>513</v>
      </c>
      <c r="Q415" t="n">
        <v>400</v>
      </c>
      <c r="R415" t="n">
        <v>4900</v>
      </c>
      <c r="S415" t="n">
        <v>6417</v>
      </c>
      <c r="T415" t="n">
        <v>0</v>
      </c>
      <c r="U415" t="n">
        <v>0</v>
      </c>
      <c r="V415" t="n">
        <v>0</v>
      </c>
      <c r="W415" t="n">
        <v>0</v>
      </c>
      <c r="X415" t="n">
        <v>0</v>
      </c>
      <c r="Y415" t="n">
        <v>0</v>
      </c>
      <c r="Z415" t="n">
        <v>0</v>
      </c>
      <c r="AA415" t="n">
        <v>0</v>
      </c>
      <c r="AB415" t="n">
        <v>0</v>
      </c>
      <c r="AC415" t="n">
        <v>55</v>
      </c>
      <c r="AD415" t="n">
        <v>810</v>
      </c>
      <c r="AE415" t="n">
        <v>1890</v>
      </c>
      <c r="AF415" t="n">
        <v>220</v>
      </c>
      <c r="AG415" t="n">
        <v>200</v>
      </c>
      <c r="AH415" t="n">
        <v>100</v>
      </c>
      <c r="AI415" t="n">
        <v>200</v>
      </c>
      <c r="AJ415" t="n">
        <v>123600</v>
      </c>
      <c r="AK415" t="n">
        <v>6200</v>
      </c>
      <c r="AL415" t="n">
        <v>860</v>
      </c>
      <c r="AM415" t="n">
        <v>7600</v>
      </c>
      <c r="AN415" t="n">
        <v>400</v>
      </c>
      <c r="AO415" t="n">
        <v>5</v>
      </c>
      <c r="AP415" t="n">
        <v>0</v>
      </c>
      <c r="AQ415" t="n">
        <v>0</v>
      </c>
      <c r="AR415" t="n">
        <v>0</v>
      </c>
      <c r="AS415" t="n">
        <v>0</v>
      </c>
      <c r="AT415" t="n">
        <v>18120</v>
      </c>
      <c r="AU415" t="n">
        <v>18120</v>
      </c>
      <c r="AV415" t="n">
        <v>0</v>
      </c>
      <c r="AW415" t="n">
        <v>36240</v>
      </c>
      <c r="AX415" t="n">
        <v>8607</v>
      </c>
      <c r="AY415" t="n">
        <v>0</v>
      </c>
      <c r="AZ415" t="n">
        <v>0</v>
      </c>
      <c r="BA415" t="n">
        <v>8607</v>
      </c>
      <c r="BB415" t="n">
        <v>0</v>
      </c>
      <c r="BC415" t="n">
        <v>0</v>
      </c>
      <c r="BD415" t="n">
        <v>0</v>
      </c>
      <c r="BE415" t="n">
        <v>453</v>
      </c>
      <c r="BF415" t="n">
        <v>453</v>
      </c>
      <c r="BG415">
        <f>IF($F415=0,"0",MIN(
BH415/(30*$F415),
BI415/(61*$F415),
BJ415/(48*$F415),
(BK415+BL415)/(23*$F415),
(BM415+BN415)/(41*$F415),
BO415/(25*$F415),
BP415/(6.6*$F415),
BQ415/(40*$F415),
BS415/(16*$F415)
)*100)</f>
        <v/>
      </c>
      <c r="BH415" t="n">
        <v>364</v>
      </c>
      <c r="BI415" t="n">
        <v>546</v>
      </c>
      <c r="BJ415" t="n">
        <v>455</v>
      </c>
      <c r="BK415" t="n">
        <v>109</v>
      </c>
      <c r="BL415" t="n">
        <v>91</v>
      </c>
      <c r="BM415" t="n">
        <v>273</v>
      </c>
      <c r="BN415" t="n">
        <v>182</v>
      </c>
      <c r="BO415" t="n">
        <v>319</v>
      </c>
      <c r="BP415" t="n">
        <v>91</v>
      </c>
      <c r="BQ415" t="n">
        <v>364</v>
      </c>
      <c r="BR415" t="n">
        <v>364</v>
      </c>
      <c r="BS415" t="n">
        <v>137</v>
      </c>
      <c r="BT415" t="n">
        <v>3295</v>
      </c>
      <c r="BU415" t="n">
        <v>455</v>
      </c>
      <c r="BV415" t="n">
        <v>910</v>
      </c>
      <c r="BW415" t="n">
        <v>1364</v>
      </c>
      <c r="BX415" t="n">
        <v>255</v>
      </c>
      <c r="BY415" t="n">
        <v>364</v>
      </c>
      <c r="BZ415" t="n">
        <v>273</v>
      </c>
      <c r="CA415" t="n">
        <v>3621</v>
      </c>
      <c r="CB415" t="n">
        <v>130</v>
      </c>
      <c r="CC415" t="n">
        <v>54</v>
      </c>
      <c r="CD415" t="n">
        <v>929</v>
      </c>
      <c r="CE415" t="n">
        <v>657</v>
      </c>
      <c r="CF415" t="n">
        <v>0.71</v>
      </c>
      <c r="CG415" t="n">
        <v>0</v>
      </c>
      <c r="CH415" t="n">
        <v>0</v>
      </c>
      <c r="CI415" t="n">
        <v>326</v>
      </c>
      <c r="CJ415" t="n">
        <v>160</v>
      </c>
      <c r="CK415" t="n">
        <v>308</v>
      </c>
      <c r="CL415" t="n">
        <v>195</v>
      </c>
      <c r="CM415" t="n">
        <v>0</v>
      </c>
      <c r="CN415" t="n">
        <v>2345</v>
      </c>
      <c r="CO415" t="n">
        <v>0</v>
      </c>
      <c r="CP415" t="n">
        <v>367</v>
      </c>
      <c r="CQ415" t="n">
        <v>0</v>
      </c>
      <c r="CR415" t="n">
        <v>0</v>
      </c>
      <c r="CS415" t="n">
        <v>0</v>
      </c>
      <c r="CT415" t="n">
        <v>3701</v>
      </c>
      <c r="CU415" t="n">
        <v>0</v>
      </c>
      <c r="CV415" t="n">
        <v>0</v>
      </c>
      <c r="CW415" t="n">
        <v>0</v>
      </c>
      <c r="CX415" t="n">
        <v>0</v>
      </c>
      <c r="CY415" t="n">
        <v>633</v>
      </c>
      <c r="CZ415" t="n">
        <v>0</v>
      </c>
      <c r="DA415" t="n">
        <v>0</v>
      </c>
      <c r="DB415" t="n">
        <v>0</v>
      </c>
      <c r="DC415" t="n">
        <v>633</v>
      </c>
      <c r="DD415" t="n">
        <v>0</v>
      </c>
      <c r="DE415" t="n">
        <v>0</v>
      </c>
      <c r="DF415" t="n">
        <v>657</v>
      </c>
      <c r="DG415" t="n">
        <v>929</v>
      </c>
      <c r="DH415" t="n">
        <v>0</v>
      </c>
      <c r="DI415" t="n">
        <v>0</v>
      </c>
      <c r="DJ415" t="n">
        <v>0</v>
      </c>
      <c r="DK415" t="n">
        <v>0</v>
      </c>
      <c r="DL415" t="n">
        <v>0</v>
      </c>
      <c r="DM415" t="n">
        <v>0</v>
      </c>
      <c r="DN415" t="n">
        <v>0</v>
      </c>
      <c r="DO415" t="n">
        <v>0</v>
      </c>
      <c r="DP415" t="n">
        <v>0</v>
      </c>
      <c r="DQ415" t="n">
        <v>0</v>
      </c>
      <c r="DR415" t="n">
        <v>0</v>
      </c>
      <c r="DS415" t="n">
        <v>1586</v>
      </c>
      <c r="DT415" t="n">
        <v>5434</v>
      </c>
      <c r="DU415" t="n">
        <v>1480</v>
      </c>
      <c r="DV415" t="n">
        <v>0</v>
      </c>
      <c r="DW415" t="n">
        <v>0</v>
      </c>
      <c r="DX415" t="n">
        <v>486</v>
      </c>
      <c r="DY415" t="n">
        <v>2795</v>
      </c>
      <c r="DZ415" t="n">
        <v>3726</v>
      </c>
      <c r="EA415" t="n">
        <v>5030</v>
      </c>
      <c r="EB415" t="n">
        <v>6520</v>
      </c>
      <c r="EC415" t="n">
        <v>559</v>
      </c>
      <c r="ED415" t="n">
        <v>5589</v>
      </c>
      <c r="EE415" t="n">
        <v>13041</v>
      </c>
      <c r="EF415" t="n">
        <v>0</v>
      </c>
      <c r="EG415" t="n">
        <v>0.33</v>
      </c>
      <c r="EH415" t="n">
        <v>11.7</v>
      </c>
      <c r="EI415" t="n">
        <v>13</v>
      </c>
      <c r="EJ415" t="n">
        <v>7.4</v>
      </c>
      <c r="EK415" t="n">
        <v>7.3</v>
      </c>
    </row>
    <row r="416">
      <c r="A416">
        <f>[1]ingredient!B416</f>
        <v/>
      </c>
      <c r="B416" t="inlineStr">
        <is>
          <t>https://www.naehrwertrechner.de/naehrwerte/G561100/Tomate+rot+roh/?menge=100</t>
        </is>
      </c>
      <c r="C416" s="7">
        <f>_xlfn.XLOOKUP(A416,[1]ingredient!$B$2:$B$521,[1]ingredient!$A$2:$A$521)</f>
        <v/>
      </c>
      <c r="D416" t="n">
        <v>17</v>
      </c>
      <c r="E416" t="n">
        <v>0.21</v>
      </c>
      <c r="F416" t="n">
        <v>1</v>
      </c>
      <c r="G416" t="n">
        <v>3</v>
      </c>
      <c r="H416" t="n">
        <v>1</v>
      </c>
      <c r="I416" t="n">
        <v>3</v>
      </c>
      <c r="J416" t="n">
        <v>0.03</v>
      </c>
      <c r="K416" t="n">
        <v>94</v>
      </c>
      <c r="L416" t="n">
        <v>99</v>
      </c>
      <c r="M416" t="n">
        <v>49</v>
      </c>
      <c r="N416" t="n">
        <v>0</v>
      </c>
      <c r="O416" t="n">
        <v>593</v>
      </c>
      <c r="P416" t="n">
        <v>57</v>
      </c>
      <c r="Q416" t="n">
        <v>35</v>
      </c>
      <c r="R416" t="n">
        <v>530</v>
      </c>
      <c r="S416" t="n">
        <v>630</v>
      </c>
      <c r="T416" t="n">
        <v>310</v>
      </c>
      <c r="U416" t="n">
        <v>100</v>
      </c>
      <c r="V416" t="n">
        <v>4</v>
      </c>
      <c r="W416" t="n">
        <v>33</v>
      </c>
      <c r="X416" t="n">
        <v>0</v>
      </c>
      <c r="Y416" t="n">
        <v>19255</v>
      </c>
      <c r="Z416" t="n">
        <v>0</v>
      </c>
      <c r="AA416" t="n">
        <v>800</v>
      </c>
      <c r="AB416" t="n">
        <v>6</v>
      </c>
      <c r="AC416" t="n">
        <v>3</v>
      </c>
      <c r="AD416" t="n">
        <v>235</v>
      </c>
      <c r="AE416" t="n">
        <v>9</v>
      </c>
      <c r="AF416" t="n">
        <v>11</v>
      </c>
      <c r="AG416" t="n">
        <v>22</v>
      </c>
      <c r="AH416" t="n">
        <v>11</v>
      </c>
      <c r="AI416" t="n">
        <v>30</v>
      </c>
      <c r="AJ416" t="n">
        <v>316</v>
      </c>
      <c r="AK416" t="n">
        <v>85</v>
      </c>
      <c r="AL416" t="n">
        <v>57</v>
      </c>
      <c r="AM416" t="n">
        <v>108</v>
      </c>
      <c r="AN416" t="n">
        <v>24</v>
      </c>
      <c r="AO416" t="n">
        <v>1</v>
      </c>
      <c r="AP416" t="n">
        <v>0</v>
      </c>
      <c r="AQ416" t="n">
        <v>0</v>
      </c>
      <c r="AR416" t="n">
        <v>0</v>
      </c>
      <c r="AS416" t="n">
        <v>0</v>
      </c>
      <c r="AT416" t="n">
        <v>1081</v>
      </c>
      <c r="AU416" t="n">
        <v>1358</v>
      </c>
      <c r="AV416" t="n">
        <v>0</v>
      </c>
      <c r="AW416" t="n">
        <v>2439</v>
      </c>
      <c r="AX416" t="n">
        <v>84</v>
      </c>
      <c r="AY416" t="n">
        <v>0</v>
      </c>
      <c r="AZ416" t="n">
        <v>0</v>
      </c>
      <c r="BA416" t="n">
        <v>84</v>
      </c>
      <c r="BB416" t="n">
        <v>0</v>
      </c>
      <c r="BC416" t="n">
        <v>0</v>
      </c>
      <c r="BD416" t="n">
        <v>0</v>
      </c>
      <c r="BE416" t="n">
        <v>80</v>
      </c>
      <c r="BF416" t="n">
        <v>80</v>
      </c>
      <c r="BG416">
        <f>IF($F416=0,"0",MIN(
BH416/(30*$F416),
BI416/(61*$F416),
BJ416/(48*$F416),
(BK416+BL416)/(23*$F416),
(BM416+BN416)/(41*$F416),
BO416/(25*$F416),
BP416/(6.6*$F416),
BQ416/(40*$F416),
BS416/(16*$F416)
)*100)</f>
        <v/>
      </c>
      <c r="BH416" t="n">
        <v>23</v>
      </c>
      <c r="BI416" t="n">
        <v>30</v>
      </c>
      <c r="BJ416" t="n">
        <v>29</v>
      </c>
      <c r="BK416" t="n">
        <v>7</v>
      </c>
      <c r="BL416" t="n">
        <v>1</v>
      </c>
      <c r="BM416" t="n">
        <v>24</v>
      </c>
      <c r="BN416" t="n">
        <v>12</v>
      </c>
      <c r="BO416" t="n">
        <v>23</v>
      </c>
      <c r="BP416" t="n">
        <v>6</v>
      </c>
      <c r="BQ416" t="n">
        <v>23</v>
      </c>
      <c r="BR416" t="n">
        <v>18</v>
      </c>
      <c r="BS416" t="n">
        <v>13</v>
      </c>
      <c r="BT416" t="n">
        <v>209</v>
      </c>
      <c r="BU416" t="n">
        <v>26</v>
      </c>
      <c r="BV416" t="n">
        <v>121</v>
      </c>
      <c r="BW416" t="n">
        <v>337</v>
      </c>
      <c r="BX416" t="n">
        <v>18</v>
      </c>
      <c r="BY416" t="n">
        <v>16</v>
      </c>
      <c r="BZ416" t="n">
        <v>28</v>
      </c>
      <c r="CA416" t="n">
        <v>546</v>
      </c>
      <c r="CB416" t="n">
        <v>11</v>
      </c>
      <c r="CC416" t="n">
        <v>5</v>
      </c>
      <c r="CD416" t="n">
        <v>9</v>
      </c>
      <c r="CE416" t="n">
        <v>91</v>
      </c>
      <c r="CF416" t="n">
        <v>10.11</v>
      </c>
      <c r="CG416" t="n">
        <v>0</v>
      </c>
      <c r="CH416" t="n">
        <v>0</v>
      </c>
      <c r="CI416" t="n">
        <v>0</v>
      </c>
      <c r="CJ416" t="n">
        <v>0</v>
      </c>
      <c r="CK416" t="n">
        <v>0</v>
      </c>
      <c r="CL416" t="n">
        <v>0</v>
      </c>
      <c r="CM416" t="n">
        <v>0</v>
      </c>
      <c r="CN416" t="n">
        <v>32</v>
      </c>
      <c r="CO416" t="n">
        <v>0</v>
      </c>
      <c r="CP416" t="n">
        <v>5</v>
      </c>
      <c r="CQ416" t="n">
        <v>0</v>
      </c>
      <c r="CR416" t="n">
        <v>0</v>
      </c>
      <c r="CS416" t="n">
        <v>0</v>
      </c>
      <c r="CT416" t="n">
        <v>37</v>
      </c>
      <c r="CU416" t="n">
        <v>0</v>
      </c>
      <c r="CV416" t="n">
        <v>0</v>
      </c>
      <c r="CW416" t="n">
        <v>2</v>
      </c>
      <c r="CX416" t="n">
        <v>0</v>
      </c>
      <c r="CY416" t="n">
        <v>23</v>
      </c>
      <c r="CZ416" t="n">
        <v>0</v>
      </c>
      <c r="DA416" t="n">
        <v>0</v>
      </c>
      <c r="DB416" t="n">
        <v>0</v>
      </c>
      <c r="DC416" t="n">
        <v>25</v>
      </c>
      <c r="DD416" t="n">
        <v>0</v>
      </c>
      <c r="DE416" t="n">
        <v>0</v>
      </c>
      <c r="DF416" t="n">
        <v>91</v>
      </c>
      <c r="DG416" t="n">
        <v>9</v>
      </c>
      <c r="DH416" t="n">
        <v>0</v>
      </c>
      <c r="DI416" t="n">
        <v>0</v>
      </c>
      <c r="DJ416" t="n">
        <v>0</v>
      </c>
      <c r="DK416" t="n">
        <v>0</v>
      </c>
      <c r="DL416" t="n">
        <v>0</v>
      </c>
      <c r="DM416" t="n">
        <v>0</v>
      </c>
      <c r="DN416" t="n">
        <v>0</v>
      </c>
      <c r="DO416" t="n">
        <v>0</v>
      </c>
      <c r="DP416" t="n">
        <v>0</v>
      </c>
      <c r="DQ416" t="n">
        <v>0</v>
      </c>
      <c r="DR416" t="n">
        <v>0</v>
      </c>
      <c r="DS416" t="n">
        <v>100</v>
      </c>
      <c r="DT416" t="n">
        <v>162</v>
      </c>
      <c r="DU416" t="n">
        <v>42</v>
      </c>
      <c r="DV416" t="n">
        <v>0</v>
      </c>
      <c r="DW416" t="n">
        <v>0</v>
      </c>
      <c r="DX416" t="n">
        <v>0</v>
      </c>
      <c r="DY416" t="n">
        <v>130</v>
      </c>
      <c r="DZ416" t="n">
        <v>156</v>
      </c>
      <c r="EA416" t="n">
        <v>325</v>
      </c>
      <c r="EB416" t="n">
        <v>360</v>
      </c>
      <c r="EC416" t="n">
        <v>234</v>
      </c>
      <c r="ED416" t="n">
        <v>220</v>
      </c>
      <c r="EE416" t="n">
        <v>730</v>
      </c>
      <c r="EF416" t="n">
        <v>0</v>
      </c>
      <c r="EG416" t="n">
        <v>0.39</v>
      </c>
      <c r="EH416" t="n">
        <v>0.6</v>
      </c>
      <c r="EI416" t="n">
        <v>0.7</v>
      </c>
      <c r="EJ416" t="n">
        <v>0.2</v>
      </c>
      <c r="EK416" t="n">
        <v>0.8</v>
      </c>
    </row>
    <row r="417">
      <c r="A417">
        <f>[1]ingredient!B417</f>
        <v/>
      </c>
      <c r="B417" t="inlineStr">
        <is>
          <t>https://www.naehrwertrechner.de/naehrwerte/G563200/Cocktailtomaten/?menge=100</t>
        </is>
      </c>
      <c r="C417" s="7">
        <f>_xlfn.XLOOKUP(A417,[1]ingredient!$B$2:$B$521,[1]ingredient!$A$2:$A$521)</f>
        <v/>
      </c>
      <c r="D417" t="n">
        <v>20</v>
      </c>
      <c r="E417" t="n">
        <v>0.2</v>
      </c>
      <c r="F417" t="n">
        <v>1</v>
      </c>
      <c r="G417" t="n">
        <v>3</v>
      </c>
      <c r="H417" t="n">
        <v>1</v>
      </c>
      <c r="I417" t="n">
        <v>3</v>
      </c>
      <c r="J417" t="n">
        <v>0.03</v>
      </c>
      <c r="K417" t="n">
        <v>94</v>
      </c>
      <c r="L417" t="n">
        <v>100</v>
      </c>
      <c r="M417" t="n">
        <v>50</v>
      </c>
      <c r="N417" t="n">
        <v>0</v>
      </c>
      <c r="O417" t="n">
        <v>600</v>
      </c>
      <c r="P417" t="n">
        <v>100</v>
      </c>
      <c r="Q417" t="n">
        <v>0</v>
      </c>
      <c r="R417" t="n">
        <v>500</v>
      </c>
      <c r="S417" t="n">
        <v>600</v>
      </c>
      <c r="T417" t="n">
        <v>300</v>
      </c>
      <c r="U417" t="n">
        <v>100</v>
      </c>
      <c r="V417" t="n">
        <v>4</v>
      </c>
      <c r="W417" t="n">
        <v>33</v>
      </c>
      <c r="X417" t="n">
        <v>0</v>
      </c>
      <c r="Y417" t="n">
        <v>19300</v>
      </c>
      <c r="Z417" t="n">
        <v>0</v>
      </c>
      <c r="AA417" t="n">
        <v>0</v>
      </c>
      <c r="AB417" t="n">
        <v>0</v>
      </c>
      <c r="AC417" t="n">
        <v>3</v>
      </c>
      <c r="AD417" t="n">
        <v>235</v>
      </c>
      <c r="AE417" t="n">
        <v>9</v>
      </c>
      <c r="AF417" t="n">
        <v>11</v>
      </c>
      <c r="AG417" t="n">
        <v>22</v>
      </c>
      <c r="AH417" t="n">
        <v>11</v>
      </c>
      <c r="AI417" t="n">
        <v>30</v>
      </c>
      <c r="AJ417" t="n">
        <v>300</v>
      </c>
      <c r="AK417" t="n">
        <v>100</v>
      </c>
      <c r="AL417" t="n">
        <v>100</v>
      </c>
      <c r="AM417" t="n">
        <v>100</v>
      </c>
      <c r="AN417" t="n">
        <v>0</v>
      </c>
      <c r="AO417" t="n">
        <v>1</v>
      </c>
      <c r="AP417" t="n">
        <v>0</v>
      </c>
      <c r="AQ417" t="n">
        <v>0</v>
      </c>
      <c r="AR417" t="n">
        <v>0</v>
      </c>
      <c r="AS417" t="n">
        <v>0</v>
      </c>
      <c r="AT417" t="n">
        <v>1081</v>
      </c>
      <c r="AU417" t="n">
        <v>1358</v>
      </c>
      <c r="AV417" t="n">
        <v>0</v>
      </c>
      <c r="AW417" t="n">
        <v>2439</v>
      </c>
      <c r="AX417" t="n">
        <v>100</v>
      </c>
      <c r="AY417" t="n">
        <v>0</v>
      </c>
      <c r="AZ417" t="n">
        <v>0</v>
      </c>
      <c r="BA417" t="n">
        <v>84</v>
      </c>
      <c r="BB417" t="n">
        <v>0</v>
      </c>
      <c r="BC417" t="n">
        <v>0</v>
      </c>
      <c r="BD417" t="n">
        <v>0</v>
      </c>
      <c r="BE417" t="n">
        <v>80</v>
      </c>
      <c r="BF417" t="n">
        <v>0</v>
      </c>
      <c r="BG417">
        <f>IF($F417=0,"0",MIN(
BH417/(30*$F417),
BI417/(61*$F417),
BJ417/(48*$F417),
(BK417+BL417)/(23*$F417),
(BM417+BN417)/(41*$F417),
BO417/(25*$F417),
BP417/(6.6*$F417),
BQ417/(40*$F417),
BS417/(16*$F417)
)*100)</f>
        <v/>
      </c>
      <c r="BH417" t="n">
        <v>23</v>
      </c>
      <c r="BI417" t="n">
        <v>30</v>
      </c>
      <c r="BJ417" t="n">
        <v>29</v>
      </c>
      <c r="BK417" t="n">
        <v>7</v>
      </c>
      <c r="BL417" t="n">
        <v>1</v>
      </c>
      <c r="BM417" t="n">
        <v>24</v>
      </c>
      <c r="BN417" t="n">
        <v>12</v>
      </c>
      <c r="BO417" t="n">
        <v>23</v>
      </c>
      <c r="BP417" t="n">
        <v>6</v>
      </c>
      <c r="BQ417" t="n">
        <v>23</v>
      </c>
      <c r="BR417" t="n">
        <v>18</v>
      </c>
      <c r="BS417" t="n">
        <v>13</v>
      </c>
      <c r="BT417" t="n">
        <v>209</v>
      </c>
      <c r="BU417" t="n">
        <v>26</v>
      </c>
      <c r="BV417" t="n">
        <v>121</v>
      </c>
      <c r="BW417" t="n">
        <v>337</v>
      </c>
      <c r="BX417" t="n">
        <v>18</v>
      </c>
      <c r="BY417" t="n">
        <v>16</v>
      </c>
      <c r="BZ417" t="n">
        <v>28</v>
      </c>
      <c r="CA417" t="n">
        <v>546</v>
      </c>
      <c r="CB417" t="n">
        <v>11</v>
      </c>
      <c r="CC417" t="n">
        <v>5</v>
      </c>
      <c r="CD417" t="n">
        <v>0</v>
      </c>
      <c r="CE417" t="n">
        <v>100</v>
      </c>
      <c r="CG417" t="n">
        <v>0</v>
      </c>
      <c r="CH417" t="n">
        <v>0</v>
      </c>
      <c r="CI417" t="n">
        <v>0</v>
      </c>
      <c r="CJ417" t="n">
        <v>0</v>
      </c>
      <c r="CK417" t="n">
        <v>0</v>
      </c>
      <c r="CL417" t="n">
        <v>0</v>
      </c>
      <c r="CM417" t="n">
        <v>0</v>
      </c>
      <c r="CN417" t="n">
        <v>32</v>
      </c>
      <c r="CO417" t="n">
        <v>0</v>
      </c>
      <c r="CP417" t="n">
        <v>5</v>
      </c>
      <c r="CQ417" t="n">
        <v>0</v>
      </c>
      <c r="CR417" t="n">
        <v>0</v>
      </c>
      <c r="CS417" t="n">
        <v>0</v>
      </c>
      <c r="CT417" t="n">
        <v>0</v>
      </c>
      <c r="CU417" t="n">
        <v>0</v>
      </c>
      <c r="CV417" t="n">
        <v>0</v>
      </c>
      <c r="CW417" t="n">
        <v>2</v>
      </c>
      <c r="CX417" t="n">
        <v>0</v>
      </c>
      <c r="CY417" t="n">
        <v>23</v>
      </c>
      <c r="CZ417" t="n">
        <v>0</v>
      </c>
      <c r="DA417" t="n">
        <v>0</v>
      </c>
      <c r="DB417" t="n">
        <v>0</v>
      </c>
      <c r="DC417" t="n">
        <v>0</v>
      </c>
      <c r="DD417" t="n">
        <v>0</v>
      </c>
      <c r="DE417" t="n">
        <v>0</v>
      </c>
      <c r="DF417" t="n">
        <v>100</v>
      </c>
      <c r="DG417" t="n">
        <v>0</v>
      </c>
      <c r="DH417" t="n">
        <v>0</v>
      </c>
      <c r="DI417" t="n">
        <v>0</v>
      </c>
      <c r="DJ417" t="n">
        <v>0</v>
      </c>
      <c r="DK417" t="n">
        <v>0</v>
      </c>
      <c r="DL417" t="n">
        <v>0</v>
      </c>
      <c r="DM417" t="n">
        <v>0</v>
      </c>
      <c r="DN417" t="n">
        <v>0</v>
      </c>
      <c r="DO417" t="n">
        <v>0</v>
      </c>
      <c r="DP417" t="n">
        <v>0</v>
      </c>
      <c r="DQ417" t="n">
        <v>0</v>
      </c>
      <c r="DR417" t="n">
        <v>0</v>
      </c>
      <c r="DS417" t="n">
        <v>100</v>
      </c>
      <c r="DT417" t="n">
        <v>162</v>
      </c>
      <c r="DU417" t="n">
        <v>42</v>
      </c>
      <c r="DV417" t="n">
        <v>0</v>
      </c>
      <c r="DW417" t="n">
        <v>0</v>
      </c>
      <c r="DX417" t="n">
        <v>0</v>
      </c>
      <c r="DY417" t="n">
        <v>130</v>
      </c>
      <c r="DZ417" t="n">
        <v>156</v>
      </c>
      <c r="EA417" t="n">
        <v>325</v>
      </c>
      <c r="EB417" t="n">
        <v>360</v>
      </c>
      <c r="EC417" t="n">
        <v>234</v>
      </c>
      <c r="ED417" t="n">
        <v>220</v>
      </c>
      <c r="EE417" t="n">
        <v>730</v>
      </c>
      <c r="EF417" t="n">
        <v>0</v>
      </c>
      <c r="EG417" t="n">
        <v>390</v>
      </c>
      <c r="EH417" t="n">
        <v>0.6</v>
      </c>
      <c r="EI417" t="n">
        <v>0.7</v>
      </c>
      <c r="EJ417" t="n">
        <v>0.2</v>
      </c>
      <c r="EK417" t="n">
        <v>0.8</v>
      </c>
    </row>
    <row r="418">
      <c r="A418">
        <f>[1]ingredient!B418</f>
        <v/>
      </c>
      <c r="B418" t="inlineStr">
        <is>
          <t>https://www.naehrwertrechner.de/naehrwerte/G561100/Tomate+rot+roh/?menge=100</t>
        </is>
      </c>
      <c r="C418" s="7">
        <f>_xlfn.XLOOKUP(A418,[1]ingredient!$B$2:$B$521,[1]ingredient!$A$2:$A$521)</f>
        <v/>
      </c>
      <c r="D418" t="n">
        <v>17</v>
      </c>
      <c r="E418" t="n">
        <v>0.21</v>
      </c>
      <c r="F418" t="n">
        <v>1</v>
      </c>
      <c r="G418" t="n">
        <v>3</v>
      </c>
      <c r="H418" t="n">
        <v>1</v>
      </c>
      <c r="I418" t="n">
        <v>3</v>
      </c>
      <c r="J418" t="n">
        <v>0.03</v>
      </c>
      <c r="K418" t="n">
        <v>94</v>
      </c>
      <c r="L418" t="n">
        <v>99</v>
      </c>
      <c r="M418" t="n">
        <v>49</v>
      </c>
      <c r="N418" t="n">
        <v>0</v>
      </c>
      <c r="O418" t="n">
        <v>593</v>
      </c>
      <c r="P418" t="n">
        <v>57</v>
      </c>
      <c r="Q418" t="n">
        <v>35</v>
      </c>
      <c r="R418" t="n">
        <v>530</v>
      </c>
      <c r="S418" t="n">
        <v>630</v>
      </c>
      <c r="T418" t="n">
        <v>310</v>
      </c>
      <c r="U418" t="n">
        <v>100</v>
      </c>
      <c r="V418" t="n">
        <v>4</v>
      </c>
      <c r="W418" t="n">
        <v>33</v>
      </c>
      <c r="X418" t="n">
        <v>0</v>
      </c>
      <c r="Y418" t="n">
        <v>19255</v>
      </c>
      <c r="Z418" t="n">
        <v>0</v>
      </c>
      <c r="AA418" t="n">
        <v>800</v>
      </c>
      <c r="AB418" t="n">
        <v>6</v>
      </c>
      <c r="AC418" t="n">
        <v>3</v>
      </c>
      <c r="AD418" t="n">
        <v>235</v>
      </c>
      <c r="AE418" t="n">
        <v>9</v>
      </c>
      <c r="AF418" t="n">
        <v>11</v>
      </c>
      <c r="AG418" t="n">
        <v>22</v>
      </c>
      <c r="AH418" t="n">
        <v>11</v>
      </c>
      <c r="AI418" t="n">
        <v>30</v>
      </c>
      <c r="AJ418" t="n">
        <v>316</v>
      </c>
      <c r="AK418" t="n">
        <v>85</v>
      </c>
      <c r="AL418" t="n">
        <v>57</v>
      </c>
      <c r="AM418" t="n">
        <v>108</v>
      </c>
      <c r="AN418" t="n">
        <v>24</v>
      </c>
      <c r="AO418" t="n">
        <v>1</v>
      </c>
      <c r="AP418" t="n">
        <v>0</v>
      </c>
      <c r="AQ418" t="n">
        <v>0</v>
      </c>
      <c r="AR418" t="n">
        <v>0</v>
      </c>
      <c r="AS418" t="n">
        <v>0</v>
      </c>
      <c r="AT418" t="n">
        <v>1081</v>
      </c>
      <c r="AU418" t="n">
        <v>1358</v>
      </c>
      <c r="AV418" t="n">
        <v>0</v>
      </c>
      <c r="AW418" t="n">
        <v>2439</v>
      </c>
      <c r="AX418" t="n">
        <v>84</v>
      </c>
      <c r="AY418" t="n">
        <v>0</v>
      </c>
      <c r="AZ418" t="n">
        <v>0</v>
      </c>
      <c r="BA418" t="n">
        <v>84</v>
      </c>
      <c r="BB418" t="n">
        <v>0</v>
      </c>
      <c r="BC418" t="n">
        <v>0</v>
      </c>
      <c r="BD418" t="n">
        <v>0</v>
      </c>
      <c r="BE418" t="n">
        <v>80</v>
      </c>
      <c r="BF418" t="n">
        <v>80</v>
      </c>
      <c r="BG418">
        <f>IF($F418=0,"0",MIN(
BH418/(30*$F418),
BI418/(61*$F418),
BJ418/(48*$F418),
(BK418+BL418)/(23*$F418),
(BM418+BN418)/(41*$F418),
BO418/(25*$F418),
BP418/(6.6*$F418),
BQ418/(40*$F418),
BS418/(16*$F418)
)*100)</f>
        <v/>
      </c>
      <c r="BH418" t="n">
        <v>23</v>
      </c>
      <c r="BI418" t="n">
        <v>30</v>
      </c>
      <c r="BJ418" t="n">
        <v>29</v>
      </c>
      <c r="BK418" t="n">
        <v>7</v>
      </c>
      <c r="BL418" t="n">
        <v>1</v>
      </c>
      <c r="BM418" t="n">
        <v>24</v>
      </c>
      <c r="BN418" t="n">
        <v>12</v>
      </c>
      <c r="BO418" t="n">
        <v>23</v>
      </c>
      <c r="BP418" t="n">
        <v>6</v>
      </c>
      <c r="BQ418" t="n">
        <v>23</v>
      </c>
      <c r="BR418" t="n">
        <v>18</v>
      </c>
      <c r="BS418" t="n">
        <v>13</v>
      </c>
      <c r="BT418" t="n">
        <v>209</v>
      </c>
      <c r="BU418" t="n">
        <v>26</v>
      </c>
      <c r="BV418" t="n">
        <v>121</v>
      </c>
      <c r="BW418" t="n">
        <v>337</v>
      </c>
      <c r="BX418" t="n">
        <v>18</v>
      </c>
      <c r="BY418" t="n">
        <v>16</v>
      </c>
      <c r="BZ418" t="n">
        <v>28</v>
      </c>
      <c r="CA418" t="n">
        <v>546</v>
      </c>
      <c r="CB418" t="n">
        <v>11</v>
      </c>
      <c r="CC418" t="n">
        <v>5</v>
      </c>
      <c r="CD418" t="n">
        <v>9</v>
      </c>
      <c r="CE418" t="n">
        <v>91</v>
      </c>
      <c r="CF418" t="n">
        <v>10.11</v>
      </c>
      <c r="CG418" t="n">
        <v>0</v>
      </c>
      <c r="CH418" t="n">
        <v>0</v>
      </c>
      <c r="CI418" t="n">
        <v>0</v>
      </c>
      <c r="CJ418" t="n">
        <v>0</v>
      </c>
      <c r="CK418" t="n">
        <v>0</v>
      </c>
      <c r="CL418" t="n">
        <v>0</v>
      </c>
      <c r="CM418" t="n">
        <v>0</v>
      </c>
      <c r="CN418" t="n">
        <v>32</v>
      </c>
      <c r="CO418" t="n">
        <v>0</v>
      </c>
      <c r="CP418" t="n">
        <v>5</v>
      </c>
      <c r="CQ418" t="n">
        <v>0</v>
      </c>
      <c r="CR418" t="n">
        <v>0</v>
      </c>
      <c r="CS418" t="n">
        <v>0</v>
      </c>
      <c r="CT418" t="n">
        <v>37</v>
      </c>
      <c r="CU418" t="n">
        <v>0</v>
      </c>
      <c r="CV418" t="n">
        <v>0</v>
      </c>
      <c r="CW418" t="n">
        <v>2</v>
      </c>
      <c r="CX418" t="n">
        <v>0</v>
      </c>
      <c r="CY418" t="n">
        <v>23</v>
      </c>
      <c r="CZ418" t="n">
        <v>0</v>
      </c>
      <c r="DA418" t="n">
        <v>0</v>
      </c>
      <c r="DB418" t="n">
        <v>0</v>
      </c>
      <c r="DC418" t="n">
        <v>25</v>
      </c>
      <c r="DD418" t="n">
        <v>0</v>
      </c>
      <c r="DE418" t="n">
        <v>0</v>
      </c>
      <c r="DF418" t="n">
        <v>91</v>
      </c>
      <c r="DG418" t="n">
        <v>9</v>
      </c>
      <c r="DH418" t="n">
        <v>0</v>
      </c>
      <c r="DI418" t="n">
        <v>0</v>
      </c>
      <c r="DJ418" t="n">
        <v>0</v>
      </c>
      <c r="DK418" t="n">
        <v>0</v>
      </c>
      <c r="DL418" t="n">
        <v>0</v>
      </c>
      <c r="DM418" t="n">
        <v>0</v>
      </c>
      <c r="DN418" t="n">
        <v>0</v>
      </c>
      <c r="DO418" t="n">
        <v>0</v>
      </c>
      <c r="DP418" t="n">
        <v>0</v>
      </c>
      <c r="DQ418" t="n">
        <v>0</v>
      </c>
      <c r="DR418" t="n">
        <v>0</v>
      </c>
      <c r="DS418" t="n">
        <v>100</v>
      </c>
      <c r="DT418" t="n">
        <v>162</v>
      </c>
      <c r="DU418" t="n">
        <v>42</v>
      </c>
      <c r="DV418" t="n">
        <v>0</v>
      </c>
      <c r="DW418" t="n">
        <v>0</v>
      </c>
      <c r="DX418" t="n">
        <v>0</v>
      </c>
      <c r="DY418" t="n">
        <v>130</v>
      </c>
      <c r="DZ418" t="n">
        <v>156</v>
      </c>
      <c r="EA418" t="n">
        <v>325</v>
      </c>
      <c r="EB418" t="n">
        <v>360</v>
      </c>
      <c r="EC418" t="n">
        <v>234</v>
      </c>
      <c r="ED418" t="n">
        <v>220</v>
      </c>
      <c r="EE418" t="n">
        <v>730</v>
      </c>
      <c r="EF418" t="n">
        <v>0</v>
      </c>
      <c r="EG418" t="n">
        <v>0.39</v>
      </c>
      <c r="EH418" t="n">
        <v>0.6</v>
      </c>
      <c r="EI418" t="n">
        <v>0.7</v>
      </c>
      <c r="EJ418" t="n">
        <v>0.2</v>
      </c>
      <c r="EK418" t="n">
        <v>0.8</v>
      </c>
    </row>
    <row r="419">
      <c r="A419">
        <f>[1]ingredient!B419</f>
        <v/>
      </c>
      <c r="B419" t="inlineStr">
        <is>
          <t>https://www.naehrwertrechner.de/naehrwerte/R161201/Tomatenp%C3%BCree/?menge=100</t>
        </is>
      </c>
      <c r="C419" s="7">
        <f>_xlfn.XLOOKUP(A419,[1]ingredient!$B$2:$B$521,[1]ingredient!$A$2:$A$521)</f>
        <v/>
      </c>
      <c r="D419" t="n">
        <v>74</v>
      </c>
      <c r="E419" t="n">
        <v>0.2</v>
      </c>
      <c r="F419" t="n">
        <v>5</v>
      </c>
      <c r="G419" t="n">
        <v>13</v>
      </c>
      <c r="H419" t="n">
        <v>3</v>
      </c>
      <c r="I419" t="n">
        <v>12</v>
      </c>
      <c r="J419" t="n">
        <v>1</v>
      </c>
      <c r="K419" t="n">
        <v>77</v>
      </c>
      <c r="L419" t="n">
        <v>217</v>
      </c>
      <c r="M419" t="n">
        <v>108</v>
      </c>
      <c r="N419" t="n">
        <v>0</v>
      </c>
      <c r="O419" t="n">
        <v>1300</v>
      </c>
      <c r="P419" t="n">
        <v>220</v>
      </c>
      <c r="Q419" t="n">
        <v>120</v>
      </c>
      <c r="R419" t="n">
        <v>3500</v>
      </c>
      <c r="S419" t="n">
        <v>4100</v>
      </c>
      <c r="T419" t="n">
        <v>1000</v>
      </c>
      <c r="U419" t="n">
        <v>440</v>
      </c>
      <c r="V419" t="n">
        <v>6</v>
      </c>
      <c r="W419" t="n">
        <v>54</v>
      </c>
      <c r="X419" t="n">
        <v>0</v>
      </c>
      <c r="Y419" t="n">
        <v>38000</v>
      </c>
      <c r="Z419" t="n">
        <v>0</v>
      </c>
      <c r="AA419" t="n">
        <v>5370</v>
      </c>
      <c r="AB419" t="n">
        <v>20</v>
      </c>
      <c r="AC419" t="n">
        <v>240</v>
      </c>
      <c r="AD419" t="n">
        <v>1150</v>
      </c>
      <c r="AE419" t="n">
        <v>48</v>
      </c>
      <c r="AF419" t="n">
        <v>48</v>
      </c>
      <c r="AG419" t="n">
        <v>94</v>
      </c>
      <c r="AH419" t="n">
        <v>60</v>
      </c>
      <c r="AI419" t="n">
        <v>490</v>
      </c>
      <c r="AJ419" t="n">
        <v>1600</v>
      </c>
      <c r="AK419" t="n">
        <v>700</v>
      </c>
      <c r="AL419" t="n">
        <v>530</v>
      </c>
      <c r="AM419" t="n">
        <v>300</v>
      </c>
      <c r="AN419" t="n">
        <v>40</v>
      </c>
      <c r="AO419" t="n">
        <v>4</v>
      </c>
      <c r="AP419" t="n">
        <v>0</v>
      </c>
      <c r="AQ419" t="n">
        <v>0</v>
      </c>
      <c r="AR419" t="n">
        <v>0</v>
      </c>
      <c r="AS419" t="n">
        <v>0</v>
      </c>
      <c r="AT419" t="n">
        <v>5483</v>
      </c>
      <c r="AU419" t="n">
        <v>6449</v>
      </c>
      <c r="AV419" t="n">
        <v>0</v>
      </c>
      <c r="AW419" t="n">
        <v>11932</v>
      </c>
      <c r="AX419" t="n">
        <v>516</v>
      </c>
      <c r="AY419" t="n">
        <v>0</v>
      </c>
      <c r="AZ419" t="n">
        <v>0</v>
      </c>
      <c r="BA419" t="n">
        <v>516</v>
      </c>
      <c r="BB419" t="n">
        <v>0</v>
      </c>
      <c r="BC419" t="n">
        <v>0</v>
      </c>
      <c r="BD419" t="n">
        <v>0</v>
      </c>
      <c r="BE419" t="n">
        <v>387</v>
      </c>
      <c r="BF419" t="n">
        <v>387</v>
      </c>
      <c r="BG419">
        <f>IF($F419=0,"0",MIN(
BH419/(30*$F419),
BI419/(61*$F419),
BJ419/(48*$F419),
(BK419+BL419)/(23*$F419),
(BM419+BN419)/(41*$F419),
BO419/(25*$F419),
BP419/(6.6*$F419),
BQ419/(40*$F419),
BS419/(16*$F419)
)*100)</f>
        <v/>
      </c>
      <c r="BH419" t="n">
        <v>113</v>
      </c>
      <c r="BI419" t="n">
        <v>167</v>
      </c>
      <c r="BJ419" t="n">
        <v>171</v>
      </c>
      <c r="BK419" t="n">
        <v>27</v>
      </c>
      <c r="BL419" t="n">
        <v>41</v>
      </c>
      <c r="BM419" t="n">
        <v>113</v>
      </c>
      <c r="BN419" t="n">
        <v>63</v>
      </c>
      <c r="BO419" t="n">
        <v>126</v>
      </c>
      <c r="BP419" t="n">
        <v>36</v>
      </c>
      <c r="BQ419" t="n">
        <v>113</v>
      </c>
      <c r="BR419" t="n">
        <v>108</v>
      </c>
      <c r="BS419" t="n">
        <v>63</v>
      </c>
      <c r="BT419" t="n">
        <v>1141</v>
      </c>
      <c r="BU419" t="n">
        <v>144</v>
      </c>
      <c r="BV419" t="n">
        <v>585</v>
      </c>
      <c r="BW419" t="n">
        <v>1617</v>
      </c>
      <c r="BX419" t="n">
        <v>113</v>
      </c>
      <c r="BY419" t="n">
        <v>90</v>
      </c>
      <c r="BZ419" t="n">
        <v>135</v>
      </c>
      <c r="CA419" t="n">
        <v>2684</v>
      </c>
      <c r="CB419" t="n">
        <v>91</v>
      </c>
      <c r="CC419" t="n">
        <v>38</v>
      </c>
      <c r="CD419" t="n">
        <v>6</v>
      </c>
      <c r="CE419" t="n">
        <v>89</v>
      </c>
      <c r="CF419" t="n">
        <v>14.83</v>
      </c>
      <c r="CG419" t="n">
        <v>0</v>
      </c>
      <c r="CH419" t="n">
        <v>0</v>
      </c>
      <c r="CI419" t="n">
        <v>0</v>
      </c>
      <c r="CJ419" t="n">
        <v>0</v>
      </c>
      <c r="CK419" t="n">
        <v>0</v>
      </c>
      <c r="CL419" t="n">
        <v>0</v>
      </c>
      <c r="CM419" t="n">
        <v>0</v>
      </c>
      <c r="CN419" t="n">
        <v>28</v>
      </c>
      <c r="CO419" t="n">
        <v>0</v>
      </c>
      <c r="CP419" t="n">
        <v>8</v>
      </c>
      <c r="CQ419" t="n">
        <v>0</v>
      </c>
      <c r="CR419" t="n">
        <v>0</v>
      </c>
      <c r="CS419" t="n">
        <v>0</v>
      </c>
      <c r="CT419" t="n">
        <v>36</v>
      </c>
      <c r="CU419" t="n">
        <v>0</v>
      </c>
      <c r="CV419" t="n">
        <v>0</v>
      </c>
      <c r="CW419" t="n">
        <v>1</v>
      </c>
      <c r="CX419" t="n">
        <v>0</v>
      </c>
      <c r="CY419" t="n">
        <v>28</v>
      </c>
      <c r="CZ419" t="n">
        <v>0</v>
      </c>
      <c r="DA419" t="n">
        <v>0</v>
      </c>
      <c r="DB419" t="n">
        <v>0</v>
      </c>
      <c r="DC419" t="n">
        <v>29</v>
      </c>
      <c r="DD419" t="n">
        <v>0</v>
      </c>
      <c r="DE419" t="n">
        <v>0</v>
      </c>
      <c r="DF419" t="n">
        <v>89</v>
      </c>
      <c r="DG419" t="n">
        <v>6</v>
      </c>
      <c r="DH419" t="n">
        <v>0</v>
      </c>
      <c r="DI419" t="n">
        <v>0</v>
      </c>
      <c r="DJ419" t="n">
        <v>0</v>
      </c>
      <c r="DK419" t="n">
        <v>0</v>
      </c>
      <c r="DL419" t="n">
        <v>0</v>
      </c>
      <c r="DM419" t="n">
        <v>0</v>
      </c>
      <c r="DN419" t="n">
        <v>0</v>
      </c>
      <c r="DO419" t="n">
        <v>0</v>
      </c>
      <c r="DP419" t="n">
        <v>0</v>
      </c>
      <c r="DQ419" t="n">
        <v>0</v>
      </c>
      <c r="DR419" t="n">
        <v>0</v>
      </c>
      <c r="DS419" t="n">
        <v>95</v>
      </c>
      <c r="DT419" t="n">
        <v>160</v>
      </c>
      <c r="DU419" t="n">
        <v>40</v>
      </c>
      <c r="DV419" t="n">
        <v>0</v>
      </c>
      <c r="DW419" t="n">
        <v>0</v>
      </c>
      <c r="DX419" t="n">
        <v>0</v>
      </c>
      <c r="DY419" t="n">
        <v>280</v>
      </c>
      <c r="DZ419" t="n">
        <v>336</v>
      </c>
      <c r="EA419" t="n">
        <v>700</v>
      </c>
      <c r="EB419" t="n">
        <v>980</v>
      </c>
      <c r="EC419" t="n">
        <v>504</v>
      </c>
      <c r="ED419" t="n">
        <v>280</v>
      </c>
      <c r="EE419" t="n">
        <v>2520</v>
      </c>
      <c r="EF419" t="n">
        <v>0</v>
      </c>
      <c r="EG419" t="n">
        <v>1</v>
      </c>
      <c r="EH419" t="n">
        <v>2.4</v>
      </c>
      <c r="EI419" t="n">
        <v>2.5</v>
      </c>
      <c r="EJ419" t="n">
        <v>0.2</v>
      </c>
      <c r="EK419" t="n">
        <v>4.1</v>
      </c>
    </row>
    <row r="420">
      <c r="A420">
        <f>[1]ingredient!B420</f>
        <v/>
      </c>
      <c r="B420" t="inlineStr">
        <is>
          <t>https://www.naehrwertrechner.de/naehrwerte/G561100/Tomate+rot+roh/?menge=100</t>
        </is>
      </c>
      <c r="C420" s="7">
        <f>_xlfn.XLOOKUP(A420,[1]ingredient!$B$2:$B$521,[1]ingredient!$A$2:$A$521)</f>
        <v/>
      </c>
      <c r="D420" t="n">
        <v>17</v>
      </c>
      <c r="E420" t="n">
        <v>0.21</v>
      </c>
      <c r="F420" t="n">
        <v>1</v>
      </c>
      <c r="G420" t="n">
        <v>3</v>
      </c>
      <c r="H420" t="n">
        <v>1</v>
      </c>
      <c r="I420" t="n">
        <v>3</v>
      </c>
      <c r="J420" t="n">
        <v>0.03</v>
      </c>
      <c r="K420" t="n">
        <v>94</v>
      </c>
      <c r="L420" t="n">
        <v>99</v>
      </c>
      <c r="M420" t="n">
        <v>49</v>
      </c>
      <c r="N420" t="n">
        <v>0</v>
      </c>
      <c r="O420" t="n">
        <v>593</v>
      </c>
      <c r="P420" t="n">
        <v>57</v>
      </c>
      <c r="Q420" t="n">
        <v>35</v>
      </c>
      <c r="R420" t="n">
        <v>530</v>
      </c>
      <c r="S420" t="n">
        <v>630</v>
      </c>
      <c r="T420" t="n">
        <v>310</v>
      </c>
      <c r="U420" t="n">
        <v>100</v>
      </c>
      <c r="V420" t="n">
        <v>4</v>
      </c>
      <c r="W420" t="n">
        <v>33</v>
      </c>
      <c r="X420" t="n">
        <v>0</v>
      </c>
      <c r="Y420" t="n">
        <v>19255</v>
      </c>
      <c r="Z420" t="n">
        <v>0</v>
      </c>
      <c r="AA420" t="n">
        <v>800</v>
      </c>
      <c r="AB420" t="n">
        <v>6</v>
      </c>
      <c r="AC420" t="n">
        <v>3</v>
      </c>
      <c r="AD420" t="n">
        <v>235</v>
      </c>
      <c r="AE420" t="n">
        <v>9</v>
      </c>
      <c r="AF420" t="n">
        <v>11</v>
      </c>
      <c r="AG420" t="n">
        <v>22</v>
      </c>
      <c r="AH420" t="n">
        <v>11</v>
      </c>
      <c r="AI420" t="n">
        <v>30</v>
      </c>
      <c r="AJ420" t="n">
        <v>316</v>
      </c>
      <c r="AK420" t="n">
        <v>85</v>
      </c>
      <c r="AL420" t="n">
        <v>57</v>
      </c>
      <c r="AM420" t="n">
        <v>108</v>
      </c>
      <c r="AN420" t="n">
        <v>24</v>
      </c>
      <c r="AO420" t="n">
        <v>1</v>
      </c>
      <c r="AP420" t="n">
        <v>0</v>
      </c>
      <c r="AQ420" t="n">
        <v>0</v>
      </c>
      <c r="AR420" t="n">
        <v>0</v>
      </c>
      <c r="AS420" t="n">
        <v>0</v>
      </c>
      <c r="AT420" t="n">
        <v>1081</v>
      </c>
      <c r="AU420" t="n">
        <v>1358</v>
      </c>
      <c r="AV420" t="n">
        <v>0</v>
      </c>
      <c r="AW420" t="n">
        <v>2439</v>
      </c>
      <c r="AX420" t="n">
        <v>84</v>
      </c>
      <c r="AY420" t="n">
        <v>0</v>
      </c>
      <c r="AZ420" t="n">
        <v>0</v>
      </c>
      <c r="BA420" t="n">
        <v>84</v>
      </c>
      <c r="BB420" t="n">
        <v>0</v>
      </c>
      <c r="BC420" t="n">
        <v>0</v>
      </c>
      <c r="BD420" t="n">
        <v>0</v>
      </c>
      <c r="BE420" t="n">
        <v>80</v>
      </c>
      <c r="BF420" t="n">
        <v>80</v>
      </c>
      <c r="BG420">
        <f>IF($F420=0,"0",MIN(
BH420/(30*$F420),
BI420/(61*$F420),
BJ420/(48*$F420),
(BK420+BL420)/(23*$F420),
(BM420+BN420)/(41*$F420),
BO420/(25*$F420),
BP420/(6.6*$F420),
BQ420/(40*$F420),
BS420/(16*$F420)
)*100)</f>
        <v/>
      </c>
      <c r="BH420" t="n">
        <v>23</v>
      </c>
      <c r="BI420" t="n">
        <v>30</v>
      </c>
      <c r="BJ420" t="n">
        <v>29</v>
      </c>
      <c r="BK420" t="n">
        <v>7</v>
      </c>
      <c r="BL420" t="n">
        <v>1</v>
      </c>
      <c r="BM420" t="n">
        <v>24</v>
      </c>
      <c r="BN420" t="n">
        <v>12</v>
      </c>
      <c r="BO420" t="n">
        <v>23</v>
      </c>
      <c r="BP420" t="n">
        <v>6</v>
      </c>
      <c r="BQ420" t="n">
        <v>23</v>
      </c>
      <c r="BR420" t="n">
        <v>18</v>
      </c>
      <c r="BS420" t="n">
        <v>13</v>
      </c>
      <c r="BT420" t="n">
        <v>209</v>
      </c>
      <c r="BU420" t="n">
        <v>26</v>
      </c>
      <c r="BV420" t="n">
        <v>121</v>
      </c>
      <c r="BW420" t="n">
        <v>337</v>
      </c>
      <c r="BX420" t="n">
        <v>18</v>
      </c>
      <c r="BY420" t="n">
        <v>16</v>
      </c>
      <c r="BZ420" t="n">
        <v>28</v>
      </c>
      <c r="CA420" t="n">
        <v>546</v>
      </c>
      <c r="CB420" t="n">
        <v>11</v>
      </c>
      <c r="CC420" t="n">
        <v>5</v>
      </c>
      <c r="CD420" t="n">
        <v>9</v>
      </c>
      <c r="CE420" t="n">
        <v>91</v>
      </c>
      <c r="CF420" t="n">
        <v>10.11</v>
      </c>
      <c r="CG420" t="n">
        <v>0</v>
      </c>
      <c r="CH420" t="n">
        <v>0</v>
      </c>
      <c r="CI420" t="n">
        <v>0</v>
      </c>
      <c r="CJ420" t="n">
        <v>0</v>
      </c>
      <c r="CK420" t="n">
        <v>0</v>
      </c>
      <c r="CL420" t="n">
        <v>0</v>
      </c>
      <c r="CM420" t="n">
        <v>0</v>
      </c>
      <c r="CN420" t="n">
        <v>32</v>
      </c>
      <c r="CO420" t="n">
        <v>0</v>
      </c>
      <c r="CP420" t="n">
        <v>5</v>
      </c>
      <c r="CQ420" t="n">
        <v>0</v>
      </c>
      <c r="CR420" t="n">
        <v>0</v>
      </c>
      <c r="CS420" t="n">
        <v>0</v>
      </c>
      <c r="CT420" t="n">
        <v>37</v>
      </c>
      <c r="CU420" t="n">
        <v>0</v>
      </c>
      <c r="CV420" t="n">
        <v>0</v>
      </c>
      <c r="CW420" t="n">
        <v>2</v>
      </c>
      <c r="CX420" t="n">
        <v>0</v>
      </c>
      <c r="CY420" t="n">
        <v>23</v>
      </c>
      <c r="CZ420" t="n">
        <v>0</v>
      </c>
      <c r="DA420" t="n">
        <v>0</v>
      </c>
      <c r="DB420" t="n">
        <v>0</v>
      </c>
      <c r="DC420" t="n">
        <v>25</v>
      </c>
      <c r="DD420" t="n">
        <v>0</v>
      </c>
      <c r="DE420" t="n">
        <v>0</v>
      </c>
      <c r="DF420" t="n">
        <v>91</v>
      </c>
      <c r="DG420" t="n">
        <v>9</v>
      </c>
      <c r="DH420" t="n">
        <v>0</v>
      </c>
      <c r="DI420" t="n">
        <v>0</v>
      </c>
      <c r="DJ420" t="n">
        <v>0</v>
      </c>
      <c r="DK420" t="n">
        <v>0</v>
      </c>
      <c r="DL420" t="n">
        <v>0</v>
      </c>
      <c r="DM420" t="n">
        <v>0</v>
      </c>
      <c r="DN420" t="n">
        <v>0</v>
      </c>
      <c r="DO420" t="n">
        <v>0</v>
      </c>
      <c r="DP420" t="n">
        <v>0</v>
      </c>
      <c r="DQ420" t="n">
        <v>0</v>
      </c>
      <c r="DR420" t="n">
        <v>0</v>
      </c>
      <c r="DS420" t="n">
        <v>100</v>
      </c>
      <c r="DT420" t="n">
        <v>162</v>
      </c>
      <c r="DU420" t="n">
        <v>42</v>
      </c>
      <c r="DV420" t="n">
        <v>0</v>
      </c>
      <c r="DW420" t="n">
        <v>0</v>
      </c>
      <c r="DX420" t="n">
        <v>0</v>
      </c>
      <c r="DY420" t="n">
        <v>130</v>
      </c>
      <c r="DZ420" t="n">
        <v>156</v>
      </c>
      <c r="EA420" t="n">
        <v>325</v>
      </c>
      <c r="EB420" t="n">
        <v>360</v>
      </c>
      <c r="EC420" t="n">
        <v>234</v>
      </c>
      <c r="ED420" t="n">
        <v>220</v>
      </c>
      <c r="EE420" t="n">
        <v>730</v>
      </c>
      <c r="EF420" t="n">
        <v>0</v>
      </c>
      <c r="EG420" t="n">
        <v>0.39</v>
      </c>
      <c r="EH420" t="n">
        <v>0.6</v>
      </c>
      <c r="EI420" t="n">
        <v>0.7</v>
      </c>
      <c r="EJ420" t="n">
        <v>0.2</v>
      </c>
      <c r="EK420" t="n">
        <v>0.8</v>
      </c>
    </row>
    <row r="421">
      <c r="A421">
        <f>[1]ingredient!B421</f>
        <v/>
      </c>
      <c r="B421" t="inlineStr">
        <is>
          <t>https://www.naehrwertrechner.de/naehrwerte/G560400/Tomaten+getrocknet/?menge=100</t>
        </is>
      </c>
      <c r="C421" s="7">
        <f>_xlfn.XLOOKUP(A421,[1]ingredient!$B$2:$B$521,[1]ingredient!$A$2:$A$521)</f>
        <v/>
      </c>
      <c r="D421" t="n">
        <v>69</v>
      </c>
      <c r="E421" t="n">
        <v>1</v>
      </c>
      <c r="F421" t="n">
        <v>4</v>
      </c>
      <c r="G421" t="n">
        <v>10</v>
      </c>
      <c r="H421" t="n">
        <v>5</v>
      </c>
      <c r="I421" t="n">
        <v>10</v>
      </c>
      <c r="J421" t="n">
        <v>0.12</v>
      </c>
      <c r="K421" t="n">
        <v>76</v>
      </c>
      <c r="L421" t="n">
        <v>201</v>
      </c>
      <c r="M421" t="n">
        <v>100</v>
      </c>
      <c r="N421" t="n">
        <v>0</v>
      </c>
      <c r="O421" t="n">
        <v>1202</v>
      </c>
      <c r="P421" t="n">
        <v>173</v>
      </c>
      <c r="Q421" t="n">
        <v>99</v>
      </c>
      <c r="R421" t="n">
        <v>1827</v>
      </c>
      <c r="S421" t="n">
        <v>2360</v>
      </c>
      <c r="T421" t="n">
        <v>1006</v>
      </c>
      <c r="U421" t="n">
        <v>324</v>
      </c>
      <c r="V421" t="n">
        <v>15</v>
      </c>
      <c r="W421" t="n">
        <v>67</v>
      </c>
      <c r="X421" t="n">
        <v>0</v>
      </c>
      <c r="Y421" t="n">
        <v>31237</v>
      </c>
      <c r="Z421" t="n">
        <v>0</v>
      </c>
      <c r="AA421" t="n">
        <v>2920</v>
      </c>
      <c r="AB421" t="n">
        <v>24</v>
      </c>
      <c r="AC421" t="n">
        <v>10</v>
      </c>
      <c r="AD421" t="n">
        <v>811</v>
      </c>
      <c r="AE421" t="n">
        <v>33</v>
      </c>
      <c r="AF421" t="n">
        <v>40</v>
      </c>
      <c r="AG421" t="n">
        <v>79</v>
      </c>
      <c r="AH421" t="n">
        <v>40</v>
      </c>
      <c r="AI421" t="n">
        <v>110</v>
      </c>
      <c r="AJ421" t="n">
        <v>1089</v>
      </c>
      <c r="AK421" t="n">
        <v>310</v>
      </c>
      <c r="AL421" t="n">
        <v>208</v>
      </c>
      <c r="AM421" t="n">
        <v>394</v>
      </c>
      <c r="AN421" t="n">
        <v>88</v>
      </c>
      <c r="AO421" t="n">
        <v>4</v>
      </c>
      <c r="AP421" t="n">
        <v>0</v>
      </c>
      <c r="AQ421" t="n">
        <v>0</v>
      </c>
      <c r="AR421" t="n">
        <v>0</v>
      </c>
      <c r="AS421" t="n">
        <v>0</v>
      </c>
      <c r="AT421" t="n">
        <v>4161</v>
      </c>
      <c r="AU421" t="n">
        <v>5224</v>
      </c>
      <c r="AV421" t="n">
        <v>0</v>
      </c>
      <c r="AW421" t="n">
        <v>9385</v>
      </c>
      <c r="AX421" t="n">
        <v>324</v>
      </c>
      <c r="AY421" t="n">
        <v>0</v>
      </c>
      <c r="AZ421" t="n">
        <v>0</v>
      </c>
      <c r="BA421" t="n">
        <v>324</v>
      </c>
      <c r="BB421" t="n">
        <v>0</v>
      </c>
      <c r="BC421" t="n">
        <v>0</v>
      </c>
      <c r="BD421" t="n">
        <v>0</v>
      </c>
      <c r="BE421" t="n">
        <v>308</v>
      </c>
      <c r="BF421" t="n">
        <v>308</v>
      </c>
      <c r="BG421">
        <f>IF($F421=0,"0",MIN(
BH421/(30*$F421),
BI421/(61*$F421),
BJ421/(48*$F421),
(BK421+BL421)/(23*$F421),
(BM421+BN421)/(41*$F421),
BO421/(25*$F421),
BP421/(6.6*$F421),
BQ421/(40*$F421),
BS421/(16*$F421)
)*100)</f>
        <v/>
      </c>
      <c r="BH421" t="n">
        <v>118</v>
      </c>
      <c r="BI421" t="n">
        <v>154</v>
      </c>
      <c r="BJ421" t="n">
        <v>146</v>
      </c>
      <c r="BK421" t="n">
        <v>37</v>
      </c>
      <c r="BL421" t="n">
        <v>4</v>
      </c>
      <c r="BM421" t="n">
        <v>122</v>
      </c>
      <c r="BN421" t="n">
        <v>61</v>
      </c>
      <c r="BO421" t="n">
        <v>118</v>
      </c>
      <c r="BP421" t="n">
        <v>32</v>
      </c>
      <c r="BQ421" t="n">
        <v>118</v>
      </c>
      <c r="BR421" t="n">
        <v>93</v>
      </c>
      <c r="BS421" t="n">
        <v>65</v>
      </c>
      <c r="BT421" t="n">
        <v>1068</v>
      </c>
      <c r="BU421" t="n">
        <v>134</v>
      </c>
      <c r="BV421" t="n">
        <v>616</v>
      </c>
      <c r="BW421" t="n">
        <v>1719</v>
      </c>
      <c r="BX421" t="n">
        <v>93</v>
      </c>
      <c r="BY421" t="n">
        <v>81</v>
      </c>
      <c r="BZ421" t="n">
        <v>142</v>
      </c>
      <c r="CA421" t="n">
        <v>2785</v>
      </c>
      <c r="CB421" t="n">
        <v>45</v>
      </c>
      <c r="CC421" t="n">
        <v>19</v>
      </c>
      <c r="CD421" t="n">
        <v>37</v>
      </c>
      <c r="CE421" t="n">
        <v>382</v>
      </c>
      <c r="CF421" t="n">
        <v>10.32</v>
      </c>
      <c r="CG421" t="n">
        <v>0</v>
      </c>
      <c r="CH421" t="n">
        <v>0</v>
      </c>
      <c r="CI421" t="n">
        <v>0</v>
      </c>
      <c r="CJ421" t="n">
        <v>0</v>
      </c>
      <c r="CK421" t="n">
        <v>0</v>
      </c>
      <c r="CL421" t="n">
        <v>0</v>
      </c>
      <c r="CM421" t="n">
        <v>0</v>
      </c>
      <c r="CN421" t="n">
        <v>134</v>
      </c>
      <c r="CO421" t="n">
        <v>0</v>
      </c>
      <c r="CP421" t="n">
        <v>20</v>
      </c>
      <c r="CQ421" t="n">
        <v>0</v>
      </c>
      <c r="CR421" t="n">
        <v>0</v>
      </c>
      <c r="CS421" t="n">
        <v>0</v>
      </c>
      <c r="CT421" t="n">
        <v>154</v>
      </c>
      <c r="CU421" t="n">
        <v>0</v>
      </c>
      <c r="CV421" t="n">
        <v>0</v>
      </c>
      <c r="CW421" t="n">
        <v>8</v>
      </c>
      <c r="CX421" t="n">
        <v>0</v>
      </c>
      <c r="CY421" t="n">
        <v>97</v>
      </c>
      <c r="CZ421" t="n">
        <v>0</v>
      </c>
      <c r="DA421" t="n">
        <v>0</v>
      </c>
      <c r="DB421" t="n">
        <v>0</v>
      </c>
      <c r="DC421" t="n">
        <v>105</v>
      </c>
      <c r="DD421" t="n">
        <v>0</v>
      </c>
      <c r="DE421" t="n">
        <v>0</v>
      </c>
      <c r="DF421" t="n">
        <v>382</v>
      </c>
      <c r="DG421" t="n">
        <v>37</v>
      </c>
      <c r="DH421" t="n">
        <v>0</v>
      </c>
      <c r="DI421" t="n">
        <v>0</v>
      </c>
      <c r="DJ421" t="n">
        <v>0</v>
      </c>
      <c r="DK421" t="n">
        <v>0</v>
      </c>
      <c r="DL421" t="n">
        <v>0</v>
      </c>
      <c r="DM421" t="n">
        <v>0</v>
      </c>
      <c r="DN421" t="n">
        <v>0</v>
      </c>
      <c r="DO421" t="n">
        <v>0</v>
      </c>
      <c r="DP421" t="n">
        <v>0</v>
      </c>
      <c r="DQ421" t="n">
        <v>0</v>
      </c>
      <c r="DR421" t="n">
        <v>0</v>
      </c>
      <c r="DS421" t="n">
        <v>419</v>
      </c>
      <c r="DT421" t="n">
        <v>678</v>
      </c>
      <c r="DU421" t="n">
        <v>174</v>
      </c>
      <c r="DV421" t="n">
        <v>0</v>
      </c>
      <c r="DW421" t="n">
        <v>0</v>
      </c>
      <c r="DX421" t="n">
        <v>0</v>
      </c>
      <c r="DY421" t="n">
        <v>568</v>
      </c>
      <c r="DZ421" t="n">
        <v>681</v>
      </c>
      <c r="EA421" t="n">
        <v>1425</v>
      </c>
      <c r="EB421" t="n">
        <v>1575</v>
      </c>
      <c r="EC421" t="n">
        <v>1023</v>
      </c>
      <c r="ED421" t="n">
        <v>892</v>
      </c>
      <c r="EE421" t="n">
        <v>2961</v>
      </c>
      <c r="EF421" t="n">
        <v>0</v>
      </c>
      <c r="EG421" t="n">
        <v>2</v>
      </c>
      <c r="EH421" t="n">
        <v>2.2</v>
      </c>
      <c r="EI421" t="n">
        <v>3</v>
      </c>
      <c r="EJ421" t="n">
        <v>0.9</v>
      </c>
      <c r="EK421" t="n">
        <v>4</v>
      </c>
    </row>
    <row r="422">
      <c r="A422">
        <f>[1]ingredient!B422</f>
        <v/>
      </c>
      <c r="B422" t="inlineStr">
        <is>
          <t>https://www.naehrwertrechner.de/naehrwerte/R160000/Tomatenmark/?menge=100</t>
        </is>
      </c>
      <c r="C422" s="7">
        <f>_xlfn.XLOOKUP(A422,[1]ingredient!$B$2:$B$521,[1]ingredient!$A$2:$A$521)</f>
        <v/>
      </c>
      <c r="D422" t="n">
        <v>74</v>
      </c>
      <c r="E422" t="n">
        <v>0.2</v>
      </c>
      <c r="F422" t="n">
        <v>5</v>
      </c>
      <c r="G422" t="n">
        <v>13</v>
      </c>
      <c r="H422" t="n">
        <v>3</v>
      </c>
      <c r="I422" t="n">
        <v>12</v>
      </c>
      <c r="J422" t="n">
        <v>1</v>
      </c>
      <c r="K422" t="n">
        <v>77</v>
      </c>
      <c r="L422" t="n">
        <v>217</v>
      </c>
      <c r="M422" t="n">
        <v>108</v>
      </c>
      <c r="N422" t="n">
        <v>0</v>
      </c>
      <c r="O422" t="n">
        <v>1300</v>
      </c>
      <c r="P422" t="n">
        <v>220</v>
      </c>
      <c r="Q422" t="n">
        <v>120</v>
      </c>
      <c r="R422" t="n">
        <v>3500</v>
      </c>
      <c r="S422" t="n">
        <v>4100</v>
      </c>
      <c r="T422" t="n">
        <v>1000</v>
      </c>
      <c r="U422" t="n">
        <v>440</v>
      </c>
      <c r="V422" t="n">
        <v>6</v>
      </c>
      <c r="W422" t="n">
        <v>54</v>
      </c>
      <c r="X422" t="n">
        <v>0</v>
      </c>
      <c r="Y422" t="n">
        <v>38000</v>
      </c>
      <c r="Z422" t="n">
        <v>0</v>
      </c>
      <c r="AA422" t="n">
        <v>5370</v>
      </c>
      <c r="AB422" t="n">
        <v>20</v>
      </c>
      <c r="AC422" t="n">
        <v>240</v>
      </c>
      <c r="AD422" t="n">
        <v>1150</v>
      </c>
      <c r="AE422" t="n">
        <v>48</v>
      </c>
      <c r="AF422" t="n">
        <v>48</v>
      </c>
      <c r="AG422" t="n">
        <v>94</v>
      </c>
      <c r="AH422" t="n">
        <v>60</v>
      </c>
      <c r="AI422" t="n">
        <v>490</v>
      </c>
      <c r="AJ422" t="n">
        <v>1600</v>
      </c>
      <c r="AK422" t="n">
        <v>700</v>
      </c>
      <c r="AL422" t="n">
        <v>530</v>
      </c>
      <c r="AM422" t="n">
        <v>300</v>
      </c>
      <c r="AN422" t="n">
        <v>40</v>
      </c>
      <c r="AO422" t="n">
        <v>4</v>
      </c>
      <c r="AP422" t="n">
        <v>0</v>
      </c>
      <c r="AQ422" t="n">
        <v>0</v>
      </c>
      <c r="AR422" t="n">
        <v>0</v>
      </c>
      <c r="AS422" t="n">
        <v>0</v>
      </c>
      <c r="AT422" t="n">
        <v>5483</v>
      </c>
      <c r="AU422" t="n">
        <v>6449</v>
      </c>
      <c r="AV422" t="n">
        <v>0</v>
      </c>
      <c r="AW422" t="n">
        <v>11932</v>
      </c>
      <c r="AX422" t="n">
        <v>516</v>
      </c>
      <c r="AY422" t="n">
        <v>0</v>
      </c>
      <c r="AZ422" t="n">
        <v>0</v>
      </c>
      <c r="BA422" t="n">
        <v>516</v>
      </c>
      <c r="BB422" t="n">
        <v>0</v>
      </c>
      <c r="BC422" t="n">
        <v>0</v>
      </c>
      <c r="BD422" t="n">
        <v>0</v>
      </c>
      <c r="BE422" t="n">
        <v>387</v>
      </c>
      <c r="BF422" t="n">
        <v>387</v>
      </c>
      <c r="BG422">
        <f>IF($F422=0,"0",MIN(
BH422/(30*$F422),
BI422/(61*$F422),
BJ422/(48*$F422),
(BK422+BL422)/(23*$F422),
(BM422+BN422)/(41*$F422),
BO422/(25*$F422),
BP422/(6.6*$F422),
BQ422/(40*$F422),
BS422/(16*$F422)
)*100)</f>
        <v/>
      </c>
      <c r="BH422" t="n">
        <v>113</v>
      </c>
      <c r="BI422" t="n">
        <v>167</v>
      </c>
      <c r="BJ422" t="n">
        <v>171</v>
      </c>
      <c r="BK422" t="n">
        <v>27</v>
      </c>
      <c r="BL422" t="n">
        <v>41</v>
      </c>
      <c r="BM422" t="n">
        <v>113</v>
      </c>
      <c r="BN422" t="n">
        <v>63</v>
      </c>
      <c r="BO422" t="n">
        <v>126</v>
      </c>
      <c r="BP422" t="n">
        <v>36</v>
      </c>
      <c r="BQ422" t="n">
        <v>113</v>
      </c>
      <c r="BR422" t="n">
        <v>108</v>
      </c>
      <c r="BS422" t="n">
        <v>63</v>
      </c>
      <c r="BT422" t="n">
        <v>1141</v>
      </c>
      <c r="BU422" t="n">
        <v>144</v>
      </c>
      <c r="BV422" t="n">
        <v>585</v>
      </c>
      <c r="BW422" t="n">
        <v>1617</v>
      </c>
      <c r="BX422" t="n">
        <v>113</v>
      </c>
      <c r="BY422" t="n">
        <v>90</v>
      </c>
      <c r="BZ422" t="n">
        <v>135</v>
      </c>
      <c r="CA422" t="n">
        <v>2684</v>
      </c>
      <c r="CB422" t="n">
        <v>91</v>
      </c>
      <c r="CC422" t="n">
        <v>38</v>
      </c>
      <c r="CD422" t="n">
        <v>6</v>
      </c>
      <c r="CE422" t="n">
        <v>89</v>
      </c>
      <c r="CF422" t="n">
        <v>14.83</v>
      </c>
      <c r="CG422" t="n">
        <v>0</v>
      </c>
      <c r="CH422" t="n">
        <v>0</v>
      </c>
      <c r="CI422" t="n">
        <v>0</v>
      </c>
      <c r="CJ422" t="n">
        <v>0</v>
      </c>
      <c r="CK422" t="n">
        <v>0</v>
      </c>
      <c r="CL422" t="n">
        <v>0</v>
      </c>
      <c r="CM422" t="n">
        <v>0</v>
      </c>
      <c r="CN422" t="n">
        <v>28</v>
      </c>
      <c r="CO422" t="n">
        <v>0</v>
      </c>
      <c r="CP422" t="n">
        <v>8</v>
      </c>
      <c r="CQ422" t="n">
        <v>0</v>
      </c>
      <c r="CR422" t="n">
        <v>0</v>
      </c>
      <c r="CS422" t="n">
        <v>0</v>
      </c>
      <c r="CT422" t="n">
        <v>36</v>
      </c>
      <c r="CU422" t="n">
        <v>0</v>
      </c>
      <c r="CV422" t="n">
        <v>0</v>
      </c>
      <c r="CW422" t="n">
        <v>1</v>
      </c>
      <c r="CX422" t="n">
        <v>0</v>
      </c>
      <c r="CY422" t="n">
        <v>28</v>
      </c>
      <c r="CZ422" t="n">
        <v>0</v>
      </c>
      <c r="DA422" t="n">
        <v>0</v>
      </c>
      <c r="DB422" t="n">
        <v>0</v>
      </c>
      <c r="DC422" t="n">
        <v>29</v>
      </c>
      <c r="DD422" t="n">
        <v>0</v>
      </c>
      <c r="DE422" t="n">
        <v>0</v>
      </c>
      <c r="DF422" t="n">
        <v>89</v>
      </c>
      <c r="DG422" t="n">
        <v>6</v>
      </c>
      <c r="DH422" t="n">
        <v>0</v>
      </c>
      <c r="DI422" t="n">
        <v>0</v>
      </c>
      <c r="DJ422" t="n">
        <v>0</v>
      </c>
      <c r="DK422" t="n">
        <v>0</v>
      </c>
      <c r="DL422" t="n">
        <v>0</v>
      </c>
      <c r="DM422" t="n">
        <v>0</v>
      </c>
      <c r="DN422" t="n">
        <v>0</v>
      </c>
      <c r="DO422" t="n">
        <v>0</v>
      </c>
      <c r="DP422" t="n">
        <v>0</v>
      </c>
      <c r="DQ422" t="n">
        <v>0</v>
      </c>
      <c r="DR422" t="n">
        <v>0</v>
      </c>
      <c r="DS422" t="n">
        <v>95</v>
      </c>
      <c r="DT422" t="n">
        <v>160</v>
      </c>
      <c r="DU422" t="n">
        <v>40</v>
      </c>
      <c r="DV422" t="n">
        <v>0</v>
      </c>
      <c r="DW422" t="n">
        <v>0</v>
      </c>
      <c r="DX422" t="n">
        <v>0</v>
      </c>
      <c r="DY422" t="n">
        <v>280</v>
      </c>
      <c r="DZ422" t="n">
        <v>336</v>
      </c>
      <c r="EA422" t="n">
        <v>700</v>
      </c>
      <c r="EB422" t="n">
        <v>980</v>
      </c>
      <c r="EC422" t="n">
        <v>504</v>
      </c>
      <c r="ED422" t="n">
        <v>280</v>
      </c>
      <c r="EE422" t="n">
        <v>2520</v>
      </c>
      <c r="EF422" t="n">
        <v>0</v>
      </c>
      <c r="EG422" t="n">
        <v>1</v>
      </c>
      <c r="EH422" t="n">
        <v>2.4</v>
      </c>
      <c r="EI422" t="n">
        <v>2.5</v>
      </c>
      <c r="EJ422" t="n">
        <v>0.2</v>
      </c>
      <c r="EK422" t="n">
        <v>4.1</v>
      </c>
    </row>
    <row r="423">
      <c r="A423">
        <f>[1]ingredient!B423</f>
        <v/>
      </c>
      <c r="B423" t="inlineStr">
        <is>
          <t>https://www.naehrwertrechner.de/naehrwerte/G561100/Tomate+rot+roh/?menge=100</t>
        </is>
      </c>
      <c r="C423" s="7">
        <f>_xlfn.XLOOKUP(A423,[1]ingredient!$B$2:$B$521,[1]ingredient!$A$2:$A$521)</f>
        <v/>
      </c>
      <c r="D423" t="n">
        <v>17</v>
      </c>
      <c r="E423" t="n">
        <v>0.21</v>
      </c>
      <c r="F423" t="n">
        <v>1</v>
      </c>
      <c r="G423" t="n">
        <v>3</v>
      </c>
      <c r="H423" t="n">
        <v>1</v>
      </c>
      <c r="I423" t="n">
        <v>3</v>
      </c>
      <c r="J423" t="n">
        <v>0.03</v>
      </c>
      <c r="K423" t="n">
        <v>94</v>
      </c>
      <c r="L423" t="n">
        <v>99</v>
      </c>
      <c r="M423" t="n">
        <v>49</v>
      </c>
      <c r="N423" t="n">
        <v>0</v>
      </c>
      <c r="O423" t="n">
        <v>593</v>
      </c>
      <c r="P423" t="n">
        <v>57</v>
      </c>
      <c r="Q423" t="n">
        <v>35</v>
      </c>
      <c r="R423" t="n">
        <v>530</v>
      </c>
      <c r="S423" t="n">
        <v>630</v>
      </c>
      <c r="T423" t="n">
        <v>310</v>
      </c>
      <c r="U423" t="n">
        <v>100</v>
      </c>
      <c r="V423" t="n">
        <v>4</v>
      </c>
      <c r="W423" t="n">
        <v>33</v>
      </c>
      <c r="X423" t="n">
        <v>0</v>
      </c>
      <c r="Y423" t="n">
        <v>19255</v>
      </c>
      <c r="Z423" t="n">
        <v>0</v>
      </c>
      <c r="AA423" t="n">
        <v>800</v>
      </c>
      <c r="AB423" t="n">
        <v>6</v>
      </c>
      <c r="AC423" t="n">
        <v>3</v>
      </c>
      <c r="AD423" t="n">
        <v>235</v>
      </c>
      <c r="AE423" t="n">
        <v>9</v>
      </c>
      <c r="AF423" t="n">
        <v>11</v>
      </c>
      <c r="AG423" t="n">
        <v>22</v>
      </c>
      <c r="AH423" t="n">
        <v>11</v>
      </c>
      <c r="AI423" t="n">
        <v>30</v>
      </c>
      <c r="AJ423" t="n">
        <v>316</v>
      </c>
      <c r="AK423" t="n">
        <v>85</v>
      </c>
      <c r="AL423" t="n">
        <v>57</v>
      </c>
      <c r="AM423" t="n">
        <v>108</v>
      </c>
      <c r="AN423" t="n">
        <v>24</v>
      </c>
      <c r="AO423" t="n">
        <v>1</v>
      </c>
      <c r="AP423" t="n">
        <v>0</v>
      </c>
      <c r="AQ423" t="n">
        <v>0</v>
      </c>
      <c r="AR423" t="n">
        <v>0</v>
      </c>
      <c r="AS423" t="n">
        <v>0</v>
      </c>
      <c r="AT423" t="n">
        <v>1081</v>
      </c>
      <c r="AU423" t="n">
        <v>1358</v>
      </c>
      <c r="AV423" t="n">
        <v>0</v>
      </c>
      <c r="AW423" t="n">
        <v>2439</v>
      </c>
      <c r="AX423" t="n">
        <v>84</v>
      </c>
      <c r="AY423" t="n">
        <v>0</v>
      </c>
      <c r="AZ423" t="n">
        <v>0</v>
      </c>
      <c r="BA423" t="n">
        <v>84</v>
      </c>
      <c r="BB423" t="n">
        <v>0</v>
      </c>
      <c r="BC423" t="n">
        <v>0</v>
      </c>
      <c r="BD423" t="n">
        <v>0</v>
      </c>
      <c r="BE423" t="n">
        <v>80</v>
      </c>
      <c r="BF423" t="n">
        <v>80</v>
      </c>
      <c r="BG423">
        <f>IF($F423=0,"0",MIN(
BH423/(30*$F423),
BI423/(61*$F423),
BJ423/(48*$F423),
(BK423+BL423)/(23*$F423),
(BM423+BN423)/(41*$F423),
BO423/(25*$F423),
BP423/(6.6*$F423),
BQ423/(40*$F423),
BS423/(16*$F423)
)*100)</f>
        <v/>
      </c>
      <c r="BH423" t="n">
        <v>23</v>
      </c>
      <c r="BI423" t="n">
        <v>30</v>
      </c>
      <c r="BJ423" t="n">
        <v>29</v>
      </c>
      <c r="BK423" t="n">
        <v>7</v>
      </c>
      <c r="BL423" t="n">
        <v>1</v>
      </c>
      <c r="BM423" t="n">
        <v>24</v>
      </c>
      <c r="BN423" t="n">
        <v>12</v>
      </c>
      <c r="BO423" t="n">
        <v>23</v>
      </c>
      <c r="BP423" t="n">
        <v>6</v>
      </c>
      <c r="BQ423" t="n">
        <v>23</v>
      </c>
      <c r="BR423" t="n">
        <v>18</v>
      </c>
      <c r="BS423" t="n">
        <v>13</v>
      </c>
      <c r="BT423" t="n">
        <v>209</v>
      </c>
      <c r="BU423" t="n">
        <v>26</v>
      </c>
      <c r="BV423" t="n">
        <v>121</v>
      </c>
      <c r="BW423" t="n">
        <v>337</v>
      </c>
      <c r="BX423" t="n">
        <v>18</v>
      </c>
      <c r="BY423" t="n">
        <v>16</v>
      </c>
      <c r="BZ423" t="n">
        <v>28</v>
      </c>
      <c r="CA423" t="n">
        <v>546</v>
      </c>
      <c r="CB423" t="n">
        <v>11</v>
      </c>
      <c r="CC423" t="n">
        <v>5</v>
      </c>
      <c r="CD423" t="n">
        <v>9</v>
      </c>
      <c r="CE423" t="n">
        <v>91</v>
      </c>
      <c r="CF423" t="n">
        <v>10.11</v>
      </c>
      <c r="CG423" t="n">
        <v>0</v>
      </c>
      <c r="CH423" t="n">
        <v>0</v>
      </c>
      <c r="CI423" t="n">
        <v>0</v>
      </c>
      <c r="CJ423" t="n">
        <v>0</v>
      </c>
      <c r="CK423" t="n">
        <v>0</v>
      </c>
      <c r="CL423" t="n">
        <v>0</v>
      </c>
      <c r="CM423" t="n">
        <v>0</v>
      </c>
      <c r="CN423" t="n">
        <v>32</v>
      </c>
      <c r="CO423" t="n">
        <v>0</v>
      </c>
      <c r="CP423" t="n">
        <v>5</v>
      </c>
      <c r="CQ423" t="n">
        <v>0</v>
      </c>
      <c r="CR423" t="n">
        <v>0</v>
      </c>
      <c r="CS423" t="n">
        <v>0</v>
      </c>
      <c r="CT423" t="n">
        <v>37</v>
      </c>
      <c r="CU423" t="n">
        <v>0</v>
      </c>
      <c r="CV423" t="n">
        <v>0</v>
      </c>
      <c r="CW423" t="n">
        <v>2</v>
      </c>
      <c r="CX423" t="n">
        <v>0</v>
      </c>
      <c r="CY423" t="n">
        <v>23</v>
      </c>
      <c r="CZ423" t="n">
        <v>0</v>
      </c>
      <c r="DA423" t="n">
        <v>0</v>
      </c>
      <c r="DB423" t="n">
        <v>0</v>
      </c>
      <c r="DC423" t="n">
        <v>25</v>
      </c>
      <c r="DD423" t="n">
        <v>0</v>
      </c>
      <c r="DE423" t="n">
        <v>0</v>
      </c>
      <c r="DF423" t="n">
        <v>91</v>
      </c>
      <c r="DG423" t="n">
        <v>9</v>
      </c>
      <c r="DH423" t="n">
        <v>0</v>
      </c>
      <c r="DI423" t="n">
        <v>0</v>
      </c>
      <c r="DJ423" t="n">
        <v>0</v>
      </c>
      <c r="DK423" t="n">
        <v>0</v>
      </c>
      <c r="DL423" t="n">
        <v>0</v>
      </c>
      <c r="DM423" t="n">
        <v>0</v>
      </c>
      <c r="DN423" t="n">
        <v>0</v>
      </c>
      <c r="DO423" t="n">
        <v>0</v>
      </c>
      <c r="DP423" t="n">
        <v>0</v>
      </c>
      <c r="DQ423" t="n">
        <v>0</v>
      </c>
      <c r="DR423" t="n">
        <v>0</v>
      </c>
      <c r="DS423" t="n">
        <v>100</v>
      </c>
      <c r="DT423" t="n">
        <v>162</v>
      </c>
      <c r="DU423" t="n">
        <v>42</v>
      </c>
      <c r="DV423" t="n">
        <v>0</v>
      </c>
      <c r="DW423" t="n">
        <v>0</v>
      </c>
      <c r="DX423" t="n">
        <v>0</v>
      </c>
      <c r="DY423" t="n">
        <v>130</v>
      </c>
      <c r="DZ423" t="n">
        <v>156</v>
      </c>
      <c r="EA423" t="n">
        <v>325</v>
      </c>
      <c r="EB423" t="n">
        <v>360</v>
      </c>
      <c r="EC423" t="n">
        <v>234</v>
      </c>
      <c r="ED423" t="n">
        <v>220</v>
      </c>
      <c r="EE423" t="n">
        <v>730</v>
      </c>
      <c r="EF423" t="n">
        <v>0</v>
      </c>
      <c r="EG423" t="n">
        <v>0.39</v>
      </c>
      <c r="EH423" t="n">
        <v>0.6</v>
      </c>
      <c r="EI423" t="n">
        <v>0.7</v>
      </c>
      <c r="EJ423" t="n">
        <v>0.2</v>
      </c>
      <c r="EK423" t="n">
        <v>0.8</v>
      </c>
    </row>
    <row r="424">
      <c r="A424">
        <f>[1]ingredient!B424</f>
        <v/>
      </c>
      <c r="C424" s="7">
        <f>_xlfn.XLOOKUP(A424,[1]ingredient!$B$2:$B$521,[1]ingredient!$A$2:$A$521)</f>
        <v/>
      </c>
      <c r="D424" t="n">
        <v>467</v>
      </c>
      <c r="E424" t="n">
        <v>24</v>
      </c>
      <c r="F424" t="n">
        <v>13</v>
      </c>
      <c r="G424" t="n">
        <v>50</v>
      </c>
      <c r="I424" t="n">
        <v>9.1</v>
      </c>
      <c r="J424" t="n">
        <v>0.01</v>
      </c>
      <c r="BG424">
        <f>IF($F424=0,"0",MIN(
BH424/(30*$F424),
BI424/(61*$F424),
BJ424/(48*$F424),
(BK424+BL424)/(23*$F424),
(BM424+BN424)/(41*$F424),
BO424/(25*$F424),
BP424/(6.6*$F424),
BQ424/(40*$F424),
BS424/(16*$F424)
)*100)</f>
        <v/>
      </c>
      <c r="CT424" t="n">
        <v>7.4</v>
      </c>
    </row>
    <row r="425">
      <c r="A425">
        <f>[1]ingredient!B425</f>
        <v/>
      </c>
      <c r="B425" t="inlineStr">
        <is>
          <t>https://www.naehrwertrechner.de/naehrwerte/K430111/Topinambur+frisch/?menge=100</t>
        </is>
      </c>
      <c r="C425" s="7">
        <f>_xlfn.XLOOKUP(A425,[1]ingredient!$B$2:$B$521,[1]ingredient!$A$2:$A$521)</f>
        <v/>
      </c>
      <c r="D425" t="n">
        <v>31</v>
      </c>
      <c r="E425" t="n">
        <v>0.41</v>
      </c>
      <c r="F425" t="n">
        <v>2</v>
      </c>
      <c r="G425" t="n">
        <v>4</v>
      </c>
      <c r="H425" t="n">
        <v>13</v>
      </c>
      <c r="I425" t="n">
        <v>1</v>
      </c>
      <c r="J425" t="n">
        <v>0.06</v>
      </c>
      <c r="K425" t="n">
        <v>78</v>
      </c>
      <c r="L425" t="n">
        <v>2</v>
      </c>
      <c r="M425" t="n">
        <v>1</v>
      </c>
      <c r="N425" t="n">
        <v>0</v>
      </c>
      <c r="O425" t="n">
        <v>12</v>
      </c>
      <c r="P425" t="n">
        <v>200</v>
      </c>
      <c r="Q425" t="n">
        <v>60</v>
      </c>
      <c r="R425" t="n">
        <v>1300</v>
      </c>
      <c r="S425" t="n">
        <v>1783</v>
      </c>
      <c r="T425" t="n">
        <v>60</v>
      </c>
      <c r="U425" t="n">
        <v>90</v>
      </c>
      <c r="V425" t="n">
        <v>2</v>
      </c>
      <c r="W425" t="n">
        <v>35</v>
      </c>
      <c r="X425" t="n">
        <v>0</v>
      </c>
      <c r="Y425" t="n">
        <v>4000</v>
      </c>
      <c r="Z425" t="n">
        <v>0</v>
      </c>
      <c r="AA425" t="n">
        <v>200</v>
      </c>
      <c r="AB425" t="n">
        <v>23</v>
      </c>
      <c r="AC425" t="n">
        <v>3</v>
      </c>
      <c r="AD425" t="n">
        <v>478</v>
      </c>
      <c r="AE425" t="n">
        <v>10</v>
      </c>
      <c r="AF425" t="n">
        <v>20</v>
      </c>
      <c r="AG425" t="n">
        <v>78</v>
      </c>
      <c r="AH425" t="n">
        <v>22</v>
      </c>
      <c r="AI425" t="n">
        <v>60</v>
      </c>
      <c r="AJ425" t="n">
        <v>3700</v>
      </c>
      <c r="AK425" t="n">
        <v>60</v>
      </c>
      <c r="AL425" t="n">
        <v>150</v>
      </c>
      <c r="AM425" t="n">
        <v>60</v>
      </c>
      <c r="AN425" t="n">
        <v>9</v>
      </c>
      <c r="AO425" t="n">
        <v>0.1</v>
      </c>
      <c r="AP425" t="n">
        <v>0</v>
      </c>
      <c r="AQ425" t="n">
        <v>0</v>
      </c>
      <c r="AR425" t="n">
        <v>0</v>
      </c>
      <c r="AS425" t="n">
        <v>0</v>
      </c>
      <c r="AT425" t="n">
        <v>80</v>
      </c>
      <c r="AU425" t="n">
        <v>40</v>
      </c>
      <c r="AV425" t="n">
        <v>0</v>
      </c>
      <c r="AW425" t="n">
        <v>120</v>
      </c>
      <c r="AX425" t="n">
        <v>1000</v>
      </c>
      <c r="AY425" t="n">
        <v>0</v>
      </c>
      <c r="AZ425" t="n">
        <v>0</v>
      </c>
      <c r="BA425" t="n">
        <v>1000</v>
      </c>
      <c r="BB425" t="n">
        <v>2880</v>
      </c>
      <c r="BC425" t="n">
        <v>0</v>
      </c>
      <c r="BD425" t="n">
        <v>0</v>
      </c>
      <c r="BE425" t="n">
        <v>0</v>
      </c>
      <c r="BF425" t="n">
        <v>0</v>
      </c>
      <c r="BG425">
        <f>IF($F425=0,"0",MIN(
BH425/(30*$F425),
BI425/(61*$F425),
BJ425/(48*$F425),
(BK425+BL425)/(23*$F425),
(BM425+BN425)/(41*$F425),
BO425/(25*$F425),
BP425/(6.6*$F425),
BQ425/(40*$F425),
BS425/(16*$F425)
)*100)</f>
        <v/>
      </c>
      <c r="BH425" t="n">
        <v>73</v>
      </c>
      <c r="BI425" t="n">
        <v>122</v>
      </c>
      <c r="BJ425" t="n">
        <v>98</v>
      </c>
      <c r="BK425" t="n">
        <v>32</v>
      </c>
      <c r="BL425" t="n">
        <v>37</v>
      </c>
      <c r="BM425" t="n">
        <v>85</v>
      </c>
      <c r="BN425" t="n">
        <v>61</v>
      </c>
      <c r="BO425" t="n">
        <v>98</v>
      </c>
      <c r="BP425" t="n">
        <v>29</v>
      </c>
      <c r="BQ425" t="n">
        <v>110</v>
      </c>
      <c r="BR425" t="n">
        <v>171</v>
      </c>
      <c r="BS425" t="n">
        <v>49</v>
      </c>
      <c r="BT425" t="n">
        <v>965</v>
      </c>
      <c r="BU425" t="n">
        <v>105</v>
      </c>
      <c r="BV425" t="n">
        <v>278</v>
      </c>
      <c r="BW425" t="n">
        <v>291</v>
      </c>
      <c r="BX425" t="n">
        <v>110</v>
      </c>
      <c r="BY425" t="n">
        <v>88</v>
      </c>
      <c r="BZ425" t="n">
        <v>115</v>
      </c>
      <c r="CA425" t="n">
        <v>987</v>
      </c>
      <c r="CB425" t="n">
        <v>14</v>
      </c>
      <c r="CC425" t="n">
        <v>6</v>
      </c>
      <c r="CD425" t="n">
        <v>44</v>
      </c>
      <c r="CE425" t="n">
        <v>165</v>
      </c>
      <c r="CF425" t="n">
        <v>3.75</v>
      </c>
      <c r="CG425" t="n">
        <v>0</v>
      </c>
      <c r="CH425" t="n">
        <v>0</v>
      </c>
      <c r="CI425" t="n">
        <v>0</v>
      </c>
      <c r="CJ425" t="n">
        <v>0</v>
      </c>
      <c r="CK425" t="n">
        <v>0</v>
      </c>
      <c r="CL425" t="n">
        <v>0</v>
      </c>
      <c r="CM425" t="n">
        <v>0</v>
      </c>
      <c r="CN425" t="n">
        <v>102</v>
      </c>
      <c r="CO425" t="n">
        <v>0</v>
      </c>
      <c r="CP425" t="n">
        <v>9</v>
      </c>
      <c r="CQ425" t="n">
        <v>0</v>
      </c>
      <c r="CR425" t="n">
        <v>0</v>
      </c>
      <c r="CS425" t="n">
        <v>0</v>
      </c>
      <c r="CT425" t="n">
        <v>111</v>
      </c>
      <c r="CU425" t="n">
        <v>0</v>
      </c>
      <c r="CV425" t="n">
        <v>0</v>
      </c>
      <c r="CW425" t="n">
        <v>0</v>
      </c>
      <c r="CX425" t="n">
        <v>0</v>
      </c>
      <c r="CY425" t="n">
        <v>8</v>
      </c>
      <c r="CZ425" t="n">
        <v>0</v>
      </c>
      <c r="DA425" t="n">
        <v>0</v>
      </c>
      <c r="DB425" t="n">
        <v>0</v>
      </c>
      <c r="DC425" t="n">
        <v>8</v>
      </c>
      <c r="DD425" t="n">
        <v>0</v>
      </c>
      <c r="DE425" t="n">
        <v>0</v>
      </c>
      <c r="DF425" t="n">
        <v>165</v>
      </c>
      <c r="DG425" t="n">
        <v>44</v>
      </c>
      <c r="DH425" t="n">
        <v>0</v>
      </c>
      <c r="DI425" t="n">
        <v>0</v>
      </c>
      <c r="DJ425" t="n">
        <v>0</v>
      </c>
      <c r="DK425" t="n">
        <v>0</v>
      </c>
      <c r="DL425" t="n">
        <v>0</v>
      </c>
      <c r="DM425" t="n">
        <v>0</v>
      </c>
      <c r="DN425" t="n">
        <v>0</v>
      </c>
      <c r="DO425" t="n">
        <v>0</v>
      </c>
      <c r="DP425" t="n">
        <v>0</v>
      </c>
      <c r="DQ425" t="n">
        <v>0</v>
      </c>
      <c r="DR425" t="n">
        <v>0</v>
      </c>
      <c r="DS425" t="n">
        <v>209</v>
      </c>
      <c r="DT425" t="n">
        <v>328</v>
      </c>
      <c r="DU425" t="n">
        <v>82</v>
      </c>
      <c r="DV425" t="n">
        <v>0</v>
      </c>
      <c r="DW425" t="n">
        <v>0</v>
      </c>
      <c r="DX425" t="n">
        <v>0</v>
      </c>
      <c r="DY425" t="n">
        <v>1877</v>
      </c>
      <c r="DZ425" t="n">
        <v>4378</v>
      </c>
      <c r="EA425" t="n">
        <v>1877</v>
      </c>
      <c r="EB425" t="n">
        <v>4128</v>
      </c>
      <c r="EC425" t="n">
        <v>250</v>
      </c>
      <c r="ED425" t="n">
        <v>6255</v>
      </c>
      <c r="EE425" t="n">
        <v>6255</v>
      </c>
      <c r="EF425" t="n">
        <v>0</v>
      </c>
      <c r="EG425" t="n">
        <v>0.44</v>
      </c>
      <c r="EH425" t="n">
        <v>1.7</v>
      </c>
      <c r="EI425" t="n">
        <v>6.3</v>
      </c>
      <c r="EJ425" t="n">
        <v>0.4</v>
      </c>
      <c r="EK425" t="n">
        <v>2</v>
      </c>
    </row>
    <row r="426">
      <c r="A426">
        <f>[1]ingredient!B426</f>
        <v/>
      </c>
      <c r="B426" t="inlineStr">
        <is>
          <t>https://www.naehrwertrechner.de/naehrwerte/F312111/Weintraube+wei%C3%9F+frisch/?menge=100</t>
        </is>
      </c>
      <c r="C426" s="7">
        <f>_xlfn.XLOOKUP(A426,[1]ingredient!$B$2:$B$521,[1]ingredient!$A$2:$A$521)</f>
        <v/>
      </c>
      <c r="D426" t="n">
        <v>71</v>
      </c>
      <c r="E426" t="n">
        <v>0.3</v>
      </c>
      <c r="F426" t="n">
        <v>1</v>
      </c>
      <c r="G426" t="n">
        <v>16</v>
      </c>
      <c r="H426" t="n">
        <v>1</v>
      </c>
      <c r="I426" t="n">
        <v>15</v>
      </c>
      <c r="J426" t="n">
        <v>0</v>
      </c>
      <c r="K426" t="n">
        <v>81</v>
      </c>
      <c r="L426" t="n">
        <v>4</v>
      </c>
      <c r="M426" t="n">
        <v>2</v>
      </c>
      <c r="N426" t="n">
        <v>0</v>
      </c>
      <c r="O426" t="n">
        <v>25</v>
      </c>
      <c r="P426" t="n">
        <v>45</v>
      </c>
      <c r="Q426" t="n">
        <v>25</v>
      </c>
      <c r="R426" t="n">
        <v>230</v>
      </c>
      <c r="S426" t="n">
        <v>297</v>
      </c>
      <c r="T426" t="n">
        <v>65</v>
      </c>
      <c r="U426" t="n">
        <v>75</v>
      </c>
      <c r="V426" t="n">
        <v>2</v>
      </c>
      <c r="W426" t="n">
        <v>5</v>
      </c>
      <c r="X426" t="n">
        <v>0</v>
      </c>
      <c r="Y426" t="n">
        <v>4000</v>
      </c>
      <c r="Z426" t="n">
        <v>0</v>
      </c>
      <c r="AA426" t="n">
        <v>666</v>
      </c>
      <c r="AB426" t="n">
        <v>10</v>
      </c>
      <c r="AC426" t="n">
        <v>2</v>
      </c>
      <c r="AD426" t="n">
        <v>190</v>
      </c>
      <c r="AE426" t="n">
        <v>18</v>
      </c>
      <c r="AF426" t="n">
        <v>9</v>
      </c>
      <c r="AG426" t="n">
        <v>20</v>
      </c>
      <c r="AH426" t="n">
        <v>8</v>
      </c>
      <c r="AI426" t="n">
        <v>2</v>
      </c>
      <c r="AJ426" t="n">
        <v>500</v>
      </c>
      <c r="AK426" t="n">
        <v>55</v>
      </c>
      <c r="AL426" t="n">
        <v>83</v>
      </c>
      <c r="AM426" t="n">
        <v>104</v>
      </c>
      <c r="AN426" t="n">
        <v>14</v>
      </c>
      <c r="AO426" t="n">
        <v>1</v>
      </c>
      <c r="AP426" t="n">
        <v>0</v>
      </c>
      <c r="AQ426" t="n">
        <v>203</v>
      </c>
      <c r="AR426" t="n">
        <v>0</v>
      </c>
      <c r="AS426" t="n">
        <v>203</v>
      </c>
      <c r="AT426" t="n">
        <v>7332</v>
      </c>
      <c r="AU426" t="n">
        <v>7628</v>
      </c>
      <c r="AV426" t="n">
        <v>0</v>
      </c>
      <c r="AW426" t="n">
        <v>14960</v>
      </c>
      <c r="AX426" t="n">
        <v>437</v>
      </c>
      <c r="AY426" t="n">
        <v>0</v>
      </c>
      <c r="AZ426" t="n">
        <v>0</v>
      </c>
      <c r="BA426" t="n">
        <v>437</v>
      </c>
      <c r="BB426" t="n">
        <v>0</v>
      </c>
      <c r="BC426" t="n">
        <v>0</v>
      </c>
      <c r="BD426" t="n">
        <v>0</v>
      </c>
      <c r="BE426" t="n">
        <v>0</v>
      </c>
      <c r="BF426" t="n">
        <v>0</v>
      </c>
      <c r="BG426">
        <f>IF($F426=0,"0",MIN(
BH426/(30*$F426),
BI426/(61*$F426),
BJ426/(48*$F426),
(BK426+BL426)/(23*$F426),
(BM426+BN426)/(41*$F426),
BO426/(25*$F426),
BP426/(6.6*$F426),
BQ426/(40*$F426),
BS426/(16*$F426)
)*100)</f>
        <v/>
      </c>
      <c r="BH426" t="n">
        <v>6</v>
      </c>
      <c r="BI426" t="n">
        <v>15</v>
      </c>
      <c r="BJ426" t="n">
        <v>16</v>
      </c>
      <c r="BK426" t="n">
        <v>23</v>
      </c>
      <c r="BL426" t="n">
        <v>12</v>
      </c>
      <c r="BM426" t="n">
        <v>15</v>
      </c>
      <c r="BN426" t="n">
        <v>13</v>
      </c>
      <c r="BO426" t="n">
        <v>19</v>
      </c>
      <c r="BP426" t="n">
        <v>4</v>
      </c>
      <c r="BQ426" t="n">
        <v>19</v>
      </c>
      <c r="BR426" t="n">
        <v>52</v>
      </c>
      <c r="BS426" t="n">
        <v>25</v>
      </c>
      <c r="BT426" t="n">
        <v>219</v>
      </c>
      <c r="BU426" t="n">
        <v>29</v>
      </c>
      <c r="BV426" t="n">
        <v>86</v>
      </c>
      <c r="BW426" t="n">
        <v>144</v>
      </c>
      <c r="BX426" t="n">
        <v>21</v>
      </c>
      <c r="BY426" t="n">
        <v>23</v>
      </c>
      <c r="BZ426" t="n">
        <v>34</v>
      </c>
      <c r="CA426" t="n">
        <v>337</v>
      </c>
      <c r="CB426" t="n">
        <v>20</v>
      </c>
      <c r="CC426" t="n">
        <v>8</v>
      </c>
      <c r="CD426" t="n">
        <v>25</v>
      </c>
      <c r="CE426" t="n">
        <v>82</v>
      </c>
      <c r="CF426" t="n">
        <v>3.28</v>
      </c>
      <c r="CG426" t="n">
        <v>0</v>
      </c>
      <c r="CH426" t="n">
        <v>0</v>
      </c>
      <c r="CI426" t="n">
        <v>0</v>
      </c>
      <c r="CJ426" t="n">
        <v>0</v>
      </c>
      <c r="CK426" t="n">
        <v>0</v>
      </c>
      <c r="CL426" t="n">
        <v>3</v>
      </c>
      <c r="CM426" t="n">
        <v>0</v>
      </c>
      <c r="CN426" t="n">
        <v>102</v>
      </c>
      <c r="CO426" t="n">
        <v>0</v>
      </c>
      <c r="CP426" t="n">
        <v>13</v>
      </c>
      <c r="CQ426" t="n">
        <v>0</v>
      </c>
      <c r="CR426" t="n">
        <v>0</v>
      </c>
      <c r="CS426" t="n">
        <v>0</v>
      </c>
      <c r="CT426" t="n">
        <v>118</v>
      </c>
      <c r="CU426" t="n">
        <v>0</v>
      </c>
      <c r="CV426" t="n">
        <v>0</v>
      </c>
      <c r="CW426" t="n">
        <v>0</v>
      </c>
      <c r="CX426" t="n">
        <v>0</v>
      </c>
      <c r="CY426" t="n">
        <v>15</v>
      </c>
      <c r="CZ426" t="n">
        <v>0</v>
      </c>
      <c r="DA426" t="n">
        <v>0</v>
      </c>
      <c r="DB426" t="n">
        <v>0</v>
      </c>
      <c r="DC426" t="n">
        <v>15</v>
      </c>
      <c r="DD426" t="n">
        <v>0</v>
      </c>
      <c r="DE426" t="n">
        <v>0</v>
      </c>
      <c r="DF426" t="n">
        <v>82</v>
      </c>
      <c r="DG426" t="n">
        <v>25</v>
      </c>
      <c r="DH426" t="n">
        <v>0</v>
      </c>
      <c r="DI426" t="n">
        <v>0</v>
      </c>
      <c r="DJ426" t="n">
        <v>0</v>
      </c>
      <c r="DK426" t="n">
        <v>0</v>
      </c>
      <c r="DL426" t="n">
        <v>0</v>
      </c>
      <c r="DM426" t="n">
        <v>0</v>
      </c>
      <c r="DN426" t="n">
        <v>0</v>
      </c>
      <c r="DO426" t="n">
        <v>0</v>
      </c>
      <c r="DP426" t="n">
        <v>0</v>
      </c>
      <c r="DQ426" t="n">
        <v>0</v>
      </c>
      <c r="DR426" t="n">
        <v>0</v>
      </c>
      <c r="DS426" t="n">
        <v>107</v>
      </c>
      <c r="DT426" t="n">
        <v>240</v>
      </c>
      <c r="DU426" t="n">
        <v>60</v>
      </c>
      <c r="DV426" t="n">
        <v>0</v>
      </c>
      <c r="DW426" t="n">
        <v>0</v>
      </c>
      <c r="DX426" t="n">
        <v>0</v>
      </c>
      <c r="DY426" t="n">
        <v>160</v>
      </c>
      <c r="DZ426" t="n">
        <v>90</v>
      </c>
      <c r="EA426" t="n">
        <v>150</v>
      </c>
      <c r="EB426" t="n">
        <v>300</v>
      </c>
      <c r="EC426" t="n">
        <v>100</v>
      </c>
      <c r="ED426" t="n">
        <v>112</v>
      </c>
      <c r="EE426" t="n">
        <v>688</v>
      </c>
      <c r="EF426" t="n">
        <v>0</v>
      </c>
      <c r="EG426" t="n">
        <v>1</v>
      </c>
      <c r="EH426" t="n">
        <v>0.5</v>
      </c>
      <c r="EI426" t="n">
        <v>0.7</v>
      </c>
      <c r="EJ426" t="n">
        <v>0.3</v>
      </c>
      <c r="EK426" t="n">
        <v>0.6</v>
      </c>
    </row>
    <row r="427">
      <c r="A427">
        <f>[1]ingredient!B427</f>
        <v/>
      </c>
      <c r="B427" t="inlineStr">
        <is>
          <t>https://www.naehrwertrechner.de/naehrwerte/F311111/Weintraube+rot+frisch/?menge=100</t>
        </is>
      </c>
      <c r="C427" s="7">
        <f>_xlfn.XLOOKUP(A427,[1]ingredient!$B$2:$B$521,[1]ingredient!$A$2:$A$521)</f>
        <v/>
      </c>
      <c r="D427" t="n">
        <v>71</v>
      </c>
      <c r="E427" t="n">
        <v>0.3</v>
      </c>
      <c r="F427" t="n">
        <v>1</v>
      </c>
      <c r="G427" t="n">
        <v>16</v>
      </c>
      <c r="H427" t="n">
        <v>1</v>
      </c>
      <c r="I427" t="n">
        <v>15</v>
      </c>
      <c r="J427" t="n">
        <v>0</v>
      </c>
      <c r="K427" t="n">
        <v>81</v>
      </c>
      <c r="L427" t="n">
        <v>4</v>
      </c>
      <c r="M427" t="n">
        <v>2</v>
      </c>
      <c r="N427" t="n">
        <v>0</v>
      </c>
      <c r="O427" t="n">
        <v>25</v>
      </c>
      <c r="P427" t="n">
        <v>45</v>
      </c>
      <c r="Q427" t="n">
        <v>25</v>
      </c>
      <c r="R427" t="n">
        <v>230</v>
      </c>
      <c r="S427" t="n">
        <v>297</v>
      </c>
      <c r="T427" t="n">
        <v>65</v>
      </c>
      <c r="U427" t="n">
        <v>75</v>
      </c>
      <c r="V427" t="n">
        <v>2</v>
      </c>
      <c r="W427" t="n">
        <v>5</v>
      </c>
      <c r="X427" t="n">
        <v>0</v>
      </c>
      <c r="Y427" t="n">
        <v>4000</v>
      </c>
      <c r="Z427" t="n">
        <v>0</v>
      </c>
      <c r="AA427" t="n">
        <v>666</v>
      </c>
      <c r="AB427" t="n">
        <v>10</v>
      </c>
      <c r="AC427" t="n">
        <v>2</v>
      </c>
      <c r="AD427" t="n">
        <v>190</v>
      </c>
      <c r="AE427" t="n">
        <v>18</v>
      </c>
      <c r="AF427" t="n">
        <v>9</v>
      </c>
      <c r="AG427" t="n">
        <v>20</v>
      </c>
      <c r="AH427" t="n">
        <v>8</v>
      </c>
      <c r="AI427" t="n">
        <v>2</v>
      </c>
      <c r="AJ427" t="n">
        <v>500</v>
      </c>
      <c r="AK427" t="n">
        <v>55</v>
      </c>
      <c r="AL427" t="n">
        <v>83</v>
      </c>
      <c r="AM427" t="n">
        <v>104</v>
      </c>
      <c r="AN427" t="n">
        <v>14</v>
      </c>
      <c r="AO427" t="n">
        <v>1</v>
      </c>
      <c r="AP427" t="n">
        <v>0</v>
      </c>
      <c r="AQ427" t="n">
        <v>203</v>
      </c>
      <c r="AR427" t="n">
        <v>0</v>
      </c>
      <c r="AS427" t="n">
        <v>203</v>
      </c>
      <c r="AT427" t="n">
        <v>7332</v>
      </c>
      <c r="AU427" t="n">
        <v>7628</v>
      </c>
      <c r="AV427" t="n">
        <v>0</v>
      </c>
      <c r="AW427" t="n">
        <v>14960</v>
      </c>
      <c r="AX427" t="n">
        <v>437</v>
      </c>
      <c r="AY427" t="n">
        <v>0</v>
      </c>
      <c r="AZ427" t="n">
        <v>0</v>
      </c>
      <c r="BA427" t="n">
        <v>437</v>
      </c>
      <c r="BB427" t="n">
        <v>0</v>
      </c>
      <c r="BC427" t="n">
        <v>0</v>
      </c>
      <c r="BD427" t="n">
        <v>0</v>
      </c>
      <c r="BE427" t="n">
        <v>0</v>
      </c>
      <c r="BF427" t="n">
        <v>0</v>
      </c>
      <c r="BG427">
        <f>IF($F427=0,"0",MIN(
BH427/(30*$F427),
BI427/(61*$F427),
BJ427/(48*$F427),
(BK427+BL427)/(23*$F427),
(BM427+BN427)/(41*$F427),
BO427/(25*$F427),
BP427/(6.6*$F427),
BQ427/(40*$F427),
BS427/(16*$F427)
)*100)</f>
        <v/>
      </c>
      <c r="BH427" t="n">
        <v>6</v>
      </c>
      <c r="BI427" t="n">
        <v>15</v>
      </c>
      <c r="BJ427" t="n">
        <v>16</v>
      </c>
      <c r="BK427" t="n">
        <v>23</v>
      </c>
      <c r="BL427" t="n">
        <v>12</v>
      </c>
      <c r="BM427" t="n">
        <v>15</v>
      </c>
      <c r="BN427" t="n">
        <v>13</v>
      </c>
      <c r="BO427" t="n">
        <v>19</v>
      </c>
      <c r="BP427" t="n">
        <v>4</v>
      </c>
      <c r="BQ427" t="n">
        <v>19</v>
      </c>
      <c r="BR427" t="n">
        <v>52</v>
      </c>
      <c r="BS427" t="n">
        <v>25</v>
      </c>
      <c r="BT427" t="n">
        <v>219</v>
      </c>
      <c r="BU427" t="n">
        <v>29</v>
      </c>
      <c r="BV427" t="n">
        <v>86</v>
      </c>
      <c r="BW427" t="n">
        <v>144</v>
      </c>
      <c r="BX427" t="n">
        <v>21</v>
      </c>
      <c r="BY427" t="n">
        <v>23</v>
      </c>
      <c r="BZ427" t="n">
        <v>34</v>
      </c>
      <c r="CA427" t="n">
        <v>337</v>
      </c>
      <c r="CB427" t="n">
        <v>20</v>
      </c>
      <c r="CC427" t="n">
        <v>8</v>
      </c>
      <c r="CD427" t="n">
        <v>25</v>
      </c>
      <c r="CE427" t="n">
        <v>82</v>
      </c>
      <c r="CF427" t="n">
        <v>3.28</v>
      </c>
      <c r="CG427" t="n">
        <v>0</v>
      </c>
      <c r="CH427" t="n">
        <v>0</v>
      </c>
      <c r="CI427" t="n">
        <v>0</v>
      </c>
      <c r="CJ427" t="n">
        <v>0</v>
      </c>
      <c r="CK427" t="n">
        <v>0</v>
      </c>
      <c r="CL427" t="n">
        <v>3</v>
      </c>
      <c r="CM427" t="n">
        <v>0</v>
      </c>
      <c r="CN427" t="n">
        <v>102</v>
      </c>
      <c r="CO427" t="n">
        <v>0</v>
      </c>
      <c r="CP427" t="n">
        <v>13</v>
      </c>
      <c r="CQ427" t="n">
        <v>0</v>
      </c>
      <c r="CR427" t="n">
        <v>0</v>
      </c>
      <c r="CS427" t="n">
        <v>0</v>
      </c>
      <c r="CT427" t="n">
        <v>118</v>
      </c>
      <c r="CU427" t="n">
        <v>0</v>
      </c>
      <c r="CV427" t="n">
        <v>0</v>
      </c>
      <c r="CW427" t="n">
        <v>0</v>
      </c>
      <c r="CX427" t="n">
        <v>0</v>
      </c>
      <c r="CY427" t="n">
        <v>15</v>
      </c>
      <c r="CZ427" t="n">
        <v>0</v>
      </c>
      <c r="DA427" t="n">
        <v>0</v>
      </c>
      <c r="DB427" t="n">
        <v>0</v>
      </c>
      <c r="DC427" t="n">
        <v>15</v>
      </c>
      <c r="DD427" t="n">
        <v>0</v>
      </c>
      <c r="DE427" t="n">
        <v>0</v>
      </c>
      <c r="DF427" t="n">
        <v>82</v>
      </c>
      <c r="DG427" t="n">
        <v>25</v>
      </c>
      <c r="DH427" t="n">
        <v>0</v>
      </c>
      <c r="DI427" t="n">
        <v>0</v>
      </c>
      <c r="DJ427" t="n">
        <v>0</v>
      </c>
      <c r="DK427" t="n">
        <v>0</v>
      </c>
      <c r="DL427" t="n">
        <v>0</v>
      </c>
      <c r="DM427" t="n">
        <v>0</v>
      </c>
      <c r="DN427" t="n">
        <v>0</v>
      </c>
      <c r="DO427" t="n">
        <v>0</v>
      </c>
      <c r="DP427" t="n">
        <v>0</v>
      </c>
      <c r="DQ427" t="n">
        <v>0</v>
      </c>
      <c r="DR427" t="n">
        <v>0</v>
      </c>
      <c r="DS427" t="n">
        <v>107</v>
      </c>
      <c r="DT427" t="n">
        <v>240</v>
      </c>
      <c r="DU427" t="n">
        <v>60</v>
      </c>
      <c r="DV427" t="n">
        <v>0</v>
      </c>
      <c r="DW427" t="n">
        <v>0</v>
      </c>
      <c r="DX427" t="n">
        <v>0</v>
      </c>
      <c r="DY427" t="n">
        <v>160</v>
      </c>
      <c r="DZ427" t="n">
        <v>90</v>
      </c>
      <c r="EA427" t="n">
        <v>150</v>
      </c>
      <c r="EB427" t="n">
        <v>300</v>
      </c>
      <c r="EC427" t="n">
        <v>100</v>
      </c>
      <c r="ED427" t="n">
        <v>112</v>
      </c>
      <c r="EE427" t="n">
        <v>688</v>
      </c>
      <c r="EF427" t="n">
        <v>0</v>
      </c>
      <c r="EG427" t="n">
        <v>1</v>
      </c>
      <c r="EH427" t="n">
        <v>0.5</v>
      </c>
      <c r="EI427" t="n">
        <v>0.7</v>
      </c>
      <c r="EJ427" t="n">
        <v>0.3</v>
      </c>
      <c r="EK427" t="n">
        <v>0.6</v>
      </c>
    </row>
    <row r="428">
      <c r="A428">
        <f>[1]ingredient!B428</f>
        <v/>
      </c>
      <c r="B428" t="inlineStr">
        <is>
          <t>https://www.naehrwertrechner.de/naehrwerte/K702111/Tr%C3%BCffel+frisch/?menge=100</t>
        </is>
      </c>
      <c r="C428" s="7">
        <f>_xlfn.XLOOKUP(A428,[1]ingredient!$B$2:$B$521,[1]ingredient!$A$2:$A$521)</f>
        <v/>
      </c>
      <c r="D428" t="n">
        <v>48</v>
      </c>
      <c r="E428" t="n">
        <v>1</v>
      </c>
      <c r="F428" t="n">
        <v>6</v>
      </c>
      <c r="G428" t="n">
        <v>7</v>
      </c>
      <c r="H428" t="n">
        <v>17</v>
      </c>
      <c r="I428" t="n">
        <v>1</v>
      </c>
      <c r="J428" t="n">
        <v>0.11</v>
      </c>
      <c r="K428" t="n">
        <v>68</v>
      </c>
      <c r="L428" t="n">
        <v>2</v>
      </c>
      <c r="M428" t="n">
        <v>1</v>
      </c>
      <c r="N428" t="n">
        <v>0</v>
      </c>
      <c r="O428" t="n">
        <v>10</v>
      </c>
      <c r="P428" t="n">
        <v>100</v>
      </c>
      <c r="Q428" t="n">
        <v>400</v>
      </c>
      <c r="R428" t="n">
        <v>5000</v>
      </c>
      <c r="S428" t="n">
        <v>5283</v>
      </c>
      <c r="T428" t="n">
        <v>2500</v>
      </c>
      <c r="U428" t="n">
        <v>50</v>
      </c>
      <c r="V428" t="n">
        <v>15</v>
      </c>
      <c r="W428" t="n">
        <v>25</v>
      </c>
      <c r="X428" t="n">
        <v>0</v>
      </c>
      <c r="Y428" t="n">
        <v>5000</v>
      </c>
      <c r="Z428" t="n">
        <v>2</v>
      </c>
      <c r="AA428" t="n">
        <v>100</v>
      </c>
      <c r="AB428" t="n">
        <v>15</v>
      </c>
      <c r="AC428" t="n">
        <v>77</v>
      </c>
      <c r="AD428" t="n">
        <v>526</v>
      </c>
      <c r="AE428" t="n">
        <v>24</v>
      </c>
      <c r="AF428" t="n">
        <v>24</v>
      </c>
      <c r="AG428" t="n">
        <v>62</v>
      </c>
      <c r="AH428" t="n">
        <v>40</v>
      </c>
      <c r="AI428" t="n">
        <v>28</v>
      </c>
      <c r="AJ428" t="n">
        <v>3500</v>
      </c>
      <c r="AK428" t="n">
        <v>600</v>
      </c>
      <c r="AL428" t="n">
        <v>350</v>
      </c>
      <c r="AM428" t="n">
        <v>250</v>
      </c>
      <c r="AN428" t="n">
        <v>70</v>
      </c>
      <c r="AO428" t="n">
        <v>45</v>
      </c>
      <c r="AP428" t="n">
        <v>5920</v>
      </c>
      <c r="AQ428" t="n">
        <v>0</v>
      </c>
      <c r="AR428" t="n">
        <v>0</v>
      </c>
      <c r="AS428" t="n">
        <v>5920</v>
      </c>
      <c r="AT428" t="n">
        <v>888</v>
      </c>
      <c r="AU428" t="n">
        <v>370</v>
      </c>
      <c r="AV428" t="n">
        <v>0</v>
      </c>
      <c r="AW428" t="n">
        <v>1258</v>
      </c>
      <c r="AX428" t="n">
        <v>222</v>
      </c>
      <c r="AY428" t="n">
        <v>0</v>
      </c>
      <c r="AZ428" t="n">
        <v>0</v>
      </c>
      <c r="BA428" t="n">
        <v>222</v>
      </c>
      <c r="BB428" t="n">
        <v>0</v>
      </c>
      <c r="BC428" t="n">
        <v>0</v>
      </c>
      <c r="BD428" t="n">
        <v>0</v>
      </c>
      <c r="BE428" t="n">
        <v>0</v>
      </c>
      <c r="BF428" t="n">
        <v>0</v>
      </c>
      <c r="BG428">
        <f>IF($F428=0,"0",MIN(
BH428/(30*$F428),
BI428/(61*$F428),
BJ428/(48*$F428),
(BK428+BL428)/(23*$F428),
(BM428+BN428)/(41*$F428),
BO428/(25*$F428),
BP428/(6.6*$F428),
BQ428/(40*$F428),
BS428/(16*$F428)
)*100)</f>
        <v/>
      </c>
      <c r="BH428" t="n">
        <v>155</v>
      </c>
      <c r="BI428" t="n">
        <v>398</v>
      </c>
      <c r="BJ428" t="n">
        <v>481</v>
      </c>
      <c r="BK428" t="n">
        <v>188</v>
      </c>
      <c r="BL428" t="n">
        <v>149</v>
      </c>
      <c r="BM428" t="n">
        <v>188</v>
      </c>
      <c r="BN428" t="n">
        <v>177</v>
      </c>
      <c r="BO428" t="n">
        <v>376</v>
      </c>
      <c r="BP428" t="n">
        <v>17</v>
      </c>
      <c r="BQ428" t="n">
        <v>249</v>
      </c>
      <c r="BR428" t="n">
        <v>636</v>
      </c>
      <c r="BS428" t="n">
        <v>100</v>
      </c>
      <c r="BT428" t="n">
        <v>3114</v>
      </c>
      <c r="BU428" t="n">
        <v>277</v>
      </c>
      <c r="BV428" t="n">
        <v>254</v>
      </c>
      <c r="BW428" t="n">
        <v>382</v>
      </c>
      <c r="BX428" t="n">
        <v>149</v>
      </c>
      <c r="BY428" t="n">
        <v>304</v>
      </c>
      <c r="BZ428" t="n">
        <v>166</v>
      </c>
      <c r="CA428" t="n">
        <v>1532</v>
      </c>
      <c r="CB428" t="n">
        <v>50</v>
      </c>
      <c r="CC428" t="n">
        <v>21</v>
      </c>
      <c r="CD428" t="n">
        <v>272</v>
      </c>
      <c r="CE428" t="n">
        <v>64</v>
      </c>
      <c r="CF428" t="n">
        <v>0.24</v>
      </c>
      <c r="CG428" t="n">
        <v>0</v>
      </c>
      <c r="CH428" t="n">
        <v>0</v>
      </c>
      <c r="CI428" t="n">
        <v>0</v>
      </c>
      <c r="CJ428" t="n">
        <v>0</v>
      </c>
      <c r="CK428" t="n">
        <v>0</v>
      </c>
      <c r="CL428" t="n">
        <v>2</v>
      </c>
      <c r="CM428" t="n">
        <v>0</v>
      </c>
      <c r="CN428" t="n">
        <v>134</v>
      </c>
      <c r="CO428" t="n">
        <v>0</v>
      </c>
      <c r="CP428" t="n">
        <v>9</v>
      </c>
      <c r="CQ428" t="n">
        <v>0</v>
      </c>
      <c r="CR428" t="n">
        <v>0</v>
      </c>
      <c r="CS428" t="n">
        <v>0</v>
      </c>
      <c r="CT428" t="n">
        <v>145</v>
      </c>
      <c r="CU428" t="n">
        <v>0</v>
      </c>
      <c r="CV428" t="n">
        <v>0</v>
      </c>
      <c r="CW428" t="n">
        <v>1</v>
      </c>
      <c r="CX428" t="n">
        <v>0</v>
      </c>
      <c r="CY428" t="n">
        <v>6</v>
      </c>
      <c r="CZ428" t="n">
        <v>0</v>
      </c>
      <c r="DA428" t="n">
        <v>0</v>
      </c>
      <c r="DB428" t="n">
        <v>0</v>
      </c>
      <c r="DC428" t="n">
        <v>7</v>
      </c>
      <c r="DD428" t="n">
        <v>0</v>
      </c>
      <c r="DE428" t="n">
        <v>0</v>
      </c>
      <c r="DF428" t="n">
        <v>64</v>
      </c>
      <c r="DG428" t="n">
        <v>272</v>
      </c>
      <c r="DH428" t="n">
        <v>0</v>
      </c>
      <c r="DI428" t="n">
        <v>0</v>
      </c>
      <c r="DJ428" t="n">
        <v>0</v>
      </c>
      <c r="DK428" t="n">
        <v>0</v>
      </c>
      <c r="DL428" t="n">
        <v>0</v>
      </c>
      <c r="DM428" t="n">
        <v>0</v>
      </c>
      <c r="DN428" t="n">
        <v>0</v>
      </c>
      <c r="DO428" t="n">
        <v>0</v>
      </c>
      <c r="DP428" t="n">
        <v>0</v>
      </c>
      <c r="DQ428" t="n">
        <v>0</v>
      </c>
      <c r="DR428" t="n">
        <v>0</v>
      </c>
      <c r="DS428" t="n">
        <v>336</v>
      </c>
      <c r="DT428" t="n">
        <v>488</v>
      </c>
      <c r="DU428" t="n">
        <v>122</v>
      </c>
      <c r="DV428" t="n">
        <v>0</v>
      </c>
      <c r="DW428" t="n">
        <v>0</v>
      </c>
      <c r="DX428" t="n">
        <v>0</v>
      </c>
      <c r="DY428" t="n">
        <v>0</v>
      </c>
      <c r="DZ428" t="n">
        <v>6781</v>
      </c>
      <c r="EA428" t="n">
        <v>165</v>
      </c>
      <c r="EB428" t="n">
        <v>9429</v>
      </c>
      <c r="EC428" t="n">
        <v>165</v>
      </c>
      <c r="ED428" t="n">
        <v>3143</v>
      </c>
      <c r="EE428" t="n">
        <v>13397</v>
      </c>
      <c r="EF428" t="n">
        <v>0</v>
      </c>
      <c r="EG428" t="n">
        <v>0.06</v>
      </c>
      <c r="EH428" t="n">
        <v>1.9</v>
      </c>
      <c r="EI428" t="n">
        <v>13.4</v>
      </c>
      <c r="EJ428" t="n">
        <v>0.6</v>
      </c>
      <c r="EK428" t="n">
        <v>4.8</v>
      </c>
    </row>
    <row r="429">
      <c r="A429">
        <f>[1]ingredient!B429</f>
        <v/>
      </c>
      <c r="B429" t="inlineStr">
        <is>
          <t>https://www.naehrwertrechner.de/naehrwerte/R264011/Vanilleschote/?menge=100</t>
        </is>
      </c>
      <c r="C429" s="7">
        <f>_xlfn.XLOOKUP(A429,[1]ingredient!$B$2:$B$521,[1]ingredient!$A$2:$A$521)</f>
        <v/>
      </c>
      <c r="D429" t="n">
        <v>272</v>
      </c>
      <c r="E429" t="n">
        <v>3</v>
      </c>
      <c r="F429" t="n">
        <v>4</v>
      </c>
      <c r="G429" t="n">
        <v>56</v>
      </c>
      <c r="H429" t="n">
        <v>24</v>
      </c>
      <c r="I429" t="n">
        <v>55</v>
      </c>
      <c r="J429" t="n">
        <v>0.25</v>
      </c>
      <c r="K429" t="n">
        <v>9</v>
      </c>
      <c r="L429" t="n">
        <v>26</v>
      </c>
      <c r="M429" t="n">
        <v>13</v>
      </c>
      <c r="N429" t="n">
        <v>0</v>
      </c>
      <c r="O429" t="n">
        <v>155</v>
      </c>
      <c r="P429" t="n">
        <v>80</v>
      </c>
      <c r="Q429" t="n">
        <v>140</v>
      </c>
      <c r="R429" t="n">
        <v>1300</v>
      </c>
      <c r="S429" t="n">
        <v>1683</v>
      </c>
      <c r="T429" t="n">
        <v>0</v>
      </c>
      <c r="U429" t="n">
        <v>0</v>
      </c>
      <c r="V429" t="n">
        <v>0</v>
      </c>
      <c r="W429" t="n">
        <v>0</v>
      </c>
      <c r="X429" t="n">
        <v>0</v>
      </c>
      <c r="Y429" t="n">
        <v>0</v>
      </c>
      <c r="Z429" t="n">
        <v>0</v>
      </c>
      <c r="AA429" t="n">
        <v>0</v>
      </c>
      <c r="AB429" t="n">
        <v>0</v>
      </c>
      <c r="AC429" t="n">
        <v>26</v>
      </c>
      <c r="AD429" t="n">
        <v>500</v>
      </c>
      <c r="AE429" t="n">
        <v>1228</v>
      </c>
      <c r="AF429" t="n">
        <v>56</v>
      </c>
      <c r="AG429" t="n">
        <v>61</v>
      </c>
      <c r="AH429" t="n">
        <v>100</v>
      </c>
      <c r="AI429" t="n">
        <v>220</v>
      </c>
      <c r="AJ429" t="n">
        <v>38100</v>
      </c>
      <c r="AK429" t="n">
        <v>1970</v>
      </c>
      <c r="AL429" t="n">
        <v>460</v>
      </c>
      <c r="AM429" t="n">
        <v>5700</v>
      </c>
      <c r="AN429" t="n">
        <v>50</v>
      </c>
      <c r="AO429" t="n">
        <v>5</v>
      </c>
      <c r="AP429" t="n">
        <v>0</v>
      </c>
      <c r="AQ429" t="n">
        <v>0</v>
      </c>
      <c r="AR429" t="n">
        <v>0</v>
      </c>
      <c r="AS429" t="n">
        <v>0</v>
      </c>
      <c r="AT429" t="n">
        <v>22400</v>
      </c>
      <c r="AU429" t="n">
        <v>22400</v>
      </c>
      <c r="AV429" t="n">
        <v>0</v>
      </c>
      <c r="AW429" t="n">
        <v>44800</v>
      </c>
      <c r="AX429" t="n">
        <v>10640</v>
      </c>
      <c r="AY429" t="n">
        <v>0</v>
      </c>
      <c r="AZ429" t="n">
        <v>0</v>
      </c>
      <c r="BA429" t="n">
        <v>10640</v>
      </c>
      <c r="BB429" t="n">
        <v>0</v>
      </c>
      <c r="BC429" t="n">
        <v>0</v>
      </c>
      <c r="BD429" t="n">
        <v>0</v>
      </c>
      <c r="BE429" t="n">
        <v>560</v>
      </c>
      <c r="BF429" t="n">
        <v>560</v>
      </c>
      <c r="BG429">
        <f>IF($F429=0,"0",MIN(
BH429/(30*$F429),
BI429/(61*$F429),
BJ429/(48*$F429),
(BK429+BL429)/(23*$F429),
(BM429+BN429)/(41*$F429),
BO429/(25*$F429),
BP429/(6.6*$F429),
BQ429/(40*$F429),
BS429/(16*$F429)
)*100)</f>
        <v/>
      </c>
      <c r="BH429" t="n">
        <v>113</v>
      </c>
      <c r="BI429" t="n">
        <v>164</v>
      </c>
      <c r="BJ429" t="n">
        <v>125</v>
      </c>
      <c r="BK429" t="n">
        <v>27</v>
      </c>
      <c r="BL429" t="n">
        <v>16</v>
      </c>
      <c r="BM429" t="n">
        <v>98</v>
      </c>
      <c r="BN429" t="n">
        <v>43</v>
      </c>
      <c r="BO429" t="n">
        <v>78</v>
      </c>
      <c r="BP429" t="n">
        <v>23</v>
      </c>
      <c r="BQ429" t="n">
        <v>160</v>
      </c>
      <c r="BR429" t="n">
        <v>94</v>
      </c>
      <c r="BS429" t="n">
        <v>66</v>
      </c>
      <c r="BT429" t="n">
        <v>1007</v>
      </c>
      <c r="BU429" t="n">
        <v>66</v>
      </c>
      <c r="BV429" t="n">
        <v>462</v>
      </c>
      <c r="BW429" t="n">
        <v>363</v>
      </c>
      <c r="BX429" t="n">
        <v>94</v>
      </c>
      <c r="BY429" t="n">
        <v>90</v>
      </c>
      <c r="BZ429" t="n">
        <v>98</v>
      </c>
      <c r="CA429" t="n">
        <v>1173</v>
      </c>
      <c r="CB429" t="n">
        <v>41</v>
      </c>
      <c r="CC429" t="n">
        <v>17</v>
      </c>
      <c r="CD429" t="n">
        <v>0</v>
      </c>
      <c r="CE429" t="n">
        <v>715</v>
      </c>
      <c r="CG429" t="n">
        <v>0</v>
      </c>
      <c r="CH429" t="n">
        <v>0</v>
      </c>
      <c r="CI429" t="n">
        <v>0</v>
      </c>
      <c r="CJ429" t="n">
        <v>0</v>
      </c>
      <c r="CK429" t="n">
        <v>40</v>
      </c>
      <c r="CL429" t="n">
        <v>123</v>
      </c>
      <c r="CM429" t="n">
        <v>0</v>
      </c>
      <c r="CN429" t="n">
        <v>527</v>
      </c>
      <c r="CO429" t="n">
        <v>0</v>
      </c>
      <c r="CP429" t="n">
        <v>188</v>
      </c>
      <c r="CQ429" t="n">
        <v>0</v>
      </c>
      <c r="CR429" t="n">
        <v>0</v>
      </c>
      <c r="CS429" t="n">
        <v>0</v>
      </c>
      <c r="CT429" t="n">
        <v>878</v>
      </c>
      <c r="CU429" t="n">
        <v>0</v>
      </c>
      <c r="CV429" t="n">
        <v>0</v>
      </c>
      <c r="CW429" t="n">
        <v>40</v>
      </c>
      <c r="CX429" t="n">
        <v>0</v>
      </c>
      <c r="CY429" t="n">
        <v>607</v>
      </c>
      <c r="CZ429" t="n">
        <v>0</v>
      </c>
      <c r="DA429" t="n">
        <v>0</v>
      </c>
      <c r="DB429" t="n">
        <v>0</v>
      </c>
      <c r="DC429" t="n">
        <v>647</v>
      </c>
      <c r="DD429" t="n">
        <v>0</v>
      </c>
      <c r="DE429" t="n">
        <v>0</v>
      </c>
      <c r="DF429" t="n">
        <v>715</v>
      </c>
      <c r="DG429" t="n">
        <v>0</v>
      </c>
      <c r="DH429" t="n">
        <v>0</v>
      </c>
      <c r="DI429" t="n">
        <v>0</v>
      </c>
      <c r="DJ429" t="n">
        <v>0</v>
      </c>
      <c r="DK429" t="n">
        <v>0</v>
      </c>
      <c r="DL429" t="n">
        <v>0</v>
      </c>
      <c r="DM429" t="n">
        <v>0</v>
      </c>
      <c r="DN429" t="n">
        <v>0</v>
      </c>
      <c r="DO429" t="n">
        <v>0</v>
      </c>
      <c r="DP429" t="n">
        <v>0</v>
      </c>
      <c r="DQ429" t="n">
        <v>0</v>
      </c>
      <c r="DR429" t="n">
        <v>0</v>
      </c>
      <c r="DS429" t="n">
        <v>715</v>
      </c>
      <c r="DT429" t="n">
        <v>2240</v>
      </c>
      <c r="DU429" t="n">
        <v>960</v>
      </c>
      <c r="DV429" t="n">
        <v>0</v>
      </c>
      <c r="DW429" t="n">
        <v>0</v>
      </c>
      <c r="DX429" t="n">
        <v>0</v>
      </c>
      <c r="DY429" t="n">
        <v>3653</v>
      </c>
      <c r="DZ429" t="n">
        <v>3653</v>
      </c>
      <c r="EA429" t="n">
        <v>6575</v>
      </c>
      <c r="EB429" t="n">
        <v>9738</v>
      </c>
      <c r="EC429" t="n">
        <v>731</v>
      </c>
      <c r="ED429" t="n">
        <v>6088</v>
      </c>
      <c r="EE429" t="n">
        <v>18263</v>
      </c>
      <c r="EF429" t="n">
        <v>0</v>
      </c>
      <c r="EG429" t="n">
        <v>0.04</v>
      </c>
      <c r="EH429" t="n">
        <v>3.6</v>
      </c>
      <c r="EI429" t="n">
        <v>18.3</v>
      </c>
      <c r="EJ429" t="n">
        <v>3.2</v>
      </c>
      <c r="EK429" t="n">
        <v>2.3</v>
      </c>
    </row>
    <row r="430">
      <c r="A430">
        <f>[1]ingredient!B430</f>
        <v/>
      </c>
      <c r="B430" t="inlineStr">
        <is>
          <t>https://www.naehrwertrechner.de/naehrwerte/E520011/Vollkornteigwaren+eifrei/?menge=100</t>
        </is>
      </c>
      <c r="C430" s="7">
        <f>_xlfn.XLOOKUP(A430,[1]ingredient!$B$2:$B$521,[1]ingredient!$A$2:$A$521)</f>
        <v/>
      </c>
      <c r="D430" t="n">
        <v>323</v>
      </c>
      <c r="E430" t="n">
        <v>3</v>
      </c>
      <c r="F430" t="n">
        <v>13</v>
      </c>
      <c r="G430" t="n">
        <v>61</v>
      </c>
      <c r="H430" t="n">
        <v>12</v>
      </c>
      <c r="I430" t="n">
        <v>1</v>
      </c>
      <c r="J430" t="n">
        <v>0.03</v>
      </c>
      <c r="K430" t="n">
        <v>11</v>
      </c>
      <c r="L430" t="n">
        <v>0</v>
      </c>
      <c r="M430" t="n">
        <v>0</v>
      </c>
      <c r="N430" t="n">
        <v>0</v>
      </c>
      <c r="O430" t="n">
        <v>0</v>
      </c>
      <c r="P430" t="n">
        <v>670</v>
      </c>
      <c r="Q430" t="n">
        <v>110</v>
      </c>
      <c r="R430" t="n">
        <v>3100</v>
      </c>
      <c r="S430" t="n">
        <v>5333</v>
      </c>
      <c r="T430" t="n">
        <v>800</v>
      </c>
      <c r="U430" t="n">
        <v>200</v>
      </c>
      <c r="V430" t="n">
        <v>1</v>
      </c>
      <c r="W430" t="n">
        <v>40</v>
      </c>
      <c r="X430" t="n">
        <v>0</v>
      </c>
      <c r="Y430" t="n">
        <v>0</v>
      </c>
      <c r="Z430" t="n">
        <v>0</v>
      </c>
      <c r="AA430" t="n">
        <v>250</v>
      </c>
      <c r="AB430" t="n">
        <v>0</v>
      </c>
      <c r="AC430" t="n">
        <v>5</v>
      </c>
      <c r="AD430" t="n">
        <v>390</v>
      </c>
      <c r="AE430" t="n">
        <v>34</v>
      </c>
      <c r="AF430" t="n">
        <v>120</v>
      </c>
      <c r="AG430" t="n">
        <v>370</v>
      </c>
      <c r="AH430" t="n">
        <v>190</v>
      </c>
      <c r="AI430" t="n">
        <v>22</v>
      </c>
      <c r="AJ430" t="n">
        <v>3900</v>
      </c>
      <c r="AK430" t="n">
        <v>3000</v>
      </c>
      <c r="AL430" t="n">
        <v>510</v>
      </c>
      <c r="AM430" t="n">
        <v>264</v>
      </c>
      <c r="AN430" t="n">
        <v>40</v>
      </c>
      <c r="AO430" t="n">
        <v>2</v>
      </c>
      <c r="AP430" t="n">
        <v>0</v>
      </c>
      <c r="AQ430" t="n">
        <v>0</v>
      </c>
      <c r="AR430" t="n">
        <v>0</v>
      </c>
      <c r="AS430" t="n">
        <v>0</v>
      </c>
      <c r="AT430" t="n">
        <v>61</v>
      </c>
      <c r="AU430" t="n">
        <v>61</v>
      </c>
      <c r="AV430" t="n">
        <v>0</v>
      </c>
      <c r="AW430" t="n">
        <v>122</v>
      </c>
      <c r="AX430" t="n">
        <v>606</v>
      </c>
      <c r="AY430" t="n">
        <v>0</v>
      </c>
      <c r="AZ430" t="n">
        <v>0</v>
      </c>
      <c r="BA430" t="n">
        <v>606</v>
      </c>
      <c r="BB430" t="n">
        <v>364</v>
      </c>
      <c r="BC430" t="n">
        <v>0</v>
      </c>
      <c r="BD430" t="n">
        <v>0</v>
      </c>
      <c r="BE430" t="n">
        <v>59508</v>
      </c>
      <c r="BF430" t="n">
        <v>59508</v>
      </c>
      <c r="BG430">
        <f>IF($F430=0,"0",MIN(
BH430/(30*$F430),
BI430/(61*$F430),
BJ430/(48*$F430),
(BK430+BL430)/(23*$F430),
(BM430+BN430)/(41*$F430),
BO430/(25*$F430),
BP430/(6.6*$F430),
BQ430/(40*$F430),
BS430/(16*$F430)
)*100)</f>
        <v/>
      </c>
      <c r="BH430" t="n">
        <v>523</v>
      </c>
      <c r="BI430" t="n">
        <v>898</v>
      </c>
      <c r="BJ430" t="n">
        <v>362</v>
      </c>
      <c r="BK430" t="n">
        <v>201</v>
      </c>
      <c r="BL430" t="n">
        <v>268</v>
      </c>
      <c r="BM430" t="n">
        <v>616</v>
      </c>
      <c r="BN430" t="n">
        <v>402</v>
      </c>
      <c r="BO430" t="n">
        <v>389</v>
      </c>
      <c r="BP430" t="n">
        <v>134</v>
      </c>
      <c r="BQ430" t="n">
        <v>603</v>
      </c>
      <c r="BR430" t="n">
        <v>603</v>
      </c>
      <c r="BS430" t="n">
        <v>255</v>
      </c>
      <c r="BT430" t="n">
        <v>5254</v>
      </c>
      <c r="BU430" t="n">
        <v>469</v>
      </c>
      <c r="BV430" t="n">
        <v>657</v>
      </c>
      <c r="BW430" t="n">
        <v>4059</v>
      </c>
      <c r="BX430" t="n">
        <v>616</v>
      </c>
      <c r="BY430" t="n">
        <v>1528</v>
      </c>
      <c r="BZ430" t="n">
        <v>683</v>
      </c>
      <c r="CA430" t="n">
        <v>8012</v>
      </c>
      <c r="CB430" t="n">
        <v>80</v>
      </c>
      <c r="CC430" t="n">
        <v>33</v>
      </c>
      <c r="CD430" t="n">
        <v>72</v>
      </c>
      <c r="CE430" t="n">
        <v>1073</v>
      </c>
      <c r="CF430" t="n">
        <v>14.9</v>
      </c>
      <c r="CG430" t="n">
        <v>0</v>
      </c>
      <c r="CH430" t="n">
        <v>0</v>
      </c>
      <c r="CI430" t="n">
        <v>0</v>
      </c>
      <c r="CJ430" t="n">
        <v>0</v>
      </c>
      <c r="CK430" t="n">
        <v>2</v>
      </c>
      <c r="CL430" t="n">
        <v>4</v>
      </c>
      <c r="CM430" t="n">
        <v>2</v>
      </c>
      <c r="CN430" t="n">
        <v>324</v>
      </c>
      <c r="CO430" t="n">
        <v>0</v>
      </c>
      <c r="CP430" t="n">
        <v>18</v>
      </c>
      <c r="CQ430" t="n">
        <v>14</v>
      </c>
      <c r="CR430" t="n">
        <v>0</v>
      </c>
      <c r="CS430" t="n">
        <v>0</v>
      </c>
      <c r="CT430" t="n">
        <v>364</v>
      </c>
      <c r="CU430" t="n">
        <v>0</v>
      </c>
      <c r="CV430" t="n">
        <v>0</v>
      </c>
      <c r="CW430" t="n">
        <v>9</v>
      </c>
      <c r="CX430" t="n">
        <v>0</v>
      </c>
      <c r="CY430" t="n">
        <v>275</v>
      </c>
      <c r="CZ430" t="n">
        <v>7</v>
      </c>
      <c r="DA430" t="n">
        <v>0</v>
      </c>
      <c r="DB430" t="n">
        <v>0</v>
      </c>
      <c r="DC430" t="n">
        <v>291</v>
      </c>
      <c r="DD430" t="n">
        <v>0</v>
      </c>
      <c r="DE430" t="n">
        <v>0</v>
      </c>
      <c r="DF430" t="n">
        <v>1069</v>
      </c>
      <c r="DG430" t="n">
        <v>72</v>
      </c>
      <c r="DH430" t="n">
        <v>0</v>
      </c>
      <c r="DI430" t="n">
        <v>0</v>
      </c>
      <c r="DJ430" t="n">
        <v>0</v>
      </c>
      <c r="DK430" t="n">
        <v>0</v>
      </c>
      <c r="DL430" t="n">
        <v>4</v>
      </c>
      <c r="DM430" t="n">
        <v>0</v>
      </c>
      <c r="DN430" t="n">
        <v>0</v>
      </c>
      <c r="DO430" t="n">
        <v>0</v>
      </c>
      <c r="DP430" t="n">
        <v>0</v>
      </c>
      <c r="DQ430" t="n">
        <v>0</v>
      </c>
      <c r="DR430" t="n">
        <v>0</v>
      </c>
      <c r="DS430" t="n">
        <v>1145</v>
      </c>
      <c r="DT430" t="n">
        <v>1800</v>
      </c>
      <c r="DU430" t="n">
        <v>700</v>
      </c>
      <c r="DV430" t="n">
        <v>0</v>
      </c>
      <c r="DW430" t="n">
        <v>0</v>
      </c>
      <c r="DX430" t="n">
        <v>0</v>
      </c>
      <c r="DY430" t="n">
        <v>4600</v>
      </c>
      <c r="DZ430" t="n">
        <v>3450</v>
      </c>
      <c r="EA430" t="n">
        <v>805</v>
      </c>
      <c r="EB430" t="n">
        <v>2070</v>
      </c>
      <c r="EC430" t="n">
        <v>575</v>
      </c>
      <c r="ED430" t="n">
        <v>2875</v>
      </c>
      <c r="EE430" t="n">
        <v>8625</v>
      </c>
      <c r="EF430" t="n">
        <v>0</v>
      </c>
      <c r="EG430" t="n">
        <v>0</v>
      </c>
      <c r="EH430" t="n">
        <v>1.5</v>
      </c>
      <c r="EI430" t="n">
        <v>8.6</v>
      </c>
      <c r="EJ430" t="n">
        <v>2.5</v>
      </c>
      <c r="EK430" t="n">
        <v>13.5</v>
      </c>
    </row>
    <row r="431">
      <c r="A431">
        <f>[1]ingredient!B431</f>
        <v/>
      </c>
      <c r="B431" t="inlineStr">
        <is>
          <t>https://www.naehrwertrechner.de/naehrwerte/B461011/Vollkornbr%C3%B6tchen-Weizen%2C+Roggenvollkornbr%C3%B6tchen/?menge=100</t>
        </is>
      </c>
      <c r="C431" s="7" t="n"/>
      <c r="D431" s="15" t="n">
        <v>236</v>
      </c>
      <c r="E431" s="15" t="n">
        <v>1</v>
      </c>
      <c r="F431" s="15" t="n">
        <v>8</v>
      </c>
      <c r="G431" s="15" t="n">
        <v>47</v>
      </c>
      <c r="H431" s="15" t="n">
        <v>9</v>
      </c>
      <c r="I431" s="15" t="n">
        <v>1</v>
      </c>
      <c r="J431" s="15" t="n">
        <v>1</v>
      </c>
      <c r="K431" s="15" t="n">
        <v>33</v>
      </c>
      <c r="L431" s="15" t="n">
        <v>1</v>
      </c>
      <c r="M431" s="15" t="n">
        <v>1</v>
      </c>
      <c r="N431" s="15" t="n">
        <v>0</v>
      </c>
      <c r="O431" s="15" t="n">
        <v>7</v>
      </c>
      <c r="P431" s="15" t="n">
        <v>138</v>
      </c>
      <c r="Q431" s="15" t="n">
        <v>108</v>
      </c>
      <c r="R431" s="15" t="n">
        <v>2756</v>
      </c>
      <c r="S431" s="15" t="n">
        <v>4139</v>
      </c>
      <c r="T431" s="15" t="n">
        <v>546</v>
      </c>
      <c r="U431" s="15" t="n">
        <v>174</v>
      </c>
      <c r="V431" s="15" t="n">
        <v>7</v>
      </c>
      <c r="W431" s="15" t="n">
        <v>17</v>
      </c>
      <c r="X431" s="15" t="n">
        <v>0</v>
      </c>
      <c r="Y431" s="15" t="n">
        <v>0</v>
      </c>
      <c r="Z431" s="15" t="n">
        <v>0</v>
      </c>
      <c r="AA431" s="15" t="n">
        <v>1362</v>
      </c>
      <c r="AB431" s="15" t="n">
        <v>26</v>
      </c>
      <c r="AC431" s="15" t="n">
        <v>481</v>
      </c>
      <c r="AD431" s="15" t="n">
        <v>295</v>
      </c>
      <c r="AE431" s="15" t="n">
        <v>35</v>
      </c>
      <c r="AF431" s="15" t="n">
        <v>93</v>
      </c>
      <c r="AG431" s="15" t="n">
        <v>280</v>
      </c>
      <c r="AH431" s="15" t="n">
        <v>100</v>
      </c>
      <c r="AI431" s="15" t="n">
        <v>773</v>
      </c>
      <c r="AJ431" s="15" t="n">
        <v>3155</v>
      </c>
      <c r="AK431" s="15" t="n">
        <v>2560</v>
      </c>
      <c r="AL431" s="15" t="n">
        <v>391</v>
      </c>
      <c r="AM431" s="15" t="n">
        <v>2638</v>
      </c>
      <c r="AN431" s="15" t="n">
        <v>95</v>
      </c>
      <c r="AO431" s="15" t="n">
        <v>5</v>
      </c>
      <c r="AP431" s="15" t="n">
        <v>0</v>
      </c>
      <c r="AQ431" s="15" t="n">
        <v>0</v>
      </c>
      <c r="AR431" s="15" t="n">
        <v>0</v>
      </c>
      <c r="AS431" s="15" t="n">
        <v>0</v>
      </c>
      <c r="AT431" s="15" t="n">
        <v>419</v>
      </c>
      <c r="AU431" s="15" t="n">
        <v>62</v>
      </c>
      <c r="AV431" s="15" t="n">
        <v>0</v>
      </c>
      <c r="AW431" s="15" t="n">
        <v>481</v>
      </c>
      <c r="AX431" s="15" t="n">
        <v>556</v>
      </c>
      <c r="AY431" s="15" t="n">
        <v>46</v>
      </c>
      <c r="AZ431" s="15" t="n">
        <v>0</v>
      </c>
      <c r="BA431" s="15" t="n">
        <v>602</v>
      </c>
      <c r="BB431" s="15" t="n">
        <v>343</v>
      </c>
      <c r="BC431" s="15" t="n">
        <v>0</v>
      </c>
      <c r="BD431" s="15" t="n">
        <v>0</v>
      </c>
      <c r="BE431" s="15" t="n">
        <v>45165</v>
      </c>
      <c r="BF431" s="15" t="n">
        <v>45165</v>
      </c>
      <c r="BG431" s="15" t="n">
        <v>58</v>
      </c>
      <c r="BH431" s="15" t="n">
        <v>319</v>
      </c>
      <c r="BI431" s="15" t="n">
        <v>545</v>
      </c>
      <c r="BJ431" s="15" t="n">
        <v>262</v>
      </c>
      <c r="BK431" s="15" t="n">
        <v>121</v>
      </c>
      <c r="BL431" s="15" t="n">
        <v>157</v>
      </c>
      <c r="BM431" s="15" t="n">
        <v>373</v>
      </c>
      <c r="BN431" s="15" t="n">
        <v>223</v>
      </c>
      <c r="BO431" s="15" t="n">
        <v>262</v>
      </c>
      <c r="BP431" s="15" t="n">
        <v>83</v>
      </c>
      <c r="BQ431" s="15" t="n">
        <v>385</v>
      </c>
      <c r="BR431" s="15" t="n">
        <v>375</v>
      </c>
      <c r="BS431" s="15" t="n">
        <v>162</v>
      </c>
      <c r="BT431" s="15" t="n">
        <v>3267</v>
      </c>
      <c r="BU431" s="15" t="n">
        <v>327</v>
      </c>
      <c r="BV431" s="15" t="n">
        <v>488</v>
      </c>
      <c r="BW431" s="15" t="n">
        <v>2330</v>
      </c>
      <c r="BX431" s="15" t="n">
        <v>386</v>
      </c>
      <c r="BY431" s="15" t="n">
        <v>906</v>
      </c>
      <c r="BZ431" s="15" t="n">
        <v>399</v>
      </c>
      <c r="CA431" s="15" t="n">
        <v>4836</v>
      </c>
      <c r="CB431" s="15" t="n">
        <v>66</v>
      </c>
      <c r="CC431" s="15" t="n">
        <v>28</v>
      </c>
      <c r="CD431" s="15" t="n">
        <v>59</v>
      </c>
      <c r="CE431" s="15" t="n">
        <v>622</v>
      </c>
      <c r="CF431" s="15" t="n">
        <v>10.54</v>
      </c>
      <c r="CG431" s="15" t="n">
        <v>0</v>
      </c>
      <c r="CH431" s="15" t="n">
        <v>0</v>
      </c>
      <c r="CI431" s="15" t="n">
        <v>0</v>
      </c>
      <c r="CJ431" s="15" t="n">
        <v>0</v>
      </c>
      <c r="CK431" s="15" t="n">
        <v>1</v>
      </c>
      <c r="CL431" s="15" t="n">
        <v>1</v>
      </c>
      <c r="CM431" s="15" t="n">
        <v>1</v>
      </c>
      <c r="CN431" s="15" t="n">
        <v>194</v>
      </c>
      <c r="CO431" s="15" t="n">
        <v>0</v>
      </c>
      <c r="CP431" s="15" t="n">
        <v>10</v>
      </c>
      <c r="CQ431" s="15" t="n">
        <v>7</v>
      </c>
      <c r="CR431" s="15" t="n">
        <v>0</v>
      </c>
      <c r="CS431" s="15" t="n">
        <v>0</v>
      </c>
      <c r="CT431" s="15" t="n">
        <v>214</v>
      </c>
      <c r="CU431" s="15" t="n">
        <v>0</v>
      </c>
      <c r="CV431" s="15" t="n">
        <v>0</v>
      </c>
      <c r="CW431" s="15" t="n">
        <v>5</v>
      </c>
      <c r="CX431" s="15" t="n">
        <v>0</v>
      </c>
      <c r="CY431" s="15" t="n">
        <v>160</v>
      </c>
      <c r="CZ431" s="15" t="n">
        <v>7</v>
      </c>
      <c r="DA431" s="15" t="n">
        <v>0</v>
      </c>
      <c r="DB431" s="15" t="n">
        <v>0</v>
      </c>
      <c r="DC431" s="15" t="n">
        <v>172</v>
      </c>
      <c r="DD431" s="15" t="n">
        <v>0</v>
      </c>
      <c r="DE431" s="15" t="n">
        <v>0</v>
      </c>
      <c r="DF431" s="15" t="n">
        <v>620</v>
      </c>
      <c r="DG431" s="15" t="n">
        <v>59</v>
      </c>
      <c r="DH431" s="15" t="n">
        <v>0</v>
      </c>
      <c r="DI431" s="15" t="n">
        <v>0</v>
      </c>
      <c r="DJ431" s="15" t="n">
        <v>0</v>
      </c>
      <c r="DK431" s="15" t="n">
        <v>0</v>
      </c>
      <c r="DL431" s="15" t="n">
        <v>2</v>
      </c>
      <c r="DM431" s="15" t="n">
        <v>0</v>
      </c>
      <c r="DN431" s="15" t="n">
        <v>0</v>
      </c>
      <c r="DO431" s="15" t="n">
        <v>0</v>
      </c>
      <c r="DP431" s="15" t="n">
        <v>0</v>
      </c>
      <c r="DQ431" s="15" t="n">
        <v>0</v>
      </c>
      <c r="DR431" s="15" t="n">
        <v>0</v>
      </c>
      <c r="DS431" s="15" t="n">
        <v>681</v>
      </c>
      <c r="DT431" s="15" t="n">
        <v>1067</v>
      </c>
      <c r="DU431" s="15" t="n">
        <v>414</v>
      </c>
      <c r="DV431" s="15" t="n">
        <v>0</v>
      </c>
      <c r="DW431" s="15" t="n">
        <v>0</v>
      </c>
      <c r="DX431" s="15" t="n">
        <v>0</v>
      </c>
      <c r="DY431" s="15" t="n">
        <v>3841</v>
      </c>
      <c r="DZ431" s="15" t="n">
        <v>2613</v>
      </c>
      <c r="EA431" s="15" t="n">
        <v>517</v>
      </c>
      <c r="EB431" s="15" t="n">
        <v>1210</v>
      </c>
      <c r="EC431" s="15" t="n">
        <v>428</v>
      </c>
      <c r="ED431" s="15" t="n">
        <v>2645</v>
      </c>
      <c r="EE431" s="15" t="n">
        <v>5963</v>
      </c>
      <c r="EF431" s="15" t="n">
        <v>0</v>
      </c>
      <c r="EG431" s="15" t="n">
        <v>0.05</v>
      </c>
      <c r="EH431" s="15" t="n">
        <v>2.5</v>
      </c>
      <c r="EI431" s="15" t="n">
        <v>6</v>
      </c>
      <c r="EJ431" s="15" t="n">
        <v>1.5</v>
      </c>
      <c r="EK431" s="15" t="n">
        <v>8.300000000000001</v>
      </c>
    </row>
    <row r="432">
      <c r="A432">
        <f>[1]ingredient!B432</f>
        <v/>
      </c>
      <c r="B432" t="inlineStr">
        <is>
          <t>https://www.naehrwertrechner.de/naehrwerte/E520011/Vollkornteigwaren+eifrei/?menge=100</t>
        </is>
      </c>
      <c r="C432" s="7">
        <f>_xlfn.XLOOKUP(A432,[1]ingredient!$B$2:$B$521,[1]ingredient!$A$2:$A$521)</f>
        <v/>
      </c>
      <c r="D432" t="n">
        <v>323</v>
      </c>
      <c r="E432" t="n">
        <v>3</v>
      </c>
      <c r="F432" t="n">
        <v>13</v>
      </c>
      <c r="G432" t="n">
        <v>61</v>
      </c>
      <c r="H432" t="n">
        <v>12</v>
      </c>
      <c r="I432" t="n">
        <v>1</v>
      </c>
      <c r="J432" t="n">
        <v>0.03</v>
      </c>
      <c r="K432" t="n">
        <v>11</v>
      </c>
      <c r="L432" t="n">
        <v>0</v>
      </c>
      <c r="M432" t="n">
        <v>0</v>
      </c>
      <c r="N432" t="n">
        <v>0</v>
      </c>
      <c r="O432" t="n">
        <v>0</v>
      </c>
      <c r="P432" t="n">
        <v>670</v>
      </c>
      <c r="Q432" t="n">
        <v>110</v>
      </c>
      <c r="R432" t="n">
        <v>3100</v>
      </c>
      <c r="S432" t="n">
        <v>5333</v>
      </c>
      <c r="T432" t="n">
        <v>800</v>
      </c>
      <c r="U432" t="n">
        <v>200</v>
      </c>
      <c r="V432" t="n">
        <v>1</v>
      </c>
      <c r="W432" t="n">
        <v>40</v>
      </c>
      <c r="X432" t="n">
        <v>0</v>
      </c>
      <c r="Y432" t="n">
        <v>0</v>
      </c>
      <c r="Z432" t="n">
        <v>0</v>
      </c>
      <c r="AA432" t="n">
        <v>250</v>
      </c>
      <c r="AB432" t="n">
        <v>0</v>
      </c>
      <c r="AC432" t="n">
        <v>5</v>
      </c>
      <c r="AD432" t="n">
        <v>390</v>
      </c>
      <c r="AE432" t="n">
        <v>34</v>
      </c>
      <c r="AF432" t="n">
        <v>120</v>
      </c>
      <c r="AG432" t="n">
        <v>370</v>
      </c>
      <c r="AH432" t="n">
        <v>190</v>
      </c>
      <c r="AI432" t="n">
        <v>22</v>
      </c>
      <c r="AJ432" t="n">
        <v>3900</v>
      </c>
      <c r="AK432" t="n">
        <v>3000</v>
      </c>
      <c r="AL432" t="n">
        <v>510</v>
      </c>
      <c r="AM432" t="n">
        <v>264</v>
      </c>
      <c r="AN432" t="n">
        <v>40</v>
      </c>
      <c r="AO432" t="n">
        <v>2</v>
      </c>
      <c r="AP432" t="n">
        <v>0</v>
      </c>
      <c r="AQ432" t="n">
        <v>0</v>
      </c>
      <c r="AR432" t="n">
        <v>0</v>
      </c>
      <c r="AS432" t="n">
        <v>0</v>
      </c>
      <c r="AT432" t="n">
        <v>61</v>
      </c>
      <c r="AU432" t="n">
        <v>61</v>
      </c>
      <c r="AV432" t="n">
        <v>0</v>
      </c>
      <c r="AW432" t="n">
        <v>122</v>
      </c>
      <c r="AX432" t="n">
        <v>606</v>
      </c>
      <c r="AY432" t="n">
        <v>0</v>
      </c>
      <c r="AZ432" t="n">
        <v>0</v>
      </c>
      <c r="BA432" t="n">
        <v>606</v>
      </c>
      <c r="BB432" t="n">
        <v>364</v>
      </c>
      <c r="BC432" t="n">
        <v>0</v>
      </c>
      <c r="BD432" t="n">
        <v>0</v>
      </c>
      <c r="BE432" t="n">
        <v>59508</v>
      </c>
      <c r="BF432" t="n">
        <v>59508</v>
      </c>
      <c r="BG432">
        <f>IF($F432=0,"0",MIN(
BH432/(30*$F432),
BI432/(61*$F432),
BJ432/(48*$F432),
(BK432+BL432)/(23*$F432),
(BM432+BN432)/(41*$F432),
BO432/(25*$F432),
BP432/(6.6*$F432),
BQ432/(40*$F432),
BS432/(16*$F432)
)*100)</f>
        <v/>
      </c>
      <c r="BH432" t="n">
        <v>523</v>
      </c>
      <c r="BI432" t="n">
        <v>898</v>
      </c>
      <c r="BJ432" t="n">
        <v>362</v>
      </c>
      <c r="BK432" t="n">
        <v>201</v>
      </c>
      <c r="BL432" t="n">
        <v>268</v>
      </c>
      <c r="BM432" t="n">
        <v>616</v>
      </c>
      <c r="BN432" t="n">
        <v>402</v>
      </c>
      <c r="BO432" t="n">
        <v>389</v>
      </c>
      <c r="BP432" t="n">
        <v>134</v>
      </c>
      <c r="BQ432" t="n">
        <v>603</v>
      </c>
      <c r="BR432" t="n">
        <v>603</v>
      </c>
      <c r="BS432" t="n">
        <v>255</v>
      </c>
      <c r="BT432" t="n">
        <v>5254</v>
      </c>
      <c r="BU432" t="n">
        <v>469</v>
      </c>
      <c r="BV432" t="n">
        <v>657</v>
      </c>
      <c r="BW432" t="n">
        <v>4059</v>
      </c>
      <c r="BX432" t="n">
        <v>616</v>
      </c>
      <c r="BY432" t="n">
        <v>1528</v>
      </c>
      <c r="BZ432" t="n">
        <v>683</v>
      </c>
      <c r="CA432" t="n">
        <v>8012</v>
      </c>
      <c r="CB432" t="n">
        <v>80</v>
      </c>
      <c r="CC432" t="n">
        <v>33</v>
      </c>
      <c r="CD432" t="n">
        <v>72</v>
      </c>
      <c r="CE432" t="n">
        <v>1073</v>
      </c>
      <c r="CF432" t="n">
        <v>14.9</v>
      </c>
      <c r="CG432" t="n">
        <v>0</v>
      </c>
      <c r="CH432" t="n">
        <v>0</v>
      </c>
      <c r="CI432" t="n">
        <v>0</v>
      </c>
      <c r="CJ432" t="n">
        <v>0</v>
      </c>
      <c r="CK432" t="n">
        <v>2</v>
      </c>
      <c r="CL432" t="n">
        <v>4</v>
      </c>
      <c r="CM432" t="n">
        <v>2</v>
      </c>
      <c r="CN432" t="n">
        <v>324</v>
      </c>
      <c r="CO432" t="n">
        <v>0</v>
      </c>
      <c r="CP432" t="n">
        <v>18</v>
      </c>
      <c r="CQ432" t="n">
        <v>14</v>
      </c>
      <c r="CR432" t="n">
        <v>0</v>
      </c>
      <c r="CS432" t="n">
        <v>0</v>
      </c>
      <c r="CT432" t="n">
        <v>364</v>
      </c>
      <c r="CU432" t="n">
        <v>0</v>
      </c>
      <c r="CV432" t="n">
        <v>0</v>
      </c>
      <c r="CW432" t="n">
        <v>9</v>
      </c>
      <c r="CX432" t="n">
        <v>0</v>
      </c>
      <c r="CY432" t="n">
        <v>275</v>
      </c>
      <c r="CZ432" t="n">
        <v>7</v>
      </c>
      <c r="DA432" t="n">
        <v>0</v>
      </c>
      <c r="DB432" t="n">
        <v>0</v>
      </c>
      <c r="DC432" t="n">
        <v>291</v>
      </c>
      <c r="DD432" t="n">
        <v>0</v>
      </c>
      <c r="DE432" t="n">
        <v>0</v>
      </c>
      <c r="DF432" t="n">
        <v>1069</v>
      </c>
      <c r="DG432" t="n">
        <v>72</v>
      </c>
      <c r="DH432" t="n">
        <v>0</v>
      </c>
      <c r="DI432" t="n">
        <v>0</v>
      </c>
      <c r="DJ432" t="n">
        <v>0</v>
      </c>
      <c r="DK432" t="n">
        <v>0</v>
      </c>
      <c r="DL432" t="n">
        <v>4</v>
      </c>
      <c r="DM432" t="n">
        <v>0</v>
      </c>
      <c r="DN432" t="n">
        <v>0</v>
      </c>
      <c r="DO432" t="n">
        <v>0</v>
      </c>
      <c r="DP432" t="n">
        <v>0</v>
      </c>
      <c r="DQ432" t="n">
        <v>0</v>
      </c>
      <c r="DR432" t="n">
        <v>0</v>
      </c>
      <c r="DS432" t="n">
        <v>1145</v>
      </c>
      <c r="DT432" t="n">
        <v>1800</v>
      </c>
      <c r="DU432" t="n">
        <v>700</v>
      </c>
      <c r="DV432" t="n">
        <v>0</v>
      </c>
      <c r="DW432" t="n">
        <v>0</v>
      </c>
      <c r="DX432" t="n">
        <v>0</v>
      </c>
      <c r="DY432" t="n">
        <v>4600</v>
      </c>
      <c r="DZ432" t="n">
        <v>3450</v>
      </c>
      <c r="EA432" t="n">
        <v>805</v>
      </c>
      <c r="EB432" t="n">
        <v>2070</v>
      </c>
      <c r="EC432" t="n">
        <v>575</v>
      </c>
      <c r="ED432" t="n">
        <v>2875</v>
      </c>
      <c r="EE432" t="n">
        <v>8625</v>
      </c>
      <c r="EF432" t="n">
        <v>0</v>
      </c>
      <c r="EG432" t="n">
        <v>0</v>
      </c>
      <c r="EH432" t="n">
        <v>1.5</v>
      </c>
      <c r="EI432" t="n">
        <v>8.6</v>
      </c>
      <c r="EJ432" t="n">
        <v>2.5</v>
      </c>
      <c r="EK432" t="n">
        <v>13.5</v>
      </c>
    </row>
    <row r="433">
      <c r="A433" s="12">
        <f>[1]ingredient!B433</f>
        <v/>
      </c>
      <c r="C433" s="7">
        <f>_xlfn.XLOOKUP(A433,[1]ingredient!$B$2:$B$521,[1]ingredient!$A$2:$A$521)</f>
        <v/>
      </c>
      <c r="D433" s="10">
        <f>AVERAGE(D51,D85,D129,D145,D343,D449)</f>
        <v/>
      </c>
      <c r="E433" s="10">
        <f>AVERAGE(E51,E85,E129,E145,E343,E449)</f>
        <v/>
      </c>
      <c r="F433" s="10">
        <f>AVERAGE(F51,F85,F129,F145,F343,F449)</f>
        <v/>
      </c>
      <c r="G433" s="10">
        <f>AVERAGE(G51,G85,G129,G145,G343,G449)</f>
        <v/>
      </c>
      <c r="H433" s="10">
        <f>AVERAGE(H51,H85,H129,H145,H343,H449)</f>
        <v/>
      </c>
      <c r="I433" s="10">
        <f>AVERAGE(I51,I85,I129,I145,I343,I449)</f>
        <v/>
      </c>
      <c r="J433" s="10">
        <f>AVERAGE(J51,J85,J129,J145,J343,J449)</f>
        <v/>
      </c>
      <c r="K433" s="10">
        <f>AVERAGE(K51,K85,K129,K145,K343,K449)</f>
        <v/>
      </c>
      <c r="L433" s="10">
        <f>AVERAGE(L51,L85,L129,L145,L343,L449)</f>
        <v/>
      </c>
      <c r="M433" s="10">
        <f>AVERAGE(M51,M85,M129,M145,M343,M449)</f>
        <v/>
      </c>
      <c r="N433" s="10">
        <f>AVERAGE(N51,N85,N129,N145,N343,N449)</f>
        <v/>
      </c>
      <c r="O433" s="10">
        <f>AVERAGE(O51,O85,O129,O145,O343,O449)</f>
        <v/>
      </c>
      <c r="P433" s="10">
        <f>AVERAGE(P51,P85,P129,P145,P343,P449)</f>
        <v/>
      </c>
      <c r="Q433" s="10">
        <f>AVERAGE(Q51,Q85,Q129,Q145,Q343,Q449)</f>
        <v/>
      </c>
      <c r="R433" s="10">
        <f>AVERAGE(R51,R85,R129,R145,R343,R449)</f>
        <v/>
      </c>
      <c r="S433" s="10">
        <f>AVERAGE(S51,S85,S129,S145,S343,S449)</f>
        <v/>
      </c>
      <c r="T433" s="10">
        <f>AVERAGE(T51,T85,T129,T145,T343,T449)</f>
        <v/>
      </c>
      <c r="U433" s="10">
        <f>AVERAGE(U51,U85,U129,U145,U343,U449)</f>
        <v/>
      </c>
      <c r="V433" s="10">
        <f>AVERAGE(V51,V85,V129,V145,V343,V449)</f>
        <v/>
      </c>
      <c r="W433" s="10">
        <f>AVERAGE(W51,W85,W129,W145,W343,W449)</f>
        <v/>
      </c>
      <c r="X433" s="10">
        <f>AVERAGE(X51,X85,X129,X145,X343,X449)</f>
        <v/>
      </c>
      <c r="Y433" s="10">
        <f>AVERAGE(Y51,Y85,Y129,Y145,Y343,Y449)</f>
        <v/>
      </c>
      <c r="Z433" s="10">
        <f>AVERAGE(Z51,Z85,Z129,Z145,Z343,Z449)</f>
        <v/>
      </c>
      <c r="AA433" s="10">
        <f>AVERAGE(AA51,AA85,AA129,AA145,AA343,AA449)</f>
        <v/>
      </c>
      <c r="AB433" s="10">
        <f>AVERAGE(AB51,AB85,AB129,AB145,AB343,AB449)</f>
        <v/>
      </c>
      <c r="AC433" s="10">
        <f>AVERAGE(AC51,AC85,AC129,AC145,AC343,AC449)</f>
        <v/>
      </c>
      <c r="AD433" s="10">
        <f>AVERAGE(AD51,AD85,AD129,AD145,AD343,AD449)</f>
        <v/>
      </c>
      <c r="AE433" s="10">
        <f>AVERAGE(AE51,AE85,AE129,AE145,AE343,AE449)</f>
        <v/>
      </c>
      <c r="AF433" s="10">
        <f>AVERAGE(AF51,AF85,AF129,AF145,AF343,AF449)</f>
        <v/>
      </c>
      <c r="AG433" s="10">
        <f>AVERAGE(AG51,AG85,AG129,AG145,AG343,AG449)</f>
        <v/>
      </c>
      <c r="AH433" s="10">
        <f>AVERAGE(AH51,AH85,AH129,AH145,AH343,AH449)</f>
        <v/>
      </c>
      <c r="AI433" s="10">
        <f>AVERAGE(AI51,AI85,AI129,AI145,AI343,AI449)</f>
        <v/>
      </c>
      <c r="AJ433" s="10">
        <f>AVERAGE(AJ51,AJ85,AJ129,AJ145,AJ343,AJ449)</f>
        <v/>
      </c>
      <c r="AK433" s="10">
        <f>AVERAGE(AK51,AK85,AK129,AK145,AK343,AK449)</f>
        <v/>
      </c>
      <c r="AL433" s="10">
        <f>AVERAGE(AL51,AL85,AL129,AL145,AL343,AL449)</f>
        <v/>
      </c>
      <c r="AM433" s="10">
        <f>AVERAGE(AM51,AM85,AM129,AM145,AM343,AM449)</f>
        <v/>
      </c>
      <c r="AN433" s="10">
        <f>AVERAGE(AN51,AN85,AN129,AN145,AN343,AN449)</f>
        <v/>
      </c>
      <c r="AO433" s="10">
        <f>AVERAGE(AO51,AO85,AO129,AO145,AO343,AO449)</f>
        <v/>
      </c>
      <c r="AP433" s="10">
        <f>AVERAGE(AP51,AP85,AP129,AP145,AP343,AP449)</f>
        <v/>
      </c>
      <c r="AQ433" s="10">
        <f>AVERAGE(AQ51,AQ85,AQ129,AQ145,AQ343,AQ449)</f>
        <v/>
      </c>
      <c r="AR433" s="10">
        <f>AVERAGE(AR51,AR85,AR129,AR145,AR343,AR449)</f>
        <v/>
      </c>
      <c r="AS433" s="10">
        <f>AVERAGE(AS51,AS85,AS129,AS145,AS343,AS449)</f>
        <v/>
      </c>
      <c r="AT433" s="10">
        <f>AVERAGE(AT51,AT85,AT129,AT145,AT343,AT449)</f>
        <v/>
      </c>
      <c r="AU433" s="10">
        <f>AVERAGE(AU51,AU85,AU129,AU145,AU343,AU449)</f>
        <v/>
      </c>
      <c r="AV433" s="10">
        <f>AVERAGE(AV51,AV85,AV129,AV145,AV343,AV449)</f>
        <v/>
      </c>
      <c r="AW433" s="10">
        <f>AVERAGE(AW51,AW85,AW129,AW145,AW343,AW449)</f>
        <v/>
      </c>
      <c r="AX433" s="10">
        <f>AVERAGE(AX51,AX85,AX129,AX145,AX343,AX449)</f>
        <v/>
      </c>
      <c r="AY433" s="10">
        <f>AVERAGE(AY51,AY85,AY129,AY145,AY343,AY449)</f>
        <v/>
      </c>
      <c r="AZ433" s="10">
        <f>AVERAGE(AZ51,AZ85,AZ129,AZ145,AZ343,AZ449)</f>
        <v/>
      </c>
      <c r="BA433" s="10">
        <f>AVERAGE(BA51,BA85,BA129,BA145,BA343,BA449)</f>
        <v/>
      </c>
      <c r="BB433" s="10">
        <f>AVERAGE(BB51,BB85,BB129,BB145,BB343,BB449)</f>
        <v/>
      </c>
      <c r="BC433" s="10">
        <f>AVERAGE(BC51,BC85,BC129,BC145,BC343,BC449)</f>
        <v/>
      </c>
      <c r="BD433" s="10">
        <f>AVERAGE(BD51,BD85,BD129,BD145,BD343,BD449)</f>
        <v/>
      </c>
      <c r="BE433" s="10">
        <f>AVERAGE(BE51,BE85,BE129,BE145,BE343,BE449)</f>
        <v/>
      </c>
      <c r="BF433" s="10">
        <f>AVERAGE(BF51,BF85,BF129,BF145,BF343,BF449)</f>
        <v/>
      </c>
      <c r="BG433">
        <f>IF($F433=0,"0",MIN(
BH433/(30*$F433),
BI433/(61*$F433),
BJ433/(48*$F433),
(BK433+BL433)/(23*$F433),
(BM433+BN433)/(41*$F433),
BO433/(25*$F433),
BP433/(6.6*$F433),
BQ433/(40*$F433),
BS433/(16*$F433)
)*100)</f>
        <v/>
      </c>
      <c r="BH433" s="10">
        <f>AVERAGE(BH51,BH85,BH129,BH145,BH343,BH449)</f>
        <v/>
      </c>
      <c r="BI433" s="10">
        <f>AVERAGE(BI51,BI85,BI129,BI145,BI343,BI449)</f>
        <v/>
      </c>
      <c r="BJ433" s="10">
        <f>AVERAGE(BJ51,BJ85,BJ129,BJ145,BJ343,BJ449)</f>
        <v/>
      </c>
      <c r="BK433" s="10">
        <f>AVERAGE(BK51,BK85,BK129,BK145,BK343,BK449)</f>
        <v/>
      </c>
      <c r="BL433" s="10">
        <f>AVERAGE(BL51,BL85,BL129,BL145,BL343,BL449)</f>
        <v/>
      </c>
      <c r="BM433" s="10">
        <f>AVERAGE(BM51,BM85,BM129,BM145,BM343,BM449)</f>
        <v/>
      </c>
      <c r="BN433" s="10">
        <f>AVERAGE(BN51,BN85,BN129,BN145,BN343,BN449)</f>
        <v/>
      </c>
      <c r="BO433" s="10">
        <f>AVERAGE(BO51,BO85,BO129,BO145,BO343,BO449)</f>
        <v/>
      </c>
      <c r="BP433" s="10">
        <f>AVERAGE(BP51,BP85,BP129,BP145,BP343,BP449)</f>
        <v/>
      </c>
      <c r="BQ433" s="10">
        <f>AVERAGE(BQ51,BQ85,BQ129,BQ145,BQ343,BQ449)</f>
        <v/>
      </c>
      <c r="BR433" s="10">
        <f>AVERAGE(BR51,BR85,BR129,BR145,BR343,BR449)</f>
        <v/>
      </c>
      <c r="BS433" s="10">
        <f>AVERAGE(BS51,BS85,BS129,BS145,BS343,BS449)</f>
        <v/>
      </c>
      <c r="BT433" s="10">
        <f>AVERAGE(BT51,BT85,BT129,BT145,BT343,BT449)</f>
        <v/>
      </c>
      <c r="BU433" s="10">
        <f>AVERAGE(BU51,BU85,BU129,BU145,BU343,BU449)</f>
        <v/>
      </c>
      <c r="BV433" s="10">
        <f>AVERAGE(BV51,BV85,BV129,BV145,BV343,BV449)</f>
        <v/>
      </c>
      <c r="BW433" s="10">
        <f>AVERAGE(BW51,BW85,BW129,BW145,BW343,BW449)</f>
        <v/>
      </c>
      <c r="BX433" s="10">
        <f>AVERAGE(BX51,BX85,BX129,BX145,BX343,BX449)</f>
        <v/>
      </c>
      <c r="BY433" s="10">
        <f>AVERAGE(BY51,BY85,BY129,BY145,BY343,BY449)</f>
        <v/>
      </c>
      <c r="BZ433" s="10">
        <f>AVERAGE(BZ51,BZ85,BZ129,BZ145,BZ343,BZ449)</f>
        <v/>
      </c>
      <c r="CA433" s="10">
        <f>AVERAGE(CA51,CA85,CA129,CA145,CA343,CA449)</f>
        <v/>
      </c>
      <c r="CB433" s="10">
        <f>AVERAGE(CB51,CB85,CB129,CB145,CB343,CB449)</f>
        <v/>
      </c>
      <c r="CC433" s="10">
        <f>AVERAGE(CC51,CC85,CC129,CC145,CC343,CC449)</f>
        <v/>
      </c>
      <c r="CD433" s="10">
        <f>AVERAGE(CD51,CD85,CD129,CD145,CD343,CD449)</f>
        <v/>
      </c>
      <c r="CE433" s="10">
        <f>AVERAGE(CE51,CE85,CE129,CE145,CE343,CE449)</f>
        <v/>
      </c>
      <c r="CF433" s="10">
        <f>AVERAGE(CF51,CF85,CF129,CF145,CF343,CF449)</f>
        <v/>
      </c>
      <c r="CG433" s="10">
        <f>AVERAGE(CG51,CG85,CG129,CG145,CG343,CG449)</f>
        <v/>
      </c>
      <c r="CH433" s="10">
        <f>AVERAGE(CH51,CH85,CH129,CH145,CH343,CH449)</f>
        <v/>
      </c>
      <c r="CI433" s="10">
        <f>AVERAGE(CI51,CI85,CI129,CI145,CI343,CI449)</f>
        <v/>
      </c>
      <c r="CJ433" s="10">
        <f>AVERAGE(CJ51,CJ85,CJ129,CJ145,CJ343,CJ449)</f>
        <v/>
      </c>
      <c r="CK433" s="10">
        <f>AVERAGE(CK51,CK85,CK129,CK145,CK343,CK449)</f>
        <v/>
      </c>
      <c r="CL433" s="10">
        <f>AVERAGE(CL51,CL85,CL129,CL145,CL343,CL449)</f>
        <v/>
      </c>
      <c r="CM433" s="10">
        <f>AVERAGE(CM51,CM85,CM129,CM145,CM343,CM449)</f>
        <v/>
      </c>
      <c r="CN433" s="10">
        <f>AVERAGE(CN51,CN85,CN129,CN145,CN343,CN449)</f>
        <v/>
      </c>
      <c r="CO433" s="10">
        <f>AVERAGE(CO51,CO85,CO129,CO145,CO343,CO449)</f>
        <v/>
      </c>
      <c r="CP433" s="10">
        <f>AVERAGE(CP51,CP85,CP129,CP145,CP343,CP449)</f>
        <v/>
      </c>
      <c r="CQ433" s="10">
        <f>AVERAGE(CQ51,CQ85,CQ129,CQ145,CQ343,CQ449)</f>
        <v/>
      </c>
      <c r="CR433" s="10">
        <f>AVERAGE(CR51,CR85,CR129,CR145,CR343,CR449)</f>
        <v/>
      </c>
      <c r="CS433" s="10">
        <f>AVERAGE(CS51,CS85,CS129,CS145,CS343,CS449)</f>
        <v/>
      </c>
      <c r="CT433" s="10">
        <f>AVERAGE(CT51,CT85,CT129,CT145,CT343,CT449)</f>
        <v/>
      </c>
      <c r="CU433" s="10">
        <f>AVERAGE(CU51,CU85,CU129,CU145,CU343,CU449)</f>
        <v/>
      </c>
      <c r="CV433" s="10">
        <f>AVERAGE(CV51,CV85,CV129,CV145,CV343,CV449)</f>
        <v/>
      </c>
      <c r="CW433" s="10">
        <f>AVERAGE(CW51,CW85,CW129,CW145,CW343,CW449)</f>
        <v/>
      </c>
      <c r="CX433" s="10">
        <f>AVERAGE(CX51,CX85,CX129,CX145,CX343,CX449)</f>
        <v/>
      </c>
      <c r="CY433" s="10">
        <f>AVERAGE(CY51,CY85,CY129,CY145,CY343,CY449)</f>
        <v/>
      </c>
      <c r="CZ433" s="10">
        <f>AVERAGE(CZ51,CZ85,CZ129,CZ145,CZ343,CZ449)</f>
        <v/>
      </c>
      <c r="DA433" s="10">
        <f>AVERAGE(DA51,DA85,DA129,DA145,DA343,DA449)</f>
        <v/>
      </c>
      <c r="DB433" s="10">
        <f>AVERAGE(DB51,DB85,DB129,DB145,DB343,DB449)</f>
        <v/>
      </c>
      <c r="DC433" s="10">
        <f>AVERAGE(DC51,DC85,DC129,DC145,DC343,DC449)</f>
        <v/>
      </c>
      <c r="DD433" s="10">
        <f>AVERAGE(DD51,DD85,DD129,DD145,DD343,DD449)</f>
        <v/>
      </c>
      <c r="DE433" s="10">
        <f>AVERAGE(DE51,DE85,DE129,DE145,DE343,DE449)</f>
        <v/>
      </c>
      <c r="DF433" s="10">
        <f>AVERAGE(DF51,DF85,DF129,DF145,DF343,DF449)</f>
        <v/>
      </c>
      <c r="DG433" s="10">
        <f>AVERAGE(DG51,DG85,DG129,DG145,DG343,DG449)</f>
        <v/>
      </c>
      <c r="DH433" s="10">
        <f>AVERAGE(DH51,DH85,DH129,DH145,DH343,DH449)</f>
        <v/>
      </c>
      <c r="DI433" s="10">
        <f>AVERAGE(DI51,DI85,DI129,DI145,DI343,DI449)</f>
        <v/>
      </c>
      <c r="DJ433" s="10">
        <f>AVERAGE(DJ51,DJ85,DJ129,DJ145,DJ343,DJ449)</f>
        <v/>
      </c>
      <c r="DK433" s="10">
        <f>AVERAGE(DK51,DK85,DK129,DK145,DK343,DK449)</f>
        <v/>
      </c>
      <c r="DL433" s="10">
        <f>AVERAGE(DL51,DL85,DL129,DL145,DL343,DL449)</f>
        <v/>
      </c>
      <c r="DM433" s="10">
        <f>AVERAGE(DM51,DM85,DM129,DM145,DM343,DM449)</f>
        <v/>
      </c>
      <c r="DN433" s="10">
        <f>AVERAGE(DN51,DN85,DN129,DN145,DN343,DN449)</f>
        <v/>
      </c>
      <c r="DO433" s="10">
        <f>AVERAGE(DO51,DO85,DO129,DO145,DO343,DO449)</f>
        <v/>
      </c>
      <c r="DP433" s="10">
        <f>AVERAGE(DP51,DP85,DP129,DP145,DP343,DP449)</f>
        <v/>
      </c>
      <c r="DQ433" s="10">
        <f>AVERAGE(DQ51,DQ85,DQ129,DQ145,DQ343,DQ449)</f>
        <v/>
      </c>
      <c r="DR433" s="10">
        <f>AVERAGE(DR51,DR85,DR129,DR145,DR343,DR449)</f>
        <v/>
      </c>
      <c r="DS433" s="10">
        <f>AVERAGE(DS51,DS85,DS129,DS145,DS343,DS449)</f>
        <v/>
      </c>
      <c r="DT433" s="10">
        <f>AVERAGE(DT51,DT85,DT129,DT145,DT343,DT449)</f>
        <v/>
      </c>
      <c r="DU433" s="10">
        <f>AVERAGE(DU51,DU85,DU129,DU145,DU343,DU449)</f>
        <v/>
      </c>
      <c r="DV433" s="10">
        <f>AVERAGE(DV51,DV85,DV129,DV145,DV343,DV449)</f>
        <v/>
      </c>
      <c r="DW433" s="10">
        <f>AVERAGE(DW51,DW85,DW129,DW145,DW343,DW449)</f>
        <v/>
      </c>
      <c r="DX433" s="10">
        <f>AVERAGE(DX51,DX85,DX129,DX145,DX343,DX449)</f>
        <v/>
      </c>
      <c r="DY433" s="10">
        <f>AVERAGE(DY51,DY85,DY129,DY145,DY343,DY449)</f>
        <v/>
      </c>
      <c r="DZ433" s="10">
        <f>AVERAGE(DZ51,DZ85,DZ129,DZ145,DZ343,DZ449)</f>
        <v/>
      </c>
      <c r="EA433" s="10">
        <f>AVERAGE(EA51,EA85,EA129,EA145,EA343,EA449)</f>
        <v/>
      </c>
      <c r="EB433" s="10">
        <f>AVERAGE(EB51,EB85,EB129,EB145,EB343,EB449)</f>
        <v/>
      </c>
      <c r="EC433" s="10">
        <f>AVERAGE(EC51,EC85,EC129,EC145,EC343,EC449)</f>
        <v/>
      </c>
      <c r="ED433" s="10">
        <f>AVERAGE(ED51,ED85,ED129,ED145,ED343,ED449)</f>
        <v/>
      </c>
      <c r="EE433" s="10">
        <f>AVERAGE(EE51,EE85,EE129,EE145,EE343,EE449)</f>
        <v/>
      </c>
      <c r="EF433" s="10">
        <f>AVERAGE(EF51,EF85,EF129,EF145,EF343,EF449)</f>
        <v/>
      </c>
      <c r="EG433" s="10">
        <f>AVERAGE(EG51,EG85,EG129,EG145,EG343,EG449)</f>
        <v/>
      </c>
      <c r="EH433" s="10">
        <f>AVERAGE(EH51,EH85,EH129,EH145,EH343,EH449)</f>
        <v/>
      </c>
      <c r="EI433" s="10">
        <f>AVERAGE(EI51,EI85,EI129,EI145,EI343,EI449)</f>
        <v/>
      </c>
      <c r="EJ433" s="10">
        <f>AVERAGE(EJ51,EJ85,EJ129,EJ145,EJ343,EJ449)</f>
        <v/>
      </c>
      <c r="EK433" s="10">
        <f>AVERAGE(EK51,EK85,EK129,EK145,EK343,EK449)</f>
        <v/>
      </c>
    </row>
    <row r="434">
      <c r="A434" s="12">
        <f>[1]ingredient!B434</f>
        <v/>
      </c>
      <c r="C434" s="7">
        <f>_xlfn.XLOOKUP(A434,[1]ingredient!$B$2:$B$521,[1]ingredient!$A$2:$A$521)</f>
        <v/>
      </c>
      <c r="D434" s="10">
        <f>AVERAGE(D50,D84,D96,D98,D128,D135,D144,D176,D323,D342,D448)</f>
        <v/>
      </c>
      <c r="E434" s="10">
        <f>AVERAGE(E50,E84,E96,E98,E128,E135,E144,E176,E323,E342,E448)</f>
        <v/>
      </c>
      <c r="F434" s="10">
        <f>AVERAGE(F50,F84,F96,F98,F128,F135,F144,F176,F323,F342,F448)</f>
        <v/>
      </c>
      <c r="G434" s="10">
        <f>AVERAGE(G50,G84,G96,G98,G128,G135,G144,G176,G323,G342,G448)</f>
        <v/>
      </c>
      <c r="H434" s="10">
        <f>AVERAGE(H50,H84,H96,H98,H128,H135,H144,H176,H323,H342,H448)</f>
        <v/>
      </c>
      <c r="I434" s="10">
        <f>AVERAGE(I50,I84,I96,I98,I128,I135,I144,I176,I323,I342,I448)</f>
        <v/>
      </c>
      <c r="J434" s="10">
        <f>AVERAGE(J50,J84,J96,J98,J128,J135,J144,J176,J323,J342,J448)</f>
        <v/>
      </c>
      <c r="K434" s="10">
        <f>AVERAGE(K50,K84,K96,K98,K128,K135,K144,K176,K323,K342,K448)</f>
        <v/>
      </c>
      <c r="L434" s="10">
        <f>AVERAGE(L50,L84,L96,L98,L128,L135,L144,L176,L323,L342,L448)</f>
        <v/>
      </c>
      <c r="M434" s="10">
        <f>AVERAGE(M50,M84,M96,M98,M128,M135,M144,M176,M323,M342,M448)</f>
        <v/>
      </c>
      <c r="N434" s="10">
        <f>AVERAGE(N50,N84,N96,N98,N128,N135,N144,N176,N323,N342,N448)</f>
        <v/>
      </c>
      <c r="O434" s="10">
        <f>AVERAGE(O50,O84,O96,O98,O128,O135,O144,O176,O323,O342,O448)</f>
        <v/>
      </c>
      <c r="P434" s="10">
        <f>AVERAGE(P50,P84,P96,P98,P128,P135,P144,P176,P323,P342,P448)</f>
        <v/>
      </c>
      <c r="Q434" s="10">
        <f>AVERAGE(Q50,Q84,Q96,Q98,Q128,Q135,Q144,Q176,Q323,Q342,Q448)</f>
        <v/>
      </c>
      <c r="R434" s="10">
        <f>AVERAGE(R50,R84,R96,R98,R128,R135,R144,R176,R323,R342,R448)</f>
        <v/>
      </c>
      <c r="S434" s="10">
        <f>AVERAGE(S50,S84,S96,S98,S128,S135,S144,S176,S323,S342,S448)</f>
        <v/>
      </c>
      <c r="T434" s="10">
        <f>AVERAGE(T50,T84,T96,T98,T128,T135,T144,T176,T323,T342,T448)</f>
        <v/>
      </c>
      <c r="U434" s="10">
        <f>AVERAGE(U50,U84,U96,U98,U128,U135,U144,U176,U323,U342,U448)</f>
        <v/>
      </c>
      <c r="V434" s="10">
        <f>AVERAGE(V50,V84,V96,V98,V128,V135,V144,V176,V323,V342,V448)</f>
        <v/>
      </c>
      <c r="W434" s="10">
        <f>AVERAGE(W50,W84,W96,W98,W128,W135,W144,W176,W323,W342,W448)</f>
        <v/>
      </c>
      <c r="X434" s="10">
        <f>AVERAGE(X50,X84,X96,X98,X128,X135,X144,X176,X323,X342,X448)</f>
        <v/>
      </c>
      <c r="Y434" s="10">
        <f>AVERAGE(Y50,Y84,Y96,Y98,Y128,Y135,Y144,Y176,Y323,Y342,Y448)</f>
        <v/>
      </c>
      <c r="Z434" s="10">
        <f>AVERAGE(Z50,Z84,Z96,Z98,Z128,Z135,Z144,Z176,Z323,Z342,Z448)</f>
        <v/>
      </c>
      <c r="AA434" s="10">
        <f>AVERAGE(AA50,AA84,AA96,AA98,AA128,AA135,AA144,AA176,AA323,AA342,AA448)</f>
        <v/>
      </c>
      <c r="AB434" s="10">
        <f>AVERAGE(AB50,AB84,AB96,AB98,AB128,AB135,AB144,AB176,AB323,AB342,AB448)</f>
        <v/>
      </c>
      <c r="AC434" s="10">
        <f>AVERAGE(AC50,AC84,AC96,AC98,AC128,AC135,AC144,AC176,AC323,AC342,AC448)</f>
        <v/>
      </c>
      <c r="AD434" s="10">
        <f>AVERAGE(AD50,AD84,AD96,AD98,AD128,AD135,AD144,AD176,AD323,AD342,AD448)</f>
        <v/>
      </c>
      <c r="AE434" s="10">
        <f>AVERAGE(AE50,AE84,AE96,AE98,AE128,AE135,AE144,AE176,AE323,AE342,AE448)</f>
        <v/>
      </c>
      <c r="AF434" s="10">
        <f>AVERAGE(AF50,AF84,AF96,AF98,AF128,AF135,AF144,AF176,AF323,AF342,AF448)</f>
        <v/>
      </c>
      <c r="AG434" s="10">
        <f>AVERAGE(AG50,AG84,AG96,AG98,AG128,AG135,AG144,AG176,AG323,AG342,AG448)</f>
        <v/>
      </c>
      <c r="AH434" s="10">
        <f>AVERAGE(AH50,AH84,AH96,AH98,AH128,AH135,AH144,AH176,AH323,AH342,AH448)</f>
        <v/>
      </c>
      <c r="AI434" s="10">
        <f>AVERAGE(AI50,AI84,AI96,AI98,AI128,AI135,AI144,AI176,AI323,AI342,AI448)</f>
        <v/>
      </c>
      <c r="AJ434" s="10">
        <f>AVERAGE(AJ50,AJ84,AJ96,AJ98,AJ128,AJ135,AJ144,AJ176,AJ323,AJ342,AJ448)</f>
        <v/>
      </c>
      <c r="AK434" s="10">
        <f>AVERAGE(AK50,AK84,AK96,AK98,AK128,AK135,AK144,AK176,AK323,AK342,AK448)</f>
        <v/>
      </c>
      <c r="AL434" s="10">
        <f>AVERAGE(AL50,AL84,AL96,AL98,AL128,AL135,AL144,AL176,AL323,AL342,AL448)</f>
        <v/>
      </c>
      <c r="AM434" s="10">
        <f>AVERAGE(AM50,AM84,AM96,AM98,AM128,AM135,AM144,AM176,AM323,AM342,AM448)</f>
        <v/>
      </c>
      <c r="AN434" s="10">
        <f>AVERAGE(AN50,AN84,AN96,AN98,AN128,AN135,AN144,AN176,AN323,AN342,AN448)</f>
        <v/>
      </c>
      <c r="AO434" s="10">
        <f>AVERAGE(AO50,AO84,AO96,AO98,AO128,AO135,AO144,AO176,AO323,AO342,AO448)</f>
        <v/>
      </c>
      <c r="AP434" s="10">
        <f>AVERAGE(AP50,AP84,AP96,AP98,AP128,AP135,AP144,AP176,AP323,AP342,AP448)</f>
        <v/>
      </c>
      <c r="AQ434" s="10">
        <f>AVERAGE(AQ50,AQ84,AQ96,AQ98,AQ128,AQ135,AQ144,AQ176,AQ323,AQ342,AQ448)</f>
        <v/>
      </c>
      <c r="AR434" s="10">
        <f>AVERAGE(AR50,AR84,AR96,AR98,AR128,AR135,AR144,AR176,AR323,AR342,AR448)</f>
        <v/>
      </c>
      <c r="AS434" s="10">
        <f>AVERAGE(AS50,AS84,AS96,AS98,AS128,AS135,AS144,AS176,AS323,AS342,AS448)</f>
        <v/>
      </c>
      <c r="AT434" s="10">
        <f>AVERAGE(AT50,AT84,AT96,AT98,AT128,AT135,AT144,AT176,AT323,AT342,AT448)</f>
        <v/>
      </c>
      <c r="AU434" s="10">
        <f>AVERAGE(AU50,AU84,AU96,AU98,AU128,AU135,AU144,AU176,AU323,AU342,AU448)</f>
        <v/>
      </c>
      <c r="AV434" s="10">
        <f>AVERAGE(AV50,AV84,AV96,AV98,AV128,AV135,AV144,AV176,AV323,AV342,AV448)</f>
        <v/>
      </c>
      <c r="AW434" s="10">
        <f>AVERAGE(AW50,AW84,AW96,AW98,AW128,AW135,AW144,AW176,AW323,AW342,AW448)</f>
        <v/>
      </c>
      <c r="AX434" s="10">
        <f>AVERAGE(AX50,AX84,AX96,AX98,AX128,AX135,AX144,AX176,AX323,AX342,AX448)</f>
        <v/>
      </c>
      <c r="AY434" s="10">
        <f>AVERAGE(AY50,AY84,AY96,AY98,AY128,AY135,AY144,AY176,AY323,AY342,AY448)</f>
        <v/>
      </c>
      <c r="AZ434" s="10">
        <f>AVERAGE(AZ50,AZ84,AZ96,AZ98,AZ128,AZ135,AZ144,AZ176,AZ323,AZ342,AZ448)</f>
        <v/>
      </c>
      <c r="BA434" s="10">
        <f>AVERAGE(BA50,BA84,BA96,BA98,BA128,BA135,BA144,BA176,BA323,BA342,BA448)</f>
        <v/>
      </c>
      <c r="BB434" s="10">
        <f>AVERAGE(BB50,BB84,BB96,BB98,BB128,BB135,BB144,BB176,BB323,BB342,BB448)</f>
        <v/>
      </c>
      <c r="BC434" s="10">
        <f>AVERAGE(BC50,BC84,BC96,BC98,BC128,BC135,BC144,BC176,BC323,BC342,BC448)</f>
        <v/>
      </c>
      <c r="BD434" s="10">
        <f>AVERAGE(BD50,BD84,BD96,BD98,BD128,BD135,BD144,BD176,BD323,BD342,BD448)</f>
        <v/>
      </c>
      <c r="BE434" s="10">
        <f>AVERAGE(BE50,BE84,BE96,BE98,BE128,BE135,BE144,BE176,BE323,BE342,BE448)</f>
        <v/>
      </c>
      <c r="BF434" s="10">
        <f>AVERAGE(BF50,BF84,BF96,BF98,BF128,BF135,BF144,BF176,BF323,BF342,BF448)</f>
        <v/>
      </c>
      <c r="BG434">
        <f>IF($F434=0,"0",MIN(
BH434/(30*$F434),
BI434/(61*$F434),
BJ434/(48*$F434),
(BK434+BL434)/(23*$F434),
(BM434+BN434)/(41*$F434),
BO434/(25*$F434),
BP434/(6.6*$F434),
BQ434/(40*$F434),
BS434/(16*$F434)
)*100)</f>
        <v/>
      </c>
      <c r="BH434" s="10">
        <f>AVERAGE(BH50,BH84,BH96,BH98,BH128,BH135,BH144,BH176,BH323,BH342,BH448)</f>
        <v/>
      </c>
      <c r="BI434" s="10">
        <f>AVERAGE(BI50,BI84,BI96,BI98,BI128,BI135,BI144,BI176,BI323,BI342,BI448)</f>
        <v/>
      </c>
      <c r="BJ434" s="10">
        <f>AVERAGE(BJ50,BJ84,BJ96,BJ98,BJ128,BJ135,BJ144,BJ176,BJ323,BJ342,BJ448)</f>
        <v/>
      </c>
      <c r="BK434" s="10">
        <f>AVERAGE(BK50,BK84,BK96,BK98,BK128,BK135,BK144,BK176,BK323,BK342,BK448)</f>
        <v/>
      </c>
      <c r="BL434" s="10">
        <f>AVERAGE(BL50,BL84,BL96,BL98,BL128,BL135,BL144,BL176,BL323,BL342,BL448)</f>
        <v/>
      </c>
      <c r="BM434" s="10">
        <f>AVERAGE(BM50,BM84,BM96,BM98,BM128,BM135,BM144,BM176,BM323,BM342,BM448)</f>
        <v/>
      </c>
      <c r="BN434" s="10">
        <f>AVERAGE(BN50,BN84,BN96,BN98,BN128,BN135,BN144,BN176,BN323,BN342,BN448)</f>
        <v/>
      </c>
      <c r="BO434" s="10">
        <f>AVERAGE(BO50,BO84,BO96,BO98,BO128,BO135,BO144,BO176,BO323,BO342,BO448)</f>
        <v/>
      </c>
      <c r="BP434" s="10">
        <f>AVERAGE(BP50,BP84,BP96,BP98,BP128,BP135,BP144,BP176,BP323,BP342,BP448)</f>
        <v/>
      </c>
      <c r="BQ434" s="10">
        <f>AVERAGE(BQ50,BQ84,BQ96,BQ98,BQ128,BQ135,BQ144,BQ176,BQ323,BQ342,BQ448)</f>
        <v/>
      </c>
      <c r="BR434" s="10">
        <f>AVERAGE(BR50,BR84,BR96,BR98,BR128,BR135,BR144,BR176,BR323,BR342,BR448)</f>
        <v/>
      </c>
      <c r="BS434" s="10">
        <f>AVERAGE(BS50,BS84,BS96,BS98,BS128,BS135,BS144,BS176,BS323,BS342,BS448)</f>
        <v/>
      </c>
      <c r="BT434" s="10">
        <f>AVERAGE(BT50,BT84,BT96,BT98,BT128,BT135,BT144,BT176,BT323,BT342,BT448)</f>
        <v/>
      </c>
      <c r="BU434" s="10">
        <f>AVERAGE(BU50,BU84,BU96,BU98,BU128,BU135,BU144,BU176,BU323,BU342,BU448)</f>
        <v/>
      </c>
      <c r="BV434" s="10">
        <f>AVERAGE(BV50,BV84,BV96,BV98,BV128,BV135,BV144,BV176,BV323,BV342,BV448)</f>
        <v/>
      </c>
      <c r="BW434" s="10">
        <f>AVERAGE(BW50,BW84,BW96,BW98,BW128,BW135,BW144,BW176,BW323,BW342,BW448)</f>
        <v/>
      </c>
      <c r="BX434" s="10">
        <f>AVERAGE(BX50,BX84,BX96,BX98,BX128,BX135,BX144,BX176,BX323,BX342,BX448)</f>
        <v/>
      </c>
      <c r="BY434" s="10">
        <f>AVERAGE(BY50,BY84,BY96,BY98,BY128,BY135,BY144,BY176,BY323,BY342,BY448)</f>
        <v/>
      </c>
      <c r="BZ434" s="10">
        <f>AVERAGE(BZ50,BZ84,BZ96,BZ98,BZ128,BZ135,BZ144,BZ176,BZ323,BZ342,BZ448)</f>
        <v/>
      </c>
      <c r="CA434" s="10">
        <f>AVERAGE(CA50,CA84,CA96,CA98,CA128,CA135,CA144,CA176,CA323,CA342,CA448)</f>
        <v/>
      </c>
      <c r="CB434" s="10">
        <f>AVERAGE(CB50,CB84,CB96,CB98,CB128,CB135,CB144,CB176,CB323,CB342,CB448)</f>
        <v/>
      </c>
      <c r="CC434" s="10">
        <f>AVERAGE(CC50,CC84,CC96,CC98,CC128,CC135,CC144,CC176,CC323,CC342,CC448)</f>
        <v/>
      </c>
      <c r="CD434" s="10">
        <f>AVERAGE(CD50,CD84,CD96,CD98,CD128,CD135,CD144,CD176,CD323,CD342,CD448)</f>
        <v/>
      </c>
      <c r="CE434" s="10">
        <f>AVERAGE(CE50,CE84,CE96,CE98,CE128,CE135,CE144,CE176,CE323,CE342,CE448)</f>
        <v/>
      </c>
      <c r="CF434" s="10">
        <f>AVERAGE(CF50,CF84,CF96,CF98,CF128,CF135,CF144,CF176,CF323,CF342,CF448)</f>
        <v/>
      </c>
      <c r="CG434" s="10">
        <f>AVERAGE(CG50,CG84,CG96,CG98,CG128,CG135,CG144,CG176,CG323,CG342,CG448)</f>
        <v/>
      </c>
      <c r="CH434" s="10">
        <f>AVERAGE(CH50,CH84,CH96,CH98,CH128,CH135,CH144,CH176,CH323,CH342,CH448)</f>
        <v/>
      </c>
      <c r="CI434" s="10">
        <f>AVERAGE(CI50,CI84,CI96,CI98,CI128,CI135,CI144,CI176,CI323,CI342,CI448)</f>
        <v/>
      </c>
      <c r="CJ434" s="10">
        <f>AVERAGE(CJ50,CJ84,CJ96,CJ98,CJ128,CJ135,CJ144,CJ176,CJ323,CJ342,CJ448)</f>
        <v/>
      </c>
      <c r="CK434" s="10">
        <f>AVERAGE(CK50,CK84,CK96,CK98,CK128,CK135,CK144,CK176,CK323,CK342,CK448)</f>
        <v/>
      </c>
      <c r="CL434" s="10">
        <f>AVERAGE(CL50,CL84,CL96,CL98,CL128,CL135,CL144,CL176,CL323,CL342,CL448)</f>
        <v/>
      </c>
      <c r="CM434" s="10">
        <f>AVERAGE(CM50,CM84,CM96,CM98,CM128,CM135,CM144,CM176,CM323,CM342,CM448)</f>
        <v/>
      </c>
      <c r="CN434" s="10">
        <f>AVERAGE(CN50,CN84,CN96,CN98,CN128,CN135,CN144,CN176,CN323,CN342,CN448)</f>
        <v/>
      </c>
      <c r="CO434" s="10">
        <f>AVERAGE(CO50,CO84,CO96,CO98,CO128,CO135,CO144,CO176,CO323,CO342,CO448)</f>
        <v/>
      </c>
      <c r="CP434" s="10">
        <f>AVERAGE(CP50,CP84,CP96,CP98,CP128,CP135,CP144,CP176,CP323,CP342,CP448)</f>
        <v/>
      </c>
      <c r="CQ434" s="10">
        <f>AVERAGE(CQ50,CQ84,CQ96,CQ98,CQ128,CQ135,CQ144,CQ176,CQ323,CQ342,CQ448)</f>
        <v/>
      </c>
      <c r="CR434" s="10">
        <f>AVERAGE(CR50,CR84,CR96,CR98,CR128,CR135,CR144,CR176,CR323,CR342,CR448)</f>
        <v/>
      </c>
      <c r="CS434" s="10">
        <f>AVERAGE(CS50,CS84,CS96,CS98,CS128,CS135,CS144,CS176,CS323,CS342,CS448)</f>
        <v/>
      </c>
      <c r="CT434" s="10">
        <f>AVERAGE(CT50,CT84,CT96,CT98,CT128,CT135,CT144,CT176,CT323,CT342,CT448)</f>
        <v/>
      </c>
      <c r="CU434" s="10">
        <f>AVERAGE(CU50,CU84,CU96,CU98,CU128,CU135,CU144,CU176,CU323,CU342,CU448)</f>
        <v/>
      </c>
      <c r="CV434" s="10">
        <f>AVERAGE(CV50,CV84,CV96,CV98,CV128,CV135,CV144,CV176,CV323,CV342,CV448)</f>
        <v/>
      </c>
      <c r="CW434" s="10">
        <f>AVERAGE(CW50,CW84,CW96,CW98,CW128,CW135,CW144,CW176,CW323,CW342,CW448)</f>
        <v/>
      </c>
      <c r="CX434" s="10">
        <f>AVERAGE(CX50,CX84,CX96,CX98,CX128,CX135,CX144,CX176,CX323,CX342,CX448)</f>
        <v/>
      </c>
      <c r="CY434" s="10">
        <f>AVERAGE(CY50,CY84,CY96,CY98,CY128,CY135,CY144,CY176,CY323,CY342,CY448)</f>
        <v/>
      </c>
      <c r="CZ434" s="10">
        <f>AVERAGE(CZ50,CZ84,CZ96,CZ98,CZ128,CZ135,CZ144,CZ176,CZ323,CZ342,CZ448)</f>
        <v/>
      </c>
      <c r="DA434" s="10">
        <f>AVERAGE(DA50,DA84,DA96,DA98,DA128,DA135,DA144,DA176,DA323,DA342,DA448)</f>
        <v/>
      </c>
      <c r="DB434" s="10">
        <f>AVERAGE(DB50,DB84,DB96,DB98,DB128,DB135,DB144,DB176,DB323,DB342,DB448)</f>
        <v/>
      </c>
      <c r="DC434" s="10">
        <f>AVERAGE(DC50,DC84,DC96,DC98,DC128,DC135,DC144,DC176,DC323,DC342,DC448)</f>
        <v/>
      </c>
      <c r="DD434" s="10">
        <f>AVERAGE(DD50,DD84,DD96,DD98,DD128,DD135,DD144,DD176,DD323,DD342,DD448)</f>
        <v/>
      </c>
      <c r="DE434" s="10">
        <f>AVERAGE(DE50,DE84,DE96,DE98,DE128,DE135,DE144,DE176,DE323,DE342,DE448)</f>
        <v/>
      </c>
      <c r="DF434" s="10">
        <f>AVERAGE(DF50,DF84,DF96,DF98,DF128,DF135,DF144,DF176,DF323,DF342,DF448)</f>
        <v/>
      </c>
      <c r="DG434" s="10">
        <f>AVERAGE(DG50,DG84,DG96,DG98,DG128,DG135,DG144,DG176,DG323,DG342,DG448)</f>
        <v/>
      </c>
      <c r="DH434" s="10">
        <f>AVERAGE(DH50,DH84,DH96,DH98,DH128,DH135,DH144,DH176,DH323,DH342,DH448)</f>
        <v/>
      </c>
      <c r="DI434" s="10">
        <f>AVERAGE(DI50,DI84,DI96,DI98,DI128,DI135,DI144,DI176,DI323,DI342,DI448)</f>
        <v/>
      </c>
      <c r="DJ434" s="10">
        <f>AVERAGE(DJ50,DJ84,DJ96,DJ98,DJ128,DJ135,DJ144,DJ176,DJ323,DJ342,DJ448)</f>
        <v/>
      </c>
      <c r="DK434" s="10">
        <f>AVERAGE(DK50,DK84,DK96,DK98,DK128,DK135,DK144,DK176,DK323,DK342,DK448)</f>
        <v/>
      </c>
      <c r="DL434" s="10">
        <f>AVERAGE(DL50,DL84,DL96,DL98,DL128,DL135,DL144,DL176,DL323,DL342,DL448)</f>
        <v/>
      </c>
      <c r="DM434" s="10">
        <f>AVERAGE(DM50,DM84,DM96,DM98,DM128,DM135,DM144,DM176,DM323,DM342,DM448)</f>
        <v/>
      </c>
      <c r="DN434" s="10">
        <f>AVERAGE(DN50,DN84,DN96,DN98,DN128,DN135,DN144,DN176,DN323,DN342,DN448)</f>
        <v/>
      </c>
      <c r="DO434" s="10">
        <f>AVERAGE(DO50,DO84,DO96,DO98,DO128,DO135,DO144,DO176,DO323,DO342,DO448)</f>
        <v/>
      </c>
      <c r="DP434" s="10">
        <f>AVERAGE(DP50,DP84,DP96,DP98,DP128,DP135,DP144,DP176,DP323,DP342,DP448)</f>
        <v/>
      </c>
      <c r="DQ434" s="10">
        <f>AVERAGE(DQ50,DQ84,DQ96,DQ98,DQ128,DQ135,DQ144,DQ176,DQ323,DQ342,DQ448)</f>
        <v/>
      </c>
      <c r="DR434" s="10">
        <f>AVERAGE(DR50,DR84,DR96,DR98,DR128,DR135,DR144,DR176,DR323,DR342,DR448)</f>
        <v/>
      </c>
      <c r="DS434" s="10">
        <f>AVERAGE(DS50,DS84,DS96,DS98,DS128,DS135,DS144,DS176,DS323,DS342,DS448)</f>
        <v/>
      </c>
      <c r="DT434" s="10">
        <f>AVERAGE(DT50,DT84,DT96,DT98,DT128,DT135,DT144,DT176,DT323,DT342,DT448)</f>
        <v/>
      </c>
      <c r="DU434" s="10">
        <f>AVERAGE(DU50,DU84,DU96,DU98,DU128,DU135,DU144,DU176,DU323,DU342,DU448)</f>
        <v/>
      </c>
      <c r="DV434" s="10">
        <f>AVERAGE(DV50,DV84,DV96,DV98,DV128,DV135,DV144,DV176,DV323,DV342,DV448)</f>
        <v/>
      </c>
      <c r="DW434" s="10">
        <f>AVERAGE(DW50,DW84,DW96,DW98,DW128,DW135,DW144,DW176,DW323,DW342,DW448)</f>
        <v/>
      </c>
      <c r="DX434" s="10">
        <f>AVERAGE(DX50,DX84,DX96,DX98,DX128,DX135,DX144,DX176,DX323,DX342,DX448)</f>
        <v/>
      </c>
      <c r="DY434" s="10">
        <f>AVERAGE(DY50,DY84,DY96,DY98,DY128,DY135,DY144,DY176,DY323,DY342,DY448)</f>
        <v/>
      </c>
      <c r="DZ434" s="10">
        <f>AVERAGE(DZ50,DZ84,DZ96,DZ98,DZ128,DZ135,DZ144,DZ176,DZ323,DZ342,DZ448)</f>
        <v/>
      </c>
      <c r="EA434" s="10">
        <f>AVERAGE(EA50,EA84,EA96,EA98,EA128,EA135,EA144,EA176,EA323,EA342,EA448)</f>
        <v/>
      </c>
      <c r="EB434" s="10">
        <f>AVERAGE(EB50,EB84,EB96,EB98,EB128,EB135,EB144,EB176,EB323,EB342,EB448)</f>
        <v/>
      </c>
      <c r="EC434" s="10">
        <f>AVERAGE(EC50,EC84,EC96,EC98,EC128,EC135,EC144,EC176,EC323,EC342,EC448)</f>
        <v/>
      </c>
      <c r="ED434" s="10">
        <f>AVERAGE(ED50,ED84,ED96,ED98,ED128,ED135,ED144,ED176,ED323,ED342,ED448)</f>
        <v/>
      </c>
      <c r="EE434" s="10">
        <f>AVERAGE(EE50,EE84,EE96,EE98,EE128,EE135,EE144,EE176,EE323,EE342,EE448)</f>
        <v/>
      </c>
      <c r="EF434" s="10">
        <f>AVERAGE(EF50,EF84,EF96,EF98,EF128,EF135,EF144,EF176,EF323,EF342,EF448)</f>
        <v/>
      </c>
      <c r="EG434" s="10">
        <f>AVERAGE(EG50,EG84,EG96,EG98,EG128,EG135,EG144,EG176,EG323,EG342,EG448)</f>
        <v/>
      </c>
      <c r="EH434" s="10">
        <f>AVERAGE(EH50,EH84,EH96,EH98,EH128,EH135,EH144,EH176,EH323,EH342,EH448)</f>
        <v/>
      </c>
      <c r="EI434" s="10">
        <f>AVERAGE(EI50,EI84,EI96,EI98,EI128,EI135,EI144,EI176,EI323,EI342,EI448)</f>
        <v/>
      </c>
      <c r="EJ434" s="10">
        <f>AVERAGE(EJ50,EJ84,EJ96,EJ98,EJ128,EJ135,EJ144,EJ176,EJ323,EJ342,EJ448)</f>
        <v/>
      </c>
      <c r="EK434" s="10">
        <f>AVERAGE(EK50,EK84,EK96,EK98,EK128,EK135,EK144,EK176,EK323,EK342,EK448)</f>
        <v/>
      </c>
    </row>
    <row r="435">
      <c r="A435" s="12">
        <f>[1]ingredient!B435</f>
        <v/>
      </c>
      <c r="C435" s="7">
        <f>_xlfn.XLOOKUP(A435,[1]ingredient!$B$2:$B$521,[1]ingredient!$A$2:$A$521)</f>
        <v/>
      </c>
      <c r="D435" s="10">
        <f>AVERAGE(D52,D86,D148,D344,D451)</f>
        <v/>
      </c>
      <c r="E435" s="10">
        <f>AVERAGE(E52,E86,E148,E344,E451)</f>
        <v/>
      </c>
      <c r="F435" s="10">
        <f>AVERAGE(F52,F86,F148,F344,F451)</f>
        <v/>
      </c>
      <c r="G435" s="10">
        <f>AVERAGE(G52,G86,G148,G344,G451)</f>
        <v/>
      </c>
      <c r="H435" s="10">
        <f>AVERAGE(H52,H86,H148,H344,H451)</f>
        <v/>
      </c>
      <c r="I435" s="10">
        <f>AVERAGE(I52,I86,I148,I344,I451)</f>
        <v/>
      </c>
      <c r="J435" s="10">
        <f>AVERAGE(J52,J86,J148,J344,J451)</f>
        <v/>
      </c>
      <c r="K435" s="10">
        <f>AVERAGE(K52,K86,K148,K344,K451)</f>
        <v/>
      </c>
      <c r="L435" s="10">
        <f>AVERAGE(L52,L86,L148,L344,L451)</f>
        <v/>
      </c>
      <c r="M435" s="10">
        <f>AVERAGE(M52,M86,M148,M344,M451)</f>
        <v/>
      </c>
      <c r="N435" s="10">
        <f>AVERAGE(N52,N86,N148,N344,N451)</f>
        <v/>
      </c>
      <c r="O435" s="10">
        <f>AVERAGE(O52,O86,O148,O344,O451)</f>
        <v/>
      </c>
      <c r="P435" s="10">
        <f>AVERAGE(P52,P86,P148,P344,P451)</f>
        <v/>
      </c>
      <c r="Q435" s="10">
        <f>AVERAGE(Q52,Q86,Q148,Q344,Q451)</f>
        <v/>
      </c>
      <c r="R435" s="10">
        <f>AVERAGE(R52,R86,R148,R344,R451)</f>
        <v/>
      </c>
      <c r="S435" s="10">
        <f>AVERAGE(S52,S86,S148,S344,S451)</f>
        <v/>
      </c>
      <c r="T435" s="10">
        <f>AVERAGE(T52,T86,T148,T344,T451)</f>
        <v/>
      </c>
      <c r="U435" s="10">
        <f>AVERAGE(U52,U86,U148,U344,U451)</f>
        <v/>
      </c>
      <c r="V435" s="10">
        <f>AVERAGE(V52,V86,V148,V344,V451)</f>
        <v/>
      </c>
      <c r="W435" s="10">
        <f>AVERAGE(W52,W86,W148,W344,W451)</f>
        <v/>
      </c>
      <c r="X435" s="10">
        <f>AVERAGE(X52,X86,X148,X344,X451)</f>
        <v/>
      </c>
      <c r="Y435" s="10">
        <f>AVERAGE(Y52,Y86,Y148,Y344,Y451)</f>
        <v/>
      </c>
      <c r="Z435" s="10">
        <f>AVERAGE(Z52,Z86,Z148,Z344,Z451)</f>
        <v/>
      </c>
      <c r="AA435" s="10">
        <f>AVERAGE(AA52,AA86,AA148,AA344,AA451)</f>
        <v/>
      </c>
      <c r="AB435" s="10">
        <f>AVERAGE(AB52,AB86,AB148,AB344,AB451)</f>
        <v/>
      </c>
      <c r="AC435" s="10">
        <f>AVERAGE(AC52,AC86,AC148,AC344,AC451)</f>
        <v/>
      </c>
      <c r="AD435" s="10">
        <f>AVERAGE(AD52,AD86,AD148,AD344,AD451)</f>
        <v/>
      </c>
      <c r="AE435" s="10">
        <f>AVERAGE(AE52,AE86,AE148,AE344,AE451)</f>
        <v/>
      </c>
      <c r="AF435" s="10">
        <f>AVERAGE(AF52,AF86,AF148,AF344,AF451)</f>
        <v/>
      </c>
      <c r="AG435" s="10">
        <f>AVERAGE(AG52,AG86,AG148,AG344,AG451)</f>
        <v/>
      </c>
      <c r="AH435" s="10">
        <f>AVERAGE(AH52,AH86,AH148,AH344,AH451)</f>
        <v/>
      </c>
      <c r="AI435" s="10">
        <f>AVERAGE(AI52,AI86,AI148,AI344,AI451)</f>
        <v/>
      </c>
      <c r="AJ435" s="10">
        <f>AVERAGE(AJ52,AJ86,AJ148,AJ344,AJ451)</f>
        <v/>
      </c>
      <c r="AK435" s="10">
        <f>AVERAGE(AK52,AK86,AK148,AK344,AK451)</f>
        <v/>
      </c>
      <c r="AL435" s="10">
        <f>AVERAGE(AL52,AL86,AL148,AL344,AL451)</f>
        <v/>
      </c>
      <c r="AM435" s="10">
        <f>AVERAGE(AM52,AM86,AM148,AM344,AM451)</f>
        <v/>
      </c>
      <c r="AN435" s="10">
        <f>AVERAGE(AN52,AN86,AN148,AN344,AN451)</f>
        <v/>
      </c>
      <c r="AO435" s="10">
        <f>AVERAGE(AO52,AO86,AO148,AO344,AO451)</f>
        <v/>
      </c>
      <c r="AP435" s="10">
        <f>AVERAGE(AP52,AP86,AP148,AP344,AP451)</f>
        <v/>
      </c>
      <c r="AQ435" s="10">
        <f>AVERAGE(AQ52,AQ86,AQ148,AQ344,AQ451)</f>
        <v/>
      </c>
      <c r="AR435" s="10">
        <f>AVERAGE(AR52,AR86,AR148,AR344,AR451)</f>
        <v/>
      </c>
      <c r="AS435" s="10">
        <f>AVERAGE(AS52,AS86,AS148,AS344,AS451)</f>
        <v/>
      </c>
      <c r="AT435" s="10">
        <f>AVERAGE(AT52,AT86,AT148,AT344,AT451)</f>
        <v/>
      </c>
      <c r="AU435" s="10">
        <f>AVERAGE(AU52,AU86,AU148,AU344,AU451)</f>
        <v/>
      </c>
      <c r="AV435" s="10">
        <f>AVERAGE(AV52,AV86,AV148,AV344,AV451)</f>
        <v/>
      </c>
      <c r="AW435" s="10">
        <f>AVERAGE(AW52,AW86,AW148,AW344,AW451)</f>
        <v/>
      </c>
      <c r="AX435" s="10">
        <f>AVERAGE(AX52,AX86,AX148,AX344,AX451)</f>
        <v/>
      </c>
      <c r="AY435" s="10">
        <f>AVERAGE(AY52,AY86,AY148,AY344,AY451)</f>
        <v/>
      </c>
      <c r="AZ435" s="10">
        <f>AVERAGE(AZ52,AZ86,AZ148,AZ344,AZ451)</f>
        <v/>
      </c>
      <c r="BA435" s="10">
        <f>AVERAGE(BA52,BA86,BA148,BA344,BA451)</f>
        <v/>
      </c>
      <c r="BB435" s="10">
        <f>AVERAGE(BB52,BB86,BB148,BB344,BB451)</f>
        <v/>
      </c>
      <c r="BC435" s="10">
        <f>AVERAGE(BC52,BC86,BC148,BC344,BC451)</f>
        <v/>
      </c>
      <c r="BD435" s="10">
        <f>AVERAGE(BD52,BD86,BD148,BD344,BD451)</f>
        <v/>
      </c>
      <c r="BE435" s="10">
        <f>AVERAGE(BE52,BE86,BE148,BE344,BE451)</f>
        <v/>
      </c>
      <c r="BF435" s="10">
        <f>AVERAGE(BF52,BF86,BF148,BF344,BF451)</f>
        <v/>
      </c>
      <c r="BG435">
        <f>IF($F435=0,"0",MIN(
BH435/(30*$F435),
BI435/(61*$F435),
BJ435/(48*$F435),
(BK435+BL435)/(23*$F435),
(BM435+BN435)/(41*$F435),
BO435/(25*$F435),
BP435/(6.6*$F435),
BQ435/(40*$F435),
BS435/(16*$F435)
)*100)</f>
        <v/>
      </c>
      <c r="BH435" s="10">
        <f>AVERAGE(BH52,BH86,BH148,BH344,BH451)</f>
        <v/>
      </c>
      <c r="BI435" s="10">
        <f>AVERAGE(BI52,BI86,BI148,BI344,BI451)</f>
        <v/>
      </c>
      <c r="BJ435" s="10">
        <f>AVERAGE(BJ52,BJ86,BJ148,BJ344,BJ451)</f>
        <v/>
      </c>
      <c r="BK435" s="10">
        <f>AVERAGE(BK52,BK86,BK148,BK344,BK451)</f>
        <v/>
      </c>
      <c r="BL435" s="10">
        <f>AVERAGE(BL52,BL86,BL148,BL344,BL451)</f>
        <v/>
      </c>
      <c r="BM435" s="10">
        <f>AVERAGE(BM52,BM86,BM148,BM344,BM451)</f>
        <v/>
      </c>
      <c r="BN435" s="10">
        <f>AVERAGE(BN52,BN86,BN148,BN344,BN451)</f>
        <v/>
      </c>
      <c r="BO435" s="10">
        <f>AVERAGE(BO52,BO86,BO148,BO344,BO451)</f>
        <v/>
      </c>
      <c r="BP435" s="10">
        <f>AVERAGE(BP52,BP86,BP148,BP344,BP451)</f>
        <v/>
      </c>
      <c r="BQ435" s="10">
        <f>AVERAGE(BQ52,BQ86,BQ148,BQ344,BQ451)</f>
        <v/>
      </c>
      <c r="BR435" s="10">
        <f>AVERAGE(BR52,BR86,BR148,BR344,BR451)</f>
        <v/>
      </c>
      <c r="BS435" s="10">
        <f>AVERAGE(BS52,BS86,BS148,BS344,BS451)</f>
        <v/>
      </c>
      <c r="BT435" s="10">
        <f>AVERAGE(BT52,BT86,BT148,BT344,BT451)</f>
        <v/>
      </c>
      <c r="BU435" s="10">
        <f>AVERAGE(BU52,BU86,BU148,BU344,BU451)</f>
        <v/>
      </c>
      <c r="BV435" s="10">
        <f>AVERAGE(BV52,BV86,BV148,BV344,BV451)</f>
        <v/>
      </c>
      <c r="BW435" s="10">
        <f>AVERAGE(BW52,BW86,BW148,BW344,BW451)</f>
        <v/>
      </c>
      <c r="BX435" s="10">
        <f>AVERAGE(BX52,BX86,BX148,BX344,BX451)</f>
        <v/>
      </c>
      <c r="BY435" s="10">
        <f>AVERAGE(BY52,BY86,BY148,BY344,BY451)</f>
        <v/>
      </c>
      <c r="BZ435" s="10">
        <f>AVERAGE(BZ52,BZ86,BZ148,BZ344,BZ451)</f>
        <v/>
      </c>
      <c r="CA435" s="10">
        <f>AVERAGE(CA52,CA86,CA148,CA344,CA451)</f>
        <v/>
      </c>
      <c r="CB435" s="10">
        <f>AVERAGE(CB52,CB86,CB148,CB344,CB451)</f>
        <v/>
      </c>
      <c r="CC435" s="10">
        <f>AVERAGE(CC52,CC86,CC148,CC344,CC451)</f>
        <v/>
      </c>
      <c r="CD435" s="10">
        <f>AVERAGE(CD52,CD86,CD148,CD344,CD451)</f>
        <v/>
      </c>
      <c r="CE435" s="10">
        <f>AVERAGE(CE52,CE86,CE148,CE344,CE451)</f>
        <v/>
      </c>
      <c r="CF435" s="10">
        <f>AVERAGE(CF52,CF86,CF148,CF344,CF451)</f>
        <v/>
      </c>
      <c r="CG435" s="10">
        <f>AVERAGE(CG52,CG86,CG148,CG344,CG451)</f>
        <v/>
      </c>
      <c r="CH435" s="10">
        <f>AVERAGE(CH52,CH86,CH148,CH344,CH451)</f>
        <v/>
      </c>
      <c r="CI435" s="10">
        <f>AVERAGE(CI52,CI86,CI148,CI344,CI451)</f>
        <v/>
      </c>
      <c r="CJ435" s="10">
        <f>AVERAGE(CJ52,CJ86,CJ148,CJ344,CJ451)</f>
        <v/>
      </c>
      <c r="CK435" s="10">
        <f>AVERAGE(CK52,CK86,CK148,CK344,CK451)</f>
        <v/>
      </c>
      <c r="CL435" s="10">
        <f>AVERAGE(CL52,CL86,CL148,CL344,CL451)</f>
        <v/>
      </c>
      <c r="CM435" s="10">
        <f>AVERAGE(CM52,CM86,CM148,CM344,CM451)</f>
        <v/>
      </c>
      <c r="CN435" s="10">
        <f>AVERAGE(CN52,CN86,CN148,CN344,CN451)</f>
        <v/>
      </c>
      <c r="CO435" s="10">
        <f>AVERAGE(CO52,CO86,CO148,CO344,CO451)</f>
        <v/>
      </c>
      <c r="CP435" s="10">
        <f>AVERAGE(CP52,CP86,CP148,CP344,CP451)</f>
        <v/>
      </c>
      <c r="CQ435" s="10">
        <f>AVERAGE(CQ52,CQ86,CQ148,CQ344,CQ451)</f>
        <v/>
      </c>
      <c r="CR435" s="10">
        <f>AVERAGE(CR52,CR86,CR148,CR344,CR451)</f>
        <v/>
      </c>
      <c r="CS435" s="10">
        <f>AVERAGE(CS52,CS86,CS148,CS344,CS451)</f>
        <v/>
      </c>
      <c r="CT435" s="10">
        <f>AVERAGE(CT52,CT86,CT148,CT344,CT451)</f>
        <v/>
      </c>
      <c r="CU435" s="10">
        <f>AVERAGE(CU52,CU86,CU148,CU344,CU451)</f>
        <v/>
      </c>
      <c r="CV435" s="10">
        <f>AVERAGE(CV52,CV86,CV148,CV344,CV451)</f>
        <v/>
      </c>
      <c r="CW435" s="10">
        <f>AVERAGE(CW52,CW86,CW148,CW344,CW451)</f>
        <v/>
      </c>
      <c r="CX435" s="10">
        <f>AVERAGE(CX52,CX86,CX148,CX344,CX451)</f>
        <v/>
      </c>
      <c r="CY435" s="10">
        <f>AVERAGE(CY52,CY86,CY148,CY344,CY451)</f>
        <v/>
      </c>
      <c r="CZ435" s="10">
        <f>AVERAGE(CZ52,CZ86,CZ148,CZ344,CZ451)</f>
        <v/>
      </c>
      <c r="DA435" s="10">
        <f>AVERAGE(DA52,DA86,DA148,DA344,DA451)</f>
        <v/>
      </c>
      <c r="DB435" s="10">
        <f>AVERAGE(DB52,DB86,DB148,DB344,DB451)</f>
        <v/>
      </c>
      <c r="DC435" s="10">
        <f>AVERAGE(DC52,DC86,DC148,DC344,DC451)</f>
        <v/>
      </c>
      <c r="DD435" s="10">
        <f>AVERAGE(DD52,DD86,DD148,DD344,DD451)</f>
        <v/>
      </c>
      <c r="DE435" s="10">
        <f>AVERAGE(DE52,DE86,DE148,DE344,DE451)</f>
        <v/>
      </c>
      <c r="DF435" s="10">
        <f>AVERAGE(DF52,DF86,DF148,DF344,DF451)</f>
        <v/>
      </c>
      <c r="DG435" s="10">
        <f>AVERAGE(DG52,DG86,DG148,DG344,DG451)</f>
        <v/>
      </c>
      <c r="DH435" s="10">
        <f>AVERAGE(DH52,DH86,DH148,DH344,DH451)</f>
        <v/>
      </c>
      <c r="DI435" s="10">
        <f>AVERAGE(DI52,DI86,DI148,DI344,DI451)</f>
        <v/>
      </c>
      <c r="DJ435" s="10">
        <f>AVERAGE(DJ52,DJ86,DJ148,DJ344,DJ451)</f>
        <v/>
      </c>
      <c r="DK435" s="10">
        <f>AVERAGE(DK52,DK86,DK148,DK344,DK451)</f>
        <v/>
      </c>
      <c r="DL435" s="10">
        <f>AVERAGE(DL52,DL86,DL148,DL344,DL451)</f>
        <v/>
      </c>
      <c r="DM435" s="10">
        <f>AVERAGE(DM52,DM86,DM148,DM344,DM451)</f>
        <v/>
      </c>
      <c r="DN435" s="10">
        <f>AVERAGE(DN52,DN86,DN148,DN344,DN451)</f>
        <v/>
      </c>
      <c r="DO435" s="10">
        <f>AVERAGE(DO52,DO86,DO148,DO344,DO451)</f>
        <v/>
      </c>
      <c r="DP435" s="10">
        <f>AVERAGE(DP52,DP86,DP148,DP344,DP451)</f>
        <v/>
      </c>
      <c r="DQ435" s="10">
        <f>AVERAGE(DQ52,DQ86,DQ148,DQ344,DQ451)</f>
        <v/>
      </c>
      <c r="DR435" s="10">
        <f>AVERAGE(DR52,DR86,DR148,DR344,DR451)</f>
        <v/>
      </c>
      <c r="DS435" s="10">
        <f>AVERAGE(DS52,DS86,DS148,DS344,DS451)</f>
        <v/>
      </c>
      <c r="DT435" s="10">
        <f>AVERAGE(DT52,DT86,DT148,DT344,DT451)</f>
        <v/>
      </c>
      <c r="DU435" s="10">
        <f>AVERAGE(DU52,DU86,DU148,DU344,DU451)</f>
        <v/>
      </c>
      <c r="DV435" s="10">
        <f>AVERAGE(DV52,DV86,DV148,DV344,DV451)</f>
        <v/>
      </c>
      <c r="DW435" s="10">
        <f>AVERAGE(DW52,DW86,DW148,DW344,DW451)</f>
        <v/>
      </c>
      <c r="DX435" s="10">
        <f>AVERAGE(DX52,DX86,DX148,DX344,DX451)</f>
        <v/>
      </c>
      <c r="DY435" s="10">
        <f>AVERAGE(DY52,DY86,DY148,DY344,DY451)</f>
        <v/>
      </c>
      <c r="DZ435" s="10">
        <f>AVERAGE(DZ52,DZ86,DZ148,DZ344,DZ451)</f>
        <v/>
      </c>
      <c r="EA435" s="10">
        <f>AVERAGE(EA52,EA86,EA148,EA344,EA451)</f>
        <v/>
      </c>
      <c r="EB435" s="10">
        <f>AVERAGE(EB52,EB86,EB148,EB344,EB451)</f>
        <v/>
      </c>
      <c r="EC435" s="10">
        <f>AVERAGE(EC52,EC86,EC148,EC344,EC451)</f>
        <v/>
      </c>
      <c r="ED435" s="10">
        <f>AVERAGE(ED52,ED86,ED148,ED344,ED451)</f>
        <v/>
      </c>
      <c r="EE435" s="10">
        <f>AVERAGE(EE52,EE86,EE148,EE344,EE451)</f>
        <v/>
      </c>
      <c r="EF435" s="10">
        <f>AVERAGE(EF52,EF86,EF148,EF344,EF451)</f>
        <v/>
      </c>
      <c r="EG435" s="10">
        <f>AVERAGE(EG52,EG86,EG148,EG344,EG451)</f>
        <v/>
      </c>
      <c r="EH435" s="10">
        <f>AVERAGE(EH52,EH86,EH148,EH344,EH451)</f>
        <v/>
      </c>
      <c r="EI435" s="10">
        <f>AVERAGE(EI52,EI86,EI148,EI344,EI451)</f>
        <v/>
      </c>
      <c r="EJ435" s="10">
        <f>AVERAGE(EJ52,EJ86,EJ148,EJ344,EJ451)</f>
        <v/>
      </c>
      <c r="EK435" s="10">
        <f>AVERAGE(EK52,EK86,EK148,EK344,EK451)</f>
        <v/>
      </c>
    </row>
    <row r="436">
      <c r="A436">
        <f>[1]ingredient!B436</f>
        <v/>
      </c>
      <c r="B436" t="inlineStr">
        <is>
          <t>https://www.naehrwertrechner.de/naehrwerte/E520011/Vollkornteigwaren+eifrei/?menge=100</t>
        </is>
      </c>
      <c r="C436" s="7">
        <f>_xlfn.XLOOKUP(A436,[1]ingredient!$B$2:$B$521,[1]ingredient!$A$2:$A$521)</f>
        <v/>
      </c>
      <c r="D436" t="n">
        <v>323</v>
      </c>
      <c r="E436" t="n">
        <v>3</v>
      </c>
      <c r="F436" t="n">
        <v>13</v>
      </c>
      <c r="G436" t="n">
        <v>61</v>
      </c>
      <c r="H436" t="n">
        <v>12</v>
      </c>
      <c r="I436" t="n">
        <v>1</v>
      </c>
      <c r="J436" t="n">
        <v>0.03</v>
      </c>
      <c r="K436" t="n">
        <v>11</v>
      </c>
      <c r="L436" t="n">
        <v>0</v>
      </c>
      <c r="M436" t="n">
        <v>0</v>
      </c>
      <c r="N436" t="n">
        <v>0</v>
      </c>
      <c r="O436" t="n">
        <v>0</v>
      </c>
      <c r="P436" t="n">
        <v>670</v>
      </c>
      <c r="Q436" t="n">
        <v>110</v>
      </c>
      <c r="R436" t="n">
        <v>3100</v>
      </c>
      <c r="S436" t="n">
        <v>5333</v>
      </c>
      <c r="T436" t="n">
        <v>800</v>
      </c>
      <c r="U436" t="n">
        <v>200</v>
      </c>
      <c r="V436" t="n">
        <v>1</v>
      </c>
      <c r="W436" t="n">
        <v>40</v>
      </c>
      <c r="X436" t="n">
        <v>0</v>
      </c>
      <c r="Y436" t="n">
        <v>0</v>
      </c>
      <c r="Z436" t="n">
        <v>0</v>
      </c>
      <c r="AA436" t="n">
        <v>250</v>
      </c>
      <c r="AB436" t="n">
        <v>0</v>
      </c>
      <c r="AC436" t="n">
        <v>5</v>
      </c>
      <c r="AD436" t="n">
        <v>390</v>
      </c>
      <c r="AE436" t="n">
        <v>34</v>
      </c>
      <c r="AF436" t="n">
        <v>120</v>
      </c>
      <c r="AG436" t="n">
        <v>370</v>
      </c>
      <c r="AH436" t="n">
        <v>190</v>
      </c>
      <c r="AI436" t="n">
        <v>22</v>
      </c>
      <c r="AJ436" t="n">
        <v>3900</v>
      </c>
      <c r="AK436" t="n">
        <v>3000</v>
      </c>
      <c r="AL436" t="n">
        <v>510</v>
      </c>
      <c r="AM436" t="n">
        <v>264</v>
      </c>
      <c r="AN436" t="n">
        <v>40</v>
      </c>
      <c r="AO436" t="n">
        <v>2</v>
      </c>
      <c r="AP436" t="n">
        <v>0</v>
      </c>
      <c r="AQ436" t="n">
        <v>0</v>
      </c>
      <c r="AR436" t="n">
        <v>0</v>
      </c>
      <c r="AS436" t="n">
        <v>0</v>
      </c>
      <c r="AT436" t="n">
        <v>61</v>
      </c>
      <c r="AU436" t="n">
        <v>61</v>
      </c>
      <c r="AV436" t="n">
        <v>0</v>
      </c>
      <c r="AW436" t="n">
        <v>122</v>
      </c>
      <c r="AX436" t="n">
        <v>606</v>
      </c>
      <c r="AY436" t="n">
        <v>0</v>
      </c>
      <c r="AZ436" t="n">
        <v>0</v>
      </c>
      <c r="BA436" t="n">
        <v>606</v>
      </c>
      <c r="BB436" t="n">
        <v>364</v>
      </c>
      <c r="BC436" t="n">
        <v>0</v>
      </c>
      <c r="BD436" t="n">
        <v>0</v>
      </c>
      <c r="BE436" t="n">
        <v>59508</v>
      </c>
      <c r="BF436" t="n">
        <v>59508</v>
      </c>
      <c r="BG436">
        <f>IF($F436=0,"0",MIN(
BH436/(30*$F436),
BI436/(61*$F436),
BJ436/(48*$F436),
(BK436+BL436)/(23*$F436),
(BM436+BN436)/(41*$F436),
BO436/(25*$F436),
BP436/(6.6*$F436),
BQ436/(40*$F436),
BS436/(16*$F436)
)*100)</f>
        <v/>
      </c>
      <c r="BH436" t="n">
        <v>523</v>
      </c>
      <c r="BI436" t="n">
        <v>898</v>
      </c>
      <c r="BJ436" t="n">
        <v>362</v>
      </c>
      <c r="BK436" t="n">
        <v>201</v>
      </c>
      <c r="BL436" t="n">
        <v>268</v>
      </c>
      <c r="BM436" t="n">
        <v>616</v>
      </c>
      <c r="BN436" t="n">
        <v>402</v>
      </c>
      <c r="BO436" t="n">
        <v>389</v>
      </c>
      <c r="BP436" t="n">
        <v>134</v>
      </c>
      <c r="BQ436" t="n">
        <v>603</v>
      </c>
      <c r="BR436" t="n">
        <v>603</v>
      </c>
      <c r="BS436" t="n">
        <v>255</v>
      </c>
      <c r="BT436" t="n">
        <v>5254</v>
      </c>
      <c r="BU436" t="n">
        <v>469</v>
      </c>
      <c r="BV436" t="n">
        <v>657</v>
      </c>
      <c r="BW436" t="n">
        <v>4059</v>
      </c>
      <c r="BX436" t="n">
        <v>616</v>
      </c>
      <c r="BY436" t="n">
        <v>1528</v>
      </c>
      <c r="BZ436" t="n">
        <v>683</v>
      </c>
      <c r="CA436" t="n">
        <v>8012</v>
      </c>
      <c r="CB436" t="n">
        <v>80</v>
      </c>
      <c r="CC436" t="n">
        <v>33</v>
      </c>
      <c r="CD436" t="n">
        <v>72</v>
      </c>
      <c r="CE436" t="n">
        <v>1073</v>
      </c>
      <c r="CF436" t="n">
        <v>14.9</v>
      </c>
      <c r="CG436" t="n">
        <v>0</v>
      </c>
      <c r="CH436" t="n">
        <v>0</v>
      </c>
      <c r="CI436" t="n">
        <v>0</v>
      </c>
      <c r="CJ436" t="n">
        <v>0</v>
      </c>
      <c r="CK436" t="n">
        <v>2</v>
      </c>
      <c r="CL436" t="n">
        <v>4</v>
      </c>
      <c r="CM436" t="n">
        <v>2</v>
      </c>
      <c r="CN436" t="n">
        <v>324</v>
      </c>
      <c r="CO436" t="n">
        <v>0</v>
      </c>
      <c r="CP436" t="n">
        <v>18</v>
      </c>
      <c r="CQ436" t="n">
        <v>14</v>
      </c>
      <c r="CR436" t="n">
        <v>0</v>
      </c>
      <c r="CS436" t="n">
        <v>0</v>
      </c>
      <c r="CT436" t="n">
        <v>364</v>
      </c>
      <c r="CU436" t="n">
        <v>0</v>
      </c>
      <c r="CV436" t="n">
        <v>0</v>
      </c>
      <c r="CW436" t="n">
        <v>9</v>
      </c>
      <c r="CX436" t="n">
        <v>0</v>
      </c>
      <c r="CY436" t="n">
        <v>275</v>
      </c>
      <c r="CZ436" t="n">
        <v>7</v>
      </c>
      <c r="DA436" t="n">
        <v>0</v>
      </c>
      <c r="DB436" t="n">
        <v>0</v>
      </c>
      <c r="DC436" t="n">
        <v>291</v>
      </c>
      <c r="DD436" t="n">
        <v>0</v>
      </c>
      <c r="DE436" t="n">
        <v>0</v>
      </c>
      <c r="DF436" t="n">
        <v>1069</v>
      </c>
      <c r="DG436" t="n">
        <v>72</v>
      </c>
      <c r="DH436" t="n">
        <v>0</v>
      </c>
      <c r="DI436" t="n">
        <v>0</v>
      </c>
      <c r="DJ436" t="n">
        <v>0</v>
      </c>
      <c r="DK436" t="n">
        <v>0</v>
      </c>
      <c r="DL436" t="n">
        <v>4</v>
      </c>
      <c r="DM436" t="n">
        <v>0</v>
      </c>
      <c r="DN436" t="n">
        <v>0</v>
      </c>
      <c r="DO436" t="n">
        <v>0</v>
      </c>
      <c r="DP436" t="n">
        <v>0</v>
      </c>
      <c r="DQ436" t="n">
        <v>0</v>
      </c>
      <c r="DR436" t="n">
        <v>0</v>
      </c>
      <c r="DS436" t="n">
        <v>1145</v>
      </c>
      <c r="DT436" t="n">
        <v>1800</v>
      </c>
      <c r="DU436" t="n">
        <v>700</v>
      </c>
      <c r="DV436" t="n">
        <v>0</v>
      </c>
      <c r="DW436" t="n">
        <v>0</v>
      </c>
      <c r="DX436" t="n">
        <v>0</v>
      </c>
      <c r="DY436" t="n">
        <v>4600</v>
      </c>
      <c r="DZ436" t="n">
        <v>3450</v>
      </c>
      <c r="EA436" t="n">
        <v>805</v>
      </c>
      <c r="EB436" t="n">
        <v>2070</v>
      </c>
      <c r="EC436" t="n">
        <v>575</v>
      </c>
      <c r="ED436" t="n">
        <v>2875</v>
      </c>
      <c r="EE436" t="n">
        <v>8625</v>
      </c>
      <c r="EF436" t="n">
        <v>0</v>
      </c>
      <c r="EG436" t="n">
        <v>0</v>
      </c>
      <c r="EH436" t="n">
        <v>1.5</v>
      </c>
      <c r="EI436" t="n">
        <v>8.6</v>
      </c>
      <c r="EJ436" t="n">
        <v>2.5</v>
      </c>
      <c r="EK436" t="n">
        <v>13.5</v>
      </c>
    </row>
    <row r="437">
      <c r="A437">
        <f>[1]ingredient!B437</f>
        <v/>
      </c>
      <c r="B437" t="inlineStr">
        <is>
          <t>https://www.naehrwertrechner.de/naehrwerte/E520011/Vollkornteigwaren+eifrei/?menge=100</t>
        </is>
      </c>
      <c r="C437" s="7">
        <f>_xlfn.XLOOKUP(A437,[1]ingredient!$B$2:$B$521,[1]ingredient!$A$2:$A$521)</f>
        <v/>
      </c>
      <c r="D437" t="n">
        <v>323</v>
      </c>
      <c r="E437" t="n">
        <v>3</v>
      </c>
      <c r="F437" t="n">
        <v>13</v>
      </c>
      <c r="G437" t="n">
        <v>61</v>
      </c>
      <c r="H437" t="n">
        <v>12</v>
      </c>
      <c r="I437" t="n">
        <v>1</v>
      </c>
      <c r="J437" t="n">
        <v>0.03</v>
      </c>
      <c r="K437" t="n">
        <v>11</v>
      </c>
      <c r="L437" t="n">
        <v>0</v>
      </c>
      <c r="M437" t="n">
        <v>0</v>
      </c>
      <c r="N437" t="n">
        <v>0</v>
      </c>
      <c r="O437" t="n">
        <v>0</v>
      </c>
      <c r="P437" t="n">
        <v>670</v>
      </c>
      <c r="Q437" t="n">
        <v>110</v>
      </c>
      <c r="R437" t="n">
        <v>3100</v>
      </c>
      <c r="S437" t="n">
        <v>5333</v>
      </c>
      <c r="T437" t="n">
        <v>800</v>
      </c>
      <c r="U437" t="n">
        <v>200</v>
      </c>
      <c r="V437" t="n">
        <v>1</v>
      </c>
      <c r="W437" t="n">
        <v>40</v>
      </c>
      <c r="X437" t="n">
        <v>0</v>
      </c>
      <c r="Y437" t="n">
        <v>0</v>
      </c>
      <c r="Z437" t="n">
        <v>0</v>
      </c>
      <c r="AA437" t="n">
        <v>250</v>
      </c>
      <c r="AB437" t="n">
        <v>0</v>
      </c>
      <c r="AC437" t="n">
        <v>5</v>
      </c>
      <c r="AD437" t="n">
        <v>390</v>
      </c>
      <c r="AE437" t="n">
        <v>34</v>
      </c>
      <c r="AF437" t="n">
        <v>120</v>
      </c>
      <c r="AG437" t="n">
        <v>370</v>
      </c>
      <c r="AH437" t="n">
        <v>190</v>
      </c>
      <c r="AI437" t="n">
        <v>22</v>
      </c>
      <c r="AJ437" t="n">
        <v>3900</v>
      </c>
      <c r="AK437" t="n">
        <v>3000</v>
      </c>
      <c r="AL437" t="n">
        <v>510</v>
      </c>
      <c r="AM437" t="n">
        <v>264</v>
      </c>
      <c r="AN437" t="n">
        <v>40</v>
      </c>
      <c r="AO437" t="n">
        <v>2</v>
      </c>
      <c r="AP437" t="n">
        <v>0</v>
      </c>
      <c r="AQ437" t="n">
        <v>0</v>
      </c>
      <c r="AR437" t="n">
        <v>0</v>
      </c>
      <c r="AS437" t="n">
        <v>0</v>
      </c>
      <c r="AT437" t="n">
        <v>61</v>
      </c>
      <c r="AU437" t="n">
        <v>61</v>
      </c>
      <c r="AV437" t="n">
        <v>0</v>
      </c>
      <c r="AW437" t="n">
        <v>122</v>
      </c>
      <c r="AX437" t="n">
        <v>606</v>
      </c>
      <c r="AY437" t="n">
        <v>0</v>
      </c>
      <c r="AZ437" t="n">
        <v>0</v>
      </c>
      <c r="BA437" t="n">
        <v>606</v>
      </c>
      <c r="BB437" t="n">
        <v>364</v>
      </c>
      <c r="BC437" t="n">
        <v>0</v>
      </c>
      <c r="BD437" t="n">
        <v>0</v>
      </c>
      <c r="BE437" t="n">
        <v>59508</v>
      </c>
      <c r="BF437" t="n">
        <v>59508</v>
      </c>
      <c r="BG437">
        <f>IF($F437=0,"0",MIN(
BH437/(30*$F437),
BI437/(61*$F437),
BJ437/(48*$F437),
(BK437+BL437)/(23*$F437),
(BM437+BN437)/(41*$F437),
BO437/(25*$F437),
BP437/(6.6*$F437),
BQ437/(40*$F437),
BS437/(16*$F437)
)*100)</f>
        <v/>
      </c>
      <c r="BH437" t="n">
        <v>523</v>
      </c>
      <c r="BI437" t="n">
        <v>898</v>
      </c>
      <c r="BJ437" t="n">
        <v>362</v>
      </c>
      <c r="BK437" t="n">
        <v>201</v>
      </c>
      <c r="BL437" t="n">
        <v>268</v>
      </c>
      <c r="BM437" t="n">
        <v>616</v>
      </c>
      <c r="BN437" t="n">
        <v>402</v>
      </c>
      <c r="BO437" t="n">
        <v>389</v>
      </c>
      <c r="BP437" t="n">
        <v>134</v>
      </c>
      <c r="BQ437" t="n">
        <v>603</v>
      </c>
      <c r="BR437" t="n">
        <v>603</v>
      </c>
      <c r="BS437" t="n">
        <v>255</v>
      </c>
      <c r="BT437" t="n">
        <v>5254</v>
      </c>
      <c r="BU437" t="n">
        <v>469</v>
      </c>
      <c r="BV437" t="n">
        <v>657</v>
      </c>
      <c r="BW437" t="n">
        <v>4059</v>
      </c>
      <c r="BX437" t="n">
        <v>616</v>
      </c>
      <c r="BY437" t="n">
        <v>1528</v>
      </c>
      <c r="BZ437" t="n">
        <v>683</v>
      </c>
      <c r="CA437" t="n">
        <v>8012</v>
      </c>
      <c r="CB437" t="n">
        <v>80</v>
      </c>
      <c r="CC437" t="n">
        <v>33</v>
      </c>
      <c r="CD437" t="n">
        <v>72</v>
      </c>
      <c r="CE437" t="n">
        <v>1073</v>
      </c>
      <c r="CF437" t="n">
        <v>14.9</v>
      </c>
      <c r="CG437" t="n">
        <v>0</v>
      </c>
      <c r="CH437" t="n">
        <v>0</v>
      </c>
      <c r="CI437" t="n">
        <v>0</v>
      </c>
      <c r="CJ437" t="n">
        <v>0</v>
      </c>
      <c r="CK437" t="n">
        <v>2</v>
      </c>
      <c r="CL437" t="n">
        <v>4</v>
      </c>
      <c r="CM437" t="n">
        <v>2</v>
      </c>
      <c r="CN437" t="n">
        <v>324</v>
      </c>
      <c r="CO437" t="n">
        <v>0</v>
      </c>
      <c r="CP437" t="n">
        <v>18</v>
      </c>
      <c r="CQ437" t="n">
        <v>14</v>
      </c>
      <c r="CR437" t="n">
        <v>0</v>
      </c>
      <c r="CS437" t="n">
        <v>0</v>
      </c>
      <c r="CT437" t="n">
        <v>364</v>
      </c>
      <c r="CU437" t="n">
        <v>0</v>
      </c>
      <c r="CV437" t="n">
        <v>0</v>
      </c>
      <c r="CW437" t="n">
        <v>9</v>
      </c>
      <c r="CX437" t="n">
        <v>0</v>
      </c>
      <c r="CY437" t="n">
        <v>275</v>
      </c>
      <c r="CZ437" t="n">
        <v>7</v>
      </c>
      <c r="DA437" t="n">
        <v>0</v>
      </c>
      <c r="DB437" t="n">
        <v>0</v>
      </c>
      <c r="DC437" t="n">
        <v>291</v>
      </c>
      <c r="DD437" t="n">
        <v>0</v>
      </c>
      <c r="DE437" t="n">
        <v>0</v>
      </c>
      <c r="DF437" t="n">
        <v>1069</v>
      </c>
      <c r="DG437" t="n">
        <v>72</v>
      </c>
      <c r="DH437" t="n">
        <v>0</v>
      </c>
      <c r="DI437" t="n">
        <v>0</v>
      </c>
      <c r="DJ437" t="n">
        <v>0</v>
      </c>
      <c r="DK437" t="n">
        <v>0</v>
      </c>
      <c r="DL437" t="n">
        <v>4</v>
      </c>
      <c r="DM437" t="n">
        <v>0</v>
      </c>
      <c r="DN437" t="n">
        <v>0</v>
      </c>
      <c r="DO437" t="n">
        <v>0</v>
      </c>
      <c r="DP437" t="n">
        <v>0</v>
      </c>
      <c r="DQ437" t="n">
        <v>0</v>
      </c>
      <c r="DR437" t="n">
        <v>0</v>
      </c>
      <c r="DS437" t="n">
        <v>1145</v>
      </c>
      <c r="DT437" t="n">
        <v>1800</v>
      </c>
      <c r="DU437" t="n">
        <v>700</v>
      </c>
      <c r="DV437" t="n">
        <v>0</v>
      </c>
      <c r="DW437" t="n">
        <v>0</v>
      </c>
      <c r="DX437" t="n">
        <v>0</v>
      </c>
      <c r="DY437" t="n">
        <v>4600</v>
      </c>
      <c r="DZ437" t="n">
        <v>3450</v>
      </c>
      <c r="EA437" t="n">
        <v>805</v>
      </c>
      <c r="EB437" t="n">
        <v>2070</v>
      </c>
      <c r="EC437" t="n">
        <v>575</v>
      </c>
      <c r="ED437" t="n">
        <v>2875</v>
      </c>
      <c r="EE437" t="n">
        <v>8625</v>
      </c>
      <c r="EF437" t="n">
        <v>0</v>
      </c>
      <c r="EG437" t="n">
        <v>0</v>
      </c>
      <c r="EH437" t="n">
        <v>1.5</v>
      </c>
      <c r="EI437" t="n">
        <v>8.6</v>
      </c>
      <c r="EJ437" t="n">
        <v>2.5</v>
      </c>
      <c r="EK437" t="n">
        <v>13.5</v>
      </c>
    </row>
    <row r="438">
      <c r="A438">
        <f>[1]ingredient!B438</f>
        <v/>
      </c>
      <c r="C438" s="7">
        <f>_xlfn.XLOOKUP(A438,[1]ingredient!$B$2:$B$521,[1]ingredient!$A$2:$A$521)</f>
        <v/>
      </c>
      <c r="D438" t="n">
        <v>299</v>
      </c>
      <c r="E438" t="n">
        <v>7.5</v>
      </c>
      <c r="F438" t="n">
        <v>8.800000000000001</v>
      </c>
      <c r="G438" t="n">
        <v>46</v>
      </c>
      <c r="H438" t="n">
        <v>6.1</v>
      </c>
      <c r="I438" t="n">
        <v>0.7</v>
      </c>
      <c r="J438" t="n">
        <v>1</v>
      </c>
      <c r="BG438">
        <f>IF($F438=0,"0",MIN(
BH438/(30*$F438),
BI438/(61*$F438),
BJ438/(48*$F438),
(BK438+BL438)/(23*$F438),
(BM438+BN438)/(41*$F438),
BO438/(25*$F438),
BP438/(6.6*$F438),
BQ438/(40*$F438),
BS438/(16*$F438)
)*100)</f>
        <v/>
      </c>
      <c r="CT438" t="n">
        <v>1.5</v>
      </c>
    </row>
    <row r="439">
      <c r="A439">
        <f>[1]ingredient!B440</f>
        <v/>
      </c>
      <c r="B439" t="inlineStr">
        <is>
          <t>https://www.naehrwertrechner.de/naehrwerte/G002411/Braunalge+getrocknet/?menge=100</t>
        </is>
      </c>
      <c r="C439" s="7">
        <f>_xlfn.XLOOKUP(A439,[1]ingredient!$B$2:$B$521,[1]ingredient!$A$2:$A$521)</f>
        <v/>
      </c>
      <c r="D439" t="n">
        <v>301</v>
      </c>
      <c r="E439" t="n">
        <v>4</v>
      </c>
      <c r="F439" t="n">
        <v>11</v>
      </c>
      <c r="G439" t="n">
        <v>53</v>
      </c>
      <c r="H439" t="n">
        <v>9</v>
      </c>
      <c r="I439" t="n">
        <v>53</v>
      </c>
      <c r="J439" t="n">
        <v>1</v>
      </c>
      <c r="K439" t="n">
        <v>15</v>
      </c>
      <c r="L439" t="n">
        <v>451</v>
      </c>
      <c r="M439" t="n">
        <v>226</v>
      </c>
      <c r="N439" t="n">
        <v>0</v>
      </c>
      <c r="O439" t="n">
        <v>2708</v>
      </c>
      <c r="P439" t="n">
        <v>293</v>
      </c>
      <c r="Q439" t="n">
        <v>973</v>
      </c>
      <c r="R439" t="n">
        <v>3055</v>
      </c>
      <c r="S439" t="n">
        <v>6338</v>
      </c>
      <c r="T439" t="n">
        <v>1109</v>
      </c>
      <c r="U439" t="n">
        <v>646</v>
      </c>
      <c r="V439" t="n">
        <v>0</v>
      </c>
      <c r="W439" t="n">
        <v>1231</v>
      </c>
      <c r="X439" t="n">
        <v>7</v>
      </c>
      <c r="Y439" t="n">
        <v>75217</v>
      </c>
      <c r="Z439" t="n">
        <v>0</v>
      </c>
      <c r="AA439" t="n">
        <v>5354</v>
      </c>
      <c r="AB439" t="n">
        <v>2055</v>
      </c>
      <c r="AC439" t="n">
        <v>1354</v>
      </c>
      <c r="AD439" t="n">
        <v>517</v>
      </c>
      <c r="AE439" t="n">
        <v>1034</v>
      </c>
      <c r="AF439" t="n">
        <v>742</v>
      </c>
      <c r="AG439" t="n">
        <v>259</v>
      </c>
      <c r="AH439" t="n">
        <v>306</v>
      </c>
      <c r="AI439" t="n">
        <v>75</v>
      </c>
      <c r="AJ439" t="n">
        <v>16566</v>
      </c>
      <c r="AK439" t="n">
        <v>7572</v>
      </c>
      <c r="AL439" t="n">
        <v>803</v>
      </c>
      <c r="AM439" t="n">
        <v>1231</v>
      </c>
      <c r="AN439" t="n">
        <v>612</v>
      </c>
      <c r="AO439" t="n">
        <v>308</v>
      </c>
      <c r="AP439" t="n">
        <v>0</v>
      </c>
      <c r="AQ439" t="n">
        <v>0</v>
      </c>
      <c r="AR439" t="n">
        <v>0</v>
      </c>
      <c r="AS439" t="n">
        <v>0</v>
      </c>
      <c r="AT439" t="n">
        <v>21308</v>
      </c>
      <c r="AU439" t="n">
        <v>21308</v>
      </c>
      <c r="AV439" t="n">
        <v>0</v>
      </c>
      <c r="AW439" t="n">
        <v>42616</v>
      </c>
      <c r="AX439" t="n">
        <v>10123</v>
      </c>
      <c r="AY439" t="n">
        <v>0</v>
      </c>
      <c r="AZ439" t="n">
        <v>0</v>
      </c>
      <c r="BA439" t="n">
        <v>10123</v>
      </c>
      <c r="BB439" t="n">
        <v>0</v>
      </c>
      <c r="BC439" t="n">
        <v>0</v>
      </c>
      <c r="BD439" t="n">
        <v>0</v>
      </c>
      <c r="BE439" t="n">
        <v>531</v>
      </c>
      <c r="BF439" t="n">
        <v>531</v>
      </c>
      <c r="BG439">
        <f>IF($F439=0,"0",MIN(
BH439/(30*$F439),
BI439/(61*$F439),
BJ439/(48*$F439),
(BK439+BL439)/(23*$F439),
(BM439+BN439)/(41*$F439),
BO439/(25*$F439),
BP439/(6.6*$F439),
BQ439/(40*$F439),
BS439/(16*$F439)
)*100)</f>
        <v/>
      </c>
      <c r="BH439" t="n">
        <v>408</v>
      </c>
      <c r="BI439" t="n">
        <v>680</v>
      </c>
      <c r="BJ439" t="n">
        <v>320</v>
      </c>
      <c r="BK439" t="n">
        <v>197</v>
      </c>
      <c r="BL439" t="n">
        <v>184</v>
      </c>
      <c r="BM439" t="n">
        <v>503</v>
      </c>
      <c r="BN439" t="n">
        <v>408</v>
      </c>
      <c r="BO439" t="n">
        <v>320</v>
      </c>
      <c r="BP439" t="n">
        <v>197</v>
      </c>
      <c r="BQ439" t="n">
        <v>898</v>
      </c>
      <c r="BR439" t="n">
        <v>408</v>
      </c>
      <c r="BS439" t="n">
        <v>82</v>
      </c>
      <c r="BT439" t="n">
        <v>4605</v>
      </c>
      <c r="BU439" t="n">
        <v>782</v>
      </c>
      <c r="BV439" t="n">
        <v>1381</v>
      </c>
      <c r="BW439" t="n">
        <v>2791</v>
      </c>
      <c r="BX439" t="n">
        <v>456</v>
      </c>
      <c r="BY439" t="n">
        <v>592</v>
      </c>
      <c r="BZ439" t="n">
        <v>367</v>
      </c>
      <c r="CA439" t="n">
        <v>6369</v>
      </c>
      <c r="CB439" t="n">
        <v>102</v>
      </c>
      <c r="CC439" t="n">
        <v>43</v>
      </c>
      <c r="CD439" t="n">
        <v>102</v>
      </c>
      <c r="CE439" t="n">
        <v>218</v>
      </c>
      <c r="CF439" t="n">
        <v>2.14</v>
      </c>
      <c r="CG439" t="n">
        <v>0</v>
      </c>
      <c r="CH439" t="n">
        <v>0</v>
      </c>
      <c r="CI439" t="n">
        <v>0</v>
      </c>
      <c r="CJ439" t="n">
        <v>0</v>
      </c>
      <c r="CK439" t="n">
        <v>0</v>
      </c>
      <c r="CL439" t="n">
        <v>211</v>
      </c>
      <c r="CM439" t="n">
        <v>0</v>
      </c>
      <c r="CN439" t="n">
        <v>897</v>
      </c>
      <c r="CO439" t="n">
        <v>0</v>
      </c>
      <c r="CP439" t="n">
        <v>585</v>
      </c>
      <c r="CQ439" t="n">
        <v>0</v>
      </c>
      <c r="CR439" t="n">
        <v>0</v>
      </c>
      <c r="CS439" t="n">
        <v>0</v>
      </c>
      <c r="CT439" t="n">
        <v>1693</v>
      </c>
      <c r="CU439" t="n">
        <v>0</v>
      </c>
      <c r="CV439" t="n">
        <v>0</v>
      </c>
      <c r="CW439" t="n">
        <v>82</v>
      </c>
      <c r="CX439" t="n">
        <v>0</v>
      </c>
      <c r="CY439" t="n">
        <v>585</v>
      </c>
      <c r="CZ439" t="n">
        <v>0</v>
      </c>
      <c r="DA439" t="n">
        <v>0</v>
      </c>
      <c r="DB439" t="n">
        <v>0</v>
      </c>
      <c r="DC439" t="n">
        <v>667</v>
      </c>
      <c r="DD439" t="n">
        <v>0</v>
      </c>
      <c r="DE439" t="n">
        <v>0</v>
      </c>
      <c r="DF439" t="n">
        <v>136</v>
      </c>
      <c r="DG439" t="n">
        <v>27</v>
      </c>
      <c r="DH439" t="n">
        <v>27</v>
      </c>
      <c r="DI439" t="n">
        <v>0</v>
      </c>
      <c r="DJ439" t="n">
        <v>0</v>
      </c>
      <c r="DK439" t="n">
        <v>0</v>
      </c>
      <c r="DL439" t="n">
        <v>82</v>
      </c>
      <c r="DM439" t="n">
        <v>48</v>
      </c>
      <c r="DN439" t="n">
        <v>0</v>
      </c>
      <c r="DO439" t="n">
        <v>0</v>
      </c>
      <c r="DP439" t="n">
        <v>0</v>
      </c>
      <c r="DQ439" t="n">
        <v>0</v>
      </c>
      <c r="DR439" t="n">
        <v>0</v>
      </c>
      <c r="DS439" t="n">
        <v>320</v>
      </c>
      <c r="DT439" t="n">
        <v>2680</v>
      </c>
      <c r="DU439" t="n">
        <v>1150</v>
      </c>
      <c r="DV439" t="n">
        <v>0</v>
      </c>
      <c r="DW439" t="n">
        <v>0</v>
      </c>
      <c r="DX439" t="n">
        <v>0</v>
      </c>
      <c r="DY439" t="n">
        <v>1333</v>
      </c>
      <c r="DZ439" t="n">
        <v>1776</v>
      </c>
      <c r="EA439" t="n">
        <v>2402</v>
      </c>
      <c r="EB439" t="n">
        <v>3116</v>
      </c>
      <c r="EC439" t="n">
        <v>265</v>
      </c>
      <c r="ED439" t="n">
        <v>2667</v>
      </c>
      <c r="EE439" t="n">
        <v>6225</v>
      </c>
      <c r="EF439" t="n">
        <v>0</v>
      </c>
      <c r="EG439" t="n">
        <v>1</v>
      </c>
      <c r="EH439" t="n">
        <v>6.2</v>
      </c>
      <c r="EI439" t="n">
        <v>6.2</v>
      </c>
      <c r="EJ439" t="n">
        <v>3.8</v>
      </c>
      <c r="EK439" t="n">
        <v>11.3</v>
      </c>
    </row>
    <row r="440">
      <c r="A440">
        <f>[1]ingredient!B441</f>
        <v/>
      </c>
      <c r="B440" t="inlineStr">
        <is>
          <t>https://www.naehrwertrechner.de/naehrwerte/H120000/Waln%C3%BCsse/?menge=100</t>
        </is>
      </c>
      <c r="C440" s="7">
        <f>_xlfn.XLOOKUP(A440,[1]ingredient!$B$2:$B$521,[1]ingredient!$A$2:$A$521)</f>
        <v/>
      </c>
      <c r="D440" t="n">
        <v>714</v>
      </c>
      <c r="E440" t="n">
        <v>71</v>
      </c>
      <c r="F440" t="n">
        <v>16</v>
      </c>
      <c r="G440" t="n">
        <v>6</v>
      </c>
      <c r="H440" t="n">
        <v>5</v>
      </c>
      <c r="I440" t="n">
        <v>6</v>
      </c>
      <c r="J440" t="n">
        <v>0.02</v>
      </c>
      <c r="K440" t="n">
        <v>1</v>
      </c>
      <c r="L440" t="n">
        <v>4</v>
      </c>
      <c r="M440" t="n">
        <v>2</v>
      </c>
      <c r="N440" t="n">
        <v>0</v>
      </c>
      <c r="O440" t="n">
        <v>23</v>
      </c>
      <c r="P440" t="n">
        <v>340</v>
      </c>
      <c r="Q440" t="n">
        <v>130</v>
      </c>
      <c r="R440" t="n">
        <v>1210</v>
      </c>
      <c r="S440" t="n">
        <v>4627</v>
      </c>
      <c r="T440" t="n">
        <v>0</v>
      </c>
      <c r="U440" t="n">
        <v>600</v>
      </c>
      <c r="V440" t="n">
        <v>36</v>
      </c>
      <c r="W440" t="n">
        <v>73</v>
      </c>
      <c r="X440" t="n">
        <v>0</v>
      </c>
      <c r="Y440" t="n">
        <v>0</v>
      </c>
      <c r="Z440" t="n">
        <v>0</v>
      </c>
      <c r="AA440" t="n">
        <v>25450</v>
      </c>
      <c r="AB440" t="n">
        <v>3</v>
      </c>
      <c r="AC440" t="n">
        <v>0</v>
      </c>
      <c r="AD440" t="n">
        <v>444</v>
      </c>
      <c r="AE440" t="n">
        <v>87</v>
      </c>
      <c r="AF440" t="n">
        <v>140</v>
      </c>
      <c r="AG440" t="n">
        <v>320</v>
      </c>
      <c r="AH440" t="n">
        <v>130</v>
      </c>
      <c r="AI440" t="n">
        <v>18</v>
      </c>
      <c r="AJ440" t="n">
        <v>2780</v>
      </c>
      <c r="AK440" t="n">
        <v>2640</v>
      </c>
      <c r="AL440" t="n">
        <v>1340</v>
      </c>
      <c r="AM440" t="n">
        <v>2740</v>
      </c>
      <c r="AN440" t="n">
        <v>0</v>
      </c>
      <c r="AO440" t="n">
        <v>3</v>
      </c>
      <c r="AP440" t="n">
        <v>0</v>
      </c>
      <c r="AQ440" t="n">
        <v>0</v>
      </c>
      <c r="AR440" t="n">
        <v>0</v>
      </c>
      <c r="AS440" t="n">
        <v>0</v>
      </c>
      <c r="AT440" t="n">
        <v>0</v>
      </c>
      <c r="AU440" t="n">
        <v>0</v>
      </c>
      <c r="AV440" t="n">
        <v>0</v>
      </c>
      <c r="AW440" t="n">
        <v>0</v>
      </c>
      <c r="AX440" t="n">
        <v>6091</v>
      </c>
      <c r="AY440" t="n">
        <v>0</v>
      </c>
      <c r="AZ440" t="n">
        <v>0</v>
      </c>
      <c r="BA440" t="n">
        <v>6091</v>
      </c>
      <c r="BB440" t="n">
        <v>0</v>
      </c>
      <c r="BC440" t="n">
        <v>0</v>
      </c>
      <c r="BD440" t="n">
        <v>0</v>
      </c>
      <c r="BE440" t="n">
        <v>0</v>
      </c>
      <c r="BF440" t="n">
        <v>0</v>
      </c>
      <c r="BG440">
        <f>IF($F440=0,"0",MIN(
BH440/(30*$F440),
BI440/(61*$F440),
BJ440/(48*$F440),
(BK440+BL440)/(23*$F440),
(BM440+BN440)/(41*$F440),
BO440/(25*$F440),
BP440/(6.6*$F440),
BQ440/(40*$F440),
BS440/(16*$F440)
)*100)</f>
        <v/>
      </c>
      <c r="BH440" t="n">
        <v>614</v>
      </c>
      <c r="BI440" t="n">
        <v>1142</v>
      </c>
      <c r="BJ440" t="n">
        <v>442</v>
      </c>
      <c r="BK440" t="n">
        <v>280</v>
      </c>
      <c r="BL440" t="n">
        <v>237</v>
      </c>
      <c r="BM440" t="n">
        <v>700</v>
      </c>
      <c r="BN440" t="n">
        <v>506</v>
      </c>
      <c r="BO440" t="n">
        <v>528</v>
      </c>
      <c r="BP440" t="n">
        <v>205</v>
      </c>
      <c r="BQ440" t="n">
        <v>754</v>
      </c>
      <c r="BR440" t="n">
        <v>2370</v>
      </c>
      <c r="BS440" t="n">
        <v>399</v>
      </c>
      <c r="BT440" t="n">
        <v>8177</v>
      </c>
      <c r="BU440" t="n">
        <v>700</v>
      </c>
      <c r="BV440" t="n">
        <v>1605</v>
      </c>
      <c r="BW440" t="n">
        <v>3371</v>
      </c>
      <c r="BX440" t="n">
        <v>797</v>
      </c>
      <c r="BY440" t="n">
        <v>592</v>
      </c>
      <c r="BZ440" t="n">
        <v>829</v>
      </c>
      <c r="CA440" t="n">
        <v>7894</v>
      </c>
      <c r="CB440" t="n">
        <v>0</v>
      </c>
      <c r="CC440" t="n">
        <v>0</v>
      </c>
      <c r="CD440" t="n">
        <v>10172</v>
      </c>
      <c r="CE440" t="n">
        <v>42043</v>
      </c>
      <c r="CF440" t="n">
        <v>4.13</v>
      </c>
      <c r="CG440" t="n">
        <v>0</v>
      </c>
      <c r="CH440" t="n">
        <v>0</v>
      </c>
      <c r="CI440" t="n">
        <v>0</v>
      </c>
      <c r="CJ440" t="n">
        <v>0</v>
      </c>
      <c r="CK440" t="n">
        <v>0</v>
      </c>
      <c r="CL440" t="n">
        <v>14</v>
      </c>
      <c r="CM440" t="n">
        <v>7</v>
      </c>
      <c r="CN440" t="n">
        <v>4647</v>
      </c>
      <c r="CO440" t="n">
        <v>28</v>
      </c>
      <c r="CP440" t="n">
        <v>1799</v>
      </c>
      <c r="CQ440" t="n">
        <v>65</v>
      </c>
      <c r="CR440" t="n">
        <v>21</v>
      </c>
      <c r="CS440" t="n">
        <v>7</v>
      </c>
      <c r="CT440" t="n">
        <v>6588</v>
      </c>
      <c r="CU440" t="n">
        <v>0</v>
      </c>
      <c r="CV440" t="n">
        <v>0</v>
      </c>
      <c r="CW440" t="n">
        <v>57</v>
      </c>
      <c r="CX440" t="n">
        <v>14</v>
      </c>
      <c r="CY440" t="n">
        <v>11597</v>
      </c>
      <c r="CZ440" t="n">
        <v>128</v>
      </c>
      <c r="DA440" t="n">
        <v>0</v>
      </c>
      <c r="DB440" t="n">
        <v>0</v>
      </c>
      <c r="DC440" t="n">
        <v>11796</v>
      </c>
      <c r="DD440" t="n">
        <v>0</v>
      </c>
      <c r="DE440" t="n">
        <v>0</v>
      </c>
      <c r="DF440" t="n">
        <v>42022</v>
      </c>
      <c r="DG440" t="n">
        <v>10172</v>
      </c>
      <c r="DH440" t="n">
        <v>0</v>
      </c>
      <c r="DI440" t="n">
        <v>0</v>
      </c>
      <c r="DJ440" t="n">
        <v>21</v>
      </c>
      <c r="DK440" t="n">
        <v>0</v>
      </c>
      <c r="DL440" t="n">
        <v>0</v>
      </c>
      <c r="DM440" t="n">
        <v>0</v>
      </c>
      <c r="DN440" t="n">
        <v>0</v>
      </c>
      <c r="DO440" t="n">
        <v>0</v>
      </c>
      <c r="DP440" t="n">
        <v>0</v>
      </c>
      <c r="DQ440" t="n">
        <v>0</v>
      </c>
      <c r="DR440" t="n">
        <v>0</v>
      </c>
      <c r="DS440" t="n">
        <v>52215</v>
      </c>
      <c r="DT440" t="n">
        <v>70599</v>
      </c>
      <c r="DU440" t="n">
        <v>1</v>
      </c>
      <c r="DV440" t="n">
        <v>0</v>
      </c>
      <c r="DW440" t="n">
        <v>0</v>
      </c>
      <c r="DX440" t="n">
        <v>0</v>
      </c>
      <c r="DY440" t="n">
        <v>0</v>
      </c>
      <c r="DZ440" t="n">
        <v>0</v>
      </c>
      <c r="EA440" t="n">
        <v>0</v>
      </c>
      <c r="EB440" t="n">
        <v>0</v>
      </c>
      <c r="EC440" t="n">
        <v>0</v>
      </c>
      <c r="ED440" t="n">
        <v>0</v>
      </c>
      <c r="EE440" t="n">
        <v>4600</v>
      </c>
      <c r="EF440" t="n">
        <v>0</v>
      </c>
      <c r="EG440" t="n">
        <v>0</v>
      </c>
      <c r="EH440" t="n">
        <v>1.6</v>
      </c>
      <c r="EI440" t="n">
        <v>4.6</v>
      </c>
      <c r="EJ440" t="n">
        <v>70.59999999999999</v>
      </c>
      <c r="EK440" t="n">
        <v>16.1</v>
      </c>
    </row>
    <row r="441">
      <c r="A441">
        <f>[1]ingredient!B442</f>
        <v/>
      </c>
      <c r="B441" t="inlineStr">
        <is>
          <t>https://www.naehrwertrechner.de/naehrwerte/G693100/Wasabi+roh/?menge=100</t>
        </is>
      </c>
      <c r="C441" s="7">
        <f>_xlfn.XLOOKUP(A441,[1]ingredient!$B$2:$B$521,[1]ingredient!$A$2:$A$521)</f>
        <v/>
      </c>
      <c r="D441" t="n">
        <v>123</v>
      </c>
      <c r="E441" t="n">
        <v>1</v>
      </c>
      <c r="F441" t="n">
        <v>5</v>
      </c>
      <c r="G441" t="n">
        <v>24</v>
      </c>
      <c r="H441" t="n">
        <v>8</v>
      </c>
      <c r="I441" t="n">
        <v>24</v>
      </c>
      <c r="J441" t="n">
        <v>0.04</v>
      </c>
      <c r="K441" t="n">
        <v>61</v>
      </c>
      <c r="L441" t="n">
        <v>3</v>
      </c>
      <c r="M441" t="n">
        <v>2</v>
      </c>
      <c r="N441" t="n">
        <v>0</v>
      </c>
      <c r="O441" t="n">
        <v>20</v>
      </c>
      <c r="P441" t="n">
        <v>131</v>
      </c>
      <c r="Q441" t="n">
        <v>114</v>
      </c>
      <c r="R441" t="n">
        <v>743</v>
      </c>
      <c r="S441" t="n">
        <v>1243</v>
      </c>
      <c r="T441" t="n">
        <v>203</v>
      </c>
      <c r="U441" t="n">
        <v>274</v>
      </c>
      <c r="V441" t="n">
        <v>2</v>
      </c>
      <c r="W441" t="n">
        <v>18</v>
      </c>
      <c r="X441" t="n">
        <v>0</v>
      </c>
      <c r="Y441" t="n">
        <v>41900</v>
      </c>
      <c r="Z441" t="n">
        <v>0</v>
      </c>
      <c r="AA441" t="n">
        <v>100</v>
      </c>
      <c r="AB441" t="n">
        <v>0</v>
      </c>
      <c r="AC441" t="n">
        <v>17</v>
      </c>
      <c r="AD441" t="n">
        <v>568</v>
      </c>
      <c r="AE441" t="n">
        <v>128</v>
      </c>
      <c r="AF441" t="n">
        <v>69</v>
      </c>
      <c r="AG441" t="n">
        <v>80</v>
      </c>
      <c r="AH441" t="n">
        <v>210</v>
      </c>
      <c r="AI441" t="n">
        <v>18</v>
      </c>
      <c r="AJ441" t="n">
        <v>1030</v>
      </c>
      <c r="AK441" t="n">
        <v>1620</v>
      </c>
      <c r="AL441" t="n">
        <v>155</v>
      </c>
      <c r="AM441" t="n">
        <v>391</v>
      </c>
      <c r="AN441" t="n">
        <v>35</v>
      </c>
      <c r="AO441" t="n">
        <v>1</v>
      </c>
      <c r="AP441" t="n">
        <v>0</v>
      </c>
      <c r="AQ441" t="n">
        <v>0</v>
      </c>
      <c r="AR441" t="n">
        <v>0</v>
      </c>
      <c r="AS441" t="n">
        <v>0</v>
      </c>
      <c r="AT441" t="n">
        <v>15301</v>
      </c>
      <c r="AU441" t="n">
        <v>7062</v>
      </c>
      <c r="AV441" t="n">
        <v>0</v>
      </c>
      <c r="AW441" t="n">
        <v>22363</v>
      </c>
      <c r="AX441" t="n">
        <v>1177</v>
      </c>
      <c r="AY441" t="n">
        <v>0</v>
      </c>
      <c r="AZ441" t="n">
        <v>0</v>
      </c>
      <c r="BA441" t="n">
        <v>1177</v>
      </c>
      <c r="BB441" t="n">
        <v>0</v>
      </c>
      <c r="BC441" t="n">
        <v>0</v>
      </c>
      <c r="BD441" t="n">
        <v>0</v>
      </c>
      <c r="BE441" t="n">
        <v>0</v>
      </c>
      <c r="BF441" t="n">
        <v>0</v>
      </c>
      <c r="BG441">
        <f>IF($F441=0,"0",MIN(
BH441/(30*$F441),
BI441/(61*$F441),
BJ441/(48*$F441),
(BK441+BL441)/(23*$F441),
(BM441+BN441)/(41*$F441),
BO441/(25*$F441),
BP441/(6.6*$F441),
BQ441/(40*$F441),
BS441/(16*$F441)
)*100)</f>
        <v/>
      </c>
      <c r="BH441" t="n">
        <v>267</v>
      </c>
      <c r="BI441" t="n">
        <v>332</v>
      </c>
      <c r="BJ441" t="n">
        <v>326</v>
      </c>
      <c r="BK441" t="n">
        <v>59</v>
      </c>
      <c r="BL441" t="n">
        <v>59</v>
      </c>
      <c r="BM441" t="n">
        <v>207</v>
      </c>
      <c r="BN441" t="n">
        <v>119</v>
      </c>
      <c r="BO441" t="n">
        <v>267</v>
      </c>
      <c r="BP441" t="n">
        <v>30</v>
      </c>
      <c r="BQ441" t="n">
        <v>296</v>
      </c>
      <c r="BR441" t="n">
        <v>356</v>
      </c>
      <c r="BS441" t="n">
        <v>119</v>
      </c>
      <c r="BT441" t="n">
        <v>2437</v>
      </c>
      <c r="BU441" t="n">
        <v>207</v>
      </c>
      <c r="BV441" t="n">
        <v>444</v>
      </c>
      <c r="BW441" t="n">
        <v>1185</v>
      </c>
      <c r="BX441" t="n">
        <v>195</v>
      </c>
      <c r="BY441" t="n">
        <v>154</v>
      </c>
      <c r="BZ441" t="n">
        <v>178</v>
      </c>
      <c r="CA441" t="n">
        <v>2363</v>
      </c>
      <c r="CB441" t="n">
        <v>30</v>
      </c>
      <c r="CC441" t="n">
        <v>10</v>
      </c>
      <c r="CD441" t="n">
        <v>191</v>
      </c>
      <c r="CE441" t="n">
        <v>60</v>
      </c>
      <c r="CF441" t="n">
        <v>0.31</v>
      </c>
      <c r="CG441" t="n">
        <v>0</v>
      </c>
      <c r="CH441" t="n">
        <v>0</v>
      </c>
      <c r="CI441" t="n">
        <v>0</v>
      </c>
      <c r="CJ441" t="n">
        <v>0</v>
      </c>
      <c r="CK441" t="n">
        <v>0</v>
      </c>
      <c r="CL441" t="n">
        <v>0</v>
      </c>
      <c r="CM441" t="n">
        <v>0</v>
      </c>
      <c r="CN441" t="n">
        <v>144</v>
      </c>
      <c r="CO441" t="n">
        <v>0</v>
      </c>
      <c r="CP441" t="n">
        <v>21</v>
      </c>
      <c r="CQ441" t="n">
        <v>0</v>
      </c>
      <c r="CR441" t="n">
        <v>0</v>
      </c>
      <c r="CS441" t="n">
        <v>0</v>
      </c>
      <c r="CT441" t="n">
        <v>165</v>
      </c>
      <c r="CU441" t="n">
        <v>0</v>
      </c>
      <c r="CV441" t="n">
        <v>0</v>
      </c>
      <c r="CW441" t="n">
        <v>5</v>
      </c>
      <c r="CX441" t="n">
        <v>0</v>
      </c>
      <c r="CY441" t="n">
        <v>83</v>
      </c>
      <c r="CZ441" t="n">
        <v>0</v>
      </c>
      <c r="DA441" t="n">
        <v>0</v>
      </c>
      <c r="DB441" t="n">
        <v>0</v>
      </c>
      <c r="DC441" t="n">
        <v>88</v>
      </c>
      <c r="DD441" t="n">
        <v>0</v>
      </c>
      <c r="DE441" t="n">
        <v>0</v>
      </c>
      <c r="DF441" t="n">
        <v>60</v>
      </c>
      <c r="DG441" t="n">
        <v>191</v>
      </c>
      <c r="DH441" t="n">
        <v>0</v>
      </c>
      <c r="DI441" t="n">
        <v>0</v>
      </c>
      <c r="DJ441" t="n">
        <v>0</v>
      </c>
      <c r="DK441" t="n">
        <v>0</v>
      </c>
      <c r="DL441" t="n">
        <v>0</v>
      </c>
      <c r="DM441" t="n">
        <v>0</v>
      </c>
      <c r="DN441" t="n">
        <v>0</v>
      </c>
      <c r="DO441" t="n">
        <v>0</v>
      </c>
      <c r="DP441" t="n">
        <v>0</v>
      </c>
      <c r="DQ441" t="n">
        <v>0</v>
      </c>
      <c r="DR441" t="n">
        <v>0</v>
      </c>
      <c r="DS441" t="n">
        <v>251</v>
      </c>
      <c r="DT441" t="n">
        <v>504</v>
      </c>
      <c r="DU441" t="n">
        <v>126</v>
      </c>
      <c r="DV441" t="n">
        <v>0</v>
      </c>
      <c r="DW441" t="n">
        <v>0</v>
      </c>
      <c r="DX441" t="n">
        <v>0</v>
      </c>
      <c r="DY441" t="n">
        <v>780</v>
      </c>
      <c r="DZ441" t="n">
        <v>1170</v>
      </c>
      <c r="EA441" t="n">
        <v>2106</v>
      </c>
      <c r="EB441" t="n">
        <v>3510</v>
      </c>
      <c r="EC441" t="n">
        <v>234</v>
      </c>
      <c r="ED441" t="n">
        <v>2340</v>
      </c>
      <c r="EE441" t="n">
        <v>5460</v>
      </c>
      <c r="EF441" t="n">
        <v>0</v>
      </c>
      <c r="EG441" t="n">
        <v>1</v>
      </c>
      <c r="EH441" t="n">
        <v>1.9</v>
      </c>
      <c r="EI441" t="n">
        <v>5.5</v>
      </c>
      <c r="EJ441" t="n">
        <v>0.6</v>
      </c>
      <c r="EK441" t="n">
        <v>4.9</v>
      </c>
    </row>
    <row r="442">
      <c r="A442">
        <f>[1]ingredient!B443</f>
        <v/>
      </c>
      <c r="C442" s="7" t="n"/>
      <c r="D442" t="n">
        <v>0</v>
      </c>
      <c r="E442" t="n">
        <v>0</v>
      </c>
      <c r="F442" t="n">
        <v>0</v>
      </c>
      <c r="G442" t="n">
        <v>0</v>
      </c>
      <c r="H442" t="n">
        <v>0</v>
      </c>
      <c r="I442" t="n">
        <v>0</v>
      </c>
      <c r="J442" t="n">
        <v>0</v>
      </c>
      <c r="K442" t="n">
        <v>100</v>
      </c>
    </row>
    <row r="443">
      <c r="A443">
        <f>[1]ingredient!B444</f>
        <v/>
      </c>
      <c r="B443" t="inlineStr">
        <is>
          <t>https://www.naehrwertrechner.de/naehrwerte/F535100/Wassermelone+roh/?menge=100</t>
        </is>
      </c>
      <c r="C443" s="7">
        <f>_xlfn.XLOOKUP(A443,[1]ingredient!$B$2:$B$521,[1]ingredient!$A$2:$A$521)</f>
        <v/>
      </c>
      <c r="D443" t="n">
        <v>38</v>
      </c>
      <c r="E443" t="n">
        <v>0.2</v>
      </c>
      <c r="F443" t="n">
        <v>1</v>
      </c>
      <c r="G443" t="n">
        <v>8</v>
      </c>
      <c r="H443" t="n">
        <v>0.22</v>
      </c>
      <c r="I443" t="n">
        <v>8</v>
      </c>
      <c r="J443" t="n">
        <v>0.01</v>
      </c>
      <c r="K443" t="n">
        <v>90</v>
      </c>
      <c r="L443" t="n">
        <v>41</v>
      </c>
      <c r="M443" t="n">
        <v>20</v>
      </c>
      <c r="N443" t="n">
        <v>0</v>
      </c>
      <c r="O443" t="n">
        <v>245</v>
      </c>
      <c r="P443" t="n">
        <v>45</v>
      </c>
      <c r="Q443" t="n">
        <v>50</v>
      </c>
      <c r="R443" t="n">
        <v>150</v>
      </c>
      <c r="S443" t="n">
        <v>317</v>
      </c>
      <c r="T443" t="n">
        <v>1600</v>
      </c>
      <c r="U443" t="n">
        <v>70</v>
      </c>
      <c r="V443" t="n">
        <v>4</v>
      </c>
      <c r="W443" t="n">
        <v>5</v>
      </c>
      <c r="X443" t="n">
        <v>0</v>
      </c>
      <c r="Y443" t="n">
        <v>6000</v>
      </c>
      <c r="Z443" t="n">
        <v>0</v>
      </c>
      <c r="AA443" t="n">
        <v>70</v>
      </c>
      <c r="AB443" t="n">
        <v>0</v>
      </c>
      <c r="AC443" t="n">
        <v>1</v>
      </c>
      <c r="AD443" t="n">
        <v>109</v>
      </c>
      <c r="AE443" t="n">
        <v>7</v>
      </c>
      <c r="AF443" t="n">
        <v>9</v>
      </c>
      <c r="AG443" t="n">
        <v>9</v>
      </c>
      <c r="AH443" t="n">
        <v>12</v>
      </c>
      <c r="AI443" t="n">
        <v>8</v>
      </c>
      <c r="AJ443" t="n">
        <v>225</v>
      </c>
      <c r="AK443" t="n">
        <v>83</v>
      </c>
      <c r="AL443" t="n">
        <v>28</v>
      </c>
      <c r="AM443" t="n">
        <v>32</v>
      </c>
      <c r="AN443" t="n">
        <v>11</v>
      </c>
      <c r="AO443" t="n">
        <v>1</v>
      </c>
      <c r="AP443" t="n">
        <v>0</v>
      </c>
      <c r="AQ443" t="n">
        <v>0</v>
      </c>
      <c r="AR443" t="n">
        <v>0</v>
      </c>
      <c r="AS443" t="n">
        <v>0</v>
      </c>
      <c r="AT443" t="n">
        <v>2024</v>
      </c>
      <c r="AU443" t="n">
        <v>3917</v>
      </c>
      <c r="AV443" t="n">
        <v>0</v>
      </c>
      <c r="AW443" t="n">
        <v>5941</v>
      </c>
      <c r="AX443" t="n">
        <v>2350</v>
      </c>
      <c r="AY443" t="n">
        <v>0</v>
      </c>
      <c r="AZ443" t="n">
        <v>0</v>
      </c>
      <c r="BA443" t="n">
        <v>2350</v>
      </c>
      <c r="BB443" t="n">
        <v>0</v>
      </c>
      <c r="BC443" t="n">
        <v>0</v>
      </c>
      <c r="BD443" t="n">
        <v>0</v>
      </c>
      <c r="BE443" t="n">
        <v>0</v>
      </c>
      <c r="BF443" t="n">
        <v>0</v>
      </c>
      <c r="BG443">
        <f>IF($F443=0,"0",MIN(
BH443/(30*$F443),
BI443/(61*$F443),
BJ443/(48*$F443),
(BK443+BL443)/(23*$F443),
(BM443+BN443)/(41*$F443),
BO443/(25*$F443),
BP443/(6.6*$F443),
BQ443/(40*$F443),
BS443/(16*$F443)
)*100)</f>
        <v/>
      </c>
      <c r="BH443" t="n">
        <v>28</v>
      </c>
      <c r="BI443" t="n">
        <v>25</v>
      </c>
      <c r="BJ443" t="n">
        <v>89</v>
      </c>
      <c r="BK443" t="n">
        <v>9</v>
      </c>
      <c r="BL443" t="n">
        <v>3</v>
      </c>
      <c r="BM443" t="n">
        <v>21</v>
      </c>
      <c r="BN443" t="n">
        <v>16</v>
      </c>
      <c r="BO443" t="n">
        <v>39</v>
      </c>
      <c r="BP443" t="n">
        <v>10</v>
      </c>
      <c r="BQ443" t="n">
        <v>24</v>
      </c>
      <c r="BR443" t="n">
        <v>84</v>
      </c>
      <c r="BS443" t="n">
        <v>9</v>
      </c>
      <c r="BT443" t="n">
        <v>357</v>
      </c>
      <c r="BU443" t="n">
        <v>24</v>
      </c>
      <c r="BV443" t="n">
        <v>56</v>
      </c>
      <c r="BW443" t="n">
        <v>90</v>
      </c>
      <c r="BX443" t="n">
        <v>15</v>
      </c>
      <c r="BY443" t="n">
        <v>34</v>
      </c>
      <c r="BZ443" t="n">
        <v>24</v>
      </c>
      <c r="CA443" t="n">
        <v>243</v>
      </c>
      <c r="CB443" t="n">
        <v>20</v>
      </c>
      <c r="CC443" t="n">
        <v>8</v>
      </c>
      <c r="CD443" t="n">
        <v>40</v>
      </c>
      <c r="CE443" t="n">
        <v>27</v>
      </c>
      <c r="CF443" t="n">
        <v>0.68</v>
      </c>
      <c r="CG443" t="n">
        <v>0</v>
      </c>
      <c r="CH443" t="n">
        <v>0</v>
      </c>
      <c r="CI443" t="n">
        <v>0</v>
      </c>
      <c r="CJ443" t="n">
        <v>0</v>
      </c>
      <c r="CK443" t="n">
        <v>0</v>
      </c>
      <c r="CL443" t="n">
        <v>2</v>
      </c>
      <c r="CM443" t="n">
        <v>0</v>
      </c>
      <c r="CN443" t="n">
        <v>45</v>
      </c>
      <c r="CO443" t="n">
        <v>0</v>
      </c>
      <c r="CP443" t="n">
        <v>9</v>
      </c>
      <c r="CQ443" t="n">
        <v>0</v>
      </c>
      <c r="CR443" t="n">
        <v>0</v>
      </c>
      <c r="CS443" t="n">
        <v>0</v>
      </c>
      <c r="CT443" t="n">
        <v>56</v>
      </c>
      <c r="CU443" t="n">
        <v>0</v>
      </c>
      <c r="CV443" t="n">
        <v>0</v>
      </c>
      <c r="CW443" t="n">
        <v>4</v>
      </c>
      <c r="CX443" t="n">
        <v>0</v>
      </c>
      <c r="CY443" t="n">
        <v>22</v>
      </c>
      <c r="CZ443" t="n">
        <v>0</v>
      </c>
      <c r="DA443" t="n">
        <v>0</v>
      </c>
      <c r="DB443" t="n">
        <v>0</v>
      </c>
      <c r="DC443" t="n">
        <v>26</v>
      </c>
      <c r="DD443" t="n">
        <v>0</v>
      </c>
      <c r="DE443" t="n">
        <v>0</v>
      </c>
      <c r="DF443" t="n">
        <v>27</v>
      </c>
      <c r="DG443" t="n">
        <v>40</v>
      </c>
      <c r="DH443" t="n">
        <v>0</v>
      </c>
      <c r="DI443" t="n">
        <v>0</v>
      </c>
      <c r="DJ443" t="n">
        <v>0</v>
      </c>
      <c r="DK443" t="n">
        <v>0</v>
      </c>
      <c r="DL443" t="n">
        <v>0</v>
      </c>
      <c r="DM443" t="n">
        <v>0</v>
      </c>
      <c r="DN443" t="n">
        <v>0</v>
      </c>
      <c r="DO443" t="n">
        <v>0</v>
      </c>
      <c r="DP443" t="n">
        <v>0</v>
      </c>
      <c r="DQ443" t="n">
        <v>0</v>
      </c>
      <c r="DR443" t="n">
        <v>0</v>
      </c>
      <c r="DS443" t="n">
        <v>67</v>
      </c>
      <c r="DT443" t="n">
        <v>149</v>
      </c>
      <c r="DU443" t="n">
        <v>40</v>
      </c>
      <c r="DV443" t="n">
        <v>0</v>
      </c>
      <c r="DW443" t="n">
        <v>0</v>
      </c>
      <c r="DX443" t="n">
        <v>0</v>
      </c>
      <c r="DY443" t="n">
        <v>48</v>
      </c>
      <c r="DZ443" t="n">
        <v>26</v>
      </c>
      <c r="EA443" t="n">
        <v>48</v>
      </c>
      <c r="EB443" t="n">
        <v>48</v>
      </c>
      <c r="EC443" t="n">
        <v>48</v>
      </c>
      <c r="ED443" t="n">
        <v>20</v>
      </c>
      <c r="EE443" t="n">
        <v>200</v>
      </c>
      <c r="EF443" t="n">
        <v>0</v>
      </c>
      <c r="EG443" t="n">
        <v>0.1</v>
      </c>
      <c r="EH443" t="n">
        <v>0.4</v>
      </c>
      <c r="EI443" t="n">
        <v>0.2</v>
      </c>
      <c r="EJ443" t="n">
        <v>0.2</v>
      </c>
      <c r="EK443" t="n">
        <v>0.7</v>
      </c>
    </row>
    <row r="444">
      <c r="A444">
        <f>[1]ingredient!B445</f>
        <v/>
      </c>
      <c r="B444" t="inlineStr">
        <is>
          <t>https://www.naehrwertrechner.de/naehrwerte/G613021-3/Gelbe+Bete+frisch/?menge=100</t>
        </is>
      </c>
      <c r="C444" s="7">
        <f>_xlfn.XLOOKUP(A444,[1]ingredient!$B$2:$B$521,[1]ingredient!$A$2:$A$521)</f>
        <v/>
      </c>
      <c r="D444" t="n">
        <v>42</v>
      </c>
      <c r="E444" t="n">
        <v>0.1</v>
      </c>
      <c r="F444" t="n">
        <v>2</v>
      </c>
      <c r="G444" t="n">
        <v>8</v>
      </c>
      <c r="H444" t="n">
        <v>3</v>
      </c>
      <c r="I444" t="n">
        <v>8</v>
      </c>
      <c r="J444" t="n">
        <v>0.14</v>
      </c>
      <c r="K444" t="n">
        <v>86</v>
      </c>
      <c r="L444" t="n">
        <v>2</v>
      </c>
      <c r="M444" t="n">
        <v>1</v>
      </c>
      <c r="N444" t="n">
        <v>0</v>
      </c>
      <c r="O444" t="n">
        <v>11</v>
      </c>
      <c r="P444" t="n">
        <v>22</v>
      </c>
      <c r="Q444" t="n">
        <v>42</v>
      </c>
      <c r="R444" t="n">
        <v>230</v>
      </c>
      <c r="S444" t="n">
        <v>430</v>
      </c>
      <c r="T444" t="n">
        <v>130</v>
      </c>
      <c r="U444" t="n">
        <v>50</v>
      </c>
      <c r="V444" t="n">
        <v>0.1</v>
      </c>
      <c r="W444" t="n">
        <v>93</v>
      </c>
      <c r="X444" t="n">
        <v>0</v>
      </c>
      <c r="Y444" t="n">
        <v>10000</v>
      </c>
      <c r="Z444" t="n">
        <v>0</v>
      </c>
      <c r="AA444" t="n">
        <v>47</v>
      </c>
      <c r="AB444" t="n">
        <v>5</v>
      </c>
      <c r="AC444" t="n">
        <v>58</v>
      </c>
      <c r="AD444" t="n">
        <v>336</v>
      </c>
      <c r="AE444" t="n">
        <v>29</v>
      </c>
      <c r="AF444" t="n">
        <v>25</v>
      </c>
      <c r="AG444" t="n">
        <v>45</v>
      </c>
      <c r="AH444" t="n">
        <v>16</v>
      </c>
      <c r="AI444" t="n">
        <v>82</v>
      </c>
      <c r="AJ444" t="n">
        <v>930</v>
      </c>
      <c r="AK444" t="n">
        <v>344</v>
      </c>
      <c r="AL444" t="n">
        <v>80</v>
      </c>
      <c r="AM444" t="n">
        <v>155</v>
      </c>
      <c r="AN444" t="n">
        <v>20</v>
      </c>
      <c r="AO444" t="n">
        <v>0.4</v>
      </c>
      <c r="AP444" t="n">
        <v>0</v>
      </c>
      <c r="AQ444" t="n">
        <v>0</v>
      </c>
      <c r="AR444" t="n">
        <v>0</v>
      </c>
      <c r="AS444" t="n">
        <v>0</v>
      </c>
      <c r="AT444" t="n">
        <v>335</v>
      </c>
      <c r="AU444" t="n">
        <v>335</v>
      </c>
      <c r="AV444" t="n">
        <v>0</v>
      </c>
      <c r="AW444" t="n">
        <v>670</v>
      </c>
      <c r="AX444" t="n">
        <v>7710</v>
      </c>
      <c r="AY444" t="n">
        <v>0</v>
      </c>
      <c r="AZ444" t="n">
        <v>0</v>
      </c>
      <c r="BA444" t="n">
        <v>7710</v>
      </c>
      <c r="BB444" t="n">
        <v>0</v>
      </c>
      <c r="BC444" t="n">
        <v>0</v>
      </c>
      <c r="BD444" t="n">
        <v>0</v>
      </c>
      <c r="BE444" t="n">
        <v>0</v>
      </c>
      <c r="BF444" t="n">
        <v>0</v>
      </c>
      <c r="BG444">
        <f>IF($F444=0,"0",MIN(
BH444/(30*$F444),
BI444/(61*$F444),
BJ444/(48*$F444),
(BK444+BL444)/(23*$F444),
(BM444+BN444)/(41*$F444),
BO444/(25*$F444),
BP444/(6.6*$F444),
BQ444/(40*$F444),
BS444/(16*$F444)
)*100)</f>
        <v/>
      </c>
      <c r="BH444" t="n">
        <v>38</v>
      </c>
      <c r="BI444" t="n">
        <v>61</v>
      </c>
      <c r="BJ444" t="n">
        <v>80</v>
      </c>
      <c r="BK444" t="n">
        <v>28</v>
      </c>
      <c r="BL444" t="n">
        <v>17</v>
      </c>
      <c r="BM444" t="n">
        <v>46</v>
      </c>
      <c r="BN444" t="n">
        <v>54</v>
      </c>
      <c r="BO444" t="n">
        <v>44</v>
      </c>
      <c r="BP444" t="n">
        <v>12</v>
      </c>
      <c r="BQ444" t="n">
        <v>38</v>
      </c>
      <c r="BR444" t="n">
        <v>31</v>
      </c>
      <c r="BS444" t="n">
        <v>18</v>
      </c>
      <c r="BT444" t="n">
        <v>467</v>
      </c>
      <c r="BU444" t="n">
        <v>35</v>
      </c>
      <c r="BV444" t="n">
        <v>110</v>
      </c>
      <c r="BW444" t="n">
        <v>398</v>
      </c>
      <c r="BX444" t="n">
        <v>31</v>
      </c>
      <c r="BY444" t="n">
        <v>38</v>
      </c>
      <c r="BZ444" t="n">
        <v>38</v>
      </c>
      <c r="CA444" t="n">
        <v>650</v>
      </c>
      <c r="CB444" t="n">
        <v>20</v>
      </c>
      <c r="CC444" t="n">
        <v>8</v>
      </c>
      <c r="CD444" t="n">
        <v>8</v>
      </c>
      <c r="CE444" t="n">
        <v>42</v>
      </c>
      <c r="CF444" t="n">
        <v>5.25</v>
      </c>
      <c r="CG444" t="n">
        <v>0</v>
      </c>
      <c r="CH444" t="n">
        <v>0</v>
      </c>
      <c r="CI444" t="n">
        <v>0</v>
      </c>
      <c r="CJ444" t="n">
        <v>0</v>
      </c>
      <c r="CK444" t="n">
        <v>0</v>
      </c>
      <c r="CL444" t="n">
        <v>0</v>
      </c>
      <c r="CM444" t="n">
        <v>0</v>
      </c>
      <c r="CN444" t="n">
        <v>19</v>
      </c>
      <c r="CO444" t="n">
        <v>0</v>
      </c>
      <c r="CP444" t="n">
        <v>1</v>
      </c>
      <c r="CQ444" t="n">
        <v>0</v>
      </c>
      <c r="CR444" t="n">
        <v>0</v>
      </c>
      <c r="CS444" t="n">
        <v>0</v>
      </c>
      <c r="CT444" t="n">
        <v>20</v>
      </c>
      <c r="CU444" t="n">
        <v>0</v>
      </c>
      <c r="CV444" t="n">
        <v>0</v>
      </c>
      <c r="CW444" t="n">
        <v>0</v>
      </c>
      <c r="CX444" t="n">
        <v>0</v>
      </c>
      <c r="CY444" t="n">
        <v>10</v>
      </c>
      <c r="CZ444" t="n">
        <v>0</v>
      </c>
      <c r="DA444" t="n">
        <v>0</v>
      </c>
      <c r="DB444" t="n">
        <v>0</v>
      </c>
      <c r="DC444" t="n">
        <v>10</v>
      </c>
      <c r="DD444" t="n">
        <v>0</v>
      </c>
      <c r="DE444" t="n">
        <v>0</v>
      </c>
      <c r="DF444" t="n">
        <v>42</v>
      </c>
      <c r="DG444" t="n">
        <v>8</v>
      </c>
      <c r="DH444" t="n">
        <v>0</v>
      </c>
      <c r="DI444" t="n">
        <v>0</v>
      </c>
      <c r="DJ444" t="n">
        <v>0</v>
      </c>
      <c r="DK444" t="n">
        <v>0</v>
      </c>
      <c r="DL444" t="n">
        <v>0</v>
      </c>
      <c r="DM444" t="n">
        <v>0</v>
      </c>
      <c r="DN444" t="n">
        <v>0</v>
      </c>
      <c r="DO444" t="n">
        <v>0</v>
      </c>
      <c r="DP444" t="n">
        <v>0</v>
      </c>
      <c r="DQ444" t="n">
        <v>0</v>
      </c>
      <c r="DR444" t="n">
        <v>0</v>
      </c>
      <c r="DS444" t="n">
        <v>50</v>
      </c>
      <c r="DT444" t="n">
        <v>80</v>
      </c>
      <c r="DU444" t="n">
        <v>20</v>
      </c>
      <c r="DV444" t="n">
        <v>0</v>
      </c>
      <c r="DW444" t="n">
        <v>0</v>
      </c>
      <c r="DX444" t="n">
        <v>0</v>
      </c>
      <c r="DY444" t="n">
        <v>1000</v>
      </c>
      <c r="DZ444" t="n">
        <v>500</v>
      </c>
      <c r="EA444" t="n">
        <v>225</v>
      </c>
      <c r="EB444" t="n">
        <v>750</v>
      </c>
      <c r="EC444" t="n">
        <v>25</v>
      </c>
      <c r="ED444" t="n">
        <v>625</v>
      </c>
      <c r="EE444" t="n">
        <v>1875</v>
      </c>
      <c r="EF444" t="n">
        <v>0</v>
      </c>
      <c r="EG444" t="n">
        <v>0.23</v>
      </c>
      <c r="EH444" t="n">
        <v>1</v>
      </c>
      <c r="EI444" t="n">
        <v>1.9</v>
      </c>
      <c r="EJ444" t="n">
        <v>0.1</v>
      </c>
      <c r="EK444" t="n">
        <v>1.2</v>
      </c>
    </row>
    <row r="445">
      <c r="A445">
        <f>[1]ingredient!B446</f>
        <v/>
      </c>
      <c r="B445" t="inlineStr">
        <is>
          <t>https://www.naehrwertrechner.de/naehrwerte/H741111/Bohne+wei%C3%9F+reif+frisch/?menge=100</t>
        </is>
      </c>
      <c r="C445" s="7">
        <f>_xlfn.XLOOKUP(A445,[1]ingredient!$B$2:$B$521,[1]ingredient!$A$2:$A$521)</f>
        <v/>
      </c>
      <c r="D445" t="n">
        <v>263</v>
      </c>
      <c r="E445" t="n">
        <v>2</v>
      </c>
      <c r="F445" t="n">
        <v>21</v>
      </c>
      <c r="G445" t="n">
        <v>40</v>
      </c>
      <c r="H445" t="n">
        <v>17</v>
      </c>
      <c r="I445" t="n">
        <v>1</v>
      </c>
      <c r="J445" t="n">
        <v>0.05</v>
      </c>
      <c r="K445" t="n">
        <v>12</v>
      </c>
      <c r="L445" t="n">
        <v>67</v>
      </c>
      <c r="M445" t="n">
        <v>33</v>
      </c>
      <c r="N445" t="n">
        <v>0</v>
      </c>
      <c r="O445" t="n">
        <v>400</v>
      </c>
      <c r="P445" t="n">
        <v>503</v>
      </c>
      <c r="Q445" t="n">
        <v>177</v>
      </c>
      <c r="R445" t="n">
        <v>1970</v>
      </c>
      <c r="S445" t="n">
        <v>5170</v>
      </c>
      <c r="T445" t="n">
        <v>870</v>
      </c>
      <c r="U445" t="n">
        <v>410</v>
      </c>
      <c r="V445" t="n">
        <v>10</v>
      </c>
      <c r="W445" t="n">
        <v>245</v>
      </c>
      <c r="X445" t="n">
        <v>0</v>
      </c>
      <c r="Y445" t="n">
        <v>2500</v>
      </c>
      <c r="Z445" t="n">
        <v>0</v>
      </c>
      <c r="AA445" t="n">
        <v>210</v>
      </c>
      <c r="AB445" t="n">
        <v>190</v>
      </c>
      <c r="AC445" t="n">
        <v>4</v>
      </c>
      <c r="AD445" t="n">
        <v>1336</v>
      </c>
      <c r="AE445" t="n">
        <v>113</v>
      </c>
      <c r="AF445" t="n">
        <v>140</v>
      </c>
      <c r="AG445" t="n">
        <v>426</v>
      </c>
      <c r="AH445" t="n">
        <v>170</v>
      </c>
      <c r="AI445" t="n">
        <v>47</v>
      </c>
      <c r="AJ445" t="n">
        <v>6170</v>
      </c>
      <c r="AK445" t="n">
        <v>2635</v>
      </c>
      <c r="AL445" t="n">
        <v>635</v>
      </c>
      <c r="AM445" t="n">
        <v>1615</v>
      </c>
      <c r="AN445" t="n">
        <v>90</v>
      </c>
      <c r="AO445" t="n">
        <v>1</v>
      </c>
      <c r="AP445" t="n">
        <v>0</v>
      </c>
      <c r="AQ445" t="n">
        <v>0</v>
      </c>
      <c r="AR445" t="n">
        <v>0</v>
      </c>
      <c r="AS445" t="n">
        <v>0</v>
      </c>
      <c r="AT445" t="n">
        <v>0</v>
      </c>
      <c r="AU445" t="n">
        <v>0</v>
      </c>
      <c r="AV445" t="n">
        <v>0</v>
      </c>
      <c r="AW445" t="n">
        <v>0</v>
      </c>
      <c r="AX445" t="n">
        <v>1195</v>
      </c>
      <c r="AY445" t="n">
        <v>0</v>
      </c>
      <c r="AZ445" t="n">
        <v>0</v>
      </c>
      <c r="BA445" t="n">
        <v>1195</v>
      </c>
      <c r="BB445" t="n">
        <v>3186</v>
      </c>
      <c r="BC445" t="n">
        <v>4430</v>
      </c>
      <c r="BD445" t="n">
        <v>0</v>
      </c>
      <c r="BE445" t="n">
        <v>35439</v>
      </c>
      <c r="BF445" t="n">
        <v>35439</v>
      </c>
      <c r="BG445">
        <f>IF($F445=0,"0",MIN(
BH445/(30*$F445),
BI445/(61*$F445),
BJ445/(48*$F445),
(BK445+BL445)/(23*$F445),
(BM445+BN445)/(41*$F445),
BO445/(25*$F445),
BP445/(6.6*$F445),
BQ445/(40*$F445),
BS445/(16*$F445)
)*100)</f>
        <v/>
      </c>
      <c r="BH445" t="n">
        <v>1193</v>
      </c>
      <c r="BI445" t="n">
        <v>1809</v>
      </c>
      <c r="BJ445" t="n">
        <v>1576</v>
      </c>
      <c r="BK445" t="n">
        <v>213</v>
      </c>
      <c r="BL445" t="n">
        <v>192</v>
      </c>
      <c r="BM445" t="n">
        <v>1172</v>
      </c>
      <c r="BN445" t="n">
        <v>809</v>
      </c>
      <c r="BO445" t="n">
        <v>916</v>
      </c>
      <c r="BP445" t="n">
        <v>192</v>
      </c>
      <c r="BQ445" t="n">
        <v>1278</v>
      </c>
      <c r="BR445" t="n">
        <v>1278</v>
      </c>
      <c r="BS445" t="n">
        <v>596</v>
      </c>
      <c r="BT445" t="n">
        <v>11224</v>
      </c>
      <c r="BU445" t="n">
        <v>533</v>
      </c>
      <c r="BV445" t="n">
        <v>2024</v>
      </c>
      <c r="BW445" t="n">
        <v>3536</v>
      </c>
      <c r="BX445" t="n">
        <v>660</v>
      </c>
      <c r="BY445" t="n">
        <v>767</v>
      </c>
      <c r="BZ445" t="n">
        <v>1065</v>
      </c>
      <c r="CA445" t="n">
        <v>8585</v>
      </c>
      <c r="CB445" t="n">
        <v>180</v>
      </c>
      <c r="CC445" t="n">
        <v>75</v>
      </c>
      <c r="CD445" t="n">
        <v>594</v>
      </c>
      <c r="CE445" t="n">
        <v>335</v>
      </c>
      <c r="CF445" t="n">
        <v>0.5600000000000001</v>
      </c>
      <c r="CG445" t="n">
        <v>0</v>
      </c>
      <c r="CH445" t="n">
        <v>0</v>
      </c>
      <c r="CI445" t="n">
        <v>0</v>
      </c>
      <c r="CJ445" t="n">
        <v>0</v>
      </c>
      <c r="CK445" t="n">
        <v>0</v>
      </c>
      <c r="CL445" t="n">
        <v>0</v>
      </c>
      <c r="CM445" t="n">
        <v>0</v>
      </c>
      <c r="CN445" t="n">
        <v>172</v>
      </c>
      <c r="CO445" t="n">
        <v>0</v>
      </c>
      <c r="CP445" t="n">
        <v>21</v>
      </c>
      <c r="CQ445" t="n">
        <v>0</v>
      </c>
      <c r="CR445" t="n">
        <v>0</v>
      </c>
      <c r="CS445" t="n">
        <v>0</v>
      </c>
      <c r="CT445" t="n">
        <v>193</v>
      </c>
      <c r="CU445" t="n">
        <v>0</v>
      </c>
      <c r="CV445" t="n">
        <v>0</v>
      </c>
      <c r="CW445" t="n">
        <v>0</v>
      </c>
      <c r="CX445" t="n">
        <v>0</v>
      </c>
      <c r="CY445" t="n">
        <v>118</v>
      </c>
      <c r="CZ445" t="n">
        <v>0</v>
      </c>
      <c r="DA445" t="n">
        <v>0</v>
      </c>
      <c r="DB445" t="n">
        <v>0</v>
      </c>
      <c r="DC445" t="n">
        <v>118</v>
      </c>
      <c r="DD445" t="n">
        <v>0</v>
      </c>
      <c r="DE445" t="n">
        <v>0</v>
      </c>
      <c r="DF445" t="n">
        <v>335</v>
      </c>
      <c r="DG445" t="n">
        <v>594</v>
      </c>
      <c r="DH445" t="n">
        <v>0</v>
      </c>
      <c r="DI445" t="n">
        <v>0</v>
      </c>
      <c r="DJ445" t="n">
        <v>0</v>
      </c>
      <c r="DK445" t="n">
        <v>0</v>
      </c>
      <c r="DL445" t="n">
        <v>0</v>
      </c>
      <c r="DM445" t="n">
        <v>0</v>
      </c>
      <c r="DN445" t="n">
        <v>0</v>
      </c>
      <c r="DO445" t="n">
        <v>0</v>
      </c>
      <c r="DP445" t="n">
        <v>0</v>
      </c>
      <c r="DQ445" t="n">
        <v>0</v>
      </c>
      <c r="DR445" t="n">
        <v>0</v>
      </c>
      <c r="DS445" t="n">
        <v>929</v>
      </c>
      <c r="DT445" t="n">
        <v>1240</v>
      </c>
      <c r="DU445" t="n">
        <v>360</v>
      </c>
      <c r="DV445" t="n">
        <v>0</v>
      </c>
      <c r="DW445" t="n">
        <v>0</v>
      </c>
      <c r="DX445" t="n">
        <v>0</v>
      </c>
      <c r="DY445" t="n">
        <v>2210</v>
      </c>
      <c r="DZ445" t="n">
        <v>5950</v>
      </c>
      <c r="EA445" t="n">
        <v>2210</v>
      </c>
      <c r="EB445" t="n">
        <v>6290</v>
      </c>
      <c r="EC445" t="n">
        <v>340</v>
      </c>
      <c r="ED445" t="n">
        <v>8500</v>
      </c>
      <c r="EE445" t="n">
        <v>8500</v>
      </c>
      <c r="EF445" t="n">
        <v>0</v>
      </c>
      <c r="EG445" t="n">
        <v>0.25</v>
      </c>
      <c r="EH445" t="n">
        <v>4</v>
      </c>
      <c r="EI445" t="n">
        <v>8.5</v>
      </c>
      <c r="EJ445" t="n">
        <v>1.6</v>
      </c>
      <c r="EK445" t="n">
        <v>20.4</v>
      </c>
    </row>
    <row r="446">
      <c r="A446">
        <f>[1]ingredient!B447</f>
        <v/>
      </c>
      <c r="B446" t="inlineStr">
        <is>
          <t>https://www.naehrwertrechner.de/naehrwerte/H740121/Bohne+wei%C3%9F+frisch+gegart/?menge=100</t>
        </is>
      </c>
      <c r="C446" s="7">
        <f>_xlfn.XLOOKUP(A446,[1]ingredient!$B$2:$B$521,[1]ingredient!$A$2:$A$521)</f>
        <v/>
      </c>
      <c r="D446" t="n">
        <v>112</v>
      </c>
      <c r="E446" t="n">
        <v>1</v>
      </c>
      <c r="F446" t="n">
        <v>9</v>
      </c>
      <c r="G446" t="n">
        <v>17</v>
      </c>
      <c r="H446" t="n">
        <v>7</v>
      </c>
      <c r="I446" t="n">
        <v>1</v>
      </c>
      <c r="J446" t="n">
        <v>0.02</v>
      </c>
      <c r="K446" t="n">
        <v>62</v>
      </c>
      <c r="L446" t="n">
        <v>27</v>
      </c>
      <c r="M446" t="n">
        <v>13</v>
      </c>
      <c r="N446" t="n">
        <v>0</v>
      </c>
      <c r="O446" t="n">
        <v>161</v>
      </c>
      <c r="P446" t="n">
        <v>154</v>
      </c>
      <c r="Q446" t="n">
        <v>63</v>
      </c>
      <c r="R446" t="n">
        <v>652</v>
      </c>
      <c r="S446" t="n">
        <v>2019</v>
      </c>
      <c r="T446" t="n">
        <v>308</v>
      </c>
      <c r="U446" t="n">
        <v>136</v>
      </c>
      <c r="V446" t="n">
        <v>3</v>
      </c>
      <c r="W446" t="n">
        <v>58</v>
      </c>
      <c r="X446" t="n">
        <v>0</v>
      </c>
      <c r="Y446" t="n">
        <v>591</v>
      </c>
      <c r="Z446" t="n">
        <v>0</v>
      </c>
      <c r="AA446" t="n">
        <v>99</v>
      </c>
      <c r="AB446" t="n">
        <v>90</v>
      </c>
      <c r="AC446" t="n">
        <v>1</v>
      </c>
      <c r="AD446" t="n">
        <v>473</v>
      </c>
      <c r="AE446" t="n">
        <v>48</v>
      </c>
      <c r="AF446" t="n">
        <v>56</v>
      </c>
      <c r="AG446" t="n">
        <v>181</v>
      </c>
      <c r="AH446" t="n">
        <v>72</v>
      </c>
      <c r="AI446" t="n">
        <v>16</v>
      </c>
      <c r="AJ446" t="n">
        <v>2478</v>
      </c>
      <c r="AK446" t="n">
        <v>1121</v>
      </c>
      <c r="AL446" t="n">
        <v>210</v>
      </c>
      <c r="AM446" t="n">
        <v>687</v>
      </c>
      <c r="AN446" t="n">
        <v>38</v>
      </c>
      <c r="AO446" t="n">
        <v>1</v>
      </c>
      <c r="AP446" t="n">
        <v>0</v>
      </c>
      <c r="AQ446" t="n">
        <v>0</v>
      </c>
      <c r="AR446" t="n">
        <v>0</v>
      </c>
      <c r="AS446" t="n">
        <v>0</v>
      </c>
      <c r="AT446" t="n">
        <v>0</v>
      </c>
      <c r="AU446" t="n">
        <v>0</v>
      </c>
      <c r="AV446" t="n">
        <v>0</v>
      </c>
      <c r="AW446" t="n">
        <v>0</v>
      </c>
      <c r="AX446" t="n">
        <v>508</v>
      </c>
      <c r="AY446" t="n">
        <v>0</v>
      </c>
      <c r="AZ446" t="n">
        <v>0</v>
      </c>
      <c r="BA446" t="n">
        <v>508</v>
      </c>
      <c r="BB446" t="n">
        <v>1355</v>
      </c>
      <c r="BC446" t="n">
        <v>2093</v>
      </c>
      <c r="BD446" t="n">
        <v>0</v>
      </c>
      <c r="BE446" t="n">
        <v>15069</v>
      </c>
      <c r="BF446" t="n">
        <v>15069</v>
      </c>
      <c r="BG446">
        <f>IF($F446=0,"0",MIN(
BH446/(30*$F446),
BI446/(61*$F446),
BJ446/(48*$F446),
(BK446+BL446)/(23*$F446),
(BM446+BN446)/(41*$F446),
BO446/(25*$F446),
BP446/(6.6*$F446),
BQ446/(40*$F446),
BS446/(16*$F446)
)*100)</f>
        <v/>
      </c>
      <c r="BH446" t="n">
        <v>507</v>
      </c>
      <c r="BI446" t="n">
        <v>768</v>
      </c>
      <c r="BJ446" t="n">
        <v>670</v>
      </c>
      <c r="BK446" t="n">
        <v>91</v>
      </c>
      <c r="BL446" t="n">
        <v>82</v>
      </c>
      <c r="BM446" t="n">
        <v>498</v>
      </c>
      <c r="BN446" t="n">
        <v>344</v>
      </c>
      <c r="BO446" t="n">
        <v>390</v>
      </c>
      <c r="BP446" t="n">
        <v>82</v>
      </c>
      <c r="BQ446" t="n">
        <v>543</v>
      </c>
      <c r="BR446" t="n">
        <v>543</v>
      </c>
      <c r="BS446" t="n">
        <v>253</v>
      </c>
      <c r="BT446" t="n">
        <v>4771</v>
      </c>
      <c r="BU446" t="n">
        <v>227</v>
      </c>
      <c r="BV446" t="n">
        <v>861</v>
      </c>
      <c r="BW446" t="n">
        <v>1504</v>
      </c>
      <c r="BX446" t="n">
        <v>281</v>
      </c>
      <c r="BY446" t="n">
        <v>326</v>
      </c>
      <c r="BZ446" t="n">
        <v>453</v>
      </c>
      <c r="CA446" t="n">
        <v>3652</v>
      </c>
      <c r="CB446" t="n">
        <v>77</v>
      </c>
      <c r="CC446" t="n">
        <v>32</v>
      </c>
      <c r="CD446" t="n">
        <v>253</v>
      </c>
      <c r="CE446" t="n">
        <v>142</v>
      </c>
      <c r="CF446" t="n">
        <v>0.5600000000000001</v>
      </c>
      <c r="CG446" t="n">
        <v>0</v>
      </c>
      <c r="CH446" t="n">
        <v>0</v>
      </c>
      <c r="CI446" t="n">
        <v>0</v>
      </c>
      <c r="CJ446" t="n">
        <v>0</v>
      </c>
      <c r="CK446" t="n">
        <v>0</v>
      </c>
      <c r="CL446" t="n">
        <v>0</v>
      </c>
      <c r="CM446" t="n">
        <v>0</v>
      </c>
      <c r="CN446" t="n">
        <v>73</v>
      </c>
      <c r="CO446" t="n">
        <v>0</v>
      </c>
      <c r="CP446" t="n">
        <v>9</v>
      </c>
      <c r="CQ446" t="n">
        <v>0</v>
      </c>
      <c r="CR446" t="n">
        <v>0</v>
      </c>
      <c r="CS446" t="n">
        <v>0</v>
      </c>
      <c r="CT446" t="n">
        <v>82</v>
      </c>
      <c r="CU446" t="n">
        <v>0</v>
      </c>
      <c r="CV446" t="n">
        <v>0</v>
      </c>
      <c r="CW446" t="n">
        <v>0</v>
      </c>
      <c r="CX446" t="n">
        <v>0</v>
      </c>
      <c r="CY446" t="n">
        <v>50</v>
      </c>
      <c r="CZ446" t="n">
        <v>0</v>
      </c>
      <c r="DA446" t="n">
        <v>0</v>
      </c>
      <c r="DB446" t="n">
        <v>0</v>
      </c>
      <c r="DC446" t="n">
        <v>50</v>
      </c>
      <c r="DD446" t="n">
        <v>0</v>
      </c>
      <c r="DE446" t="n">
        <v>0</v>
      </c>
      <c r="DF446" t="n">
        <v>142</v>
      </c>
      <c r="DG446" t="n">
        <v>253</v>
      </c>
      <c r="DH446" t="n">
        <v>0</v>
      </c>
      <c r="DI446" t="n">
        <v>0</v>
      </c>
      <c r="DJ446" t="n">
        <v>0</v>
      </c>
      <c r="DK446" t="n">
        <v>0</v>
      </c>
      <c r="DL446" t="n">
        <v>0</v>
      </c>
      <c r="DM446" t="n">
        <v>0</v>
      </c>
      <c r="DN446" t="n">
        <v>0</v>
      </c>
      <c r="DO446" t="n">
        <v>0</v>
      </c>
      <c r="DP446" t="n">
        <v>0</v>
      </c>
      <c r="DQ446" t="n">
        <v>0</v>
      </c>
      <c r="DR446" t="n">
        <v>0</v>
      </c>
      <c r="DS446" t="n">
        <v>395</v>
      </c>
      <c r="DT446" t="n">
        <v>527</v>
      </c>
      <c r="DU446" t="n">
        <v>153</v>
      </c>
      <c r="DV446" t="n">
        <v>0</v>
      </c>
      <c r="DW446" t="n">
        <v>0</v>
      </c>
      <c r="DX446" t="n">
        <v>0</v>
      </c>
      <c r="DY446" t="n">
        <v>971</v>
      </c>
      <c r="DZ446" t="n">
        <v>2614</v>
      </c>
      <c r="EA446" t="n">
        <v>971</v>
      </c>
      <c r="EB446" t="n">
        <v>2765</v>
      </c>
      <c r="EC446" t="n">
        <v>149</v>
      </c>
      <c r="ED446" t="n">
        <v>3735</v>
      </c>
      <c r="EE446" t="n">
        <v>3735</v>
      </c>
      <c r="EF446" t="n">
        <v>0</v>
      </c>
      <c r="EG446" t="n">
        <v>0.06</v>
      </c>
      <c r="EH446" t="n">
        <v>1.5</v>
      </c>
      <c r="EI446" t="n">
        <v>3.7</v>
      </c>
      <c r="EJ446" t="n">
        <v>0.7</v>
      </c>
      <c r="EK446" t="n">
        <v>8.699999999999999</v>
      </c>
    </row>
    <row r="447">
      <c r="A447">
        <f>[1]ingredient!B448</f>
        <v/>
      </c>
      <c r="B447" t="inlineStr">
        <is>
          <t>https://www.naehrwertrechner.de/naehrwerte/G342111/Wei%C3%9Fkohl+frisch/?menge=100</t>
        </is>
      </c>
      <c r="C447" s="7">
        <f>_xlfn.XLOOKUP(A447,[1]ingredient!$B$2:$B$521,[1]ingredient!$A$2:$A$521)</f>
        <v/>
      </c>
      <c r="D447" t="n">
        <v>25</v>
      </c>
      <c r="E447" t="n">
        <v>0.2</v>
      </c>
      <c r="F447" t="n">
        <v>1</v>
      </c>
      <c r="G447" t="n">
        <v>4</v>
      </c>
      <c r="H447" t="n">
        <v>3</v>
      </c>
      <c r="I447" t="n">
        <v>4</v>
      </c>
      <c r="J447" t="n">
        <v>0.05</v>
      </c>
      <c r="K447" t="n">
        <v>90</v>
      </c>
      <c r="L447" t="n">
        <v>12</v>
      </c>
      <c r="M447" t="n">
        <v>6</v>
      </c>
      <c r="N447" t="n">
        <v>0</v>
      </c>
      <c r="O447" t="n">
        <v>72</v>
      </c>
      <c r="P447" t="n">
        <v>48</v>
      </c>
      <c r="Q447" t="n">
        <v>37</v>
      </c>
      <c r="R447" t="n">
        <v>300</v>
      </c>
      <c r="S447" t="n">
        <v>533</v>
      </c>
      <c r="T447" t="n">
        <v>260</v>
      </c>
      <c r="U447" t="n">
        <v>110</v>
      </c>
      <c r="V447" t="n">
        <v>1</v>
      </c>
      <c r="W447" t="n">
        <v>79</v>
      </c>
      <c r="X447" t="n">
        <v>0</v>
      </c>
      <c r="Y447" t="n">
        <v>45800</v>
      </c>
      <c r="Z447" t="n">
        <v>0</v>
      </c>
      <c r="AA447" t="n">
        <v>1700</v>
      </c>
      <c r="AB447" t="n">
        <v>80</v>
      </c>
      <c r="AC447" t="n">
        <v>12</v>
      </c>
      <c r="AD447" t="n">
        <v>208</v>
      </c>
      <c r="AE447" t="n">
        <v>46</v>
      </c>
      <c r="AF447" t="n">
        <v>23</v>
      </c>
      <c r="AG447" t="n">
        <v>28</v>
      </c>
      <c r="AH447" t="n">
        <v>54</v>
      </c>
      <c r="AI447" t="n">
        <v>37</v>
      </c>
      <c r="AJ447" t="n">
        <v>500</v>
      </c>
      <c r="AK447" t="n">
        <v>210</v>
      </c>
      <c r="AL447" t="n">
        <v>33</v>
      </c>
      <c r="AM447" t="n">
        <v>100</v>
      </c>
      <c r="AN447" t="n">
        <v>12</v>
      </c>
      <c r="AO447" t="n">
        <v>5</v>
      </c>
      <c r="AP447" t="n">
        <v>0</v>
      </c>
      <c r="AQ447" t="n">
        <v>0</v>
      </c>
      <c r="AR447" t="n">
        <v>0</v>
      </c>
      <c r="AS447" t="n">
        <v>0</v>
      </c>
      <c r="AT447" t="n">
        <v>1872</v>
      </c>
      <c r="AU447" t="n">
        <v>1872</v>
      </c>
      <c r="AV447" t="n">
        <v>0</v>
      </c>
      <c r="AW447" t="n">
        <v>3744</v>
      </c>
      <c r="AX447" t="n">
        <v>333</v>
      </c>
      <c r="AY447" t="n">
        <v>0</v>
      </c>
      <c r="AZ447" t="n">
        <v>0</v>
      </c>
      <c r="BA447" t="n">
        <v>333</v>
      </c>
      <c r="BB447" t="n">
        <v>0</v>
      </c>
      <c r="BC447" t="n">
        <v>0</v>
      </c>
      <c r="BD447" t="n">
        <v>0</v>
      </c>
      <c r="BE447" t="n">
        <v>83</v>
      </c>
      <c r="BF447" t="n">
        <v>83</v>
      </c>
      <c r="BG447">
        <f>IF($F447=0,"0",MIN(
BH447/(30*$F447),
BI447/(61*$F447),
BJ447/(48*$F447),
(BK447+BL447)/(23*$F447),
(BM447+BN447)/(41*$F447),
BO447/(25*$F447),
BP447/(6.6*$F447),
BQ447/(40*$F447),
BS447/(16*$F447)
)*100)</f>
        <v/>
      </c>
      <c r="BH447" t="n">
        <v>41</v>
      </c>
      <c r="BI447" t="n">
        <v>70</v>
      </c>
      <c r="BJ447" t="n">
        <v>63</v>
      </c>
      <c r="BK447" t="n">
        <v>14</v>
      </c>
      <c r="BL447" t="n">
        <v>16</v>
      </c>
      <c r="BM447" t="n">
        <v>41</v>
      </c>
      <c r="BN447" t="n">
        <v>25</v>
      </c>
      <c r="BO447" t="n">
        <v>47</v>
      </c>
      <c r="BP447" t="n">
        <v>14</v>
      </c>
      <c r="BQ447" t="n">
        <v>55</v>
      </c>
      <c r="BR447" t="n">
        <v>103</v>
      </c>
      <c r="BS447" t="n">
        <v>27</v>
      </c>
      <c r="BT447" t="n">
        <v>516</v>
      </c>
      <c r="BU447" t="n">
        <v>55</v>
      </c>
      <c r="BV447" t="n">
        <v>116</v>
      </c>
      <c r="BW447" t="n">
        <v>288</v>
      </c>
      <c r="BX447" t="n">
        <v>34</v>
      </c>
      <c r="BY447" t="n">
        <v>259</v>
      </c>
      <c r="BZ447" t="n">
        <v>75</v>
      </c>
      <c r="CA447" t="n">
        <v>827</v>
      </c>
      <c r="CB447" t="n">
        <v>20</v>
      </c>
      <c r="CC447" t="n">
        <v>8</v>
      </c>
      <c r="CD447" t="n">
        <v>80</v>
      </c>
      <c r="CE447" t="n">
        <v>30</v>
      </c>
      <c r="CF447" t="n">
        <v>0.38</v>
      </c>
      <c r="CG447" t="n">
        <v>0</v>
      </c>
      <c r="CH447" t="n">
        <v>0</v>
      </c>
      <c r="CI447" t="n">
        <v>0</v>
      </c>
      <c r="CJ447" t="n">
        <v>0</v>
      </c>
      <c r="CK447" t="n">
        <v>0</v>
      </c>
      <c r="CL447" t="n">
        <v>0</v>
      </c>
      <c r="CM447" t="n">
        <v>0</v>
      </c>
      <c r="CN447" t="n">
        <v>35</v>
      </c>
      <c r="CO447" t="n">
        <v>0</v>
      </c>
      <c r="CP447" t="n">
        <v>4</v>
      </c>
      <c r="CQ447" t="n">
        <v>0</v>
      </c>
      <c r="CR447" t="n">
        <v>0</v>
      </c>
      <c r="CS447" t="n">
        <v>0</v>
      </c>
      <c r="CT447" t="n">
        <v>39</v>
      </c>
      <c r="CU447" t="n">
        <v>0</v>
      </c>
      <c r="CV447" t="n">
        <v>0</v>
      </c>
      <c r="CW447" t="n">
        <v>4</v>
      </c>
      <c r="CX447" t="n">
        <v>0</v>
      </c>
      <c r="CY447" t="n">
        <v>7</v>
      </c>
      <c r="CZ447" t="n">
        <v>0</v>
      </c>
      <c r="DA447" t="n">
        <v>0</v>
      </c>
      <c r="DB447" t="n">
        <v>0</v>
      </c>
      <c r="DC447" t="n">
        <v>11</v>
      </c>
      <c r="DD447" t="n">
        <v>0</v>
      </c>
      <c r="DE447" t="n">
        <v>0</v>
      </c>
      <c r="DF447" t="n">
        <v>30</v>
      </c>
      <c r="DG447" t="n">
        <v>80</v>
      </c>
      <c r="DH447" t="n">
        <v>0</v>
      </c>
      <c r="DI447" t="n">
        <v>0</v>
      </c>
      <c r="DJ447" t="n">
        <v>0</v>
      </c>
      <c r="DK447" t="n">
        <v>0</v>
      </c>
      <c r="DL447" t="n">
        <v>0</v>
      </c>
      <c r="DM447" t="n">
        <v>0</v>
      </c>
      <c r="DN447" t="n">
        <v>0</v>
      </c>
      <c r="DO447" t="n">
        <v>0</v>
      </c>
      <c r="DP447" t="n">
        <v>0</v>
      </c>
      <c r="DQ447" t="n">
        <v>0</v>
      </c>
      <c r="DR447" t="n">
        <v>0</v>
      </c>
      <c r="DS447" t="n">
        <v>110</v>
      </c>
      <c r="DT447" t="n">
        <v>160</v>
      </c>
      <c r="DU447" t="n">
        <v>40</v>
      </c>
      <c r="DV447" t="n">
        <v>0</v>
      </c>
      <c r="DW447" t="n">
        <v>0</v>
      </c>
      <c r="DX447" t="n">
        <v>0</v>
      </c>
      <c r="DY447" t="n">
        <v>502</v>
      </c>
      <c r="DZ447" t="n">
        <v>355</v>
      </c>
      <c r="EA447" t="n">
        <v>1063</v>
      </c>
      <c r="EB447" t="n">
        <v>946</v>
      </c>
      <c r="EC447" t="n">
        <v>89</v>
      </c>
      <c r="ED447" t="n">
        <v>887</v>
      </c>
      <c r="EE447" t="n">
        <v>2069</v>
      </c>
      <c r="EF447" t="n">
        <v>0</v>
      </c>
      <c r="EG447" t="n">
        <v>0.23</v>
      </c>
      <c r="EH447" t="n">
        <v>0.6</v>
      </c>
      <c r="EI447" t="n">
        <v>2.1</v>
      </c>
      <c r="EJ447" t="n">
        <v>0.2</v>
      </c>
      <c r="EK447" t="n">
        <v>1.4</v>
      </c>
    </row>
    <row r="448">
      <c r="A448">
        <f>[1]ingredient!B449</f>
        <v/>
      </c>
      <c r="B448" t="inlineStr">
        <is>
          <t>https://www.naehrwertrechner.de/naehrwerte/C111001/Weizen+Vollkorn/?menge=100</t>
        </is>
      </c>
      <c r="C448" s="7">
        <f>_xlfn.XLOOKUP(A448,[1]ingredient!$B$2:$B$521,[1]ingredient!$A$2:$A$521)</f>
        <v/>
      </c>
      <c r="D448" t="n">
        <v>305</v>
      </c>
      <c r="E448" t="n">
        <v>2</v>
      </c>
      <c r="F448" t="n">
        <v>11</v>
      </c>
      <c r="G448" t="n">
        <v>60</v>
      </c>
      <c r="H448" t="n">
        <v>13</v>
      </c>
      <c r="I448" t="n">
        <v>1</v>
      </c>
      <c r="J448" t="n">
        <v>0.06</v>
      </c>
      <c r="K448" t="n">
        <v>12</v>
      </c>
      <c r="L448" t="n">
        <v>3</v>
      </c>
      <c r="M448" t="n">
        <v>2</v>
      </c>
      <c r="N448" t="n">
        <v>0</v>
      </c>
      <c r="O448" t="n">
        <v>20</v>
      </c>
      <c r="P448" t="n">
        <v>455</v>
      </c>
      <c r="Q448" t="n">
        <v>93</v>
      </c>
      <c r="R448" t="n">
        <v>5100</v>
      </c>
      <c r="S448" t="n">
        <v>7600</v>
      </c>
      <c r="T448" t="n">
        <v>1180</v>
      </c>
      <c r="U448" t="n">
        <v>269</v>
      </c>
      <c r="V448" t="n">
        <v>6</v>
      </c>
      <c r="W448" t="n">
        <v>87</v>
      </c>
      <c r="X448" t="n">
        <v>0</v>
      </c>
      <c r="Y448" t="n">
        <v>0</v>
      </c>
      <c r="Z448" t="n">
        <v>0</v>
      </c>
      <c r="AA448" t="n">
        <v>1000</v>
      </c>
      <c r="AB448" t="n">
        <v>0</v>
      </c>
      <c r="AC448" t="n">
        <v>8</v>
      </c>
      <c r="AD448" t="n">
        <v>380</v>
      </c>
      <c r="AE448" t="n">
        <v>33</v>
      </c>
      <c r="AF448" t="n">
        <v>97</v>
      </c>
      <c r="AG448" t="n">
        <v>342</v>
      </c>
      <c r="AH448" t="n">
        <v>140</v>
      </c>
      <c r="AI448" t="n">
        <v>55</v>
      </c>
      <c r="AJ448" t="n">
        <v>3176</v>
      </c>
      <c r="AK448" t="n">
        <v>2560</v>
      </c>
      <c r="AL448" t="n">
        <v>370</v>
      </c>
      <c r="AM448" t="n">
        <v>3095</v>
      </c>
      <c r="AN448" t="n">
        <v>90</v>
      </c>
      <c r="AO448" t="n">
        <v>7</v>
      </c>
      <c r="AP448" t="n">
        <v>0</v>
      </c>
      <c r="AQ448" t="n">
        <v>0</v>
      </c>
      <c r="AR448" t="n">
        <v>0</v>
      </c>
      <c r="AS448" t="n">
        <v>0</v>
      </c>
      <c r="AT448" t="n">
        <v>60</v>
      </c>
      <c r="AU448" t="n">
        <v>42</v>
      </c>
      <c r="AV448" t="n">
        <v>0</v>
      </c>
      <c r="AW448" t="n">
        <v>102</v>
      </c>
      <c r="AX448" t="n">
        <v>600</v>
      </c>
      <c r="AY448" t="n">
        <v>0</v>
      </c>
      <c r="AZ448" t="n">
        <v>0</v>
      </c>
      <c r="BA448" t="n">
        <v>600</v>
      </c>
      <c r="BB448" t="n">
        <v>357</v>
      </c>
      <c r="BC448" t="n">
        <v>170</v>
      </c>
      <c r="BD448" t="n">
        <v>0</v>
      </c>
      <c r="BE448" t="n">
        <v>58160</v>
      </c>
      <c r="BF448" t="n">
        <v>58160</v>
      </c>
      <c r="BG448">
        <f>IF($F448=0,"0",MIN(
BH448/(30*$F448),
BI448/(61*$F448),
BJ448/(48*$F448),
(BK448+BL448)/(23*$F448),
(BM448+BN448)/(41*$F448),
BO448/(25*$F448),
BP448/(6.6*$F448),
BQ448/(40*$F448),
BS448/(16*$F448)
)*100)</f>
        <v/>
      </c>
      <c r="BH448" t="n">
        <v>540</v>
      </c>
      <c r="BI448" t="n">
        <v>920</v>
      </c>
      <c r="BJ448" t="n">
        <v>380</v>
      </c>
      <c r="BK448" t="n">
        <v>220</v>
      </c>
      <c r="BL448" t="n">
        <v>290</v>
      </c>
      <c r="BM448" t="n">
        <v>640</v>
      </c>
      <c r="BN448" t="n">
        <v>410</v>
      </c>
      <c r="BO448" t="n">
        <v>430</v>
      </c>
      <c r="BP448" t="n">
        <v>150</v>
      </c>
      <c r="BQ448" t="n">
        <v>620</v>
      </c>
      <c r="BR448" t="n">
        <v>620</v>
      </c>
      <c r="BS448" t="n">
        <v>280</v>
      </c>
      <c r="BT448" t="n">
        <v>5500</v>
      </c>
      <c r="BU448" t="n">
        <v>510</v>
      </c>
      <c r="BV448" t="n">
        <v>700</v>
      </c>
      <c r="BW448" t="n">
        <v>4080</v>
      </c>
      <c r="BX448" t="n">
        <v>720</v>
      </c>
      <c r="BY448" t="n">
        <v>1560</v>
      </c>
      <c r="BZ448" t="n">
        <v>710</v>
      </c>
      <c r="CA448" t="n">
        <v>8280</v>
      </c>
      <c r="CB448" t="n">
        <v>51</v>
      </c>
      <c r="CC448" t="n">
        <v>17</v>
      </c>
      <c r="CD448" t="n">
        <v>51</v>
      </c>
      <c r="CE448" t="n">
        <v>765</v>
      </c>
      <c r="CF448" t="n">
        <v>15</v>
      </c>
      <c r="CG448" t="n">
        <v>0</v>
      </c>
      <c r="CH448" t="n">
        <v>0</v>
      </c>
      <c r="CI448" t="n">
        <v>0</v>
      </c>
      <c r="CJ448" t="n">
        <v>0</v>
      </c>
      <c r="CK448" t="n">
        <v>1</v>
      </c>
      <c r="CL448" t="n">
        <v>1</v>
      </c>
      <c r="CM448" t="n">
        <v>1</v>
      </c>
      <c r="CN448" t="n">
        <v>283</v>
      </c>
      <c r="CO448" t="n">
        <v>0</v>
      </c>
      <c r="CP448" t="n">
        <v>13</v>
      </c>
      <c r="CQ448" t="n">
        <v>11</v>
      </c>
      <c r="CR448" t="n">
        <v>0</v>
      </c>
      <c r="CS448" t="n">
        <v>0</v>
      </c>
      <c r="CT448" t="n">
        <v>310</v>
      </c>
      <c r="CU448" t="n">
        <v>0</v>
      </c>
      <c r="CV448" t="n">
        <v>0</v>
      </c>
      <c r="CW448" t="n">
        <v>8</v>
      </c>
      <c r="CX448" t="n">
        <v>0</v>
      </c>
      <c r="CY448" t="n">
        <v>176</v>
      </c>
      <c r="CZ448" t="n">
        <v>6</v>
      </c>
      <c r="DA448" t="n">
        <v>0</v>
      </c>
      <c r="DB448" t="n">
        <v>0</v>
      </c>
      <c r="DC448" t="n">
        <v>191</v>
      </c>
      <c r="DD448" t="n">
        <v>0</v>
      </c>
      <c r="DE448" t="n">
        <v>0</v>
      </c>
      <c r="DF448" t="n">
        <v>762</v>
      </c>
      <c r="DG448" t="n">
        <v>51</v>
      </c>
      <c r="DH448" t="n">
        <v>0</v>
      </c>
      <c r="DI448" t="n">
        <v>0</v>
      </c>
      <c r="DJ448" t="n">
        <v>0</v>
      </c>
      <c r="DK448" t="n">
        <v>0</v>
      </c>
      <c r="DL448" t="n">
        <v>3</v>
      </c>
      <c r="DM448" t="n">
        <v>0</v>
      </c>
      <c r="DN448" t="n">
        <v>0</v>
      </c>
      <c r="DO448" t="n">
        <v>0</v>
      </c>
      <c r="DP448" t="n">
        <v>0</v>
      </c>
      <c r="DQ448" t="n">
        <v>0</v>
      </c>
      <c r="DR448" t="n">
        <v>0</v>
      </c>
      <c r="DS448" t="n">
        <v>816</v>
      </c>
      <c r="DT448" t="n">
        <v>1317</v>
      </c>
      <c r="DU448" t="n">
        <v>513</v>
      </c>
      <c r="DV448" t="n">
        <v>0</v>
      </c>
      <c r="DW448" t="n">
        <v>0</v>
      </c>
      <c r="DX448" t="n">
        <v>0</v>
      </c>
      <c r="DY448" t="n">
        <v>5304</v>
      </c>
      <c r="DZ448" t="n">
        <v>3978</v>
      </c>
      <c r="EA448" t="n">
        <v>928</v>
      </c>
      <c r="EB448" t="n">
        <v>2800</v>
      </c>
      <c r="EC448" t="n">
        <v>663</v>
      </c>
      <c r="ED448" t="n">
        <v>2890</v>
      </c>
      <c r="EE448" t="n">
        <v>10370</v>
      </c>
      <c r="EF448" t="n">
        <v>0</v>
      </c>
      <c r="EG448" t="n">
        <v>0</v>
      </c>
      <c r="EH448" t="n">
        <v>1.6</v>
      </c>
      <c r="EI448" t="n">
        <v>10.4</v>
      </c>
      <c r="EJ448" t="n">
        <v>1.8</v>
      </c>
      <c r="EK448" t="n">
        <v>13.9</v>
      </c>
    </row>
    <row r="449">
      <c r="A449">
        <f>[1]ingredient!B450</f>
        <v/>
      </c>
      <c r="B449" t="inlineStr">
        <is>
          <t>https://www.naehrwertrechner.de/naehrwerte/C113111/Weizen+Vollkornflocken/?menge=100</t>
        </is>
      </c>
      <c r="C449" s="7">
        <f>_xlfn.XLOOKUP(A449,[1]ingredient!$B$2:$B$521,[1]ingredient!$A$2:$A$521)</f>
        <v/>
      </c>
      <c r="D449" t="n">
        <v>305</v>
      </c>
      <c r="E449" t="n">
        <v>2</v>
      </c>
      <c r="F449" t="n">
        <v>11</v>
      </c>
      <c r="G449" t="n">
        <v>60</v>
      </c>
      <c r="H449" t="n">
        <v>13</v>
      </c>
      <c r="I449" t="n">
        <v>1</v>
      </c>
      <c r="J449" t="n">
        <v>0.06</v>
      </c>
      <c r="K449" t="n">
        <v>12</v>
      </c>
      <c r="L449" t="n">
        <v>3</v>
      </c>
      <c r="M449" t="n">
        <v>2</v>
      </c>
      <c r="N449" t="n">
        <v>0</v>
      </c>
      <c r="O449" t="n">
        <v>20</v>
      </c>
      <c r="P449" t="n">
        <v>455</v>
      </c>
      <c r="Q449" t="n">
        <v>93</v>
      </c>
      <c r="R449" t="n">
        <v>5100</v>
      </c>
      <c r="S449" t="n">
        <v>7183</v>
      </c>
      <c r="T449" t="n">
        <v>1180</v>
      </c>
      <c r="U449" t="n">
        <v>269</v>
      </c>
      <c r="V449" t="n">
        <v>6</v>
      </c>
      <c r="W449" t="n">
        <v>87</v>
      </c>
      <c r="X449" t="n">
        <v>0</v>
      </c>
      <c r="Y449" t="n">
        <v>0</v>
      </c>
      <c r="Z449" t="n">
        <v>0</v>
      </c>
      <c r="AA449" t="n">
        <v>1000</v>
      </c>
      <c r="AB449" t="n">
        <v>0</v>
      </c>
      <c r="AC449" t="n">
        <v>8</v>
      </c>
      <c r="AD449" t="n">
        <v>380</v>
      </c>
      <c r="AE449" t="n">
        <v>33</v>
      </c>
      <c r="AF449" t="n">
        <v>97</v>
      </c>
      <c r="AG449" t="n">
        <v>342</v>
      </c>
      <c r="AH449" t="n">
        <v>140</v>
      </c>
      <c r="AI449" t="n">
        <v>55</v>
      </c>
      <c r="AJ449" t="n">
        <v>3176</v>
      </c>
      <c r="AK449" t="n">
        <v>2560</v>
      </c>
      <c r="AL449" t="n">
        <v>370</v>
      </c>
      <c r="AM449" t="n">
        <v>3095</v>
      </c>
      <c r="AN449" t="n">
        <v>90</v>
      </c>
      <c r="AO449" t="n">
        <v>7</v>
      </c>
      <c r="AP449" t="n">
        <v>0</v>
      </c>
      <c r="AQ449" t="n">
        <v>0</v>
      </c>
      <c r="AR449" t="n">
        <v>0</v>
      </c>
      <c r="AS449" t="n">
        <v>0</v>
      </c>
      <c r="AT449" t="n">
        <v>61</v>
      </c>
      <c r="AU449" t="n">
        <v>42</v>
      </c>
      <c r="AV449" t="n">
        <v>0</v>
      </c>
      <c r="AW449" t="n">
        <v>103</v>
      </c>
      <c r="AX449" t="n">
        <v>603</v>
      </c>
      <c r="AY449" t="n">
        <v>0</v>
      </c>
      <c r="AZ449" t="n">
        <v>0</v>
      </c>
      <c r="BA449" t="n">
        <v>603</v>
      </c>
      <c r="BB449" t="n">
        <v>359</v>
      </c>
      <c r="BC449" t="n">
        <v>170</v>
      </c>
      <c r="BD449" t="n">
        <v>0</v>
      </c>
      <c r="BE449" t="n">
        <v>58485</v>
      </c>
      <c r="BF449" t="n">
        <v>58485</v>
      </c>
      <c r="BG449">
        <f>IF($F449=0,"0",MIN(
BH449/(30*$F449),
BI449/(61*$F449),
BJ449/(48*$F449),
(BK449+BL449)/(23*$F449),
(BM449+BN449)/(41*$F449),
BO449/(25*$F449),
BP449/(6.6*$F449),
BQ449/(40*$F449),
BS449/(16*$F449)
)*100)</f>
        <v/>
      </c>
      <c r="BH449" t="n">
        <v>448</v>
      </c>
      <c r="BI449" t="n">
        <v>764</v>
      </c>
      <c r="BJ449" t="n">
        <v>316</v>
      </c>
      <c r="BK449" t="n">
        <v>183</v>
      </c>
      <c r="BL449" t="n">
        <v>241</v>
      </c>
      <c r="BM449" t="n">
        <v>532</v>
      </c>
      <c r="BN449" t="n">
        <v>341</v>
      </c>
      <c r="BO449" t="n">
        <v>357</v>
      </c>
      <c r="BP449" t="n">
        <v>125</v>
      </c>
      <c r="BQ449" t="n">
        <v>515</v>
      </c>
      <c r="BR449" t="n">
        <v>515</v>
      </c>
      <c r="BS449" t="n">
        <v>233</v>
      </c>
      <c r="BT449" t="n">
        <v>4570</v>
      </c>
      <c r="BU449" t="n">
        <v>424</v>
      </c>
      <c r="BV449" t="n">
        <v>581</v>
      </c>
      <c r="BW449" t="n">
        <v>3388</v>
      </c>
      <c r="BX449" t="n">
        <v>598</v>
      </c>
      <c r="BY449" t="n">
        <v>1295</v>
      </c>
      <c r="BZ449" t="n">
        <v>590</v>
      </c>
      <c r="CA449" t="n">
        <v>6876</v>
      </c>
      <c r="CB449" t="n">
        <v>51</v>
      </c>
      <c r="CC449" t="n">
        <v>17</v>
      </c>
      <c r="CD449" t="n">
        <v>51</v>
      </c>
      <c r="CE449" t="n">
        <v>766</v>
      </c>
      <c r="CF449" t="n">
        <v>15.02</v>
      </c>
      <c r="CG449" t="n">
        <v>0</v>
      </c>
      <c r="CH449" t="n">
        <v>0</v>
      </c>
      <c r="CI449" t="n">
        <v>0</v>
      </c>
      <c r="CJ449" t="n">
        <v>0</v>
      </c>
      <c r="CK449" t="n">
        <v>1</v>
      </c>
      <c r="CL449" t="n">
        <v>1</v>
      </c>
      <c r="CM449" t="n">
        <v>1</v>
      </c>
      <c r="CN449" t="n">
        <v>284</v>
      </c>
      <c r="CO449" t="n">
        <v>0</v>
      </c>
      <c r="CP449" t="n">
        <v>13</v>
      </c>
      <c r="CQ449" t="n">
        <v>11</v>
      </c>
      <c r="CR449" t="n">
        <v>0</v>
      </c>
      <c r="CS449" t="n">
        <v>0</v>
      </c>
      <c r="CT449" t="n">
        <v>311</v>
      </c>
      <c r="CU449" t="n">
        <v>0</v>
      </c>
      <c r="CV449" t="n">
        <v>0</v>
      </c>
      <c r="CW449" t="n">
        <v>8</v>
      </c>
      <c r="CX449" t="n">
        <v>0</v>
      </c>
      <c r="CY449" t="n">
        <v>176</v>
      </c>
      <c r="CZ449" t="n">
        <v>6</v>
      </c>
      <c r="DA449" t="n">
        <v>0</v>
      </c>
      <c r="DB449" t="n">
        <v>0</v>
      </c>
      <c r="DC449" t="n">
        <v>190</v>
      </c>
      <c r="DD449" t="n">
        <v>0</v>
      </c>
      <c r="DE449" t="n">
        <v>0</v>
      </c>
      <c r="DF449" t="n">
        <v>763</v>
      </c>
      <c r="DG449" t="n">
        <v>51</v>
      </c>
      <c r="DH449" t="n">
        <v>0</v>
      </c>
      <c r="DI449" t="n">
        <v>0</v>
      </c>
      <c r="DJ449" t="n">
        <v>0</v>
      </c>
      <c r="DK449" t="n">
        <v>0</v>
      </c>
      <c r="DL449" t="n">
        <v>3</v>
      </c>
      <c r="DM449" t="n">
        <v>0</v>
      </c>
      <c r="DN449" t="n">
        <v>0</v>
      </c>
      <c r="DO449" t="n">
        <v>0</v>
      </c>
      <c r="DP449" t="n">
        <v>0</v>
      </c>
      <c r="DQ449" t="n">
        <v>0</v>
      </c>
      <c r="DR449" t="n">
        <v>0</v>
      </c>
      <c r="DS449" t="n">
        <v>817</v>
      </c>
      <c r="DT449" t="n">
        <v>1318</v>
      </c>
      <c r="DU449" t="n">
        <v>514</v>
      </c>
      <c r="DV449" t="n">
        <v>0</v>
      </c>
      <c r="DW449" t="n">
        <v>0</v>
      </c>
      <c r="DX449" t="n">
        <v>0</v>
      </c>
      <c r="DY449" t="n">
        <v>5144</v>
      </c>
      <c r="DZ449" t="n">
        <v>3858</v>
      </c>
      <c r="EA449" t="n">
        <v>900</v>
      </c>
      <c r="EB449" t="n">
        <v>2715</v>
      </c>
      <c r="EC449" t="n">
        <v>643</v>
      </c>
      <c r="ED449" t="n">
        <v>2890</v>
      </c>
      <c r="EE449" t="n">
        <v>10370</v>
      </c>
      <c r="EF449" t="n">
        <v>0</v>
      </c>
      <c r="EG449" t="n">
        <v>0</v>
      </c>
      <c r="EH449" t="n">
        <v>1.6</v>
      </c>
      <c r="EI449" t="n">
        <v>10.4</v>
      </c>
      <c r="EJ449" t="n">
        <v>1.8</v>
      </c>
      <c r="EK449" t="n">
        <v>11.6</v>
      </c>
    </row>
    <row r="450">
      <c r="A450">
        <f>[1]ingredient!B451</f>
        <v/>
      </c>
      <c r="B450" t="inlineStr">
        <is>
          <t>https://www.naehrwertrechner.de/naehrwerte/C115001/Weizen+Keimflocken/?menge=100</t>
        </is>
      </c>
      <c r="C450" s="7">
        <f>_xlfn.XLOOKUP(A450,[1]ingredient!$B$2:$B$521,[1]ingredient!$A$2:$A$521)</f>
        <v/>
      </c>
      <c r="D450" t="n">
        <v>322</v>
      </c>
      <c r="E450" t="n">
        <v>9</v>
      </c>
      <c r="F450" t="n">
        <v>29</v>
      </c>
      <c r="G450" t="n">
        <v>31</v>
      </c>
      <c r="H450" t="n">
        <v>18</v>
      </c>
      <c r="I450" t="n">
        <v>10</v>
      </c>
      <c r="J450" t="n">
        <v>0.09</v>
      </c>
      <c r="K450" t="n">
        <v>0.14</v>
      </c>
      <c r="L450" t="n">
        <v>10</v>
      </c>
      <c r="M450" t="n">
        <v>5</v>
      </c>
      <c r="N450" t="n">
        <v>0</v>
      </c>
      <c r="O450" t="n">
        <v>62</v>
      </c>
      <c r="P450" t="n">
        <v>2010</v>
      </c>
      <c r="Q450" t="n">
        <v>720</v>
      </c>
      <c r="R450" t="n">
        <v>4520</v>
      </c>
      <c r="S450" t="n">
        <v>9353</v>
      </c>
      <c r="T450" t="n">
        <v>1000</v>
      </c>
      <c r="U450" t="n">
        <v>492</v>
      </c>
      <c r="V450" t="n">
        <v>17</v>
      </c>
      <c r="W450" t="n">
        <v>520</v>
      </c>
      <c r="X450" t="n">
        <v>0</v>
      </c>
      <c r="Y450" t="n">
        <v>0</v>
      </c>
      <c r="Z450" t="n">
        <v>0</v>
      </c>
      <c r="AA450" t="n">
        <v>22100</v>
      </c>
      <c r="AB450" t="n">
        <v>131</v>
      </c>
      <c r="AC450" t="n">
        <v>5</v>
      </c>
      <c r="AD450" t="n">
        <v>1060</v>
      </c>
      <c r="AE450" t="n">
        <v>49</v>
      </c>
      <c r="AF450" t="n">
        <v>290</v>
      </c>
      <c r="AG450" t="n">
        <v>1000</v>
      </c>
      <c r="AH450" t="n">
        <v>250</v>
      </c>
      <c r="AI450" t="n">
        <v>80</v>
      </c>
      <c r="AJ450" t="n">
        <v>8585</v>
      </c>
      <c r="AK450" t="n">
        <v>17800</v>
      </c>
      <c r="AL450" t="n">
        <v>1100</v>
      </c>
      <c r="AM450" t="n">
        <v>16239</v>
      </c>
      <c r="AN450" t="n">
        <v>140</v>
      </c>
      <c r="AO450" t="n">
        <v>0.3</v>
      </c>
      <c r="AP450" t="n">
        <v>0</v>
      </c>
      <c r="AQ450" t="n">
        <v>0</v>
      </c>
      <c r="AR450" t="n">
        <v>0</v>
      </c>
      <c r="AS450" t="n">
        <v>0</v>
      </c>
      <c r="AT450" t="n">
        <v>460</v>
      </c>
      <c r="AU450" t="n">
        <v>306</v>
      </c>
      <c r="AV450" t="n">
        <v>0</v>
      </c>
      <c r="AW450" t="n">
        <v>766</v>
      </c>
      <c r="AX450" t="n">
        <v>9191</v>
      </c>
      <c r="AY450" t="n">
        <v>0</v>
      </c>
      <c r="AZ450" t="n">
        <v>0</v>
      </c>
      <c r="BA450" t="n">
        <v>9191</v>
      </c>
      <c r="BB450" t="n">
        <v>6127</v>
      </c>
      <c r="BC450" t="n">
        <v>9500</v>
      </c>
      <c r="BD450" t="n">
        <v>0</v>
      </c>
      <c r="BE450" t="n">
        <v>14551</v>
      </c>
      <c r="BF450" t="n">
        <v>14551</v>
      </c>
      <c r="BG450">
        <f>IF($F450=0,"0",MIN(
BH450/(30*$F450),
BI450/(61*$F450),
BJ450/(48*$F450),
(BK450+BL450)/(23*$F450),
(BM450+BN450)/(41*$F450),
BO450/(25*$F450),
BP450/(6.6*$F450),
BQ450/(40*$F450),
BS450/(16*$F450)
)*100)</f>
        <v/>
      </c>
      <c r="BH450" t="n">
        <v>1245</v>
      </c>
      <c r="BI450" t="n">
        <v>1911</v>
      </c>
      <c r="BJ450" t="n">
        <v>1737</v>
      </c>
      <c r="BK450" t="n">
        <v>464</v>
      </c>
      <c r="BL450" t="n">
        <v>318</v>
      </c>
      <c r="BM450" t="n">
        <v>1072</v>
      </c>
      <c r="BN450" t="n">
        <v>985</v>
      </c>
      <c r="BO450" t="n">
        <v>1447</v>
      </c>
      <c r="BP450" t="n">
        <v>290</v>
      </c>
      <c r="BQ450" t="n">
        <v>1564</v>
      </c>
      <c r="BR450" t="n">
        <v>2113</v>
      </c>
      <c r="BS450" t="n">
        <v>782</v>
      </c>
      <c r="BT450" t="n">
        <v>13928</v>
      </c>
      <c r="BU450" t="n">
        <v>2026</v>
      </c>
      <c r="BV450" t="n">
        <v>2606</v>
      </c>
      <c r="BW450" t="n">
        <v>4922</v>
      </c>
      <c r="BX450" t="n">
        <v>2113</v>
      </c>
      <c r="BY450" t="n">
        <v>1621</v>
      </c>
      <c r="BZ450" t="n">
        <v>1447</v>
      </c>
      <c r="CA450" t="n">
        <v>14735</v>
      </c>
      <c r="CB450" t="n">
        <v>843</v>
      </c>
      <c r="CC450" t="n">
        <v>281</v>
      </c>
      <c r="CD450" t="n">
        <v>451</v>
      </c>
      <c r="CE450" t="n">
        <v>3355</v>
      </c>
      <c r="CF450" t="n">
        <v>7.44</v>
      </c>
      <c r="CG450" t="n">
        <v>0</v>
      </c>
      <c r="CH450" t="n">
        <v>0</v>
      </c>
      <c r="CI450" t="n">
        <v>0</v>
      </c>
      <c r="CJ450" t="n">
        <v>0</v>
      </c>
      <c r="CK450" t="n">
        <v>0</v>
      </c>
      <c r="CL450" t="n">
        <v>6</v>
      </c>
      <c r="CM450" t="n">
        <v>0</v>
      </c>
      <c r="CN450" t="n">
        <v>1327</v>
      </c>
      <c r="CO450" t="n">
        <v>0</v>
      </c>
      <c r="CP450" t="n">
        <v>52</v>
      </c>
      <c r="CQ450" t="n">
        <v>45</v>
      </c>
      <c r="CR450" t="n">
        <v>0</v>
      </c>
      <c r="CS450" t="n">
        <v>0</v>
      </c>
      <c r="CT450" t="n">
        <v>1430</v>
      </c>
      <c r="CU450" t="n">
        <v>0</v>
      </c>
      <c r="CV450" t="n">
        <v>0</v>
      </c>
      <c r="CW450" t="n">
        <v>32</v>
      </c>
      <c r="CX450" t="n">
        <v>0</v>
      </c>
      <c r="CY450" t="n">
        <v>1172</v>
      </c>
      <c r="CZ450" t="n">
        <v>0</v>
      </c>
      <c r="DA450" t="n">
        <v>0</v>
      </c>
      <c r="DB450" t="n">
        <v>0</v>
      </c>
      <c r="DC450" t="n">
        <v>1204</v>
      </c>
      <c r="DD450" t="n">
        <v>0</v>
      </c>
      <c r="DE450" t="n">
        <v>0</v>
      </c>
      <c r="DF450" t="n">
        <v>3355</v>
      </c>
      <c r="DG450" t="n">
        <v>451</v>
      </c>
      <c r="DH450" t="n">
        <v>0</v>
      </c>
      <c r="DI450" t="n">
        <v>0</v>
      </c>
      <c r="DJ450" t="n">
        <v>0</v>
      </c>
      <c r="DK450" t="n">
        <v>0</v>
      </c>
      <c r="DL450" t="n">
        <v>0</v>
      </c>
      <c r="DM450" t="n">
        <v>0</v>
      </c>
      <c r="DN450" t="n">
        <v>0</v>
      </c>
      <c r="DO450" t="n">
        <v>0</v>
      </c>
      <c r="DP450" t="n">
        <v>0</v>
      </c>
      <c r="DQ450" t="n">
        <v>0</v>
      </c>
      <c r="DR450" t="n">
        <v>0</v>
      </c>
      <c r="DS450" t="n">
        <v>3806</v>
      </c>
      <c r="DT450" t="n">
        <v>6440</v>
      </c>
      <c r="DU450" t="n">
        <v>2760</v>
      </c>
      <c r="DV450" t="n">
        <v>0</v>
      </c>
      <c r="DW450" t="n">
        <v>0</v>
      </c>
      <c r="DX450" t="n">
        <v>0</v>
      </c>
      <c r="DY450" t="n">
        <v>2650</v>
      </c>
      <c r="DZ450" t="n">
        <v>5300</v>
      </c>
      <c r="EA450" t="n">
        <v>3533</v>
      </c>
      <c r="EB450" t="n">
        <v>5300</v>
      </c>
      <c r="EC450" t="n">
        <v>883</v>
      </c>
      <c r="ED450" t="n">
        <v>5300</v>
      </c>
      <c r="EE450" t="n">
        <v>12366</v>
      </c>
      <c r="EF450" t="n">
        <v>0</v>
      </c>
      <c r="EG450" t="n">
        <v>0</v>
      </c>
      <c r="EH450" t="n">
        <v>4.2</v>
      </c>
      <c r="EI450" t="n">
        <v>12.4</v>
      </c>
      <c r="EJ450" t="n">
        <v>9.199999999999999</v>
      </c>
      <c r="EK450" t="n">
        <v>31.2</v>
      </c>
    </row>
    <row r="451">
      <c r="A451">
        <f>[1]ingredient!B452</f>
        <v/>
      </c>
      <c r="B451" t="inlineStr">
        <is>
          <t>https://www.naehrwertrechner.de/naehrwerte/C211000/Weizen+Vollkornmehl/?menge=100</t>
        </is>
      </c>
      <c r="C451" s="7">
        <f>_xlfn.XLOOKUP(A451,[1]ingredient!$B$2:$B$521,[1]ingredient!$A$2:$A$521)</f>
        <v/>
      </c>
      <c r="D451" t="n">
        <v>309</v>
      </c>
      <c r="E451" t="n">
        <v>2</v>
      </c>
      <c r="F451" t="n">
        <v>11</v>
      </c>
      <c r="G451" t="n">
        <v>60</v>
      </c>
      <c r="H451" t="n">
        <v>10</v>
      </c>
      <c r="I451" t="n">
        <v>1</v>
      </c>
      <c r="J451" t="n">
        <v>0.04</v>
      </c>
      <c r="K451" t="n">
        <v>15</v>
      </c>
      <c r="L451" t="n">
        <v>2</v>
      </c>
      <c r="M451" t="n">
        <v>1</v>
      </c>
      <c r="N451" t="n">
        <v>0</v>
      </c>
      <c r="O451" t="n">
        <v>10</v>
      </c>
      <c r="P451" t="n">
        <v>470</v>
      </c>
      <c r="Q451" t="n">
        <v>170</v>
      </c>
      <c r="R451" t="n">
        <v>5200</v>
      </c>
      <c r="S451" t="n">
        <v>7117</v>
      </c>
      <c r="T451" t="n">
        <v>1200</v>
      </c>
      <c r="U451" t="n">
        <v>460</v>
      </c>
      <c r="V451" t="n">
        <v>8</v>
      </c>
      <c r="W451" t="n">
        <v>50</v>
      </c>
      <c r="X451" t="n">
        <v>0</v>
      </c>
      <c r="Y451" t="n">
        <v>0</v>
      </c>
      <c r="Z451" t="n">
        <v>0</v>
      </c>
      <c r="AA451" t="n">
        <v>1400</v>
      </c>
      <c r="AB451" t="n">
        <v>0</v>
      </c>
      <c r="AC451" t="n">
        <v>3</v>
      </c>
      <c r="AD451" t="n">
        <v>337</v>
      </c>
      <c r="AE451" t="n">
        <v>32</v>
      </c>
      <c r="AF451" t="n">
        <v>124</v>
      </c>
      <c r="AG451" t="n">
        <v>345</v>
      </c>
      <c r="AH451" t="n">
        <v>125</v>
      </c>
      <c r="AI451" t="n">
        <v>37</v>
      </c>
      <c r="AJ451" t="n">
        <v>3400</v>
      </c>
      <c r="AK451" t="n">
        <v>3400</v>
      </c>
      <c r="AL451" t="n">
        <v>630</v>
      </c>
      <c r="AM451" t="n">
        <v>3100</v>
      </c>
      <c r="AN451" t="n">
        <v>90</v>
      </c>
      <c r="AO451" t="n">
        <v>3</v>
      </c>
      <c r="AP451" t="n">
        <v>0</v>
      </c>
      <c r="AQ451" t="n">
        <v>0</v>
      </c>
      <c r="AR451" t="n">
        <v>0</v>
      </c>
      <c r="AS451" t="n">
        <v>0</v>
      </c>
      <c r="AT451" t="n">
        <v>60</v>
      </c>
      <c r="AU451" t="n">
        <v>60</v>
      </c>
      <c r="AV451" t="n">
        <v>0</v>
      </c>
      <c r="AW451" t="n">
        <v>120</v>
      </c>
      <c r="AX451" t="n">
        <v>595</v>
      </c>
      <c r="AY451" t="n">
        <v>0</v>
      </c>
      <c r="AZ451" t="n">
        <v>0</v>
      </c>
      <c r="BA451" t="n">
        <v>595</v>
      </c>
      <c r="BB451" t="n">
        <v>357</v>
      </c>
      <c r="BC451" t="n">
        <v>0</v>
      </c>
      <c r="BD451" t="n">
        <v>0</v>
      </c>
      <c r="BE451" t="n">
        <v>58458</v>
      </c>
      <c r="BF451" t="n">
        <v>58458</v>
      </c>
      <c r="BG451">
        <f>IF($F451=0,"0",MIN(
BH451/(30*$F451),
BI451/(61*$F451),
BJ451/(48*$F451),
(BK451+BL451)/(23*$F451),
(BM451+BN451)/(41*$F451),
BO451/(25*$F451),
BP451/(6.6*$F451),
BQ451/(40*$F451),
BS451/(16*$F451)
)*100)</f>
        <v/>
      </c>
      <c r="BH451" t="n">
        <v>450</v>
      </c>
      <c r="BI451" t="n">
        <v>772</v>
      </c>
      <c r="BJ451" t="n">
        <v>311</v>
      </c>
      <c r="BK451" t="n">
        <v>173</v>
      </c>
      <c r="BL451" t="n">
        <v>230</v>
      </c>
      <c r="BM451" t="n">
        <v>530</v>
      </c>
      <c r="BN451" t="n">
        <v>346</v>
      </c>
      <c r="BO451" t="n">
        <v>334</v>
      </c>
      <c r="BP451" t="n">
        <v>115</v>
      </c>
      <c r="BQ451" t="n">
        <v>518</v>
      </c>
      <c r="BR451" t="n">
        <v>518</v>
      </c>
      <c r="BS451" t="n">
        <v>219</v>
      </c>
      <c r="BT451" t="n">
        <v>4516</v>
      </c>
      <c r="BU451" t="n">
        <v>403</v>
      </c>
      <c r="BV451" t="n">
        <v>565</v>
      </c>
      <c r="BW451" t="n">
        <v>3493</v>
      </c>
      <c r="BX451" t="n">
        <v>530</v>
      </c>
      <c r="BY451" t="n">
        <v>1314</v>
      </c>
      <c r="BZ451" t="n">
        <v>588</v>
      </c>
      <c r="CA451" t="n">
        <v>6893</v>
      </c>
      <c r="CB451" t="n">
        <v>82</v>
      </c>
      <c r="CC451" t="n">
        <v>34</v>
      </c>
      <c r="CD451" t="n">
        <v>68</v>
      </c>
      <c r="CE451" t="n">
        <v>1012</v>
      </c>
      <c r="CF451" t="n">
        <v>14.88</v>
      </c>
      <c r="CG451" t="n">
        <v>0</v>
      </c>
      <c r="CH451" t="n">
        <v>0</v>
      </c>
      <c r="CI451" t="n">
        <v>0</v>
      </c>
      <c r="CJ451" t="n">
        <v>0</v>
      </c>
      <c r="CK451" t="n">
        <v>2</v>
      </c>
      <c r="CL451" t="n">
        <v>3</v>
      </c>
      <c r="CM451" t="n">
        <v>2</v>
      </c>
      <c r="CN451" t="n">
        <v>306</v>
      </c>
      <c r="CO451" t="n">
        <v>0</v>
      </c>
      <c r="CP451" t="n">
        <v>17</v>
      </c>
      <c r="CQ451" t="n">
        <v>14</v>
      </c>
      <c r="CR451" t="n">
        <v>0</v>
      </c>
      <c r="CS451" t="n">
        <v>0</v>
      </c>
      <c r="CT451" t="n">
        <v>344</v>
      </c>
      <c r="CU451" t="n">
        <v>0</v>
      </c>
      <c r="CV451" t="n">
        <v>0</v>
      </c>
      <c r="CW451" t="n">
        <v>8</v>
      </c>
      <c r="CX451" t="n">
        <v>0</v>
      </c>
      <c r="CY451" t="n">
        <v>260</v>
      </c>
      <c r="CZ451" t="n">
        <v>7</v>
      </c>
      <c r="DA451" t="n">
        <v>0</v>
      </c>
      <c r="DB451" t="n">
        <v>0</v>
      </c>
      <c r="DC451" t="n">
        <v>275</v>
      </c>
      <c r="DD451" t="n">
        <v>0</v>
      </c>
      <c r="DE451" t="n">
        <v>0</v>
      </c>
      <c r="DF451" t="n">
        <v>1009</v>
      </c>
      <c r="DG451" t="n">
        <v>68</v>
      </c>
      <c r="DH451" t="n">
        <v>0</v>
      </c>
      <c r="DI451" t="n">
        <v>0</v>
      </c>
      <c r="DJ451" t="n">
        <v>0</v>
      </c>
      <c r="DK451" t="n">
        <v>0</v>
      </c>
      <c r="DL451" t="n">
        <v>3</v>
      </c>
      <c r="DM451" t="n">
        <v>0</v>
      </c>
      <c r="DN451" t="n">
        <v>0</v>
      </c>
      <c r="DO451" t="n">
        <v>0</v>
      </c>
      <c r="DP451" t="n">
        <v>0</v>
      </c>
      <c r="DQ451" t="n">
        <v>0</v>
      </c>
      <c r="DR451" t="n">
        <v>0</v>
      </c>
      <c r="DS451" t="n">
        <v>1080</v>
      </c>
      <c r="DT451" t="n">
        <v>1699</v>
      </c>
      <c r="DU451" t="n">
        <v>661</v>
      </c>
      <c r="DV451" t="n">
        <v>0</v>
      </c>
      <c r="DW451" t="n">
        <v>0</v>
      </c>
      <c r="DX451" t="n">
        <v>0</v>
      </c>
      <c r="DY451" t="n">
        <v>4000</v>
      </c>
      <c r="DZ451" t="n">
        <v>3000</v>
      </c>
      <c r="EA451" t="n">
        <v>700</v>
      </c>
      <c r="EB451" t="n">
        <v>1800</v>
      </c>
      <c r="EC451" t="n">
        <v>500</v>
      </c>
      <c r="ED451" t="n">
        <v>2300</v>
      </c>
      <c r="EE451" t="n">
        <v>7700</v>
      </c>
      <c r="EF451" t="n">
        <v>0</v>
      </c>
      <c r="EG451" t="n">
        <v>0</v>
      </c>
      <c r="EH451" t="n">
        <v>1.7</v>
      </c>
      <c r="EI451" t="n">
        <v>7.7</v>
      </c>
      <c r="EJ451" t="n">
        <v>2.4</v>
      </c>
      <c r="EK451" t="n">
        <v>11.7</v>
      </c>
    </row>
    <row r="452">
      <c r="A452">
        <f>[1]ingredient!B453</f>
        <v/>
      </c>
      <c r="B452" t="inlineStr">
        <is>
          <t>https://www.naehrwertrechner.de/naehrwerte/H670111/Getreidesprossen+frisch/?menge=100</t>
        </is>
      </c>
      <c r="C452" s="7">
        <f>_xlfn.XLOOKUP(A452,[1]ingredient!$B$2:$B$521,[1]ingredient!$A$2:$A$521)</f>
        <v/>
      </c>
      <c r="D452" t="n">
        <v>70</v>
      </c>
      <c r="E452" t="n">
        <v>0.4</v>
      </c>
      <c r="F452" t="n">
        <v>3</v>
      </c>
      <c r="G452" t="n">
        <v>13</v>
      </c>
      <c r="H452" t="n">
        <v>3</v>
      </c>
      <c r="I452" t="n">
        <v>6</v>
      </c>
      <c r="J452" t="n">
        <v>0.02</v>
      </c>
      <c r="K452" t="n">
        <v>80</v>
      </c>
      <c r="L452" t="n">
        <v>1</v>
      </c>
      <c r="M452" t="n">
        <v>0.42</v>
      </c>
      <c r="N452" t="n">
        <v>0</v>
      </c>
      <c r="O452" t="n">
        <v>5</v>
      </c>
      <c r="P452" t="n">
        <v>120</v>
      </c>
      <c r="Q452" t="n">
        <v>40</v>
      </c>
      <c r="R452" t="n">
        <v>2350</v>
      </c>
      <c r="S452" t="n">
        <v>2883</v>
      </c>
      <c r="T452" t="n">
        <v>300</v>
      </c>
      <c r="U452" t="n">
        <v>110</v>
      </c>
      <c r="V452" t="n">
        <v>2</v>
      </c>
      <c r="W452" t="n">
        <v>6</v>
      </c>
      <c r="X452" t="n">
        <v>0</v>
      </c>
      <c r="Y452" t="n">
        <v>0</v>
      </c>
      <c r="Z452" t="n">
        <v>0</v>
      </c>
      <c r="AA452" t="n">
        <v>330</v>
      </c>
      <c r="AB452" t="n">
        <v>5</v>
      </c>
      <c r="AC452" t="n">
        <v>1</v>
      </c>
      <c r="AD452" t="n">
        <v>100</v>
      </c>
      <c r="AE452" t="n">
        <v>11</v>
      </c>
      <c r="AF452" t="n">
        <v>50</v>
      </c>
      <c r="AG452" t="n">
        <v>100</v>
      </c>
      <c r="AH452" t="n">
        <v>30</v>
      </c>
      <c r="AI452" t="n">
        <v>15</v>
      </c>
      <c r="AJ452" t="n">
        <v>800</v>
      </c>
      <c r="AK452" t="n">
        <v>950</v>
      </c>
      <c r="AL452" t="n">
        <v>150</v>
      </c>
      <c r="AM452" t="n">
        <v>700</v>
      </c>
      <c r="AN452" t="n">
        <v>25</v>
      </c>
      <c r="AO452" t="n">
        <v>0.2</v>
      </c>
      <c r="AP452" t="n">
        <v>0</v>
      </c>
      <c r="AQ452" t="n">
        <v>0</v>
      </c>
      <c r="AR452" t="n">
        <v>0</v>
      </c>
      <c r="AS452" t="n">
        <v>0</v>
      </c>
      <c r="AT452" t="n">
        <v>2600</v>
      </c>
      <c r="AU452" t="n">
        <v>2600</v>
      </c>
      <c r="AV452" t="n">
        <v>0</v>
      </c>
      <c r="AW452" t="n">
        <v>5200</v>
      </c>
      <c r="AX452" t="n">
        <v>650</v>
      </c>
      <c r="AY452" t="n">
        <v>0</v>
      </c>
      <c r="AZ452" t="n">
        <v>0</v>
      </c>
      <c r="BA452" t="n">
        <v>650</v>
      </c>
      <c r="BB452" t="n">
        <v>0</v>
      </c>
      <c r="BC452" t="n">
        <v>0</v>
      </c>
      <c r="BD452" t="n">
        <v>0</v>
      </c>
      <c r="BE452" t="n">
        <v>7150</v>
      </c>
      <c r="BF452" t="n">
        <v>7150</v>
      </c>
      <c r="BG452">
        <f>IF($F452=0,"0",MIN(
BH452/(30*$F452),
BI452/(61*$F452),
BJ452/(48*$F452),
(BK452+BL452)/(23*$F452),
(BM452+BN452)/(41*$F452),
BO452/(25*$F452),
BP452/(6.6*$F452),
BQ452/(40*$F452),
BS452/(16*$F452)
)*100)</f>
        <v/>
      </c>
      <c r="BH452" t="n">
        <v>125</v>
      </c>
      <c r="BI452" t="n">
        <v>214</v>
      </c>
      <c r="BJ452" t="n">
        <v>86</v>
      </c>
      <c r="BK452" t="n">
        <v>48</v>
      </c>
      <c r="BL452" t="n">
        <v>64</v>
      </c>
      <c r="BM452" t="n">
        <v>147</v>
      </c>
      <c r="BN452" t="n">
        <v>96</v>
      </c>
      <c r="BO452" t="n">
        <v>93</v>
      </c>
      <c r="BP452" t="n">
        <v>32</v>
      </c>
      <c r="BQ452" t="n">
        <v>144</v>
      </c>
      <c r="BR452" t="n">
        <v>144</v>
      </c>
      <c r="BS452" t="n">
        <v>61</v>
      </c>
      <c r="BT452" t="n">
        <v>1254</v>
      </c>
      <c r="BU452" t="n">
        <v>112</v>
      </c>
      <c r="BV452" t="n">
        <v>157</v>
      </c>
      <c r="BW452" t="n">
        <v>970</v>
      </c>
      <c r="BX452" t="n">
        <v>147</v>
      </c>
      <c r="BY452" t="n">
        <v>365</v>
      </c>
      <c r="BZ452" t="n">
        <v>163</v>
      </c>
      <c r="CA452" t="n">
        <v>1914</v>
      </c>
      <c r="CB452" t="n">
        <v>15</v>
      </c>
      <c r="CC452" t="n">
        <v>6</v>
      </c>
      <c r="CD452" t="n">
        <v>20</v>
      </c>
      <c r="CE452" t="n">
        <v>146</v>
      </c>
      <c r="CF452" t="n">
        <v>7.3</v>
      </c>
      <c r="CG452" t="n">
        <v>0</v>
      </c>
      <c r="CH452" t="n">
        <v>0</v>
      </c>
      <c r="CI452" t="n">
        <v>0</v>
      </c>
      <c r="CJ452" t="n">
        <v>0</v>
      </c>
      <c r="CK452" t="n">
        <v>0</v>
      </c>
      <c r="CL452" t="n">
        <v>0</v>
      </c>
      <c r="CM452" t="n">
        <v>0</v>
      </c>
      <c r="CN452" t="n">
        <v>58</v>
      </c>
      <c r="CO452" t="n">
        <v>0</v>
      </c>
      <c r="CP452" t="n">
        <v>2</v>
      </c>
      <c r="CQ452" t="n">
        <v>2</v>
      </c>
      <c r="CR452" t="n">
        <v>0</v>
      </c>
      <c r="CS452" t="n">
        <v>0</v>
      </c>
      <c r="CT452" t="n">
        <v>62</v>
      </c>
      <c r="CU452" t="n">
        <v>0</v>
      </c>
      <c r="CV452" t="n">
        <v>0</v>
      </c>
      <c r="CW452" t="n">
        <v>1</v>
      </c>
      <c r="CX452" t="n">
        <v>0</v>
      </c>
      <c r="CY452" t="n">
        <v>51</v>
      </c>
      <c r="CZ452" t="n">
        <v>0</v>
      </c>
      <c r="DA452" t="n">
        <v>0</v>
      </c>
      <c r="DB452" t="n">
        <v>0</v>
      </c>
      <c r="DC452" t="n">
        <v>52</v>
      </c>
      <c r="DD452" t="n">
        <v>0</v>
      </c>
      <c r="DE452" t="n">
        <v>0</v>
      </c>
      <c r="DF452" t="n">
        <v>146</v>
      </c>
      <c r="DG452" t="n">
        <v>20</v>
      </c>
      <c r="DH452" t="n">
        <v>0</v>
      </c>
      <c r="DI452" t="n">
        <v>0</v>
      </c>
      <c r="DJ452" t="n">
        <v>0</v>
      </c>
      <c r="DK452" t="n">
        <v>0</v>
      </c>
      <c r="DL452" t="n">
        <v>0</v>
      </c>
      <c r="DM452" t="n">
        <v>0</v>
      </c>
      <c r="DN452" t="n">
        <v>0</v>
      </c>
      <c r="DO452" t="n">
        <v>0</v>
      </c>
      <c r="DP452" t="n">
        <v>0</v>
      </c>
      <c r="DQ452" t="n">
        <v>0</v>
      </c>
      <c r="DR452" t="n">
        <v>0</v>
      </c>
      <c r="DS452" t="n">
        <v>166</v>
      </c>
      <c r="DT452" t="n">
        <v>280</v>
      </c>
      <c r="DU452" t="n">
        <v>120</v>
      </c>
      <c r="DV452" t="n">
        <v>0</v>
      </c>
      <c r="DW452" t="n">
        <v>0</v>
      </c>
      <c r="DX452" t="n">
        <v>0</v>
      </c>
      <c r="DY452" t="n">
        <v>1000</v>
      </c>
      <c r="DZ452" t="n">
        <v>1000</v>
      </c>
      <c r="EA452" t="n">
        <v>200</v>
      </c>
      <c r="EB452" t="n">
        <v>250</v>
      </c>
      <c r="EC452" t="n">
        <v>50</v>
      </c>
      <c r="ED452" t="n">
        <v>750</v>
      </c>
      <c r="EE452" t="n">
        <v>1750</v>
      </c>
      <c r="EF452" t="n">
        <v>0</v>
      </c>
      <c r="EG452" t="n">
        <v>0.05</v>
      </c>
      <c r="EH452" t="n">
        <v>0.5</v>
      </c>
      <c r="EI452" t="n">
        <v>1.8</v>
      </c>
      <c r="EJ452" t="n">
        <v>0.4</v>
      </c>
      <c r="EK452" t="n">
        <v>3.2</v>
      </c>
    </row>
    <row r="453">
      <c r="A453">
        <f>[1]ingredient!B454</f>
        <v/>
      </c>
      <c r="B453" t="inlineStr">
        <is>
          <t>https://www.naehrwertrechner.de/naehrwerte/E520011/Vollkornteigwaren+eifrei/?menge=100</t>
        </is>
      </c>
      <c r="C453" s="7">
        <f>_xlfn.XLOOKUP(A453,[1]ingredient!$B$2:$B$521,[1]ingredient!$A$2:$A$521)</f>
        <v/>
      </c>
      <c r="D453" t="n">
        <v>335</v>
      </c>
      <c r="E453" t="n">
        <v>2.1</v>
      </c>
      <c r="F453" t="n">
        <v>12.5</v>
      </c>
      <c r="G453" t="n">
        <v>62</v>
      </c>
      <c r="H453" t="n">
        <v>12</v>
      </c>
      <c r="I453" t="n">
        <v>1</v>
      </c>
      <c r="J453" t="n">
        <v>0.01</v>
      </c>
      <c r="K453" t="n">
        <v>11</v>
      </c>
      <c r="L453" t="n">
        <v>0</v>
      </c>
      <c r="M453" t="n">
        <v>0</v>
      </c>
      <c r="N453" t="n">
        <v>0</v>
      </c>
      <c r="O453" t="n">
        <v>0</v>
      </c>
      <c r="P453" t="n">
        <v>670</v>
      </c>
      <c r="Q453" t="n">
        <v>110</v>
      </c>
      <c r="R453" t="n">
        <v>3100</v>
      </c>
      <c r="S453" t="n">
        <v>5333</v>
      </c>
      <c r="T453" t="n">
        <v>800</v>
      </c>
      <c r="U453" t="n">
        <v>200</v>
      </c>
      <c r="V453" t="n">
        <v>1</v>
      </c>
      <c r="W453" t="n">
        <v>40</v>
      </c>
      <c r="X453" t="n">
        <v>0</v>
      </c>
      <c r="Y453" t="n">
        <v>0</v>
      </c>
      <c r="Z453" t="n">
        <v>0</v>
      </c>
      <c r="AA453" t="n">
        <v>250</v>
      </c>
      <c r="AB453" t="n">
        <v>0</v>
      </c>
      <c r="AC453" t="n">
        <v>5</v>
      </c>
      <c r="AD453" t="n">
        <v>390</v>
      </c>
      <c r="AE453" t="n">
        <v>34</v>
      </c>
      <c r="AF453" t="n">
        <v>120</v>
      </c>
      <c r="AG453" t="n">
        <v>370</v>
      </c>
      <c r="AH453" t="n">
        <v>190</v>
      </c>
      <c r="AI453" t="n">
        <v>22</v>
      </c>
      <c r="AJ453" t="n">
        <v>3900</v>
      </c>
      <c r="AK453" t="n">
        <v>3000</v>
      </c>
      <c r="AL453" t="n">
        <v>510</v>
      </c>
      <c r="AM453" t="n">
        <v>264</v>
      </c>
      <c r="AN453" t="n">
        <v>40</v>
      </c>
      <c r="AO453" t="n">
        <v>2</v>
      </c>
      <c r="AP453" t="n">
        <v>0</v>
      </c>
      <c r="AQ453" t="n">
        <v>0</v>
      </c>
      <c r="AR453" t="n">
        <v>0</v>
      </c>
      <c r="AS453" t="n">
        <v>0</v>
      </c>
      <c r="AT453" t="n">
        <v>61</v>
      </c>
      <c r="AU453" t="n">
        <v>61</v>
      </c>
      <c r="AV453" t="n">
        <v>0</v>
      </c>
      <c r="AW453" t="n">
        <v>122</v>
      </c>
      <c r="AX453" t="n">
        <v>606</v>
      </c>
      <c r="AY453" t="n">
        <v>0</v>
      </c>
      <c r="AZ453" t="n">
        <v>0</v>
      </c>
      <c r="BA453" t="n">
        <v>606</v>
      </c>
      <c r="BB453" t="n">
        <v>364</v>
      </c>
      <c r="BC453" t="n">
        <v>0</v>
      </c>
      <c r="BD453" t="n">
        <v>0</v>
      </c>
      <c r="BE453" t="n">
        <v>59508</v>
      </c>
      <c r="BF453" t="n">
        <v>59508</v>
      </c>
      <c r="BG453">
        <f>IF($F453=0,"0",MIN(
BH453/(30*$F453),
BI453/(61*$F453),
BJ453/(48*$F453),
(BK453+BL453)/(23*$F453),
(BM453+BN453)/(41*$F453),
BO453/(25*$F453),
BP453/(6.6*$F453),
BQ453/(40*$F453),
BS453/(16*$F453)
)*100)</f>
        <v/>
      </c>
      <c r="BH453" t="n">
        <v>523</v>
      </c>
      <c r="BI453" t="n">
        <v>898</v>
      </c>
      <c r="BJ453" t="n">
        <v>362</v>
      </c>
      <c r="BK453" t="n">
        <v>201</v>
      </c>
      <c r="BL453" t="n">
        <v>268</v>
      </c>
      <c r="BM453" t="n">
        <v>616</v>
      </c>
      <c r="BN453" t="n">
        <v>402</v>
      </c>
      <c r="BO453" t="n">
        <v>389</v>
      </c>
      <c r="BP453" t="n">
        <v>134</v>
      </c>
      <c r="BQ453" t="n">
        <v>603</v>
      </c>
      <c r="BR453" t="n">
        <v>603</v>
      </c>
      <c r="BS453" t="n">
        <v>255</v>
      </c>
      <c r="BT453" t="n">
        <v>5254</v>
      </c>
      <c r="BU453" t="n">
        <v>469</v>
      </c>
      <c r="BV453" t="n">
        <v>657</v>
      </c>
      <c r="BW453" t="n">
        <v>4059</v>
      </c>
      <c r="BX453" t="n">
        <v>616</v>
      </c>
      <c r="BY453" t="n">
        <v>1528</v>
      </c>
      <c r="BZ453" t="n">
        <v>683</v>
      </c>
      <c r="CA453" t="n">
        <v>8012</v>
      </c>
      <c r="CB453" t="n">
        <v>80</v>
      </c>
      <c r="CC453" t="n">
        <v>33</v>
      </c>
      <c r="CD453" t="n">
        <v>72</v>
      </c>
      <c r="CE453" t="n">
        <v>1073</v>
      </c>
      <c r="CF453" t="n">
        <v>14.9</v>
      </c>
      <c r="CG453" t="n">
        <v>0</v>
      </c>
      <c r="CH453" t="n">
        <v>0</v>
      </c>
      <c r="CI453" t="n">
        <v>0</v>
      </c>
      <c r="CJ453" t="n">
        <v>0</v>
      </c>
      <c r="CK453" t="n">
        <v>2</v>
      </c>
      <c r="CL453" t="n">
        <v>4</v>
      </c>
      <c r="CM453" t="n">
        <v>2</v>
      </c>
      <c r="CN453" t="n">
        <v>324</v>
      </c>
      <c r="CO453" t="n">
        <v>0</v>
      </c>
      <c r="CP453" t="n">
        <v>18</v>
      </c>
      <c r="CQ453" t="n">
        <v>14</v>
      </c>
      <c r="CR453" t="n">
        <v>0</v>
      </c>
      <c r="CS453" t="n">
        <v>0</v>
      </c>
      <c r="CT453" t="n">
        <v>364</v>
      </c>
      <c r="CU453" t="n">
        <v>0</v>
      </c>
      <c r="CV453" t="n">
        <v>0</v>
      </c>
      <c r="CW453" t="n">
        <v>9</v>
      </c>
      <c r="CX453" t="n">
        <v>0</v>
      </c>
      <c r="CY453" t="n">
        <v>275</v>
      </c>
      <c r="CZ453" t="n">
        <v>7</v>
      </c>
      <c r="DA453" t="n">
        <v>0</v>
      </c>
      <c r="DB453" t="n">
        <v>0</v>
      </c>
      <c r="DC453" t="n">
        <v>291</v>
      </c>
      <c r="DD453" t="n">
        <v>0</v>
      </c>
      <c r="DE453" t="n">
        <v>0</v>
      </c>
      <c r="DF453" t="n">
        <v>1069</v>
      </c>
      <c r="DG453" t="n">
        <v>72</v>
      </c>
      <c r="DH453" t="n">
        <v>0</v>
      </c>
      <c r="DI453" t="n">
        <v>0</v>
      </c>
      <c r="DJ453" t="n">
        <v>0</v>
      </c>
      <c r="DK453" t="n">
        <v>0</v>
      </c>
      <c r="DL453" t="n">
        <v>4</v>
      </c>
      <c r="DM453" t="n">
        <v>0</v>
      </c>
      <c r="DN453" t="n">
        <v>0</v>
      </c>
      <c r="DO453" t="n">
        <v>0</v>
      </c>
      <c r="DP453" t="n">
        <v>0</v>
      </c>
      <c r="DQ453" t="n">
        <v>0</v>
      </c>
      <c r="DR453" t="n">
        <v>0</v>
      </c>
      <c r="DS453" t="n">
        <v>1145</v>
      </c>
      <c r="DT453" t="n">
        <v>1800</v>
      </c>
      <c r="DU453" t="n">
        <v>700</v>
      </c>
      <c r="DV453" t="n">
        <v>0</v>
      </c>
      <c r="DW453" t="n">
        <v>0</v>
      </c>
      <c r="DX453" t="n">
        <v>0</v>
      </c>
      <c r="DY453" t="n">
        <v>4600</v>
      </c>
      <c r="DZ453" t="n">
        <v>3450</v>
      </c>
      <c r="EA453" t="n">
        <v>805</v>
      </c>
      <c r="EB453" t="n">
        <v>2070</v>
      </c>
      <c r="EC453" t="n">
        <v>575</v>
      </c>
      <c r="ED453" t="n">
        <v>2875</v>
      </c>
      <c r="EE453" t="n">
        <v>8625</v>
      </c>
      <c r="EF453" t="n">
        <v>0</v>
      </c>
      <c r="EG453" t="n">
        <v>0</v>
      </c>
      <c r="EH453" t="n">
        <v>1.5</v>
      </c>
      <c r="EI453" t="n">
        <v>8.6</v>
      </c>
      <c r="EJ453" t="n">
        <v>2.5</v>
      </c>
      <c r="EK453" t="n">
        <v>13.5</v>
      </c>
    </row>
    <row r="454">
      <c r="A454">
        <f>[1]ingredient!B455</f>
        <v/>
      </c>
      <c r="B454" t="inlineStr">
        <is>
          <t>https://www.naehrwertrechner.de/naehrwerte/E520011/Vollkornteigwaren+eifrei/?menge=100</t>
        </is>
      </c>
      <c r="C454" s="7">
        <f>_xlfn.XLOOKUP(A454,[1]ingredient!$B$2:$B$521,[1]ingredient!$A$2:$A$521)</f>
        <v/>
      </c>
      <c r="D454" t="n">
        <v>335</v>
      </c>
      <c r="E454" t="n">
        <v>2.1</v>
      </c>
      <c r="F454" t="n">
        <v>12.5</v>
      </c>
      <c r="G454" t="n">
        <v>62</v>
      </c>
      <c r="H454" t="n">
        <v>12</v>
      </c>
      <c r="I454" t="n">
        <v>1</v>
      </c>
      <c r="J454" t="n">
        <v>0.01</v>
      </c>
      <c r="K454" t="n">
        <v>11</v>
      </c>
      <c r="L454" t="n">
        <v>0</v>
      </c>
      <c r="M454" t="n">
        <v>0</v>
      </c>
      <c r="N454" t="n">
        <v>0</v>
      </c>
      <c r="O454" t="n">
        <v>0</v>
      </c>
      <c r="P454" t="n">
        <v>670</v>
      </c>
      <c r="Q454" t="n">
        <v>110</v>
      </c>
      <c r="R454" t="n">
        <v>3100</v>
      </c>
      <c r="S454" t="n">
        <v>5333</v>
      </c>
      <c r="T454" t="n">
        <v>800</v>
      </c>
      <c r="U454" t="n">
        <v>200</v>
      </c>
      <c r="V454" t="n">
        <v>1</v>
      </c>
      <c r="W454" t="n">
        <v>40</v>
      </c>
      <c r="X454" t="n">
        <v>0</v>
      </c>
      <c r="Y454" t="n">
        <v>0</v>
      </c>
      <c r="Z454" t="n">
        <v>0</v>
      </c>
      <c r="AA454" t="n">
        <v>250</v>
      </c>
      <c r="AB454" t="n">
        <v>0</v>
      </c>
      <c r="AC454" t="n">
        <v>5</v>
      </c>
      <c r="AD454" t="n">
        <v>390</v>
      </c>
      <c r="AE454" t="n">
        <v>34</v>
      </c>
      <c r="AF454" t="n">
        <v>120</v>
      </c>
      <c r="AG454" t="n">
        <v>370</v>
      </c>
      <c r="AH454" t="n">
        <v>190</v>
      </c>
      <c r="AI454" t="n">
        <v>22</v>
      </c>
      <c r="AJ454" t="n">
        <v>3900</v>
      </c>
      <c r="AK454" t="n">
        <v>3000</v>
      </c>
      <c r="AL454" t="n">
        <v>510</v>
      </c>
      <c r="AM454" t="n">
        <v>264</v>
      </c>
      <c r="AN454" t="n">
        <v>40</v>
      </c>
      <c r="AO454" t="n">
        <v>2</v>
      </c>
      <c r="AP454" t="n">
        <v>0</v>
      </c>
      <c r="AQ454" t="n">
        <v>0</v>
      </c>
      <c r="AR454" t="n">
        <v>0</v>
      </c>
      <c r="AS454" t="n">
        <v>0</v>
      </c>
      <c r="AT454" t="n">
        <v>61</v>
      </c>
      <c r="AU454" t="n">
        <v>61</v>
      </c>
      <c r="AV454" t="n">
        <v>0</v>
      </c>
      <c r="AW454" t="n">
        <v>122</v>
      </c>
      <c r="AX454" t="n">
        <v>606</v>
      </c>
      <c r="AY454" t="n">
        <v>0</v>
      </c>
      <c r="AZ454" t="n">
        <v>0</v>
      </c>
      <c r="BA454" t="n">
        <v>606</v>
      </c>
      <c r="BB454" t="n">
        <v>364</v>
      </c>
      <c r="BC454" t="n">
        <v>0</v>
      </c>
      <c r="BD454" t="n">
        <v>0</v>
      </c>
      <c r="BE454" t="n">
        <v>59508</v>
      </c>
      <c r="BF454" t="n">
        <v>59508</v>
      </c>
      <c r="BG454">
        <f>IF($F454=0,"0",MIN(
BH454/(30*$F454),
BI454/(61*$F454),
BJ454/(48*$F454),
(BK454+BL454)/(23*$F454),
(BM454+BN454)/(41*$F454),
BO454/(25*$F454),
BP454/(6.6*$F454),
BQ454/(40*$F454),
BS454/(16*$F454)
)*100)</f>
        <v/>
      </c>
      <c r="BH454" t="n">
        <v>523</v>
      </c>
      <c r="BI454" t="n">
        <v>898</v>
      </c>
      <c r="BJ454" t="n">
        <v>362</v>
      </c>
      <c r="BK454" t="n">
        <v>201</v>
      </c>
      <c r="BL454" t="n">
        <v>268</v>
      </c>
      <c r="BM454" t="n">
        <v>616</v>
      </c>
      <c r="BN454" t="n">
        <v>402</v>
      </c>
      <c r="BO454" t="n">
        <v>389</v>
      </c>
      <c r="BP454" t="n">
        <v>134</v>
      </c>
      <c r="BQ454" t="n">
        <v>603</v>
      </c>
      <c r="BR454" t="n">
        <v>603</v>
      </c>
      <c r="BS454" t="n">
        <v>255</v>
      </c>
      <c r="BT454" t="n">
        <v>5254</v>
      </c>
      <c r="BU454" t="n">
        <v>469</v>
      </c>
      <c r="BV454" t="n">
        <v>657</v>
      </c>
      <c r="BW454" t="n">
        <v>4059</v>
      </c>
      <c r="BX454" t="n">
        <v>616</v>
      </c>
      <c r="BY454" t="n">
        <v>1528</v>
      </c>
      <c r="BZ454" t="n">
        <v>683</v>
      </c>
      <c r="CA454" t="n">
        <v>8012</v>
      </c>
      <c r="CB454" t="n">
        <v>80</v>
      </c>
      <c r="CC454" t="n">
        <v>33</v>
      </c>
      <c r="CD454" t="n">
        <v>72</v>
      </c>
      <c r="CE454" t="n">
        <v>1073</v>
      </c>
      <c r="CF454" t="n">
        <v>14.9</v>
      </c>
      <c r="CG454" t="n">
        <v>0</v>
      </c>
      <c r="CH454" t="n">
        <v>0</v>
      </c>
      <c r="CI454" t="n">
        <v>0</v>
      </c>
      <c r="CJ454" t="n">
        <v>0</v>
      </c>
      <c r="CK454" t="n">
        <v>2</v>
      </c>
      <c r="CL454" t="n">
        <v>4</v>
      </c>
      <c r="CM454" t="n">
        <v>2</v>
      </c>
      <c r="CN454" t="n">
        <v>324</v>
      </c>
      <c r="CO454" t="n">
        <v>0</v>
      </c>
      <c r="CP454" t="n">
        <v>18</v>
      </c>
      <c r="CQ454" t="n">
        <v>14</v>
      </c>
      <c r="CR454" t="n">
        <v>0</v>
      </c>
      <c r="CS454" t="n">
        <v>0</v>
      </c>
      <c r="CT454" t="n">
        <v>364</v>
      </c>
      <c r="CU454" t="n">
        <v>0</v>
      </c>
      <c r="CV454" t="n">
        <v>0</v>
      </c>
      <c r="CW454" t="n">
        <v>9</v>
      </c>
      <c r="CX454" t="n">
        <v>0</v>
      </c>
      <c r="CY454" t="n">
        <v>275</v>
      </c>
      <c r="CZ454" t="n">
        <v>7</v>
      </c>
      <c r="DA454" t="n">
        <v>0</v>
      </c>
      <c r="DB454" t="n">
        <v>0</v>
      </c>
      <c r="DC454" t="n">
        <v>291</v>
      </c>
      <c r="DD454" t="n">
        <v>0</v>
      </c>
      <c r="DE454" t="n">
        <v>0</v>
      </c>
      <c r="DF454" t="n">
        <v>1069</v>
      </c>
      <c r="DG454" t="n">
        <v>72</v>
      </c>
      <c r="DH454" t="n">
        <v>0</v>
      </c>
      <c r="DI454" t="n">
        <v>0</v>
      </c>
      <c r="DJ454" t="n">
        <v>0</v>
      </c>
      <c r="DK454" t="n">
        <v>0</v>
      </c>
      <c r="DL454" t="n">
        <v>4</v>
      </c>
      <c r="DM454" t="n">
        <v>0</v>
      </c>
      <c r="DN454" t="n">
        <v>0</v>
      </c>
      <c r="DO454" t="n">
        <v>0</v>
      </c>
      <c r="DP454" t="n">
        <v>0</v>
      </c>
      <c r="DQ454" t="n">
        <v>0</v>
      </c>
      <c r="DR454" t="n">
        <v>0</v>
      </c>
      <c r="DS454" t="n">
        <v>1145</v>
      </c>
      <c r="DT454" t="n">
        <v>1800</v>
      </c>
      <c r="DU454" t="n">
        <v>700</v>
      </c>
      <c r="DV454" t="n">
        <v>0</v>
      </c>
      <c r="DW454" t="n">
        <v>0</v>
      </c>
      <c r="DX454" t="n">
        <v>0</v>
      </c>
      <c r="DY454" t="n">
        <v>4600</v>
      </c>
      <c r="DZ454" t="n">
        <v>3450</v>
      </c>
      <c r="EA454" t="n">
        <v>805</v>
      </c>
      <c r="EB454" t="n">
        <v>2070</v>
      </c>
      <c r="EC454" t="n">
        <v>575</v>
      </c>
      <c r="ED454" t="n">
        <v>2875</v>
      </c>
      <c r="EE454" t="n">
        <v>8625</v>
      </c>
      <c r="EF454" t="n">
        <v>0</v>
      </c>
      <c r="EG454" t="n">
        <v>0</v>
      </c>
      <c r="EH454" t="n">
        <v>1.5</v>
      </c>
      <c r="EI454" t="n">
        <v>8.6</v>
      </c>
      <c r="EJ454" t="n">
        <v>2.5</v>
      </c>
      <c r="EK454" t="n">
        <v>13.5</v>
      </c>
    </row>
    <row r="455">
      <c r="A455">
        <f>[1]ingredient!B456</f>
        <v/>
      </c>
      <c r="B455" t="inlineStr">
        <is>
          <t>https://www.naehrwertrechner.de/naehrwerte/E520011/Vollkornteigwaren+eifrei/?menge=100</t>
        </is>
      </c>
      <c r="C455" s="7">
        <f>_xlfn.XLOOKUP(A455,[1]ingredient!$B$2:$B$521,[1]ingredient!$A$2:$A$521)</f>
        <v/>
      </c>
      <c r="D455" t="n">
        <v>335</v>
      </c>
      <c r="E455" t="n">
        <v>2.1</v>
      </c>
      <c r="F455" t="n">
        <v>12.5</v>
      </c>
      <c r="G455" t="n">
        <v>62</v>
      </c>
      <c r="H455" t="n">
        <v>12</v>
      </c>
      <c r="I455" t="n">
        <v>1</v>
      </c>
      <c r="J455" t="n">
        <v>0.01</v>
      </c>
      <c r="K455" t="n">
        <v>11</v>
      </c>
      <c r="L455" t="n">
        <v>0</v>
      </c>
      <c r="M455" t="n">
        <v>0</v>
      </c>
      <c r="N455" t="n">
        <v>0</v>
      </c>
      <c r="O455" t="n">
        <v>0</v>
      </c>
      <c r="P455" t="n">
        <v>670</v>
      </c>
      <c r="Q455" t="n">
        <v>110</v>
      </c>
      <c r="R455" t="n">
        <v>3100</v>
      </c>
      <c r="S455" t="n">
        <v>5333</v>
      </c>
      <c r="T455" t="n">
        <v>800</v>
      </c>
      <c r="U455" t="n">
        <v>200</v>
      </c>
      <c r="V455" t="n">
        <v>1</v>
      </c>
      <c r="W455" t="n">
        <v>40</v>
      </c>
      <c r="X455" t="n">
        <v>0</v>
      </c>
      <c r="Y455" t="n">
        <v>0</v>
      </c>
      <c r="Z455" t="n">
        <v>0</v>
      </c>
      <c r="AA455" t="n">
        <v>250</v>
      </c>
      <c r="AB455" t="n">
        <v>0</v>
      </c>
      <c r="AC455" t="n">
        <v>5</v>
      </c>
      <c r="AD455" t="n">
        <v>390</v>
      </c>
      <c r="AE455" t="n">
        <v>34</v>
      </c>
      <c r="AF455" t="n">
        <v>120</v>
      </c>
      <c r="AG455" t="n">
        <v>370</v>
      </c>
      <c r="AH455" t="n">
        <v>190</v>
      </c>
      <c r="AI455" t="n">
        <v>22</v>
      </c>
      <c r="AJ455" t="n">
        <v>3900</v>
      </c>
      <c r="AK455" t="n">
        <v>3000</v>
      </c>
      <c r="AL455" t="n">
        <v>510</v>
      </c>
      <c r="AM455" t="n">
        <v>264</v>
      </c>
      <c r="AN455" t="n">
        <v>40</v>
      </c>
      <c r="AO455" t="n">
        <v>2</v>
      </c>
      <c r="AP455" t="n">
        <v>0</v>
      </c>
      <c r="AQ455" t="n">
        <v>0</v>
      </c>
      <c r="AR455" t="n">
        <v>0</v>
      </c>
      <c r="AS455" t="n">
        <v>0</v>
      </c>
      <c r="AT455" t="n">
        <v>61</v>
      </c>
      <c r="AU455" t="n">
        <v>61</v>
      </c>
      <c r="AV455" t="n">
        <v>0</v>
      </c>
      <c r="AW455" t="n">
        <v>122</v>
      </c>
      <c r="AX455" t="n">
        <v>606</v>
      </c>
      <c r="AY455" t="n">
        <v>0</v>
      </c>
      <c r="AZ455" t="n">
        <v>0</v>
      </c>
      <c r="BA455" t="n">
        <v>606</v>
      </c>
      <c r="BB455" t="n">
        <v>364</v>
      </c>
      <c r="BC455" t="n">
        <v>0</v>
      </c>
      <c r="BD455" t="n">
        <v>0</v>
      </c>
      <c r="BE455" t="n">
        <v>59508</v>
      </c>
      <c r="BF455" t="n">
        <v>59508</v>
      </c>
      <c r="BG455">
        <f>IF($F455=0,"0",MIN(
BH455/(30*$F455),
BI455/(61*$F455),
BJ455/(48*$F455),
(BK455+BL455)/(23*$F455),
(BM455+BN455)/(41*$F455),
BO455/(25*$F455),
BP455/(6.6*$F455),
BQ455/(40*$F455),
BS455/(16*$F455)
)*100)</f>
        <v/>
      </c>
      <c r="BH455" t="n">
        <v>523</v>
      </c>
      <c r="BI455" t="n">
        <v>898</v>
      </c>
      <c r="BJ455" t="n">
        <v>362</v>
      </c>
      <c r="BK455" t="n">
        <v>201</v>
      </c>
      <c r="BL455" t="n">
        <v>268</v>
      </c>
      <c r="BM455" t="n">
        <v>616</v>
      </c>
      <c r="BN455" t="n">
        <v>402</v>
      </c>
      <c r="BO455" t="n">
        <v>389</v>
      </c>
      <c r="BP455" t="n">
        <v>134</v>
      </c>
      <c r="BQ455" t="n">
        <v>603</v>
      </c>
      <c r="BR455" t="n">
        <v>603</v>
      </c>
      <c r="BS455" t="n">
        <v>255</v>
      </c>
      <c r="BT455" t="n">
        <v>5254</v>
      </c>
      <c r="BU455" t="n">
        <v>469</v>
      </c>
      <c r="BV455" t="n">
        <v>657</v>
      </c>
      <c r="BW455" t="n">
        <v>4059</v>
      </c>
      <c r="BX455" t="n">
        <v>616</v>
      </c>
      <c r="BY455" t="n">
        <v>1528</v>
      </c>
      <c r="BZ455" t="n">
        <v>683</v>
      </c>
      <c r="CA455" t="n">
        <v>8012</v>
      </c>
      <c r="CB455" t="n">
        <v>80</v>
      </c>
      <c r="CC455" t="n">
        <v>33</v>
      </c>
      <c r="CD455" t="n">
        <v>72</v>
      </c>
      <c r="CE455" t="n">
        <v>1073</v>
      </c>
      <c r="CF455" t="n">
        <v>14.9</v>
      </c>
      <c r="CG455" t="n">
        <v>0</v>
      </c>
      <c r="CH455" t="n">
        <v>0</v>
      </c>
      <c r="CI455" t="n">
        <v>0</v>
      </c>
      <c r="CJ455" t="n">
        <v>0</v>
      </c>
      <c r="CK455" t="n">
        <v>2</v>
      </c>
      <c r="CL455" t="n">
        <v>4</v>
      </c>
      <c r="CM455" t="n">
        <v>2</v>
      </c>
      <c r="CN455" t="n">
        <v>324</v>
      </c>
      <c r="CO455" t="n">
        <v>0</v>
      </c>
      <c r="CP455" t="n">
        <v>18</v>
      </c>
      <c r="CQ455" t="n">
        <v>14</v>
      </c>
      <c r="CR455" t="n">
        <v>0</v>
      </c>
      <c r="CS455" t="n">
        <v>0</v>
      </c>
      <c r="CT455" t="n">
        <v>364</v>
      </c>
      <c r="CU455" t="n">
        <v>0</v>
      </c>
      <c r="CV455" t="n">
        <v>0</v>
      </c>
      <c r="CW455" t="n">
        <v>9</v>
      </c>
      <c r="CX455" t="n">
        <v>0</v>
      </c>
      <c r="CY455" t="n">
        <v>275</v>
      </c>
      <c r="CZ455" t="n">
        <v>7</v>
      </c>
      <c r="DA455" t="n">
        <v>0</v>
      </c>
      <c r="DB455" t="n">
        <v>0</v>
      </c>
      <c r="DC455" t="n">
        <v>291</v>
      </c>
      <c r="DD455" t="n">
        <v>0</v>
      </c>
      <c r="DE455" t="n">
        <v>0</v>
      </c>
      <c r="DF455" t="n">
        <v>1069</v>
      </c>
      <c r="DG455" t="n">
        <v>72</v>
      </c>
      <c r="DH455" t="n">
        <v>0</v>
      </c>
      <c r="DI455" t="n">
        <v>0</v>
      </c>
      <c r="DJ455" t="n">
        <v>0</v>
      </c>
      <c r="DK455" t="n">
        <v>0</v>
      </c>
      <c r="DL455" t="n">
        <v>4</v>
      </c>
      <c r="DM455" t="n">
        <v>0</v>
      </c>
      <c r="DN455" t="n">
        <v>0</v>
      </c>
      <c r="DO455" t="n">
        <v>0</v>
      </c>
      <c r="DP455" t="n">
        <v>0</v>
      </c>
      <c r="DQ455" t="n">
        <v>0</v>
      </c>
      <c r="DR455" t="n">
        <v>0</v>
      </c>
      <c r="DS455" t="n">
        <v>1145</v>
      </c>
      <c r="DT455" t="n">
        <v>1800</v>
      </c>
      <c r="DU455" t="n">
        <v>700</v>
      </c>
      <c r="DV455" t="n">
        <v>0</v>
      </c>
      <c r="DW455" t="n">
        <v>0</v>
      </c>
      <c r="DX455" t="n">
        <v>0</v>
      </c>
      <c r="DY455" t="n">
        <v>4600</v>
      </c>
      <c r="DZ455" t="n">
        <v>3450</v>
      </c>
      <c r="EA455" t="n">
        <v>805</v>
      </c>
      <c r="EB455" t="n">
        <v>2070</v>
      </c>
      <c r="EC455" t="n">
        <v>575</v>
      </c>
      <c r="ED455" t="n">
        <v>2875</v>
      </c>
      <c r="EE455" t="n">
        <v>8625</v>
      </c>
      <c r="EF455" t="n">
        <v>0</v>
      </c>
      <c r="EG455" t="n">
        <v>0</v>
      </c>
      <c r="EH455" t="n">
        <v>1.5</v>
      </c>
      <c r="EI455" t="n">
        <v>8.6</v>
      </c>
      <c r="EJ455" t="n">
        <v>2.5</v>
      </c>
      <c r="EK455" t="n">
        <v>13.5</v>
      </c>
    </row>
    <row r="456">
      <c r="A456">
        <f>[1]ingredient!B457</f>
        <v/>
      </c>
      <c r="B456" t="inlineStr">
        <is>
          <t>https://www.naehrwertrechner.de/naehrwerte/E520011/Vollkornteigwaren+eifrei/?menge=100</t>
        </is>
      </c>
      <c r="C456" s="7">
        <f>_xlfn.XLOOKUP(A456,[1]ingredient!$B$2:$B$521,[1]ingredient!$A$2:$A$521)</f>
        <v/>
      </c>
      <c r="D456" t="n">
        <v>335</v>
      </c>
      <c r="E456" t="n">
        <v>2.1</v>
      </c>
      <c r="F456" t="n">
        <v>12.5</v>
      </c>
      <c r="G456" t="n">
        <v>62</v>
      </c>
      <c r="H456" t="n">
        <v>12</v>
      </c>
      <c r="I456" t="n">
        <v>1</v>
      </c>
      <c r="J456" t="n">
        <v>0.01</v>
      </c>
      <c r="K456" t="n">
        <v>11</v>
      </c>
      <c r="L456" t="n">
        <v>0</v>
      </c>
      <c r="M456" t="n">
        <v>0</v>
      </c>
      <c r="N456" t="n">
        <v>0</v>
      </c>
      <c r="O456" t="n">
        <v>0</v>
      </c>
      <c r="P456" t="n">
        <v>670</v>
      </c>
      <c r="Q456" t="n">
        <v>110</v>
      </c>
      <c r="R456" t="n">
        <v>3100</v>
      </c>
      <c r="S456" t="n">
        <v>5333</v>
      </c>
      <c r="T456" t="n">
        <v>800</v>
      </c>
      <c r="U456" t="n">
        <v>200</v>
      </c>
      <c r="V456" t="n">
        <v>1</v>
      </c>
      <c r="W456" t="n">
        <v>40</v>
      </c>
      <c r="X456" t="n">
        <v>0</v>
      </c>
      <c r="Y456" t="n">
        <v>0</v>
      </c>
      <c r="Z456" t="n">
        <v>0</v>
      </c>
      <c r="AA456" t="n">
        <v>250</v>
      </c>
      <c r="AB456" t="n">
        <v>0</v>
      </c>
      <c r="AC456" t="n">
        <v>5</v>
      </c>
      <c r="AD456" t="n">
        <v>390</v>
      </c>
      <c r="AE456" t="n">
        <v>34</v>
      </c>
      <c r="AF456" t="n">
        <v>120</v>
      </c>
      <c r="AG456" t="n">
        <v>370</v>
      </c>
      <c r="AH456" t="n">
        <v>190</v>
      </c>
      <c r="AI456" t="n">
        <v>22</v>
      </c>
      <c r="AJ456" t="n">
        <v>3900</v>
      </c>
      <c r="AK456" t="n">
        <v>3000</v>
      </c>
      <c r="AL456" t="n">
        <v>510</v>
      </c>
      <c r="AM456" t="n">
        <v>264</v>
      </c>
      <c r="AN456" t="n">
        <v>40</v>
      </c>
      <c r="AO456" t="n">
        <v>2</v>
      </c>
      <c r="AP456" t="n">
        <v>0</v>
      </c>
      <c r="AQ456" t="n">
        <v>0</v>
      </c>
      <c r="AR456" t="n">
        <v>0</v>
      </c>
      <c r="AS456" t="n">
        <v>0</v>
      </c>
      <c r="AT456" t="n">
        <v>61</v>
      </c>
      <c r="AU456" t="n">
        <v>61</v>
      </c>
      <c r="AV456" t="n">
        <v>0</v>
      </c>
      <c r="AW456" t="n">
        <v>122</v>
      </c>
      <c r="AX456" t="n">
        <v>606</v>
      </c>
      <c r="AY456" t="n">
        <v>0</v>
      </c>
      <c r="AZ456" t="n">
        <v>0</v>
      </c>
      <c r="BA456" t="n">
        <v>606</v>
      </c>
      <c r="BB456" t="n">
        <v>364</v>
      </c>
      <c r="BC456" t="n">
        <v>0</v>
      </c>
      <c r="BD456" t="n">
        <v>0</v>
      </c>
      <c r="BE456" t="n">
        <v>59508</v>
      </c>
      <c r="BF456" t="n">
        <v>59508</v>
      </c>
      <c r="BG456">
        <f>IF($F456=0,"0",MIN(
BH456/(30*$F456),
BI456/(61*$F456),
BJ456/(48*$F456),
(BK456+BL456)/(23*$F456),
(BM456+BN456)/(41*$F456),
BO456/(25*$F456),
BP456/(6.6*$F456),
BQ456/(40*$F456),
BS456/(16*$F456)
)*100)</f>
        <v/>
      </c>
      <c r="BH456" t="n">
        <v>523</v>
      </c>
      <c r="BI456" t="n">
        <v>898</v>
      </c>
      <c r="BJ456" t="n">
        <v>362</v>
      </c>
      <c r="BK456" t="n">
        <v>201</v>
      </c>
      <c r="BL456" t="n">
        <v>268</v>
      </c>
      <c r="BM456" t="n">
        <v>616</v>
      </c>
      <c r="BN456" t="n">
        <v>402</v>
      </c>
      <c r="BO456" t="n">
        <v>389</v>
      </c>
      <c r="BP456" t="n">
        <v>134</v>
      </c>
      <c r="BQ456" t="n">
        <v>603</v>
      </c>
      <c r="BR456" t="n">
        <v>603</v>
      </c>
      <c r="BS456" t="n">
        <v>255</v>
      </c>
      <c r="BT456" t="n">
        <v>5254</v>
      </c>
      <c r="BU456" t="n">
        <v>469</v>
      </c>
      <c r="BV456" t="n">
        <v>657</v>
      </c>
      <c r="BW456" t="n">
        <v>4059</v>
      </c>
      <c r="BX456" t="n">
        <v>616</v>
      </c>
      <c r="BY456" t="n">
        <v>1528</v>
      </c>
      <c r="BZ456" t="n">
        <v>683</v>
      </c>
      <c r="CA456" t="n">
        <v>8012</v>
      </c>
      <c r="CB456" t="n">
        <v>80</v>
      </c>
      <c r="CC456" t="n">
        <v>33</v>
      </c>
      <c r="CD456" t="n">
        <v>72</v>
      </c>
      <c r="CE456" t="n">
        <v>1073</v>
      </c>
      <c r="CF456" t="n">
        <v>14.9</v>
      </c>
      <c r="CG456" t="n">
        <v>0</v>
      </c>
      <c r="CH456" t="n">
        <v>0</v>
      </c>
      <c r="CI456" t="n">
        <v>0</v>
      </c>
      <c r="CJ456" t="n">
        <v>0</v>
      </c>
      <c r="CK456" t="n">
        <v>2</v>
      </c>
      <c r="CL456" t="n">
        <v>4</v>
      </c>
      <c r="CM456" t="n">
        <v>2</v>
      </c>
      <c r="CN456" t="n">
        <v>324</v>
      </c>
      <c r="CO456" t="n">
        <v>0</v>
      </c>
      <c r="CP456" t="n">
        <v>18</v>
      </c>
      <c r="CQ456" t="n">
        <v>14</v>
      </c>
      <c r="CR456" t="n">
        <v>0</v>
      </c>
      <c r="CS456" t="n">
        <v>0</v>
      </c>
      <c r="CT456" t="n">
        <v>364</v>
      </c>
      <c r="CU456" t="n">
        <v>0</v>
      </c>
      <c r="CV456" t="n">
        <v>0</v>
      </c>
      <c r="CW456" t="n">
        <v>9</v>
      </c>
      <c r="CX456" t="n">
        <v>0</v>
      </c>
      <c r="CY456" t="n">
        <v>275</v>
      </c>
      <c r="CZ456" t="n">
        <v>7</v>
      </c>
      <c r="DA456" t="n">
        <v>0</v>
      </c>
      <c r="DB456" t="n">
        <v>0</v>
      </c>
      <c r="DC456" t="n">
        <v>291</v>
      </c>
      <c r="DD456" t="n">
        <v>0</v>
      </c>
      <c r="DE456" t="n">
        <v>0</v>
      </c>
      <c r="DF456" t="n">
        <v>1069</v>
      </c>
      <c r="DG456" t="n">
        <v>72</v>
      </c>
      <c r="DH456" t="n">
        <v>0</v>
      </c>
      <c r="DI456" t="n">
        <v>0</v>
      </c>
      <c r="DJ456" t="n">
        <v>0</v>
      </c>
      <c r="DK456" t="n">
        <v>0</v>
      </c>
      <c r="DL456" t="n">
        <v>4</v>
      </c>
      <c r="DM456" t="n">
        <v>0</v>
      </c>
      <c r="DN456" t="n">
        <v>0</v>
      </c>
      <c r="DO456" t="n">
        <v>0</v>
      </c>
      <c r="DP456" t="n">
        <v>0</v>
      </c>
      <c r="DQ456" t="n">
        <v>0</v>
      </c>
      <c r="DR456" t="n">
        <v>0</v>
      </c>
      <c r="DS456" t="n">
        <v>1145</v>
      </c>
      <c r="DT456" t="n">
        <v>1800</v>
      </c>
      <c r="DU456" t="n">
        <v>700</v>
      </c>
      <c r="DV456" t="n">
        <v>0</v>
      </c>
      <c r="DW456" t="n">
        <v>0</v>
      </c>
      <c r="DX456" t="n">
        <v>0</v>
      </c>
      <c r="DY456" t="n">
        <v>4600</v>
      </c>
      <c r="DZ456" t="n">
        <v>3450</v>
      </c>
      <c r="EA456" t="n">
        <v>805</v>
      </c>
      <c r="EB456" t="n">
        <v>2070</v>
      </c>
      <c r="EC456" t="n">
        <v>575</v>
      </c>
      <c r="ED456" t="n">
        <v>2875</v>
      </c>
      <c r="EE456" t="n">
        <v>8625</v>
      </c>
      <c r="EF456" t="n">
        <v>0</v>
      </c>
      <c r="EG456" t="n">
        <v>0</v>
      </c>
      <c r="EH456" t="n">
        <v>1.5</v>
      </c>
      <c r="EI456" t="n">
        <v>8.6</v>
      </c>
      <c r="EJ456" t="n">
        <v>2.5</v>
      </c>
      <c r="EK456" t="n">
        <v>13.5</v>
      </c>
    </row>
    <row r="457">
      <c r="A457">
        <f>[1]ingredient!B458</f>
        <v/>
      </c>
      <c r="B457" t="inlineStr">
        <is>
          <t>https://www.naehrwertrechner.de/naehrwerte/E520011/Vollkornteigwaren+eifrei/?menge=100</t>
        </is>
      </c>
      <c r="C457" s="7">
        <f>_xlfn.XLOOKUP(A457,[1]ingredient!$B$2:$B$521,[1]ingredient!$A$2:$A$521)</f>
        <v/>
      </c>
      <c r="D457" t="n">
        <v>335</v>
      </c>
      <c r="E457" t="n">
        <v>2.1</v>
      </c>
      <c r="F457" t="n">
        <v>12.5</v>
      </c>
      <c r="G457" t="n">
        <v>62</v>
      </c>
      <c r="H457" t="n">
        <v>12</v>
      </c>
      <c r="I457" t="n">
        <v>1</v>
      </c>
      <c r="J457" t="n">
        <v>0.01</v>
      </c>
      <c r="K457" t="n">
        <v>11</v>
      </c>
      <c r="L457" t="n">
        <v>0</v>
      </c>
      <c r="M457" t="n">
        <v>0</v>
      </c>
      <c r="N457" t="n">
        <v>0</v>
      </c>
      <c r="O457" t="n">
        <v>0</v>
      </c>
      <c r="P457" t="n">
        <v>670</v>
      </c>
      <c r="Q457" t="n">
        <v>110</v>
      </c>
      <c r="R457" t="n">
        <v>3100</v>
      </c>
      <c r="S457" t="n">
        <v>5333</v>
      </c>
      <c r="T457" t="n">
        <v>800</v>
      </c>
      <c r="U457" t="n">
        <v>200</v>
      </c>
      <c r="V457" t="n">
        <v>1</v>
      </c>
      <c r="W457" t="n">
        <v>40</v>
      </c>
      <c r="X457" t="n">
        <v>0</v>
      </c>
      <c r="Y457" t="n">
        <v>0</v>
      </c>
      <c r="Z457" t="n">
        <v>0</v>
      </c>
      <c r="AA457" t="n">
        <v>250</v>
      </c>
      <c r="AB457" t="n">
        <v>0</v>
      </c>
      <c r="AC457" t="n">
        <v>5</v>
      </c>
      <c r="AD457" t="n">
        <v>390</v>
      </c>
      <c r="AE457" t="n">
        <v>34</v>
      </c>
      <c r="AF457" t="n">
        <v>120</v>
      </c>
      <c r="AG457" t="n">
        <v>370</v>
      </c>
      <c r="AH457" t="n">
        <v>190</v>
      </c>
      <c r="AI457" t="n">
        <v>22</v>
      </c>
      <c r="AJ457" t="n">
        <v>3900</v>
      </c>
      <c r="AK457" t="n">
        <v>3000</v>
      </c>
      <c r="AL457" t="n">
        <v>510</v>
      </c>
      <c r="AM457" t="n">
        <v>264</v>
      </c>
      <c r="AN457" t="n">
        <v>40</v>
      </c>
      <c r="AO457" t="n">
        <v>2</v>
      </c>
      <c r="AP457" t="n">
        <v>0</v>
      </c>
      <c r="AQ457" t="n">
        <v>0</v>
      </c>
      <c r="AR457" t="n">
        <v>0</v>
      </c>
      <c r="AS457" t="n">
        <v>0</v>
      </c>
      <c r="AT457" t="n">
        <v>61</v>
      </c>
      <c r="AU457" t="n">
        <v>61</v>
      </c>
      <c r="AV457" t="n">
        <v>0</v>
      </c>
      <c r="AW457" t="n">
        <v>122</v>
      </c>
      <c r="AX457" t="n">
        <v>606</v>
      </c>
      <c r="AY457" t="n">
        <v>0</v>
      </c>
      <c r="AZ457" t="n">
        <v>0</v>
      </c>
      <c r="BA457" t="n">
        <v>606</v>
      </c>
      <c r="BB457" t="n">
        <v>364</v>
      </c>
      <c r="BC457" t="n">
        <v>0</v>
      </c>
      <c r="BD457" t="n">
        <v>0</v>
      </c>
      <c r="BE457" t="n">
        <v>59508</v>
      </c>
      <c r="BF457" t="n">
        <v>59508</v>
      </c>
      <c r="BG457">
        <f>IF($F457=0,"0",MIN(
BH457/(30*$F457),
BI457/(61*$F457),
BJ457/(48*$F457),
(BK457+BL457)/(23*$F457),
(BM457+BN457)/(41*$F457),
BO457/(25*$F457),
BP457/(6.6*$F457),
BQ457/(40*$F457),
BS457/(16*$F457)
)*100)</f>
        <v/>
      </c>
      <c r="BH457" t="n">
        <v>523</v>
      </c>
      <c r="BI457" t="n">
        <v>898</v>
      </c>
      <c r="BJ457" t="n">
        <v>362</v>
      </c>
      <c r="BK457" t="n">
        <v>201</v>
      </c>
      <c r="BL457" t="n">
        <v>268</v>
      </c>
      <c r="BM457" t="n">
        <v>616</v>
      </c>
      <c r="BN457" t="n">
        <v>402</v>
      </c>
      <c r="BO457" t="n">
        <v>389</v>
      </c>
      <c r="BP457" t="n">
        <v>134</v>
      </c>
      <c r="BQ457" t="n">
        <v>603</v>
      </c>
      <c r="BR457" t="n">
        <v>603</v>
      </c>
      <c r="BS457" t="n">
        <v>255</v>
      </c>
      <c r="BT457" t="n">
        <v>5254</v>
      </c>
      <c r="BU457" t="n">
        <v>469</v>
      </c>
      <c r="BV457" t="n">
        <v>657</v>
      </c>
      <c r="BW457" t="n">
        <v>4059</v>
      </c>
      <c r="BX457" t="n">
        <v>616</v>
      </c>
      <c r="BY457" t="n">
        <v>1528</v>
      </c>
      <c r="BZ457" t="n">
        <v>683</v>
      </c>
      <c r="CA457" t="n">
        <v>8012</v>
      </c>
      <c r="CB457" t="n">
        <v>80</v>
      </c>
      <c r="CC457" t="n">
        <v>33</v>
      </c>
      <c r="CD457" t="n">
        <v>72</v>
      </c>
      <c r="CE457" t="n">
        <v>1073</v>
      </c>
      <c r="CF457" t="n">
        <v>14.9</v>
      </c>
      <c r="CG457" t="n">
        <v>0</v>
      </c>
      <c r="CH457" t="n">
        <v>0</v>
      </c>
      <c r="CI457" t="n">
        <v>0</v>
      </c>
      <c r="CJ457" t="n">
        <v>0</v>
      </c>
      <c r="CK457" t="n">
        <v>2</v>
      </c>
      <c r="CL457" t="n">
        <v>4</v>
      </c>
      <c r="CM457" t="n">
        <v>2</v>
      </c>
      <c r="CN457" t="n">
        <v>324</v>
      </c>
      <c r="CO457" t="n">
        <v>0</v>
      </c>
      <c r="CP457" t="n">
        <v>18</v>
      </c>
      <c r="CQ457" t="n">
        <v>14</v>
      </c>
      <c r="CR457" t="n">
        <v>0</v>
      </c>
      <c r="CS457" t="n">
        <v>0</v>
      </c>
      <c r="CT457" t="n">
        <v>364</v>
      </c>
      <c r="CU457" t="n">
        <v>0</v>
      </c>
      <c r="CV457" t="n">
        <v>0</v>
      </c>
      <c r="CW457" t="n">
        <v>9</v>
      </c>
      <c r="CX457" t="n">
        <v>0</v>
      </c>
      <c r="CY457" t="n">
        <v>275</v>
      </c>
      <c r="CZ457" t="n">
        <v>7</v>
      </c>
      <c r="DA457" t="n">
        <v>0</v>
      </c>
      <c r="DB457" t="n">
        <v>0</v>
      </c>
      <c r="DC457" t="n">
        <v>291</v>
      </c>
      <c r="DD457" t="n">
        <v>0</v>
      </c>
      <c r="DE457" t="n">
        <v>0</v>
      </c>
      <c r="DF457" t="n">
        <v>1069</v>
      </c>
      <c r="DG457" t="n">
        <v>72</v>
      </c>
      <c r="DH457" t="n">
        <v>0</v>
      </c>
      <c r="DI457" t="n">
        <v>0</v>
      </c>
      <c r="DJ457" t="n">
        <v>0</v>
      </c>
      <c r="DK457" t="n">
        <v>0</v>
      </c>
      <c r="DL457" t="n">
        <v>4</v>
      </c>
      <c r="DM457" t="n">
        <v>0</v>
      </c>
      <c r="DN457" t="n">
        <v>0</v>
      </c>
      <c r="DO457" t="n">
        <v>0</v>
      </c>
      <c r="DP457" t="n">
        <v>0</v>
      </c>
      <c r="DQ457" t="n">
        <v>0</v>
      </c>
      <c r="DR457" t="n">
        <v>0</v>
      </c>
      <c r="DS457" t="n">
        <v>1145</v>
      </c>
      <c r="DT457" t="n">
        <v>1800</v>
      </c>
      <c r="DU457" t="n">
        <v>700</v>
      </c>
      <c r="DV457" t="n">
        <v>0</v>
      </c>
      <c r="DW457" t="n">
        <v>0</v>
      </c>
      <c r="DX457" t="n">
        <v>0</v>
      </c>
      <c r="DY457" t="n">
        <v>4600</v>
      </c>
      <c r="DZ457" t="n">
        <v>3450</v>
      </c>
      <c r="EA457" t="n">
        <v>805</v>
      </c>
      <c r="EB457" t="n">
        <v>2070</v>
      </c>
      <c r="EC457" t="n">
        <v>575</v>
      </c>
      <c r="ED457" t="n">
        <v>2875</v>
      </c>
      <c r="EE457" t="n">
        <v>8625</v>
      </c>
      <c r="EF457" t="n">
        <v>0</v>
      </c>
      <c r="EG457" t="n">
        <v>0</v>
      </c>
      <c r="EH457" t="n">
        <v>1.5</v>
      </c>
      <c r="EI457" t="n">
        <v>8.6</v>
      </c>
      <c r="EJ457" t="n">
        <v>2.5</v>
      </c>
      <c r="EK457" t="n">
        <v>13.5</v>
      </c>
    </row>
    <row r="458">
      <c r="A458">
        <f>[1]ingredient!B459</f>
        <v/>
      </c>
      <c r="B458" t="inlineStr">
        <is>
          <t>https://www.naehrwertrechner.de/naehrwerte/E520011/Vollkornteigwaren+eifrei/?menge=100</t>
        </is>
      </c>
      <c r="C458" s="7">
        <f>_xlfn.XLOOKUP(A458,[1]ingredient!$B$2:$B$521,[1]ingredient!$A$2:$A$521)</f>
        <v/>
      </c>
      <c r="D458" t="n">
        <v>335</v>
      </c>
      <c r="E458" t="n">
        <v>2.1</v>
      </c>
      <c r="F458" t="n">
        <v>12.5</v>
      </c>
      <c r="G458" t="n">
        <v>62</v>
      </c>
      <c r="H458" t="n">
        <v>12</v>
      </c>
      <c r="I458" t="n">
        <v>1</v>
      </c>
      <c r="J458" t="n">
        <v>0.01</v>
      </c>
      <c r="K458" t="n">
        <v>11</v>
      </c>
      <c r="L458" t="n">
        <v>0</v>
      </c>
      <c r="M458" t="n">
        <v>0</v>
      </c>
      <c r="N458" t="n">
        <v>0</v>
      </c>
      <c r="O458" t="n">
        <v>0</v>
      </c>
      <c r="P458" t="n">
        <v>670</v>
      </c>
      <c r="Q458" t="n">
        <v>110</v>
      </c>
      <c r="R458" t="n">
        <v>3100</v>
      </c>
      <c r="S458" t="n">
        <v>5333</v>
      </c>
      <c r="T458" t="n">
        <v>800</v>
      </c>
      <c r="U458" t="n">
        <v>200</v>
      </c>
      <c r="V458" t="n">
        <v>1</v>
      </c>
      <c r="W458" t="n">
        <v>40</v>
      </c>
      <c r="X458" t="n">
        <v>0</v>
      </c>
      <c r="Y458" t="n">
        <v>0</v>
      </c>
      <c r="Z458" t="n">
        <v>0</v>
      </c>
      <c r="AA458" t="n">
        <v>250</v>
      </c>
      <c r="AB458" t="n">
        <v>0</v>
      </c>
      <c r="AC458" t="n">
        <v>5</v>
      </c>
      <c r="AD458" t="n">
        <v>390</v>
      </c>
      <c r="AE458" t="n">
        <v>34</v>
      </c>
      <c r="AF458" t="n">
        <v>120</v>
      </c>
      <c r="AG458" t="n">
        <v>370</v>
      </c>
      <c r="AH458" t="n">
        <v>190</v>
      </c>
      <c r="AI458" t="n">
        <v>22</v>
      </c>
      <c r="AJ458" t="n">
        <v>3900</v>
      </c>
      <c r="AK458" t="n">
        <v>3000</v>
      </c>
      <c r="AL458" t="n">
        <v>510</v>
      </c>
      <c r="AM458" t="n">
        <v>264</v>
      </c>
      <c r="AN458" t="n">
        <v>40</v>
      </c>
      <c r="AO458" t="n">
        <v>2</v>
      </c>
      <c r="AP458" t="n">
        <v>0</v>
      </c>
      <c r="AQ458" t="n">
        <v>0</v>
      </c>
      <c r="AR458" t="n">
        <v>0</v>
      </c>
      <c r="AS458" t="n">
        <v>0</v>
      </c>
      <c r="AT458" t="n">
        <v>61</v>
      </c>
      <c r="AU458" t="n">
        <v>61</v>
      </c>
      <c r="AV458" t="n">
        <v>0</v>
      </c>
      <c r="AW458" t="n">
        <v>122</v>
      </c>
      <c r="AX458" t="n">
        <v>606</v>
      </c>
      <c r="AY458" t="n">
        <v>0</v>
      </c>
      <c r="AZ458" t="n">
        <v>0</v>
      </c>
      <c r="BA458" t="n">
        <v>606</v>
      </c>
      <c r="BB458" t="n">
        <v>364</v>
      </c>
      <c r="BC458" t="n">
        <v>0</v>
      </c>
      <c r="BD458" t="n">
        <v>0</v>
      </c>
      <c r="BE458" t="n">
        <v>59508</v>
      </c>
      <c r="BF458" t="n">
        <v>59508</v>
      </c>
      <c r="BG458">
        <f>IF($F458=0,"0",MIN(
BH458/(30*$F458),
BI458/(61*$F458),
BJ458/(48*$F458),
(BK458+BL458)/(23*$F458),
(BM458+BN458)/(41*$F458),
BO458/(25*$F458),
BP458/(6.6*$F458),
BQ458/(40*$F458),
BS458/(16*$F458)
)*100)</f>
        <v/>
      </c>
      <c r="BH458" t="n">
        <v>523</v>
      </c>
      <c r="BI458" t="n">
        <v>898</v>
      </c>
      <c r="BJ458" t="n">
        <v>362</v>
      </c>
      <c r="BK458" t="n">
        <v>201</v>
      </c>
      <c r="BL458" t="n">
        <v>268</v>
      </c>
      <c r="BM458" t="n">
        <v>616</v>
      </c>
      <c r="BN458" t="n">
        <v>402</v>
      </c>
      <c r="BO458" t="n">
        <v>389</v>
      </c>
      <c r="BP458" t="n">
        <v>134</v>
      </c>
      <c r="BQ458" t="n">
        <v>603</v>
      </c>
      <c r="BR458" t="n">
        <v>603</v>
      </c>
      <c r="BS458" t="n">
        <v>255</v>
      </c>
      <c r="BT458" t="n">
        <v>5254</v>
      </c>
      <c r="BU458" t="n">
        <v>469</v>
      </c>
      <c r="BV458" t="n">
        <v>657</v>
      </c>
      <c r="BW458" t="n">
        <v>4059</v>
      </c>
      <c r="BX458" t="n">
        <v>616</v>
      </c>
      <c r="BY458" t="n">
        <v>1528</v>
      </c>
      <c r="BZ458" t="n">
        <v>683</v>
      </c>
      <c r="CA458" t="n">
        <v>8012</v>
      </c>
      <c r="CB458" t="n">
        <v>80</v>
      </c>
      <c r="CC458" t="n">
        <v>33</v>
      </c>
      <c r="CD458" t="n">
        <v>72</v>
      </c>
      <c r="CE458" t="n">
        <v>1073</v>
      </c>
      <c r="CF458" t="n">
        <v>14.9</v>
      </c>
      <c r="CG458" t="n">
        <v>0</v>
      </c>
      <c r="CH458" t="n">
        <v>0</v>
      </c>
      <c r="CI458" t="n">
        <v>0</v>
      </c>
      <c r="CJ458" t="n">
        <v>0</v>
      </c>
      <c r="CK458" t="n">
        <v>2</v>
      </c>
      <c r="CL458" t="n">
        <v>4</v>
      </c>
      <c r="CM458" t="n">
        <v>2</v>
      </c>
      <c r="CN458" t="n">
        <v>324</v>
      </c>
      <c r="CO458" t="n">
        <v>0</v>
      </c>
      <c r="CP458" t="n">
        <v>18</v>
      </c>
      <c r="CQ458" t="n">
        <v>14</v>
      </c>
      <c r="CR458" t="n">
        <v>0</v>
      </c>
      <c r="CS458" t="n">
        <v>0</v>
      </c>
      <c r="CT458" t="n">
        <v>364</v>
      </c>
      <c r="CU458" t="n">
        <v>0</v>
      </c>
      <c r="CV458" t="n">
        <v>0</v>
      </c>
      <c r="CW458" t="n">
        <v>9</v>
      </c>
      <c r="CX458" t="n">
        <v>0</v>
      </c>
      <c r="CY458" t="n">
        <v>275</v>
      </c>
      <c r="CZ458" t="n">
        <v>7</v>
      </c>
      <c r="DA458" t="n">
        <v>0</v>
      </c>
      <c r="DB458" t="n">
        <v>0</v>
      </c>
      <c r="DC458" t="n">
        <v>291</v>
      </c>
      <c r="DD458" t="n">
        <v>0</v>
      </c>
      <c r="DE458" t="n">
        <v>0</v>
      </c>
      <c r="DF458" t="n">
        <v>1069</v>
      </c>
      <c r="DG458" t="n">
        <v>72</v>
      </c>
      <c r="DH458" t="n">
        <v>0</v>
      </c>
      <c r="DI458" t="n">
        <v>0</v>
      </c>
      <c r="DJ458" t="n">
        <v>0</v>
      </c>
      <c r="DK458" t="n">
        <v>0</v>
      </c>
      <c r="DL458" t="n">
        <v>4</v>
      </c>
      <c r="DM458" t="n">
        <v>0</v>
      </c>
      <c r="DN458" t="n">
        <v>0</v>
      </c>
      <c r="DO458" t="n">
        <v>0</v>
      </c>
      <c r="DP458" t="n">
        <v>0</v>
      </c>
      <c r="DQ458" t="n">
        <v>0</v>
      </c>
      <c r="DR458" t="n">
        <v>0</v>
      </c>
      <c r="DS458" t="n">
        <v>1145</v>
      </c>
      <c r="DT458" t="n">
        <v>1800</v>
      </c>
      <c r="DU458" t="n">
        <v>700</v>
      </c>
      <c r="DV458" t="n">
        <v>0</v>
      </c>
      <c r="DW458" t="n">
        <v>0</v>
      </c>
      <c r="DX458" t="n">
        <v>0</v>
      </c>
      <c r="DY458" t="n">
        <v>4600</v>
      </c>
      <c r="DZ458" t="n">
        <v>3450</v>
      </c>
      <c r="EA458" t="n">
        <v>805</v>
      </c>
      <c r="EB458" t="n">
        <v>2070</v>
      </c>
      <c r="EC458" t="n">
        <v>575</v>
      </c>
      <c r="ED458" t="n">
        <v>2875</v>
      </c>
      <c r="EE458" t="n">
        <v>8625</v>
      </c>
      <c r="EF458" t="n">
        <v>0</v>
      </c>
      <c r="EG458" t="n">
        <v>0</v>
      </c>
      <c r="EH458" t="n">
        <v>1.5</v>
      </c>
      <c r="EI458" t="n">
        <v>8.6</v>
      </c>
      <c r="EJ458" t="n">
        <v>2.5</v>
      </c>
      <c r="EK458" t="n">
        <v>13.5</v>
      </c>
    </row>
    <row r="459">
      <c r="A459">
        <f>[1]ingredient!B460</f>
        <v/>
      </c>
      <c r="B459" t="inlineStr">
        <is>
          <t>https://www.naehrwertrechner.de/naehrwerte/G343111/Wirsingkohl+frisch/?menge=100</t>
        </is>
      </c>
      <c r="C459" s="7">
        <f>_xlfn.XLOOKUP(A459,[1]ingredient!$B$2:$B$521,[1]ingredient!$A$2:$A$521)</f>
        <v/>
      </c>
      <c r="D459" t="n">
        <v>26</v>
      </c>
      <c r="E459" t="n">
        <v>0.4</v>
      </c>
      <c r="F459" t="n">
        <v>3</v>
      </c>
      <c r="G459" t="n">
        <v>2</v>
      </c>
      <c r="H459" t="n">
        <v>3</v>
      </c>
      <c r="I459" t="n">
        <v>2</v>
      </c>
      <c r="J459" t="n">
        <v>0.03</v>
      </c>
      <c r="K459" t="n">
        <v>90</v>
      </c>
      <c r="L459" t="n">
        <v>7</v>
      </c>
      <c r="M459" t="n">
        <v>3</v>
      </c>
      <c r="N459" t="n">
        <v>0</v>
      </c>
      <c r="O459" t="n">
        <v>39</v>
      </c>
      <c r="P459" t="n">
        <v>59</v>
      </c>
      <c r="Q459" t="n">
        <v>64</v>
      </c>
      <c r="R459" t="n">
        <v>300</v>
      </c>
      <c r="S459" t="n">
        <v>800</v>
      </c>
      <c r="T459" t="n">
        <v>210</v>
      </c>
      <c r="U459" t="n">
        <v>200</v>
      </c>
      <c r="V459" t="n">
        <v>0.1</v>
      </c>
      <c r="W459" t="n">
        <v>90</v>
      </c>
      <c r="X459" t="n">
        <v>0</v>
      </c>
      <c r="Y459" t="n">
        <v>49400</v>
      </c>
      <c r="Z459" t="n">
        <v>0</v>
      </c>
      <c r="AA459" t="n">
        <v>2500</v>
      </c>
      <c r="AB459" t="n">
        <v>100</v>
      </c>
      <c r="AC459" t="n">
        <v>9</v>
      </c>
      <c r="AD459" t="n">
        <v>252</v>
      </c>
      <c r="AE459" t="n">
        <v>47</v>
      </c>
      <c r="AF459" t="n">
        <v>12</v>
      </c>
      <c r="AG459" t="n">
        <v>56</v>
      </c>
      <c r="AH459" t="n">
        <v>88</v>
      </c>
      <c r="AI459" t="n">
        <v>22</v>
      </c>
      <c r="AJ459" t="n">
        <v>900</v>
      </c>
      <c r="AK459" t="n">
        <v>300</v>
      </c>
      <c r="AL459" t="n">
        <v>70</v>
      </c>
      <c r="AM459" t="n">
        <v>200</v>
      </c>
      <c r="AN459" t="n">
        <v>12</v>
      </c>
      <c r="AO459" t="n">
        <v>5</v>
      </c>
      <c r="AP459" t="n">
        <v>0</v>
      </c>
      <c r="AQ459" t="n">
        <v>0</v>
      </c>
      <c r="AR459" t="n">
        <v>0</v>
      </c>
      <c r="AS459" t="n">
        <v>0</v>
      </c>
      <c r="AT459" t="n">
        <v>855</v>
      </c>
      <c r="AU459" t="n">
        <v>856</v>
      </c>
      <c r="AV459" t="n">
        <v>0</v>
      </c>
      <c r="AW459" t="n">
        <v>1711</v>
      </c>
      <c r="AX459" t="n">
        <v>603</v>
      </c>
      <c r="AY459" t="n">
        <v>0</v>
      </c>
      <c r="AZ459" t="n">
        <v>0</v>
      </c>
      <c r="BA459" t="n">
        <v>603</v>
      </c>
      <c r="BB459" t="n">
        <v>0</v>
      </c>
      <c r="BC459" t="n">
        <v>0</v>
      </c>
      <c r="BD459" t="n">
        <v>0</v>
      </c>
      <c r="BE459" t="n">
        <v>96</v>
      </c>
      <c r="BF459" t="n">
        <v>96</v>
      </c>
      <c r="BG459">
        <f>IF($F459=0,"0",MIN(
BH459/(30*$F459),
BI459/(61*$F459),
BJ459/(48*$F459),
(BK459+BL459)/(23*$F459),
(BM459+BN459)/(41*$F459),
BO459/(25*$F459),
BP459/(6.6*$F459),
BQ459/(40*$F459),
BS459/(16*$F459)
)*100)</f>
        <v/>
      </c>
      <c r="BH459" t="n">
        <v>90</v>
      </c>
      <c r="BI459" t="n">
        <v>153</v>
      </c>
      <c r="BJ459" t="n">
        <v>138</v>
      </c>
      <c r="BK459" t="n">
        <v>30</v>
      </c>
      <c r="BL459" t="n">
        <v>36</v>
      </c>
      <c r="BM459" t="n">
        <v>90</v>
      </c>
      <c r="BN459" t="n">
        <v>54</v>
      </c>
      <c r="BO459" t="n">
        <v>102</v>
      </c>
      <c r="BP459" t="n">
        <v>30</v>
      </c>
      <c r="BQ459" t="n">
        <v>120</v>
      </c>
      <c r="BR459" t="n">
        <v>225</v>
      </c>
      <c r="BS459" t="n">
        <v>60</v>
      </c>
      <c r="BT459" t="n">
        <v>1128</v>
      </c>
      <c r="BU459" t="n">
        <v>120</v>
      </c>
      <c r="BV459" t="n">
        <v>255</v>
      </c>
      <c r="BW459" t="n">
        <v>630</v>
      </c>
      <c r="BX459" t="n">
        <v>75</v>
      </c>
      <c r="BY459" t="n">
        <v>567</v>
      </c>
      <c r="BZ459" t="n">
        <v>165</v>
      </c>
      <c r="CA459" t="n">
        <v>1812</v>
      </c>
      <c r="CB459" t="n">
        <v>40</v>
      </c>
      <c r="CC459" t="n">
        <v>17</v>
      </c>
      <c r="CD459" t="n">
        <v>127</v>
      </c>
      <c r="CE459" t="n">
        <v>98</v>
      </c>
      <c r="CF459" t="n">
        <v>0.77</v>
      </c>
      <c r="CG459" t="n">
        <v>0</v>
      </c>
      <c r="CH459" t="n">
        <v>0</v>
      </c>
      <c r="CI459" t="n">
        <v>0</v>
      </c>
      <c r="CJ459" t="n">
        <v>0</v>
      </c>
      <c r="CK459" t="n">
        <v>2</v>
      </c>
      <c r="CL459" t="n">
        <v>2</v>
      </c>
      <c r="CM459" t="n">
        <v>0</v>
      </c>
      <c r="CN459" t="n">
        <v>53</v>
      </c>
      <c r="CO459" t="n">
        <v>0</v>
      </c>
      <c r="CP459" t="n">
        <v>4</v>
      </c>
      <c r="CQ459" t="n">
        <v>0</v>
      </c>
      <c r="CR459" t="n">
        <v>0</v>
      </c>
      <c r="CS459" t="n">
        <v>0</v>
      </c>
      <c r="CT459" t="n">
        <v>61</v>
      </c>
      <c r="CU459" t="n">
        <v>0</v>
      </c>
      <c r="CV459" t="n">
        <v>0</v>
      </c>
      <c r="CW459" t="n">
        <v>0</v>
      </c>
      <c r="CX459" t="n">
        <v>0</v>
      </c>
      <c r="CY459" t="n">
        <v>34</v>
      </c>
      <c r="CZ459" t="n">
        <v>0</v>
      </c>
      <c r="DA459" t="n">
        <v>0</v>
      </c>
      <c r="DB459" t="n">
        <v>0</v>
      </c>
      <c r="DC459" t="n">
        <v>34</v>
      </c>
      <c r="DD459" t="n">
        <v>0</v>
      </c>
      <c r="DE459" t="n">
        <v>0</v>
      </c>
      <c r="DF459" t="n">
        <v>98</v>
      </c>
      <c r="DG459" t="n">
        <v>127</v>
      </c>
      <c r="DH459" t="n">
        <v>0</v>
      </c>
      <c r="DI459" t="n">
        <v>0</v>
      </c>
      <c r="DJ459" t="n">
        <v>0</v>
      </c>
      <c r="DK459" t="n">
        <v>0</v>
      </c>
      <c r="DL459" t="n">
        <v>0</v>
      </c>
      <c r="DM459" t="n">
        <v>0</v>
      </c>
      <c r="DN459" t="n">
        <v>0</v>
      </c>
      <c r="DO459" t="n">
        <v>0</v>
      </c>
      <c r="DP459" t="n">
        <v>0</v>
      </c>
      <c r="DQ459" t="n">
        <v>0</v>
      </c>
      <c r="DR459" t="n">
        <v>0</v>
      </c>
      <c r="DS459" t="n">
        <v>225</v>
      </c>
      <c r="DT459" t="n">
        <v>320</v>
      </c>
      <c r="DU459" t="n">
        <v>80</v>
      </c>
      <c r="DV459" t="n">
        <v>0</v>
      </c>
      <c r="DW459" t="n">
        <v>0</v>
      </c>
      <c r="DX459" t="n">
        <v>0</v>
      </c>
      <c r="DY459" t="n">
        <v>437</v>
      </c>
      <c r="DZ459" t="n">
        <v>308</v>
      </c>
      <c r="EA459" t="n">
        <v>926</v>
      </c>
      <c r="EB459" t="n">
        <v>822</v>
      </c>
      <c r="EC459" t="n">
        <v>77</v>
      </c>
      <c r="ED459" t="n">
        <v>874</v>
      </c>
      <c r="EE459" t="n">
        <v>1696</v>
      </c>
      <c r="EF459" t="n">
        <v>0</v>
      </c>
      <c r="EG459" t="n">
        <v>0.17</v>
      </c>
      <c r="EH459" t="n">
        <v>1.1</v>
      </c>
      <c r="EI459" t="n">
        <v>1.7</v>
      </c>
      <c r="EJ459" t="n">
        <v>0.4</v>
      </c>
      <c r="EK459" t="n">
        <v>3.1</v>
      </c>
    </row>
    <row r="460">
      <c r="A460">
        <f>[1]ingredient!B461</f>
        <v/>
      </c>
      <c r="B460" t="inlineStr">
        <is>
          <t>https://www.naehrwertrechner.de/naehrwerte/R219011/Zimt+Ceylon+%28gemahlen%29/?menge=100</t>
        </is>
      </c>
      <c r="C460" s="7">
        <f>_xlfn.XLOOKUP(A460,[1]ingredient!$B$2:$B$521,[1]ingredient!$A$2:$A$521)</f>
        <v/>
      </c>
      <c r="D460" t="n">
        <v>233</v>
      </c>
      <c r="E460" t="n">
        <v>1</v>
      </c>
      <c r="F460" t="n">
        <v>3</v>
      </c>
      <c r="G460" t="n">
        <v>27</v>
      </c>
      <c r="H460" t="n">
        <v>53</v>
      </c>
      <c r="I460" t="n">
        <v>1</v>
      </c>
      <c r="J460" t="n">
        <v>0.31</v>
      </c>
      <c r="K460" t="n">
        <v>14</v>
      </c>
      <c r="L460" t="n">
        <v>0</v>
      </c>
      <c r="M460" t="n">
        <v>17</v>
      </c>
      <c r="N460" t="n">
        <v>0</v>
      </c>
      <c r="O460" t="n">
        <v>200</v>
      </c>
      <c r="P460" t="n">
        <v>100</v>
      </c>
      <c r="Q460" t="n">
        <v>100</v>
      </c>
      <c r="R460" t="n">
        <v>1300</v>
      </c>
      <c r="S460" t="n">
        <v>1800</v>
      </c>
      <c r="T460" t="n">
        <v>0</v>
      </c>
      <c r="U460" t="n">
        <v>0</v>
      </c>
      <c r="V460" t="n">
        <v>0</v>
      </c>
      <c r="W460" t="n">
        <v>0</v>
      </c>
      <c r="X460" t="n">
        <v>0</v>
      </c>
      <c r="Y460" t="n">
        <v>0</v>
      </c>
      <c r="Z460" t="n">
        <v>0</v>
      </c>
      <c r="AA460" t="n">
        <v>0</v>
      </c>
      <c r="AB460" t="n">
        <v>0</v>
      </c>
      <c r="AC460" t="n">
        <v>88</v>
      </c>
      <c r="AD460" t="n">
        <v>500</v>
      </c>
      <c r="AE460" t="n">
        <v>1228</v>
      </c>
      <c r="AF460" t="n">
        <v>56</v>
      </c>
      <c r="AG460" t="n">
        <v>61</v>
      </c>
      <c r="AH460" t="n">
        <v>100</v>
      </c>
      <c r="AI460" t="n">
        <v>220</v>
      </c>
      <c r="AJ460" t="n">
        <v>38100</v>
      </c>
      <c r="AK460" t="n">
        <v>2000</v>
      </c>
      <c r="AL460" t="n">
        <v>500</v>
      </c>
      <c r="AM460" t="n">
        <v>5700</v>
      </c>
      <c r="AN460" t="n">
        <v>0</v>
      </c>
      <c r="AO460" t="n">
        <v>5</v>
      </c>
      <c r="AP460" t="n">
        <v>0</v>
      </c>
      <c r="AQ460" t="n">
        <v>0</v>
      </c>
      <c r="AR460" t="n">
        <v>0</v>
      </c>
      <c r="AS460" t="n">
        <v>0</v>
      </c>
      <c r="AT460" t="n">
        <v>485</v>
      </c>
      <c r="AU460" t="n">
        <v>485</v>
      </c>
      <c r="AV460" t="n">
        <v>0</v>
      </c>
      <c r="AW460" t="n">
        <v>970</v>
      </c>
      <c r="AX460" t="n">
        <v>200</v>
      </c>
      <c r="AY460" t="n">
        <v>0</v>
      </c>
      <c r="AZ460" t="n">
        <v>0</v>
      </c>
      <c r="BA460" t="n">
        <v>230</v>
      </c>
      <c r="BB460" t="n">
        <v>20000</v>
      </c>
      <c r="BC460" t="n">
        <v>0</v>
      </c>
      <c r="BD460" t="n">
        <v>0</v>
      </c>
      <c r="BE460" t="n">
        <v>5800</v>
      </c>
      <c r="BF460" t="n">
        <v>0</v>
      </c>
      <c r="BG460">
        <f>IF($F460=0,"0",MIN(
BH460/(30*$F460),
BI460/(61*$F460),
BJ460/(48*$F460),
(BK460+BL460)/(23*$F460),
(BM460+BN460)/(41*$F460),
BO460/(25*$F460),
BP460/(6.6*$F460),
BQ460/(40*$F460),
BS460/(16*$F460)
)*100)</f>
        <v/>
      </c>
      <c r="BH460" t="n">
        <v>155</v>
      </c>
      <c r="BI460" t="n">
        <v>225</v>
      </c>
      <c r="BJ460" t="n">
        <v>172</v>
      </c>
      <c r="BK460" t="n">
        <v>37</v>
      </c>
      <c r="BL460" t="n">
        <v>22</v>
      </c>
      <c r="BM460" t="n">
        <v>135</v>
      </c>
      <c r="BN460" t="n">
        <v>59</v>
      </c>
      <c r="BO460" t="n">
        <v>107</v>
      </c>
      <c r="BP460" t="n">
        <v>32</v>
      </c>
      <c r="BQ460" t="n">
        <v>220</v>
      </c>
      <c r="BR460" t="n">
        <v>129</v>
      </c>
      <c r="BS460" t="n">
        <v>91</v>
      </c>
      <c r="BT460" t="n">
        <v>1384</v>
      </c>
      <c r="BU460" t="n">
        <v>91</v>
      </c>
      <c r="BV460" t="n">
        <v>638</v>
      </c>
      <c r="BW460" t="n">
        <v>499</v>
      </c>
      <c r="BX460" t="n">
        <v>129</v>
      </c>
      <c r="BY460" t="n">
        <v>124</v>
      </c>
      <c r="BZ460" t="n">
        <v>135</v>
      </c>
      <c r="CA460" t="n">
        <v>1616</v>
      </c>
      <c r="CB460" t="n">
        <v>41</v>
      </c>
      <c r="CC460" t="n">
        <v>17</v>
      </c>
      <c r="CD460" t="n">
        <v>0</v>
      </c>
      <c r="CE460" t="n">
        <v>100</v>
      </c>
      <c r="CG460" t="n">
        <v>0</v>
      </c>
      <c r="CH460" t="n">
        <v>0</v>
      </c>
      <c r="CI460" t="n">
        <v>0</v>
      </c>
      <c r="CJ460" t="n">
        <v>0</v>
      </c>
      <c r="CK460" t="n">
        <v>23</v>
      </c>
      <c r="CL460" t="n">
        <v>70</v>
      </c>
      <c r="CM460" t="n">
        <v>0</v>
      </c>
      <c r="CN460" t="n">
        <v>300</v>
      </c>
      <c r="CO460" t="n">
        <v>0</v>
      </c>
      <c r="CP460" t="n">
        <v>107</v>
      </c>
      <c r="CQ460" t="n">
        <v>0</v>
      </c>
      <c r="CR460" t="n">
        <v>0</v>
      </c>
      <c r="CS460" t="n">
        <v>0</v>
      </c>
      <c r="CT460" t="n">
        <v>500</v>
      </c>
      <c r="CU460" t="n">
        <v>0</v>
      </c>
      <c r="CV460" t="n">
        <v>0</v>
      </c>
      <c r="CW460" t="n">
        <v>5</v>
      </c>
      <c r="CX460" t="n">
        <v>0</v>
      </c>
      <c r="CY460" t="n">
        <v>78</v>
      </c>
      <c r="CZ460" t="n">
        <v>0</v>
      </c>
      <c r="DA460" t="n">
        <v>0</v>
      </c>
      <c r="DB460" t="n">
        <v>0</v>
      </c>
      <c r="DC460" t="n">
        <v>100</v>
      </c>
      <c r="DD460" t="n">
        <v>0</v>
      </c>
      <c r="DE460" t="n">
        <v>0</v>
      </c>
      <c r="DF460" t="n">
        <v>100</v>
      </c>
      <c r="DG460" t="n">
        <v>0</v>
      </c>
      <c r="DH460" t="n">
        <v>0</v>
      </c>
      <c r="DI460" t="n">
        <v>0</v>
      </c>
      <c r="DJ460" t="n">
        <v>0</v>
      </c>
      <c r="DK460" t="n">
        <v>0</v>
      </c>
      <c r="DL460" t="n">
        <v>0</v>
      </c>
      <c r="DM460" t="n">
        <v>0</v>
      </c>
      <c r="DN460" t="n">
        <v>0</v>
      </c>
      <c r="DO460" t="n">
        <v>0</v>
      </c>
      <c r="DP460" t="n">
        <v>0</v>
      </c>
      <c r="DQ460" t="n">
        <v>0</v>
      </c>
      <c r="DR460" t="n">
        <v>0</v>
      </c>
      <c r="DS460" t="n">
        <v>100</v>
      </c>
      <c r="DT460" t="n">
        <v>676</v>
      </c>
      <c r="DU460" t="n">
        <v>124</v>
      </c>
      <c r="DV460" t="n">
        <v>0</v>
      </c>
      <c r="DW460" t="n">
        <v>0</v>
      </c>
      <c r="DX460" t="n">
        <v>0</v>
      </c>
      <c r="DY460" t="n">
        <v>7951</v>
      </c>
      <c r="DZ460" t="n">
        <v>7951</v>
      </c>
      <c r="EA460" t="n">
        <v>14309</v>
      </c>
      <c r="EB460" t="n">
        <v>21198</v>
      </c>
      <c r="EC460" t="n">
        <v>1591</v>
      </c>
      <c r="ED460" t="n">
        <v>13251</v>
      </c>
      <c r="EE460" t="n">
        <v>39749</v>
      </c>
      <c r="EF460" t="n">
        <v>0</v>
      </c>
      <c r="EG460" t="n">
        <v>0</v>
      </c>
      <c r="EH460" t="n">
        <v>2.3</v>
      </c>
      <c r="EI460" t="n">
        <v>39.7</v>
      </c>
      <c r="EJ460" t="n">
        <v>0.8</v>
      </c>
      <c r="EK460" t="n">
        <v>3.1</v>
      </c>
    </row>
    <row r="461">
      <c r="A461">
        <f>[1]ingredient!B462</f>
        <v/>
      </c>
      <c r="B461" t="inlineStr">
        <is>
          <t>https://www.naehrwertrechner.de/naehrwerte/R219011/Zimt+Ceylon+%28gemahlen%29/?menge=100</t>
        </is>
      </c>
      <c r="C461" s="7">
        <f>_xlfn.XLOOKUP(A461,[1]ingredient!$B$2:$B$521,[1]ingredient!$A$2:$A$521)</f>
        <v/>
      </c>
      <c r="D461" t="n">
        <v>233</v>
      </c>
      <c r="E461" t="n">
        <v>1</v>
      </c>
      <c r="F461" t="n">
        <v>3</v>
      </c>
      <c r="G461" t="n">
        <v>27</v>
      </c>
      <c r="H461" t="n">
        <v>53</v>
      </c>
      <c r="I461" t="n">
        <v>1</v>
      </c>
      <c r="J461" t="n">
        <v>0.31</v>
      </c>
      <c r="K461" t="n">
        <v>14</v>
      </c>
      <c r="L461" t="n">
        <v>0</v>
      </c>
      <c r="M461" t="n">
        <v>17</v>
      </c>
      <c r="N461" t="n">
        <v>0</v>
      </c>
      <c r="O461" t="n">
        <v>200</v>
      </c>
      <c r="P461" t="n">
        <v>100</v>
      </c>
      <c r="Q461" t="n">
        <v>100</v>
      </c>
      <c r="R461" t="n">
        <v>1300</v>
      </c>
      <c r="S461" t="n">
        <v>1800</v>
      </c>
      <c r="T461" t="n">
        <v>0</v>
      </c>
      <c r="U461" t="n">
        <v>0</v>
      </c>
      <c r="V461" t="n">
        <v>0</v>
      </c>
      <c r="W461" t="n">
        <v>0</v>
      </c>
      <c r="X461" t="n">
        <v>0</v>
      </c>
      <c r="Y461" t="n">
        <v>0</v>
      </c>
      <c r="Z461" t="n">
        <v>0</v>
      </c>
      <c r="AA461" t="n">
        <v>0</v>
      </c>
      <c r="AB461" t="n">
        <v>0</v>
      </c>
      <c r="AC461" t="n">
        <v>88</v>
      </c>
      <c r="AD461" t="n">
        <v>500</v>
      </c>
      <c r="AE461" t="n">
        <v>1228</v>
      </c>
      <c r="AF461" t="n">
        <v>56</v>
      </c>
      <c r="AG461" t="n">
        <v>61</v>
      </c>
      <c r="AH461" t="n">
        <v>100</v>
      </c>
      <c r="AI461" t="n">
        <v>220</v>
      </c>
      <c r="AJ461" t="n">
        <v>38100</v>
      </c>
      <c r="AK461" t="n">
        <v>2000</v>
      </c>
      <c r="AL461" t="n">
        <v>500</v>
      </c>
      <c r="AM461" t="n">
        <v>5700</v>
      </c>
      <c r="AN461" t="n">
        <v>0</v>
      </c>
      <c r="AO461" t="n">
        <v>5</v>
      </c>
      <c r="AP461" t="n">
        <v>0</v>
      </c>
      <c r="AQ461" t="n">
        <v>0</v>
      </c>
      <c r="AR461" t="n">
        <v>0</v>
      </c>
      <c r="AS461" t="n">
        <v>0</v>
      </c>
      <c r="AT461" t="n">
        <v>485</v>
      </c>
      <c r="AU461" t="n">
        <v>485</v>
      </c>
      <c r="AV461" t="n">
        <v>0</v>
      </c>
      <c r="AW461" t="n">
        <v>970</v>
      </c>
      <c r="AX461" t="n">
        <v>200</v>
      </c>
      <c r="AY461" t="n">
        <v>0</v>
      </c>
      <c r="AZ461" t="n">
        <v>0</v>
      </c>
      <c r="BA461" t="n">
        <v>230</v>
      </c>
      <c r="BB461" t="n">
        <v>20000</v>
      </c>
      <c r="BC461" t="n">
        <v>0</v>
      </c>
      <c r="BD461" t="n">
        <v>0</v>
      </c>
      <c r="BE461" t="n">
        <v>5800</v>
      </c>
      <c r="BF461" t="n">
        <v>0</v>
      </c>
      <c r="BG461">
        <f>IF($F461=0,"0",MIN(
BH461/(30*$F461),
BI461/(61*$F461),
BJ461/(48*$F461),
(BK461+BL461)/(23*$F461),
(BM461+BN461)/(41*$F461),
BO461/(25*$F461),
BP461/(6.6*$F461),
BQ461/(40*$F461),
BS461/(16*$F461)
)*100)</f>
        <v/>
      </c>
      <c r="BH461" t="n">
        <v>155</v>
      </c>
      <c r="BI461" t="n">
        <v>225</v>
      </c>
      <c r="BJ461" t="n">
        <v>172</v>
      </c>
      <c r="BK461" t="n">
        <v>37</v>
      </c>
      <c r="BL461" t="n">
        <v>22</v>
      </c>
      <c r="BM461" t="n">
        <v>135</v>
      </c>
      <c r="BN461" t="n">
        <v>59</v>
      </c>
      <c r="BO461" t="n">
        <v>107</v>
      </c>
      <c r="BP461" t="n">
        <v>32</v>
      </c>
      <c r="BQ461" t="n">
        <v>220</v>
      </c>
      <c r="BR461" t="n">
        <v>129</v>
      </c>
      <c r="BS461" t="n">
        <v>91</v>
      </c>
      <c r="BT461" t="n">
        <v>1384</v>
      </c>
      <c r="BU461" t="n">
        <v>91</v>
      </c>
      <c r="BV461" t="n">
        <v>638</v>
      </c>
      <c r="BW461" t="n">
        <v>499</v>
      </c>
      <c r="BX461" t="n">
        <v>129</v>
      </c>
      <c r="BY461" t="n">
        <v>124</v>
      </c>
      <c r="BZ461" t="n">
        <v>135</v>
      </c>
      <c r="CA461" t="n">
        <v>1616</v>
      </c>
      <c r="CB461" t="n">
        <v>41</v>
      </c>
      <c r="CC461" t="n">
        <v>17</v>
      </c>
      <c r="CD461" t="n">
        <v>0</v>
      </c>
      <c r="CE461" t="n">
        <v>100</v>
      </c>
      <c r="CG461" t="n">
        <v>0</v>
      </c>
      <c r="CH461" t="n">
        <v>0</v>
      </c>
      <c r="CI461" t="n">
        <v>0</v>
      </c>
      <c r="CJ461" t="n">
        <v>0</v>
      </c>
      <c r="CK461" t="n">
        <v>23</v>
      </c>
      <c r="CL461" t="n">
        <v>70</v>
      </c>
      <c r="CM461" t="n">
        <v>0</v>
      </c>
      <c r="CN461" t="n">
        <v>300</v>
      </c>
      <c r="CO461" t="n">
        <v>0</v>
      </c>
      <c r="CP461" t="n">
        <v>107</v>
      </c>
      <c r="CQ461" t="n">
        <v>0</v>
      </c>
      <c r="CR461" t="n">
        <v>0</v>
      </c>
      <c r="CS461" t="n">
        <v>0</v>
      </c>
      <c r="CT461" t="n">
        <v>500</v>
      </c>
      <c r="CU461" t="n">
        <v>0</v>
      </c>
      <c r="CV461" t="n">
        <v>0</v>
      </c>
      <c r="CW461" t="n">
        <v>5</v>
      </c>
      <c r="CX461" t="n">
        <v>0</v>
      </c>
      <c r="CY461" t="n">
        <v>78</v>
      </c>
      <c r="CZ461" t="n">
        <v>0</v>
      </c>
      <c r="DA461" t="n">
        <v>0</v>
      </c>
      <c r="DB461" t="n">
        <v>0</v>
      </c>
      <c r="DC461" t="n">
        <v>100</v>
      </c>
      <c r="DD461" t="n">
        <v>0</v>
      </c>
      <c r="DE461" t="n">
        <v>0</v>
      </c>
      <c r="DF461" t="n">
        <v>100</v>
      </c>
      <c r="DG461" t="n">
        <v>0</v>
      </c>
      <c r="DH461" t="n">
        <v>0</v>
      </c>
      <c r="DI461" t="n">
        <v>0</v>
      </c>
      <c r="DJ461" t="n">
        <v>0</v>
      </c>
      <c r="DK461" t="n">
        <v>0</v>
      </c>
      <c r="DL461" t="n">
        <v>0</v>
      </c>
      <c r="DM461" t="n">
        <v>0</v>
      </c>
      <c r="DN461" t="n">
        <v>0</v>
      </c>
      <c r="DO461" t="n">
        <v>0</v>
      </c>
      <c r="DP461" t="n">
        <v>0</v>
      </c>
      <c r="DQ461" t="n">
        <v>0</v>
      </c>
      <c r="DR461" t="n">
        <v>0</v>
      </c>
      <c r="DS461" t="n">
        <v>100</v>
      </c>
      <c r="DT461" t="n">
        <v>676</v>
      </c>
      <c r="DU461" t="n">
        <v>124</v>
      </c>
      <c r="DV461" t="n">
        <v>0</v>
      </c>
      <c r="DW461" t="n">
        <v>0</v>
      </c>
      <c r="DX461" t="n">
        <v>0</v>
      </c>
      <c r="DY461" t="n">
        <v>7951</v>
      </c>
      <c r="DZ461" t="n">
        <v>7951</v>
      </c>
      <c r="EA461" t="n">
        <v>14309</v>
      </c>
      <c r="EB461" t="n">
        <v>21198</v>
      </c>
      <c r="EC461" t="n">
        <v>1591</v>
      </c>
      <c r="ED461" t="n">
        <v>13251</v>
      </c>
      <c r="EE461" t="n">
        <v>39749</v>
      </c>
      <c r="EF461" t="n">
        <v>0</v>
      </c>
      <c r="EG461" t="n">
        <v>0</v>
      </c>
      <c r="EH461" t="n">
        <v>2.3</v>
      </c>
      <c r="EI461" t="n">
        <v>39.7</v>
      </c>
      <c r="EJ461" t="n">
        <v>0.8</v>
      </c>
      <c r="EK461" t="n">
        <v>3.1</v>
      </c>
    </row>
    <row r="462">
      <c r="A462">
        <f>[1]ingredient!B463</f>
        <v/>
      </c>
      <c r="B462" t="inlineStr">
        <is>
          <t>https://www.naehrwertrechner.de/naehrwerte/F601111/Zitrone+frisch/?menge=100</t>
        </is>
      </c>
      <c r="C462" s="7">
        <f>_xlfn.XLOOKUP(A462,[1]ingredient!$B$2:$B$521,[1]ingredient!$A$2:$A$521)</f>
        <v/>
      </c>
      <c r="D462" t="n">
        <v>56</v>
      </c>
      <c r="E462" t="n">
        <v>1</v>
      </c>
      <c r="F462" t="n">
        <v>1</v>
      </c>
      <c r="G462" t="n">
        <v>8</v>
      </c>
      <c r="H462" t="n">
        <v>1</v>
      </c>
      <c r="I462" t="n">
        <v>8</v>
      </c>
      <c r="J462" t="n">
        <v>0.01</v>
      </c>
      <c r="K462" t="n">
        <v>84</v>
      </c>
      <c r="L462" t="n">
        <v>3</v>
      </c>
      <c r="M462" t="n">
        <v>1</v>
      </c>
      <c r="N462" t="n">
        <v>0</v>
      </c>
      <c r="O462" t="n">
        <v>15</v>
      </c>
      <c r="P462" t="n">
        <v>51</v>
      </c>
      <c r="Q462" t="n">
        <v>20</v>
      </c>
      <c r="R462" t="n">
        <v>170</v>
      </c>
      <c r="S462" t="n">
        <v>237</v>
      </c>
      <c r="T462" t="n">
        <v>270</v>
      </c>
      <c r="U462" t="n">
        <v>60</v>
      </c>
      <c r="V462" t="n">
        <v>1</v>
      </c>
      <c r="W462" t="n">
        <v>6</v>
      </c>
      <c r="X462" t="n">
        <v>0</v>
      </c>
      <c r="Y462" t="n">
        <v>53000</v>
      </c>
      <c r="Z462" t="n">
        <v>0</v>
      </c>
      <c r="AA462" t="n">
        <v>400</v>
      </c>
      <c r="AB462" t="n">
        <v>3</v>
      </c>
      <c r="AC462" t="n">
        <v>3</v>
      </c>
      <c r="AD462" t="n">
        <v>149</v>
      </c>
      <c r="AE462" t="n">
        <v>11</v>
      </c>
      <c r="AF462" t="n">
        <v>28</v>
      </c>
      <c r="AG462" t="n">
        <v>16</v>
      </c>
      <c r="AH462" t="n">
        <v>12</v>
      </c>
      <c r="AI462" t="n">
        <v>5</v>
      </c>
      <c r="AJ462" t="n">
        <v>450</v>
      </c>
      <c r="AK462" t="n">
        <v>120</v>
      </c>
      <c r="AL462" t="n">
        <v>350</v>
      </c>
      <c r="AM462" t="n">
        <v>30</v>
      </c>
      <c r="AN462" t="n">
        <v>10</v>
      </c>
      <c r="AO462" t="n">
        <v>1</v>
      </c>
      <c r="AP462" t="n">
        <v>0</v>
      </c>
      <c r="AQ462" t="n">
        <v>0</v>
      </c>
      <c r="AR462" t="n">
        <v>0</v>
      </c>
      <c r="AS462" t="n">
        <v>0</v>
      </c>
      <c r="AT462" t="n">
        <v>3580</v>
      </c>
      <c r="AU462" t="n">
        <v>3450</v>
      </c>
      <c r="AV462" t="n">
        <v>0</v>
      </c>
      <c r="AW462" t="n">
        <v>7030</v>
      </c>
      <c r="AX462" t="n">
        <v>1050</v>
      </c>
      <c r="AY462" t="n">
        <v>0</v>
      </c>
      <c r="AZ462" t="n">
        <v>0</v>
      </c>
      <c r="BA462" t="n">
        <v>1050</v>
      </c>
      <c r="BB462" t="n">
        <v>0</v>
      </c>
      <c r="BC462" t="n">
        <v>0</v>
      </c>
      <c r="BD462" t="n">
        <v>0</v>
      </c>
      <c r="BE462" t="n">
        <v>0</v>
      </c>
      <c r="BF462" t="n">
        <v>0</v>
      </c>
      <c r="BG462">
        <f>IF($F462=0,"0",MIN(
BH462/(30*$F462),
BI462/(61*$F462),
BJ462/(48*$F462),
(BK462+BL462)/(23*$F462),
(BM462+BN462)/(41*$F462),
BO462/(25*$F462),
BP462/(6.6*$F462),
BQ462/(40*$F462),
BS462/(16*$F462)
)*100)</f>
        <v/>
      </c>
      <c r="BH462" t="n">
        <v>19</v>
      </c>
      <c r="BI462" t="n">
        <v>18</v>
      </c>
      <c r="BJ462" t="n">
        <v>35</v>
      </c>
      <c r="BK462" t="n">
        <v>10</v>
      </c>
      <c r="BL462" t="n">
        <v>9</v>
      </c>
      <c r="BM462" t="n">
        <v>25</v>
      </c>
      <c r="BN462" t="n">
        <v>14</v>
      </c>
      <c r="BO462" t="n">
        <v>10</v>
      </c>
      <c r="BP462" t="n">
        <v>4</v>
      </c>
      <c r="BQ462" t="n">
        <v>25</v>
      </c>
      <c r="BR462" t="n">
        <v>42</v>
      </c>
      <c r="BS462" t="n">
        <v>10</v>
      </c>
      <c r="BT462" t="n">
        <v>221</v>
      </c>
      <c r="BU462" t="n">
        <v>41</v>
      </c>
      <c r="BV462" t="n">
        <v>96</v>
      </c>
      <c r="BW462" t="n">
        <v>80</v>
      </c>
      <c r="BX462" t="n">
        <v>67</v>
      </c>
      <c r="BY462" t="n">
        <v>37</v>
      </c>
      <c r="BZ462" t="n">
        <v>19</v>
      </c>
      <c r="CA462" t="n">
        <v>340</v>
      </c>
      <c r="CB462" t="n">
        <v>20</v>
      </c>
      <c r="CC462" t="n">
        <v>8</v>
      </c>
      <c r="CD462" t="n">
        <v>90</v>
      </c>
      <c r="CE462" t="n">
        <v>220</v>
      </c>
      <c r="CF462" t="n">
        <v>2.44</v>
      </c>
      <c r="CG462" t="n">
        <v>0</v>
      </c>
      <c r="CH462" t="n">
        <v>0</v>
      </c>
      <c r="CI462" t="n">
        <v>0</v>
      </c>
      <c r="CJ462" t="n">
        <v>0</v>
      </c>
      <c r="CK462" t="n">
        <v>0</v>
      </c>
      <c r="CL462" t="n">
        <v>3</v>
      </c>
      <c r="CM462" t="n">
        <v>0</v>
      </c>
      <c r="CN462" t="n">
        <v>122</v>
      </c>
      <c r="CO462" t="n">
        <v>0</v>
      </c>
      <c r="CP462" t="n">
        <v>7</v>
      </c>
      <c r="CQ462" t="n">
        <v>0</v>
      </c>
      <c r="CR462" t="n">
        <v>0</v>
      </c>
      <c r="CS462" t="n">
        <v>0</v>
      </c>
      <c r="CT462" t="n">
        <v>132</v>
      </c>
      <c r="CU462" t="n">
        <v>0</v>
      </c>
      <c r="CV462" t="n">
        <v>0</v>
      </c>
      <c r="CW462" t="n">
        <v>3</v>
      </c>
      <c r="CX462" t="n">
        <v>0</v>
      </c>
      <c r="CY462" t="n">
        <v>35</v>
      </c>
      <c r="CZ462" t="n">
        <v>0</v>
      </c>
      <c r="DA462" t="n">
        <v>0</v>
      </c>
      <c r="DB462" t="n">
        <v>0</v>
      </c>
      <c r="DC462" t="n">
        <v>38</v>
      </c>
      <c r="DD462" t="n">
        <v>0</v>
      </c>
      <c r="DE462" t="n">
        <v>0</v>
      </c>
      <c r="DF462" t="n">
        <v>220</v>
      </c>
      <c r="DG462" t="n">
        <v>90</v>
      </c>
      <c r="DH462" t="n">
        <v>0</v>
      </c>
      <c r="DI462" t="n">
        <v>0</v>
      </c>
      <c r="DJ462" t="n">
        <v>0</v>
      </c>
      <c r="DK462" t="n">
        <v>0</v>
      </c>
      <c r="DL462" t="n">
        <v>0</v>
      </c>
      <c r="DM462" t="n">
        <v>0</v>
      </c>
      <c r="DN462" t="n">
        <v>0</v>
      </c>
      <c r="DO462" t="n">
        <v>0</v>
      </c>
      <c r="DP462" t="n">
        <v>0</v>
      </c>
      <c r="DQ462" t="n">
        <v>0</v>
      </c>
      <c r="DR462" t="n">
        <v>0</v>
      </c>
      <c r="DS462" t="n">
        <v>310</v>
      </c>
      <c r="DT462" t="n">
        <v>480</v>
      </c>
      <c r="DU462" t="n">
        <v>120</v>
      </c>
      <c r="DV462" t="n">
        <v>0</v>
      </c>
      <c r="DW462" t="n">
        <v>0</v>
      </c>
      <c r="DX462" t="n">
        <v>0</v>
      </c>
      <c r="DY462" t="n">
        <v>195</v>
      </c>
      <c r="DZ462" t="n">
        <v>130</v>
      </c>
      <c r="EA462" t="n">
        <v>195</v>
      </c>
      <c r="EB462" t="n">
        <v>650</v>
      </c>
      <c r="EC462" t="n">
        <v>130</v>
      </c>
      <c r="ED462" t="n">
        <v>377</v>
      </c>
      <c r="EE462" t="n">
        <v>923</v>
      </c>
      <c r="EF462" t="n">
        <v>0</v>
      </c>
      <c r="EG462" t="n">
        <v>5</v>
      </c>
      <c r="EH462" t="n">
        <v>0.5</v>
      </c>
      <c r="EI462" t="n">
        <v>0.9</v>
      </c>
      <c r="EJ462" t="n">
        <v>0.6</v>
      </c>
      <c r="EK462" t="n">
        <v>0.6</v>
      </c>
    </row>
    <row r="463">
      <c r="A463">
        <f>[1]ingredient!B464</f>
        <v/>
      </c>
      <c r="B463" t="inlineStr">
        <is>
          <t>https://www.naehrwertrechner.de/naehrwerte/G997000/Zitronengras/?menge=100</t>
        </is>
      </c>
      <c r="C463" s="7">
        <f>_xlfn.XLOOKUP(A463,[1]ingredient!$B$2:$B$521,[1]ingredient!$A$2:$A$521)</f>
        <v/>
      </c>
      <c r="D463" t="n">
        <v>75</v>
      </c>
      <c r="E463" t="n">
        <v>1</v>
      </c>
      <c r="F463" t="n">
        <v>2</v>
      </c>
      <c r="G463" t="n">
        <v>5</v>
      </c>
      <c r="H463" t="n">
        <v>20</v>
      </c>
      <c r="I463" t="n">
        <v>0.31</v>
      </c>
      <c r="J463" t="n">
        <v>0.03</v>
      </c>
      <c r="K463" t="n">
        <v>70</v>
      </c>
      <c r="L463" t="n">
        <v>0</v>
      </c>
      <c r="M463" t="n">
        <v>0</v>
      </c>
      <c r="N463" t="n">
        <v>0</v>
      </c>
      <c r="O463" t="n">
        <v>0</v>
      </c>
      <c r="P463" t="n">
        <v>100</v>
      </c>
      <c r="Q463" t="n">
        <v>100</v>
      </c>
      <c r="R463" t="n">
        <v>1100</v>
      </c>
      <c r="S463" t="n">
        <v>1400</v>
      </c>
      <c r="T463" t="n">
        <v>0</v>
      </c>
      <c r="U463" t="n">
        <v>100</v>
      </c>
      <c r="V463" t="n">
        <v>2</v>
      </c>
      <c r="W463" t="n">
        <v>75</v>
      </c>
      <c r="X463" t="n">
        <v>0</v>
      </c>
      <c r="Y463" t="n">
        <v>2600</v>
      </c>
      <c r="Z463" t="n">
        <v>0</v>
      </c>
      <c r="AA463" t="n">
        <v>0</v>
      </c>
      <c r="AB463" t="n">
        <v>200</v>
      </c>
      <c r="AC463" t="n">
        <v>6</v>
      </c>
      <c r="AD463" t="n">
        <v>723</v>
      </c>
      <c r="AE463" t="n">
        <v>65</v>
      </c>
      <c r="AF463" t="n">
        <v>60</v>
      </c>
      <c r="AG463" t="n">
        <v>101</v>
      </c>
      <c r="AH463" t="n">
        <v>58</v>
      </c>
      <c r="AI463" t="n">
        <v>24</v>
      </c>
      <c r="AJ463" t="n">
        <v>8200</v>
      </c>
      <c r="AK463" t="n">
        <v>2200</v>
      </c>
      <c r="AL463" t="n">
        <v>300</v>
      </c>
      <c r="AM463" t="n">
        <v>5200</v>
      </c>
      <c r="AN463" t="n">
        <v>0</v>
      </c>
      <c r="AO463" t="n">
        <v>1</v>
      </c>
      <c r="AP463" t="n">
        <v>500</v>
      </c>
      <c r="AQ463" t="n">
        <v>0</v>
      </c>
      <c r="AR463" t="n">
        <v>0</v>
      </c>
      <c r="AS463" t="n">
        <v>500</v>
      </c>
      <c r="AT463" t="n">
        <v>109</v>
      </c>
      <c r="AU463" t="n">
        <v>130</v>
      </c>
      <c r="AV463" t="n">
        <v>0</v>
      </c>
      <c r="AW463" t="n">
        <v>239</v>
      </c>
      <c r="AX463" t="n">
        <v>100</v>
      </c>
      <c r="AY463" t="n">
        <v>0</v>
      </c>
      <c r="AZ463" t="n">
        <v>0</v>
      </c>
      <c r="BA463" t="n">
        <v>71</v>
      </c>
      <c r="BB463" t="n">
        <v>4500</v>
      </c>
      <c r="BC463" t="n">
        <v>720</v>
      </c>
      <c r="BD463" t="n">
        <v>0</v>
      </c>
      <c r="BE463" t="n">
        <v>0</v>
      </c>
      <c r="BF463" t="n">
        <v>0</v>
      </c>
      <c r="BG463">
        <f>IF($F463=0,"0",MIN(
BH463/(30*$F463),
BI463/(61*$F463),
BJ463/(48*$F463),
(BK463+BL463)/(23*$F463),
(BM463+BN463)/(41*$F463),
BO463/(25*$F463),
BP463/(6.6*$F463),
BQ463/(40*$F463),
BS463/(16*$F463)
)*100)</f>
        <v/>
      </c>
      <c r="BH463" t="n">
        <v>76</v>
      </c>
      <c r="BI463" t="n">
        <v>130</v>
      </c>
      <c r="BJ463" t="n">
        <v>128</v>
      </c>
      <c r="BK463" t="n">
        <v>30</v>
      </c>
      <c r="BL463" t="n">
        <v>17</v>
      </c>
      <c r="BM463" t="n">
        <v>71</v>
      </c>
      <c r="BN463" t="n">
        <v>45</v>
      </c>
      <c r="BO463" t="n">
        <v>85</v>
      </c>
      <c r="BP463" t="n">
        <v>18</v>
      </c>
      <c r="BQ463" t="n">
        <v>93</v>
      </c>
      <c r="BR463" t="n">
        <v>127</v>
      </c>
      <c r="BS463" t="n">
        <v>40</v>
      </c>
      <c r="BT463" t="n">
        <v>861</v>
      </c>
      <c r="BU463" t="n">
        <v>109</v>
      </c>
      <c r="BV463" t="n">
        <v>199</v>
      </c>
      <c r="BW463" t="n">
        <v>398</v>
      </c>
      <c r="BX463" t="n">
        <v>84</v>
      </c>
      <c r="BY463" t="n">
        <v>78</v>
      </c>
      <c r="BZ463" t="n">
        <v>92</v>
      </c>
      <c r="CA463" t="n">
        <v>959</v>
      </c>
      <c r="CB463" t="n">
        <v>40</v>
      </c>
      <c r="CC463" t="n">
        <v>13</v>
      </c>
      <c r="CD463" t="n">
        <v>100</v>
      </c>
      <c r="CE463" t="n">
        <v>100</v>
      </c>
      <c r="CF463" t="n">
        <v>1</v>
      </c>
      <c r="CG463" t="n">
        <v>0</v>
      </c>
      <c r="CH463" t="n">
        <v>0</v>
      </c>
      <c r="CI463" t="n">
        <v>0</v>
      </c>
      <c r="CJ463" t="n">
        <v>0</v>
      </c>
      <c r="CK463" t="n">
        <v>0</v>
      </c>
      <c r="CL463" t="n">
        <v>0</v>
      </c>
      <c r="CM463" t="n">
        <v>0</v>
      </c>
      <c r="CN463" t="n">
        <v>113</v>
      </c>
      <c r="CO463" t="n">
        <v>0</v>
      </c>
      <c r="CP463" t="n">
        <v>6</v>
      </c>
      <c r="CQ463" t="n">
        <v>0</v>
      </c>
      <c r="CR463" t="n">
        <v>0</v>
      </c>
      <c r="CS463" t="n">
        <v>0</v>
      </c>
      <c r="CT463" t="n">
        <v>100</v>
      </c>
      <c r="CU463" t="n">
        <v>0</v>
      </c>
      <c r="CV463" t="n">
        <v>0</v>
      </c>
      <c r="CW463" t="n">
        <v>0</v>
      </c>
      <c r="CX463" t="n">
        <v>0</v>
      </c>
      <c r="CY463" t="n">
        <v>54</v>
      </c>
      <c r="CZ463" t="n">
        <v>0</v>
      </c>
      <c r="DA463" t="n">
        <v>0</v>
      </c>
      <c r="DB463" t="n">
        <v>0</v>
      </c>
      <c r="DC463" t="n">
        <v>100</v>
      </c>
      <c r="DD463" t="n">
        <v>0</v>
      </c>
      <c r="DE463" t="n">
        <v>0</v>
      </c>
      <c r="DF463" t="n">
        <v>100</v>
      </c>
      <c r="DG463" t="n">
        <v>100</v>
      </c>
      <c r="DH463" t="n">
        <v>0</v>
      </c>
      <c r="DI463" t="n">
        <v>0</v>
      </c>
      <c r="DJ463" t="n">
        <v>0</v>
      </c>
      <c r="DK463" t="n">
        <v>0</v>
      </c>
      <c r="DL463" t="n">
        <v>0</v>
      </c>
      <c r="DM463" t="n">
        <v>0</v>
      </c>
      <c r="DN463" t="n">
        <v>0</v>
      </c>
      <c r="DO463" t="n">
        <v>0</v>
      </c>
      <c r="DP463" t="n">
        <v>0</v>
      </c>
      <c r="DQ463" t="n">
        <v>0</v>
      </c>
      <c r="DR463" t="n">
        <v>0</v>
      </c>
      <c r="DS463" t="n">
        <v>200</v>
      </c>
      <c r="DT463" t="n">
        <v>343</v>
      </c>
      <c r="DU463" t="n">
        <v>150</v>
      </c>
      <c r="DV463" t="n">
        <v>0</v>
      </c>
      <c r="DW463" t="n">
        <v>0</v>
      </c>
      <c r="DX463" t="n">
        <v>0</v>
      </c>
      <c r="DY463" t="n">
        <v>0</v>
      </c>
      <c r="DZ463" t="n">
        <v>0</v>
      </c>
      <c r="EA463" t="n">
        <v>0</v>
      </c>
      <c r="EB463" t="n">
        <v>0</v>
      </c>
      <c r="EC463" t="n">
        <v>0</v>
      </c>
      <c r="ED463" t="n">
        <v>10000</v>
      </c>
      <c r="EE463" t="n">
        <v>10000</v>
      </c>
      <c r="EF463" t="n">
        <v>0</v>
      </c>
      <c r="EG463" t="n">
        <v>500</v>
      </c>
      <c r="EH463" t="n">
        <v>1.1</v>
      </c>
      <c r="EI463" t="n">
        <v>10</v>
      </c>
      <c r="EJ463" t="n">
        <v>0.5</v>
      </c>
      <c r="EK463" t="n">
        <v>1.9</v>
      </c>
    </row>
    <row r="464">
      <c r="A464">
        <f>[1]ingredient!B465</f>
        <v/>
      </c>
      <c r="B464" t="inlineStr">
        <is>
          <t>https://www.naehrwertrechner.de/naehrwerte/G085111/Zitronenmelisse+frisch/?menge=100</t>
        </is>
      </c>
      <c r="C464" s="7">
        <f>_xlfn.XLOOKUP(A464,[1]ingredient!$B$2:$B$521,[1]ingredient!$A$2:$A$521)</f>
        <v/>
      </c>
      <c r="D464" t="n">
        <v>42</v>
      </c>
      <c r="E464" t="n">
        <v>1</v>
      </c>
      <c r="F464" t="n">
        <v>4</v>
      </c>
      <c r="G464" t="n">
        <v>5</v>
      </c>
      <c r="H464" t="n">
        <v>3</v>
      </c>
      <c r="I464" t="n">
        <v>5</v>
      </c>
      <c r="J464" t="n">
        <v>0.09</v>
      </c>
      <c r="K464" t="n">
        <v>86</v>
      </c>
      <c r="L464" t="n">
        <v>667</v>
      </c>
      <c r="M464" t="n">
        <v>333</v>
      </c>
      <c r="N464" t="n">
        <v>0</v>
      </c>
      <c r="O464" t="n">
        <v>4000</v>
      </c>
      <c r="P464" t="n">
        <v>80</v>
      </c>
      <c r="Q464" t="n">
        <v>150</v>
      </c>
      <c r="R464" t="n">
        <v>1100</v>
      </c>
      <c r="S464" t="n">
        <v>1683</v>
      </c>
      <c r="T464" t="n">
        <v>190</v>
      </c>
      <c r="U464" t="n">
        <v>50</v>
      </c>
      <c r="V464" t="n">
        <v>2</v>
      </c>
      <c r="W464" t="n">
        <v>30</v>
      </c>
      <c r="X464" t="n">
        <v>0</v>
      </c>
      <c r="Y464" t="n">
        <v>45000</v>
      </c>
      <c r="Z464" t="n">
        <v>0</v>
      </c>
      <c r="AA464" t="n">
        <v>1000</v>
      </c>
      <c r="AB464" t="n">
        <v>300</v>
      </c>
      <c r="AC464" t="n">
        <v>20</v>
      </c>
      <c r="AD464" t="n">
        <v>400</v>
      </c>
      <c r="AE464" t="n">
        <v>150</v>
      </c>
      <c r="AF464" t="n">
        <v>30</v>
      </c>
      <c r="AG464" t="n">
        <v>50</v>
      </c>
      <c r="AH464" t="n">
        <v>80</v>
      </c>
      <c r="AI464" t="n">
        <v>70</v>
      </c>
      <c r="AJ464" t="n">
        <v>2000</v>
      </c>
      <c r="AK464" t="n">
        <v>1200</v>
      </c>
      <c r="AL464" t="n">
        <v>120</v>
      </c>
      <c r="AM464" t="n">
        <v>500</v>
      </c>
      <c r="AN464" t="n">
        <v>50</v>
      </c>
      <c r="AO464" t="n">
        <v>4</v>
      </c>
      <c r="AP464" t="n">
        <v>0</v>
      </c>
      <c r="AQ464" t="n">
        <v>0</v>
      </c>
      <c r="AR464" t="n">
        <v>0</v>
      </c>
      <c r="AS464" t="n">
        <v>0</v>
      </c>
      <c r="AT464" t="n">
        <v>2000</v>
      </c>
      <c r="AU464" t="n">
        <v>2000</v>
      </c>
      <c r="AV464" t="n">
        <v>0</v>
      </c>
      <c r="AW464" t="n">
        <v>4000</v>
      </c>
      <c r="AX464" t="n">
        <v>950</v>
      </c>
      <c r="AY464" t="n">
        <v>0</v>
      </c>
      <c r="AZ464" t="n">
        <v>0</v>
      </c>
      <c r="BA464" t="n">
        <v>950</v>
      </c>
      <c r="BB464" t="n">
        <v>0</v>
      </c>
      <c r="BC464" t="n">
        <v>0</v>
      </c>
      <c r="BD464" t="n">
        <v>0</v>
      </c>
      <c r="BE464" t="n">
        <v>50</v>
      </c>
      <c r="BF464" t="n">
        <v>50</v>
      </c>
      <c r="BG464">
        <f>IF($F464=0,"0",MIN(
BH464/(30*$F464),
BI464/(61*$F464),
BJ464/(48*$F464),
(BK464+BL464)/(23*$F464),
(BM464+BN464)/(41*$F464),
BO464/(25*$F464),
BP464/(6.6*$F464),
BQ464/(40*$F464),
BS464/(16*$F464)
)*100)</f>
        <v/>
      </c>
      <c r="BH464" t="n">
        <v>140</v>
      </c>
      <c r="BI464" t="n">
        <v>210</v>
      </c>
      <c r="BJ464" t="n">
        <v>175</v>
      </c>
      <c r="BK464" t="n">
        <v>42</v>
      </c>
      <c r="BL464" t="n">
        <v>35</v>
      </c>
      <c r="BM464" t="n">
        <v>105</v>
      </c>
      <c r="BN464" t="n">
        <v>70</v>
      </c>
      <c r="BO464" t="n">
        <v>123</v>
      </c>
      <c r="BP464" t="n">
        <v>35</v>
      </c>
      <c r="BQ464" t="n">
        <v>140</v>
      </c>
      <c r="BR464" t="n">
        <v>140</v>
      </c>
      <c r="BS464" t="n">
        <v>53</v>
      </c>
      <c r="BT464" t="n">
        <v>1268</v>
      </c>
      <c r="BU464" t="n">
        <v>175</v>
      </c>
      <c r="BV464" t="n">
        <v>350</v>
      </c>
      <c r="BW464" t="n">
        <v>525</v>
      </c>
      <c r="BX464" t="n">
        <v>98</v>
      </c>
      <c r="BY464" t="n">
        <v>140</v>
      </c>
      <c r="BZ464" t="n">
        <v>105</v>
      </c>
      <c r="CA464" t="n">
        <v>1393</v>
      </c>
      <c r="CB464" t="n">
        <v>15</v>
      </c>
      <c r="CC464" t="n">
        <v>6</v>
      </c>
      <c r="CD464" t="n">
        <v>192</v>
      </c>
      <c r="CE464" t="n">
        <v>256</v>
      </c>
      <c r="CF464" t="n">
        <v>1.33</v>
      </c>
      <c r="CG464" t="n">
        <v>0</v>
      </c>
      <c r="CH464" t="n">
        <v>0</v>
      </c>
      <c r="CI464" t="n">
        <v>0</v>
      </c>
      <c r="CJ464" t="n">
        <v>0</v>
      </c>
      <c r="CK464" t="n">
        <v>0</v>
      </c>
      <c r="CL464" t="n">
        <v>3</v>
      </c>
      <c r="CM464" t="n">
        <v>0</v>
      </c>
      <c r="CN464" t="n">
        <v>125</v>
      </c>
      <c r="CO464" t="n">
        <v>0</v>
      </c>
      <c r="CP464" t="n">
        <v>19</v>
      </c>
      <c r="CQ464" t="n">
        <v>0</v>
      </c>
      <c r="CR464" t="n">
        <v>0</v>
      </c>
      <c r="CS464" t="n">
        <v>0</v>
      </c>
      <c r="CT464" t="n">
        <v>147</v>
      </c>
      <c r="CU464" t="n">
        <v>0</v>
      </c>
      <c r="CV464" t="n">
        <v>0</v>
      </c>
      <c r="CW464" t="n">
        <v>6</v>
      </c>
      <c r="CX464" t="n">
        <v>0</v>
      </c>
      <c r="CY464" t="n">
        <v>38</v>
      </c>
      <c r="CZ464" t="n">
        <v>0</v>
      </c>
      <c r="DA464" t="n">
        <v>0</v>
      </c>
      <c r="DB464" t="n">
        <v>0</v>
      </c>
      <c r="DC464" t="n">
        <v>44</v>
      </c>
      <c r="DD464" t="n">
        <v>0</v>
      </c>
      <c r="DE464" t="n">
        <v>0</v>
      </c>
      <c r="DF464" t="n">
        <v>256</v>
      </c>
      <c r="DG464" t="n">
        <v>192</v>
      </c>
      <c r="DH464" t="n">
        <v>0</v>
      </c>
      <c r="DI464" t="n">
        <v>0</v>
      </c>
      <c r="DJ464" t="n">
        <v>0</v>
      </c>
      <c r="DK464" t="n">
        <v>0</v>
      </c>
      <c r="DL464" t="n">
        <v>0</v>
      </c>
      <c r="DM464" t="n">
        <v>0</v>
      </c>
      <c r="DN464" t="n">
        <v>0</v>
      </c>
      <c r="DO464" t="n">
        <v>0</v>
      </c>
      <c r="DP464" t="n">
        <v>0</v>
      </c>
      <c r="DQ464" t="n">
        <v>0</v>
      </c>
      <c r="DR464" t="n">
        <v>0</v>
      </c>
      <c r="DS464" t="n">
        <v>448</v>
      </c>
      <c r="DT464" t="n">
        <v>639</v>
      </c>
      <c r="DU464" t="n">
        <v>160</v>
      </c>
      <c r="DV464" t="n">
        <v>0</v>
      </c>
      <c r="DW464" t="n">
        <v>0</v>
      </c>
      <c r="DX464" t="n">
        <v>0</v>
      </c>
      <c r="DY464" t="n">
        <v>450</v>
      </c>
      <c r="DZ464" t="n">
        <v>600</v>
      </c>
      <c r="EA464" t="n">
        <v>810</v>
      </c>
      <c r="EB464" t="n">
        <v>1050</v>
      </c>
      <c r="EC464" t="n">
        <v>90</v>
      </c>
      <c r="ED464" t="n">
        <v>900</v>
      </c>
      <c r="EE464" t="n">
        <v>2100</v>
      </c>
      <c r="EF464" t="n">
        <v>0</v>
      </c>
      <c r="EG464" t="n">
        <v>0.25</v>
      </c>
      <c r="EH464" t="n">
        <v>1</v>
      </c>
      <c r="EI464" t="n">
        <v>2.1</v>
      </c>
      <c r="EJ464" t="n">
        <v>0.8</v>
      </c>
      <c r="EK464" t="n">
        <v>2.7</v>
      </c>
    </row>
    <row r="465">
      <c r="A465">
        <f>[1]ingredient!B466</f>
        <v/>
      </c>
      <c r="B465" t="inlineStr">
        <is>
          <t>https://www.naehrwertrechner.de/naehrwerte/G085411/Zitronenmelisse+getrocknet/?menge=100</t>
        </is>
      </c>
      <c r="C465" s="7">
        <f>_xlfn.XLOOKUP(A465,[1]ingredient!$B$2:$B$521,[1]ingredient!$A$2:$A$521)</f>
        <v/>
      </c>
      <c r="D465" t="n">
        <v>294</v>
      </c>
      <c r="E465" t="n">
        <v>6</v>
      </c>
      <c r="F465" t="n">
        <v>25</v>
      </c>
      <c r="G465" t="n">
        <v>34</v>
      </c>
      <c r="H465" t="n">
        <v>21</v>
      </c>
      <c r="I465" t="n">
        <v>33</v>
      </c>
      <c r="J465" t="n">
        <v>1</v>
      </c>
      <c r="K465" t="n">
        <v>6</v>
      </c>
      <c r="L465" t="n">
        <v>4273</v>
      </c>
      <c r="M465" t="n">
        <v>2137</v>
      </c>
      <c r="N465" t="n">
        <v>0</v>
      </c>
      <c r="O465" t="n">
        <v>25638</v>
      </c>
      <c r="P465" t="n">
        <v>483</v>
      </c>
      <c r="Q465" t="n">
        <v>1015</v>
      </c>
      <c r="R465" t="n">
        <v>7444</v>
      </c>
      <c r="S465" t="n">
        <v>11577</v>
      </c>
      <c r="T465" t="n">
        <v>1221</v>
      </c>
      <c r="U465" t="n">
        <v>341</v>
      </c>
      <c r="V465" t="n">
        <v>14</v>
      </c>
      <c r="W465" t="n">
        <v>213</v>
      </c>
      <c r="X465" t="n">
        <v>0</v>
      </c>
      <c r="Y465" t="n">
        <v>176242</v>
      </c>
      <c r="Z465" t="n">
        <v>0</v>
      </c>
      <c r="AA465" t="n">
        <v>6408</v>
      </c>
      <c r="AB465" t="n">
        <v>2136</v>
      </c>
      <c r="AC465" t="n">
        <v>121</v>
      </c>
      <c r="AD465" t="n">
        <v>2420</v>
      </c>
      <c r="AE465" t="n">
        <v>958</v>
      </c>
      <c r="AF465" t="n">
        <v>192</v>
      </c>
      <c r="AG465" t="n">
        <v>319</v>
      </c>
      <c r="AH465" t="n">
        <v>511</v>
      </c>
      <c r="AI465" t="n">
        <v>447</v>
      </c>
      <c r="AJ465" t="n">
        <v>12106</v>
      </c>
      <c r="AK465" t="n">
        <v>7692</v>
      </c>
      <c r="AL465" t="n">
        <v>766</v>
      </c>
      <c r="AM465" t="n">
        <v>3207</v>
      </c>
      <c r="AN465" t="n">
        <v>319</v>
      </c>
      <c r="AO465" t="n">
        <v>28</v>
      </c>
      <c r="AP465" t="n">
        <v>0</v>
      </c>
      <c r="AQ465" t="n">
        <v>0</v>
      </c>
      <c r="AR465" t="n">
        <v>0</v>
      </c>
      <c r="AS465" t="n">
        <v>0</v>
      </c>
      <c r="AT465" t="n">
        <v>13525</v>
      </c>
      <c r="AU465" t="n">
        <v>13531</v>
      </c>
      <c r="AV465" t="n">
        <v>0</v>
      </c>
      <c r="AW465" t="n">
        <v>27056</v>
      </c>
      <c r="AX465" t="n">
        <v>6429</v>
      </c>
      <c r="AY465" t="n">
        <v>0</v>
      </c>
      <c r="AZ465" t="n">
        <v>0</v>
      </c>
      <c r="BA465" t="n">
        <v>6429</v>
      </c>
      <c r="BB465" t="n">
        <v>0</v>
      </c>
      <c r="BC465" t="n">
        <v>0</v>
      </c>
      <c r="BD465" t="n">
        <v>0</v>
      </c>
      <c r="BE465" t="n">
        <v>341</v>
      </c>
      <c r="BF465" t="n">
        <v>341</v>
      </c>
      <c r="BG465">
        <f>IF($F465=0,"0",MIN(
BH465/(30*$F465),
BI465/(61*$F465),
BJ465/(48*$F465),
(BK465+BL465)/(23*$F465),
(BM465+BN465)/(41*$F465),
BO465/(25*$F465),
BP465/(6.6*$F465),
BQ465/(40*$F465),
BS465/(16*$F465)
)*100)</f>
        <v/>
      </c>
      <c r="BH465" t="n">
        <v>993</v>
      </c>
      <c r="BI465" t="n">
        <v>1497</v>
      </c>
      <c r="BJ465" t="n">
        <v>1249</v>
      </c>
      <c r="BK465" t="n">
        <v>298</v>
      </c>
      <c r="BL465" t="n">
        <v>248</v>
      </c>
      <c r="BM465" t="n">
        <v>745</v>
      </c>
      <c r="BN465" t="n">
        <v>497</v>
      </c>
      <c r="BO465" t="n">
        <v>873</v>
      </c>
      <c r="BP465" t="n">
        <v>248</v>
      </c>
      <c r="BQ465" t="n">
        <v>993</v>
      </c>
      <c r="BR465" t="n">
        <v>993</v>
      </c>
      <c r="BS465" t="n">
        <v>376</v>
      </c>
      <c r="BT465" t="n">
        <v>9010</v>
      </c>
      <c r="BU465" t="n">
        <v>1249</v>
      </c>
      <c r="BV465" t="n">
        <v>2491</v>
      </c>
      <c r="BW465" t="n">
        <v>3763</v>
      </c>
      <c r="BX465" t="n">
        <v>695</v>
      </c>
      <c r="BY465" t="n">
        <v>993</v>
      </c>
      <c r="BZ465" t="n">
        <v>745</v>
      </c>
      <c r="CA465" t="n">
        <v>9936</v>
      </c>
      <c r="CB465" t="n">
        <v>106</v>
      </c>
      <c r="CC465" t="n">
        <v>44</v>
      </c>
      <c r="CD465" t="n">
        <v>1370</v>
      </c>
      <c r="CE465" t="n">
        <v>1823</v>
      </c>
      <c r="CF465" t="n">
        <v>1.33</v>
      </c>
      <c r="CG465" t="n">
        <v>0</v>
      </c>
      <c r="CH465" t="n">
        <v>0</v>
      </c>
      <c r="CI465" t="n">
        <v>0</v>
      </c>
      <c r="CJ465" t="n">
        <v>0</v>
      </c>
      <c r="CK465" t="n">
        <v>0</v>
      </c>
      <c r="CL465" t="n">
        <v>21</v>
      </c>
      <c r="CM465" t="n">
        <v>0</v>
      </c>
      <c r="CN465" t="n">
        <v>887</v>
      </c>
      <c r="CO465" t="n">
        <v>0</v>
      </c>
      <c r="CP465" t="n">
        <v>135</v>
      </c>
      <c r="CQ465" t="n">
        <v>0</v>
      </c>
      <c r="CR465" t="n">
        <v>0</v>
      </c>
      <c r="CS465" t="n">
        <v>0</v>
      </c>
      <c r="CT465" t="n">
        <v>1043</v>
      </c>
      <c r="CU465" t="n">
        <v>0</v>
      </c>
      <c r="CV465" t="n">
        <v>0</v>
      </c>
      <c r="CW465" t="n">
        <v>43</v>
      </c>
      <c r="CX465" t="n">
        <v>0</v>
      </c>
      <c r="CY465" t="n">
        <v>270</v>
      </c>
      <c r="CZ465" t="n">
        <v>0</v>
      </c>
      <c r="DA465" t="n">
        <v>0</v>
      </c>
      <c r="DB465" t="n">
        <v>0</v>
      </c>
      <c r="DC465" t="n">
        <v>313</v>
      </c>
      <c r="DD465" t="n">
        <v>0</v>
      </c>
      <c r="DE465" t="n">
        <v>0</v>
      </c>
      <c r="DF465" t="n">
        <v>1823</v>
      </c>
      <c r="DG465" t="n">
        <v>1370</v>
      </c>
      <c r="DH465" t="n">
        <v>0</v>
      </c>
      <c r="DI465" t="n">
        <v>0</v>
      </c>
      <c r="DJ465" t="n">
        <v>0</v>
      </c>
      <c r="DK465" t="n">
        <v>0</v>
      </c>
      <c r="DL465" t="n">
        <v>0</v>
      </c>
      <c r="DM465" t="n">
        <v>0</v>
      </c>
      <c r="DN465" t="n">
        <v>0</v>
      </c>
      <c r="DO465" t="n">
        <v>0</v>
      </c>
      <c r="DP465" t="n">
        <v>0</v>
      </c>
      <c r="DQ465" t="n">
        <v>0</v>
      </c>
      <c r="DR465" t="n">
        <v>0</v>
      </c>
      <c r="DS465" t="n">
        <v>3193</v>
      </c>
      <c r="DT465" t="n">
        <v>4549</v>
      </c>
      <c r="DU465" t="n">
        <v>1142</v>
      </c>
      <c r="DV465" t="n">
        <v>0</v>
      </c>
      <c r="DW465" t="n">
        <v>0</v>
      </c>
      <c r="DX465" t="n">
        <v>0</v>
      </c>
      <c r="DY465" t="n">
        <v>3207</v>
      </c>
      <c r="DZ465" t="n">
        <v>4272</v>
      </c>
      <c r="EA465" t="n">
        <v>5769</v>
      </c>
      <c r="EB465" t="n">
        <v>7479</v>
      </c>
      <c r="EC465" t="n">
        <v>639</v>
      </c>
      <c r="ED465" t="n">
        <v>6408</v>
      </c>
      <c r="EE465" t="n">
        <v>14951</v>
      </c>
      <c r="EF465" t="n">
        <v>0</v>
      </c>
      <c r="EG465" t="n">
        <v>2</v>
      </c>
      <c r="EH465" t="n">
        <v>6.4</v>
      </c>
      <c r="EI465" t="n">
        <v>15</v>
      </c>
      <c r="EJ465" t="n">
        <v>5.7</v>
      </c>
      <c r="EK465" t="n">
        <v>19.3</v>
      </c>
    </row>
    <row r="466">
      <c r="A466">
        <f>[1]ingredient!B467</f>
        <v/>
      </c>
      <c r="B466" t="inlineStr">
        <is>
          <t>https://www.naehrwertrechner.de/naehrwerte/G582111/Zucchini+frisch/?menge=100</t>
        </is>
      </c>
      <c r="C466" s="7">
        <f>_xlfn.XLOOKUP(A466,[1]ingredient!$B$2:$B$521,[1]ingredient!$A$2:$A$521)</f>
        <v/>
      </c>
      <c r="D466" t="n">
        <v>21</v>
      </c>
      <c r="E466" t="n">
        <v>0.29</v>
      </c>
      <c r="F466" t="n">
        <v>2</v>
      </c>
      <c r="G466" t="n">
        <v>2</v>
      </c>
      <c r="H466" t="n">
        <v>1</v>
      </c>
      <c r="I466" t="n">
        <v>2</v>
      </c>
      <c r="J466" t="n">
        <v>0.03</v>
      </c>
      <c r="K466" t="n">
        <v>93</v>
      </c>
      <c r="L466" t="n">
        <v>30</v>
      </c>
      <c r="M466" t="n">
        <v>15</v>
      </c>
      <c r="N466" t="n">
        <v>0</v>
      </c>
      <c r="O466" t="n">
        <v>180</v>
      </c>
      <c r="P466" t="n">
        <v>211</v>
      </c>
      <c r="Q466" t="n">
        <v>73</v>
      </c>
      <c r="R466" t="n">
        <v>400</v>
      </c>
      <c r="S466" t="n">
        <v>917</v>
      </c>
      <c r="T466" t="n">
        <v>80</v>
      </c>
      <c r="U466" t="n">
        <v>119</v>
      </c>
      <c r="V466" t="n">
        <v>2</v>
      </c>
      <c r="W466" t="n">
        <v>10</v>
      </c>
      <c r="X466" t="n">
        <v>0</v>
      </c>
      <c r="Y466" t="n">
        <v>17600</v>
      </c>
      <c r="Z466" t="n">
        <v>0</v>
      </c>
      <c r="AA466" t="n">
        <v>500</v>
      </c>
      <c r="AB466" t="n">
        <v>11</v>
      </c>
      <c r="AC466" t="n">
        <v>3</v>
      </c>
      <c r="AD466" t="n">
        <v>177</v>
      </c>
      <c r="AE466" t="n">
        <v>25</v>
      </c>
      <c r="AF466" t="n">
        <v>18</v>
      </c>
      <c r="AG466" t="n">
        <v>29</v>
      </c>
      <c r="AH466" t="n">
        <v>25</v>
      </c>
      <c r="AI466" t="n">
        <v>24</v>
      </c>
      <c r="AJ466" t="n">
        <v>1019</v>
      </c>
      <c r="AK466" t="n">
        <v>248</v>
      </c>
      <c r="AL466" t="n">
        <v>45</v>
      </c>
      <c r="AM466" t="n">
        <v>125</v>
      </c>
      <c r="AN466" t="n">
        <v>20</v>
      </c>
      <c r="AO466" t="n">
        <v>2</v>
      </c>
      <c r="AP466" t="n">
        <v>14</v>
      </c>
      <c r="AQ466" t="n">
        <v>0</v>
      </c>
      <c r="AR466" t="n">
        <v>9</v>
      </c>
      <c r="AS466" t="n">
        <v>23</v>
      </c>
      <c r="AT466" t="n">
        <v>1019</v>
      </c>
      <c r="AU466" t="n">
        <v>1136</v>
      </c>
      <c r="AV466" t="n">
        <v>0</v>
      </c>
      <c r="AW466" t="n">
        <v>2155</v>
      </c>
      <c r="AX466" t="n">
        <v>101</v>
      </c>
      <c r="AY466" t="n">
        <v>0</v>
      </c>
      <c r="AZ466" t="n">
        <v>0</v>
      </c>
      <c r="BA466" t="n">
        <v>101</v>
      </c>
      <c r="BB466" t="n">
        <v>0</v>
      </c>
      <c r="BC466" t="n">
        <v>0</v>
      </c>
      <c r="BD466" t="n">
        <v>0</v>
      </c>
      <c r="BE466" t="n">
        <v>451</v>
      </c>
      <c r="BF466" t="n">
        <v>451</v>
      </c>
      <c r="BG466">
        <f>IF($F466=0,"0",MIN(
BH466/(30*$F466),
BI466/(61*$F466),
BJ466/(48*$F466),
(BK466+BL466)/(23*$F466),
(BM466+BN466)/(41*$F466),
BO466/(25*$F466),
BP466/(6.6*$F466),
BQ466/(40*$F466),
BS466/(16*$F466)
)*100)</f>
        <v/>
      </c>
      <c r="BH466" t="n">
        <v>99</v>
      </c>
      <c r="BI466" t="n">
        <v>144</v>
      </c>
      <c r="BJ466" t="n">
        <v>133</v>
      </c>
      <c r="BK466" t="n">
        <v>31</v>
      </c>
      <c r="BL466" t="n">
        <v>21</v>
      </c>
      <c r="BM466" t="n">
        <v>83</v>
      </c>
      <c r="BN466" t="n">
        <v>68</v>
      </c>
      <c r="BO466" t="n">
        <v>65</v>
      </c>
      <c r="BP466" t="n">
        <v>31</v>
      </c>
      <c r="BQ466" t="n">
        <v>101</v>
      </c>
      <c r="BR466" t="n">
        <v>109</v>
      </c>
      <c r="BS466" t="n">
        <v>45</v>
      </c>
      <c r="BT466" t="n">
        <v>930</v>
      </c>
      <c r="BU466" t="n">
        <v>117</v>
      </c>
      <c r="BV466" t="n">
        <v>313</v>
      </c>
      <c r="BW466" t="n">
        <v>401</v>
      </c>
      <c r="BX466" t="n">
        <v>83</v>
      </c>
      <c r="BY466" t="n">
        <v>76</v>
      </c>
      <c r="BZ466" t="n">
        <v>112</v>
      </c>
      <c r="CA466" t="n">
        <v>1102</v>
      </c>
      <c r="CB466" t="n">
        <v>24</v>
      </c>
      <c r="CC466" t="n">
        <v>8</v>
      </c>
      <c r="CD466" t="n">
        <v>87</v>
      </c>
      <c r="CE466" t="n">
        <v>52</v>
      </c>
      <c r="CF466" t="n">
        <v>0.6</v>
      </c>
      <c r="CG466" t="n">
        <v>0</v>
      </c>
      <c r="CH466" t="n">
        <v>0</v>
      </c>
      <c r="CI466" t="n">
        <v>0</v>
      </c>
      <c r="CJ466" t="n">
        <v>0</v>
      </c>
      <c r="CK466" t="n">
        <v>2</v>
      </c>
      <c r="CL466" t="n">
        <v>1</v>
      </c>
      <c r="CM466" t="n">
        <v>0</v>
      </c>
      <c r="CN466" t="n">
        <v>59</v>
      </c>
      <c r="CO466" t="n">
        <v>0</v>
      </c>
      <c r="CP466" t="n">
        <v>7</v>
      </c>
      <c r="CQ466" t="n">
        <v>0</v>
      </c>
      <c r="CR466" t="n">
        <v>0</v>
      </c>
      <c r="CS466" t="n">
        <v>0</v>
      </c>
      <c r="CT466" t="n">
        <v>69</v>
      </c>
      <c r="CU466" t="n">
        <v>0</v>
      </c>
      <c r="CV466" t="n">
        <v>0</v>
      </c>
      <c r="CW466" t="n">
        <v>2</v>
      </c>
      <c r="CX466" t="n">
        <v>0</v>
      </c>
      <c r="CY466" t="n">
        <v>24</v>
      </c>
      <c r="CZ466" t="n">
        <v>0</v>
      </c>
      <c r="DA466" t="n">
        <v>0</v>
      </c>
      <c r="DB466" t="n">
        <v>0</v>
      </c>
      <c r="DC466" t="n">
        <v>26</v>
      </c>
      <c r="DD466" t="n">
        <v>0</v>
      </c>
      <c r="DE466" t="n">
        <v>0</v>
      </c>
      <c r="DF466" t="n">
        <v>52</v>
      </c>
      <c r="DG466" t="n">
        <v>87</v>
      </c>
      <c r="DH466" t="n">
        <v>0</v>
      </c>
      <c r="DI466" t="n">
        <v>0</v>
      </c>
      <c r="DJ466" t="n">
        <v>0</v>
      </c>
      <c r="DK466" t="n">
        <v>0</v>
      </c>
      <c r="DL466" t="n">
        <v>0</v>
      </c>
      <c r="DM466" t="n">
        <v>0</v>
      </c>
      <c r="DN466" t="n">
        <v>0</v>
      </c>
      <c r="DO466" t="n">
        <v>0</v>
      </c>
      <c r="DP466" t="n">
        <v>0</v>
      </c>
      <c r="DQ466" t="n">
        <v>0</v>
      </c>
      <c r="DR466" t="n">
        <v>0</v>
      </c>
      <c r="DS466" t="n">
        <v>139</v>
      </c>
      <c r="DT466" t="n">
        <v>234</v>
      </c>
      <c r="DU466" t="n">
        <v>57</v>
      </c>
      <c r="DV466" t="n">
        <v>0</v>
      </c>
      <c r="DW466" t="n">
        <v>0</v>
      </c>
      <c r="DX466" t="n">
        <v>0</v>
      </c>
      <c r="DY466" t="n">
        <v>88</v>
      </c>
      <c r="DZ466" t="n">
        <v>176</v>
      </c>
      <c r="EA466" t="n">
        <v>385</v>
      </c>
      <c r="EB466" t="n">
        <v>363</v>
      </c>
      <c r="EC466" t="n">
        <v>88</v>
      </c>
      <c r="ED466" t="n">
        <v>260</v>
      </c>
      <c r="EE466" t="n">
        <v>820</v>
      </c>
      <c r="EF466" t="n">
        <v>0</v>
      </c>
      <c r="EG466" t="n">
        <v>0.25</v>
      </c>
      <c r="EH466" t="n">
        <v>0.6</v>
      </c>
      <c r="EI466" t="n">
        <v>0.8</v>
      </c>
      <c r="EJ466" t="n">
        <v>0.3</v>
      </c>
      <c r="EK466" t="n">
        <v>2.1</v>
      </c>
    </row>
    <row r="467">
      <c r="A467">
        <f>[1]ingredient!B468</f>
        <v/>
      </c>
      <c r="B467" t="inlineStr">
        <is>
          <t>https://www.naehrwertrechner.de/naehrwerte/G582111/Zucchini+frisch/?menge=100</t>
        </is>
      </c>
      <c r="C467" s="7">
        <f>_xlfn.XLOOKUP(A467,[1]ingredient!$B$2:$B$521,[1]ingredient!$A$2:$A$521)</f>
        <v/>
      </c>
      <c r="D467" t="n">
        <v>21</v>
      </c>
      <c r="E467" t="n">
        <v>0.29</v>
      </c>
      <c r="F467" t="n">
        <v>2</v>
      </c>
      <c r="G467" t="n">
        <v>2</v>
      </c>
      <c r="H467" t="n">
        <v>1</v>
      </c>
      <c r="I467" t="n">
        <v>2</v>
      </c>
      <c r="J467" t="n">
        <v>0.03</v>
      </c>
      <c r="K467" t="n">
        <v>93</v>
      </c>
      <c r="L467" t="n">
        <v>30</v>
      </c>
      <c r="M467" t="n">
        <v>15</v>
      </c>
      <c r="N467" t="n">
        <v>0</v>
      </c>
      <c r="O467" t="n">
        <v>180</v>
      </c>
      <c r="P467" t="n">
        <v>211</v>
      </c>
      <c r="Q467" t="n">
        <v>73</v>
      </c>
      <c r="R467" t="n">
        <v>400</v>
      </c>
      <c r="S467" t="n">
        <v>917</v>
      </c>
      <c r="T467" t="n">
        <v>80</v>
      </c>
      <c r="U467" t="n">
        <v>119</v>
      </c>
      <c r="V467" t="n">
        <v>2</v>
      </c>
      <c r="W467" t="n">
        <v>10</v>
      </c>
      <c r="X467" t="n">
        <v>0</v>
      </c>
      <c r="Y467" t="n">
        <v>17600</v>
      </c>
      <c r="Z467" t="n">
        <v>0</v>
      </c>
      <c r="AA467" t="n">
        <v>500</v>
      </c>
      <c r="AB467" t="n">
        <v>11</v>
      </c>
      <c r="AC467" t="n">
        <v>3</v>
      </c>
      <c r="AD467" t="n">
        <v>177</v>
      </c>
      <c r="AE467" t="n">
        <v>25</v>
      </c>
      <c r="AF467" t="n">
        <v>18</v>
      </c>
      <c r="AG467" t="n">
        <v>29</v>
      </c>
      <c r="AH467" t="n">
        <v>25</v>
      </c>
      <c r="AI467" t="n">
        <v>24</v>
      </c>
      <c r="AJ467" t="n">
        <v>1019</v>
      </c>
      <c r="AK467" t="n">
        <v>248</v>
      </c>
      <c r="AL467" t="n">
        <v>45</v>
      </c>
      <c r="AM467" t="n">
        <v>125</v>
      </c>
      <c r="AN467" t="n">
        <v>20</v>
      </c>
      <c r="AO467" t="n">
        <v>2</v>
      </c>
      <c r="AP467" t="n">
        <v>14</v>
      </c>
      <c r="AQ467" t="n">
        <v>0</v>
      </c>
      <c r="AR467" t="n">
        <v>9</v>
      </c>
      <c r="AS467" t="n">
        <v>23</v>
      </c>
      <c r="AT467" t="n">
        <v>1019</v>
      </c>
      <c r="AU467" t="n">
        <v>1136</v>
      </c>
      <c r="AV467" t="n">
        <v>0</v>
      </c>
      <c r="AW467" t="n">
        <v>2155</v>
      </c>
      <c r="AX467" t="n">
        <v>101</v>
      </c>
      <c r="AY467" t="n">
        <v>0</v>
      </c>
      <c r="AZ467" t="n">
        <v>0</v>
      </c>
      <c r="BA467" t="n">
        <v>101</v>
      </c>
      <c r="BB467" t="n">
        <v>0</v>
      </c>
      <c r="BC467" t="n">
        <v>0</v>
      </c>
      <c r="BD467" t="n">
        <v>0</v>
      </c>
      <c r="BE467" t="n">
        <v>451</v>
      </c>
      <c r="BF467" t="n">
        <v>451</v>
      </c>
      <c r="BG467">
        <f>IF($F467=0,"0",MIN(
BH467/(30*$F467),
BI467/(61*$F467),
BJ467/(48*$F467),
(BK467+BL467)/(23*$F467),
(BM467+BN467)/(41*$F467),
BO467/(25*$F467),
BP467/(6.6*$F467),
BQ467/(40*$F467),
BS467/(16*$F467)
)*100)</f>
        <v/>
      </c>
      <c r="BH467" t="n">
        <v>99</v>
      </c>
      <c r="BI467" t="n">
        <v>144</v>
      </c>
      <c r="BJ467" t="n">
        <v>133</v>
      </c>
      <c r="BK467" t="n">
        <v>31</v>
      </c>
      <c r="BL467" t="n">
        <v>21</v>
      </c>
      <c r="BM467" t="n">
        <v>83</v>
      </c>
      <c r="BN467" t="n">
        <v>68</v>
      </c>
      <c r="BO467" t="n">
        <v>65</v>
      </c>
      <c r="BP467" t="n">
        <v>31</v>
      </c>
      <c r="BQ467" t="n">
        <v>101</v>
      </c>
      <c r="BR467" t="n">
        <v>109</v>
      </c>
      <c r="BS467" t="n">
        <v>45</v>
      </c>
      <c r="BT467" t="n">
        <v>930</v>
      </c>
      <c r="BU467" t="n">
        <v>117</v>
      </c>
      <c r="BV467" t="n">
        <v>313</v>
      </c>
      <c r="BW467" t="n">
        <v>401</v>
      </c>
      <c r="BX467" t="n">
        <v>83</v>
      </c>
      <c r="BY467" t="n">
        <v>76</v>
      </c>
      <c r="BZ467" t="n">
        <v>112</v>
      </c>
      <c r="CA467" t="n">
        <v>1102</v>
      </c>
      <c r="CB467" t="n">
        <v>24</v>
      </c>
      <c r="CC467" t="n">
        <v>8</v>
      </c>
      <c r="CD467" t="n">
        <v>87</v>
      </c>
      <c r="CE467" t="n">
        <v>52</v>
      </c>
      <c r="CF467" t="n">
        <v>0.6</v>
      </c>
      <c r="CG467" t="n">
        <v>0</v>
      </c>
      <c r="CH467" t="n">
        <v>0</v>
      </c>
      <c r="CI467" t="n">
        <v>0</v>
      </c>
      <c r="CJ467" t="n">
        <v>0</v>
      </c>
      <c r="CK467" t="n">
        <v>2</v>
      </c>
      <c r="CL467" t="n">
        <v>1</v>
      </c>
      <c r="CM467" t="n">
        <v>0</v>
      </c>
      <c r="CN467" t="n">
        <v>59</v>
      </c>
      <c r="CO467" t="n">
        <v>0</v>
      </c>
      <c r="CP467" t="n">
        <v>7</v>
      </c>
      <c r="CQ467" t="n">
        <v>0</v>
      </c>
      <c r="CR467" t="n">
        <v>0</v>
      </c>
      <c r="CS467" t="n">
        <v>0</v>
      </c>
      <c r="CT467" t="n">
        <v>69</v>
      </c>
      <c r="CU467" t="n">
        <v>0</v>
      </c>
      <c r="CV467" t="n">
        <v>0</v>
      </c>
      <c r="CW467" t="n">
        <v>2</v>
      </c>
      <c r="CX467" t="n">
        <v>0</v>
      </c>
      <c r="CY467" t="n">
        <v>24</v>
      </c>
      <c r="CZ467" t="n">
        <v>0</v>
      </c>
      <c r="DA467" t="n">
        <v>0</v>
      </c>
      <c r="DB467" t="n">
        <v>0</v>
      </c>
      <c r="DC467" t="n">
        <v>26</v>
      </c>
      <c r="DD467" t="n">
        <v>0</v>
      </c>
      <c r="DE467" t="n">
        <v>0</v>
      </c>
      <c r="DF467" t="n">
        <v>52</v>
      </c>
      <c r="DG467" t="n">
        <v>87</v>
      </c>
      <c r="DH467" t="n">
        <v>0</v>
      </c>
      <c r="DI467" t="n">
        <v>0</v>
      </c>
      <c r="DJ467" t="n">
        <v>0</v>
      </c>
      <c r="DK467" t="n">
        <v>0</v>
      </c>
      <c r="DL467" t="n">
        <v>0</v>
      </c>
      <c r="DM467" t="n">
        <v>0</v>
      </c>
      <c r="DN467" t="n">
        <v>0</v>
      </c>
      <c r="DO467" t="n">
        <v>0</v>
      </c>
      <c r="DP467" t="n">
        <v>0</v>
      </c>
      <c r="DQ467" t="n">
        <v>0</v>
      </c>
      <c r="DR467" t="n">
        <v>0</v>
      </c>
      <c r="DS467" t="n">
        <v>139</v>
      </c>
      <c r="DT467" t="n">
        <v>234</v>
      </c>
      <c r="DU467" t="n">
        <v>57</v>
      </c>
      <c r="DV467" t="n">
        <v>0</v>
      </c>
      <c r="DW467" t="n">
        <v>0</v>
      </c>
      <c r="DX467" t="n">
        <v>0</v>
      </c>
      <c r="DY467" t="n">
        <v>88</v>
      </c>
      <c r="DZ467" t="n">
        <v>176</v>
      </c>
      <c r="EA467" t="n">
        <v>385</v>
      </c>
      <c r="EB467" t="n">
        <v>363</v>
      </c>
      <c r="EC467" t="n">
        <v>88</v>
      </c>
      <c r="ED467" t="n">
        <v>260</v>
      </c>
      <c r="EE467" t="n">
        <v>820</v>
      </c>
      <c r="EF467" t="n">
        <v>0</v>
      </c>
      <c r="EG467" t="n">
        <v>0.25</v>
      </c>
      <c r="EH467" t="n">
        <v>0.6</v>
      </c>
      <c r="EI467" t="n">
        <v>0.8</v>
      </c>
      <c r="EJ467" t="n">
        <v>0.3</v>
      </c>
      <c r="EK467" t="n">
        <v>2.1</v>
      </c>
    </row>
    <row r="468">
      <c r="A468">
        <f>[1]ingredient!B469</f>
        <v/>
      </c>
      <c r="B468" t="inlineStr">
        <is>
          <t>https://www.naehrwertrechner.de/naehrwerte/G582111/Zucchini+frisch/?menge=100</t>
        </is>
      </c>
      <c r="C468" s="7">
        <f>_xlfn.XLOOKUP(A468,[1]ingredient!$B$2:$B$521,[1]ingredient!$A$2:$A$521)</f>
        <v/>
      </c>
      <c r="D468" t="n">
        <v>21</v>
      </c>
      <c r="E468" t="n">
        <v>0.29</v>
      </c>
      <c r="F468" t="n">
        <v>2</v>
      </c>
      <c r="G468" t="n">
        <v>2</v>
      </c>
      <c r="H468" t="n">
        <v>1</v>
      </c>
      <c r="I468" t="n">
        <v>2</v>
      </c>
      <c r="J468" t="n">
        <v>0.03</v>
      </c>
      <c r="K468" t="n">
        <v>93</v>
      </c>
      <c r="L468" t="n">
        <v>30</v>
      </c>
      <c r="M468" t="n">
        <v>15</v>
      </c>
      <c r="N468" t="n">
        <v>0</v>
      </c>
      <c r="O468" t="n">
        <v>180</v>
      </c>
      <c r="P468" t="n">
        <v>211</v>
      </c>
      <c r="Q468" t="n">
        <v>73</v>
      </c>
      <c r="R468" t="n">
        <v>400</v>
      </c>
      <c r="S468" t="n">
        <v>917</v>
      </c>
      <c r="T468" t="n">
        <v>80</v>
      </c>
      <c r="U468" t="n">
        <v>119</v>
      </c>
      <c r="V468" t="n">
        <v>2</v>
      </c>
      <c r="W468" t="n">
        <v>10</v>
      </c>
      <c r="X468" t="n">
        <v>0</v>
      </c>
      <c r="Y468" t="n">
        <v>17600</v>
      </c>
      <c r="Z468" t="n">
        <v>0</v>
      </c>
      <c r="AA468" t="n">
        <v>500</v>
      </c>
      <c r="AB468" t="n">
        <v>11</v>
      </c>
      <c r="AC468" t="n">
        <v>3</v>
      </c>
      <c r="AD468" t="n">
        <v>177</v>
      </c>
      <c r="AE468" t="n">
        <v>25</v>
      </c>
      <c r="AF468" t="n">
        <v>18</v>
      </c>
      <c r="AG468" t="n">
        <v>29</v>
      </c>
      <c r="AH468" t="n">
        <v>25</v>
      </c>
      <c r="AI468" t="n">
        <v>24</v>
      </c>
      <c r="AJ468" t="n">
        <v>1019</v>
      </c>
      <c r="AK468" t="n">
        <v>248</v>
      </c>
      <c r="AL468" t="n">
        <v>45</v>
      </c>
      <c r="AM468" t="n">
        <v>125</v>
      </c>
      <c r="AN468" t="n">
        <v>20</v>
      </c>
      <c r="AO468" t="n">
        <v>2</v>
      </c>
      <c r="AP468" t="n">
        <v>14</v>
      </c>
      <c r="AQ468" t="n">
        <v>0</v>
      </c>
      <c r="AR468" t="n">
        <v>9</v>
      </c>
      <c r="AS468" t="n">
        <v>23</v>
      </c>
      <c r="AT468" t="n">
        <v>1019</v>
      </c>
      <c r="AU468" t="n">
        <v>1136</v>
      </c>
      <c r="AV468" t="n">
        <v>0</v>
      </c>
      <c r="AW468" t="n">
        <v>2155</v>
      </c>
      <c r="AX468" t="n">
        <v>101</v>
      </c>
      <c r="AY468" t="n">
        <v>0</v>
      </c>
      <c r="AZ468" t="n">
        <v>0</v>
      </c>
      <c r="BA468" t="n">
        <v>101</v>
      </c>
      <c r="BB468" t="n">
        <v>0</v>
      </c>
      <c r="BC468" t="n">
        <v>0</v>
      </c>
      <c r="BD468" t="n">
        <v>0</v>
      </c>
      <c r="BE468" t="n">
        <v>451</v>
      </c>
      <c r="BF468" t="n">
        <v>451</v>
      </c>
      <c r="BG468">
        <f>IF($F468=0,"0",MIN(
BH468/(30*$F468),
BI468/(61*$F468),
BJ468/(48*$F468),
(BK468+BL468)/(23*$F468),
(BM468+BN468)/(41*$F468),
BO468/(25*$F468),
BP468/(6.6*$F468),
BQ468/(40*$F468),
BS468/(16*$F468)
)*100)</f>
        <v/>
      </c>
      <c r="BH468" t="n">
        <v>99</v>
      </c>
      <c r="BI468" t="n">
        <v>144</v>
      </c>
      <c r="BJ468" t="n">
        <v>133</v>
      </c>
      <c r="BK468" t="n">
        <v>31</v>
      </c>
      <c r="BL468" t="n">
        <v>21</v>
      </c>
      <c r="BM468" t="n">
        <v>83</v>
      </c>
      <c r="BN468" t="n">
        <v>68</v>
      </c>
      <c r="BO468" t="n">
        <v>65</v>
      </c>
      <c r="BP468" t="n">
        <v>31</v>
      </c>
      <c r="BQ468" t="n">
        <v>101</v>
      </c>
      <c r="BR468" t="n">
        <v>109</v>
      </c>
      <c r="BS468" t="n">
        <v>45</v>
      </c>
      <c r="BT468" t="n">
        <v>930</v>
      </c>
      <c r="BU468" t="n">
        <v>117</v>
      </c>
      <c r="BV468" t="n">
        <v>313</v>
      </c>
      <c r="BW468" t="n">
        <v>401</v>
      </c>
      <c r="BX468" t="n">
        <v>83</v>
      </c>
      <c r="BY468" t="n">
        <v>76</v>
      </c>
      <c r="BZ468" t="n">
        <v>112</v>
      </c>
      <c r="CA468" t="n">
        <v>1102</v>
      </c>
      <c r="CB468" t="n">
        <v>24</v>
      </c>
      <c r="CC468" t="n">
        <v>8</v>
      </c>
      <c r="CD468" t="n">
        <v>87</v>
      </c>
      <c r="CE468" t="n">
        <v>52</v>
      </c>
      <c r="CF468" t="n">
        <v>0.6</v>
      </c>
      <c r="CG468" t="n">
        <v>0</v>
      </c>
      <c r="CH468" t="n">
        <v>0</v>
      </c>
      <c r="CI468" t="n">
        <v>0</v>
      </c>
      <c r="CJ468" t="n">
        <v>0</v>
      </c>
      <c r="CK468" t="n">
        <v>2</v>
      </c>
      <c r="CL468" t="n">
        <v>1</v>
      </c>
      <c r="CM468" t="n">
        <v>0</v>
      </c>
      <c r="CN468" t="n">
        <v>59</v>
      </c>
      <c r="CO468" t="n">
        <v>0</v>
      </c>
      <c r="CP468" t="n">
        <v>7</v>
      </c>
      <c r="CQ468" t="n">
        <v>0</v>
      </c>
      <c r="CR468" t="n">
        <v>0</v>
      </c>
      <c r="CS468" t="n">
        <v>0</v>
      </c>
      <c r="CT468" t="n">
        <v>69</v>
      </c>
      <c r="CU468" t="n">
        <v>0</v>
      </c>
      <c r="CV468" t="n">
        <v>0</v>
      </c>
      <c r="CW468" t="n">
        <v>2</v>
      </c>
      <c r="CX468" t="n">
        <v>0</v>
      </c>
      <c r="CY468" t="n">
        <v>24</v>
      </c>
      <c r="CZ468" t="n">
        <v>0</v>
      </c>
      <c r="DA468" t="n">
        <v>0</v>
      </c>
      <c r="DB468" t="n">
        <v>0</v>
      </c>
      <c r="DC468" t="n">
        <v>26</v>
      </c>
      <c r="DD468" t="n">
        <v>0</v>
      </c>
      <c r="DE468" t="n">
        <v>0</v>
      </c>
      <c r="DF468" t="n">
        <v>52</v>
      </c>
      <c r="DG468" t="n">
        <v>87</v>
      </c>
      <c r="DH468" t="n">
        <v>0</v>
      </c>
      <c r="DI468" t="n">
        <v>0</v>
      </c>
      <c r="DJ468" t="n">
        <v>0</v>
      </c>
      <c r="DK468" t="n">
        <v>0</v>
      </c>
      <c r="DL468" t="n">
        <v>0</v>
      </c>
      <c r="DM468" t="n">
        <v>0</v>
      </c>
      <c r="DN468" t="n">
        <v>0</v>
      </c>
      <c r="DO468" t="n">
        <v>0</v>
      </c>
      <c r="DP468" t="n">
        <v>0</v>
      </c>
      <c r="DQ468" t="n">
        <v>0</v>
      </c>
      <c r="DR468" t="n">
        <v>0</v>
      </c>
      <c r="DS468" t="n">
        <v>139</v>
      </c>
      <c r="DT468" t="n">
        <v>234</v>
      </c>
      <c r="DU468" t="n">
        <v>57</v>
      </c>
      <c r="DV468" t="n">
        <v>0</v>
      </c>
      <c r="DW468" t="n">
        <v>0</v>
      </c>
      <c r="DX468" t="n">
        <v>0</v>
      </c>
      <c r="DY468" t="n">
        <v>88</v>
      </c>
      <c r="DZ468" t="n">
        <v>176</v>
      </c>
      <c r="EA468" t="n">
        <v>385</v>
      </c>
      <c r="EB468" t="n">
        <v>363</v>
      </c>
      <c r="EC468" t="n">
        <v>88</v>
      </c>
      <c r="ED468" t="n">
        <v>260</v>
      </c>
      <c r="EE468" t="n">
        <v>820</v>
      </c>
      <c r="EF468" t="n">
        <v>0</v>
      </c>
      <c r="EG468" t="n">
        <v>0.25</v>
      </c>
      <c r="EH468" t="n">
        <v>0.6</v>
      </c>
      <c r="EI468" t="n">
        <v>0.8</v>
      </c>
      <c r="EJ468" t="n">
        <v>0.3</v>
      </c>
      <c r="EK468" t="n">
        <v>2.1</v>
      </c>
    </row>
    <row r="469">
      <c r="A469">
        <f>[1]ingredient!B470</f>
        <v/>
      </c>
      <c r="B469" t="inlineStr">
        <is>
          <t>https://www.naehrwertrechner.de/naehrwerte/S110000/Zucker/?menge=100</t>
        </is>
      </c>
      <c r="C469" s="7">
        <f>_xlfn.XLOOKUP(A469,[1]ingredient!$B$2:$B$521,[1]ingredient!$A$2:$A$521)</f>
        <v/>
      </c>
      <c r="D469" t="n">
        <v>405</v>
      </c>
      <c r="E469" t="n">
        <v>0</v>
      </c>
      <c r="F469" t="n">
        <v>0</v>
      </c>
      <c r="G469" t="n">
        <v>100</v>
      </c>
      <c r="H469" t="n">
        <v>0</v>
      </c>
      <c r="I469" t="n">
        <v>100</v>
      </c>
      <c r="J469" t="n">
        <v>0</v>
      </c>
      <c r="K469" t="n">
        <v>0.12</v>
      </c>
      <c r="L469" t="n">
        <v>0</v>
      </c>
      <c r="M469" t="n">
        <v>0</v>
      </c>
      <c r="N469" t="n">
        <v>0</v>
      </c>
      <c r="O469" t="n">
        <v>0</v>
      </c>
      <c r="P469" t="n">
        <v>0</v>
      </c>
      <c r="Q469" t="n">
        <v>0</v>
      </c>
      <c r="R469" t="n">
        <v>0</v>
      </c>
      <c r="S469" t="n">
        <v>0</v>
      </c>
      <c r="T469" t="n">
        <v>0</v>
      </c>
      <c r="U469" t="n">
        <v>0</v>
      </c>
      <c r="V469" t="n">
        <v>0</v>
      </c>
      <c r="W469" t="n">
        <v>0</v>
      </c>
      <c r="X469" t="n">
        <v>0</v>
      </c>
      <c r="Y469" t="n">
        <v>0</v>
      </c>
      <c r="Z469" t="n">
        <v>0</v>
      </c>
      <c r="AA469" t="n">
        <v>0</v>
      </c>
      <c r="AB469" t="n">
        <v>0</v>
      </c>
      <c r="AC469" t="n">
        <v>0</v>
      </c>
      <c r="AD469" t="n">
        <v>2</v>
      </c>
      <c r="AE469" t="n">
        <v>1</v>
      </c>
      <c r="AF469" t="n">
        <v>0</v>
      </c>
      <c r="AG469" t="n">
        <v>0</v>
      </c>
      <c r="AH469" t="n">
        <v>0</v>
      </c>
      <c r="AI469" t="n">
        <v>2</v>
      </c>
      <c r="AJ469" t="n">
        <v>290</v>
      </c>
      <c r="AK469" t="n">
        <v>20</v>
      </c>
      <c r="AL469" t="n">
        <v>15</v>
      </c>
      <c r="AM469" t="n">
        <v>10</v>
      </c>
      <c r="AN469" t="n">
        <v>0</v>
      </c>
      <c r="AO469" t="n">
        <v>0</v>
      </c>
      <c r="AP469" t="n">
        <v>0</v>
      </c>
      <c r="AQ469" t="n">
        <v>0</v>
      </c>
      <c r="AR469" t="n">
        <v>0</v>
      </c>
      <c r="AS469" t="n">
        <v>0</v>
      </c>
      <c r="AT469" t="n">
        <v>0</v>
      </c>
      <c r="AU469" t="n">
        <v>0</v>
      </c>
      <c r="AV469" t="n">
        <v>0</v>
      </c>
      <c r="AW469" t="n">
        <v>0</v>
      </c>
      <c r="AX469" t="n">
        <v>99800</v>
      </c>
      <c r="AY469" t="n">
        <v>0</v>
      </c>
      <c r="AZ469" t="n">
        <v>0</v>
      </c>
      <c r="BA469" t="n">
        <v>99800</v>
      </c>
      <c r="BB469" t="n">
        <v>0</v>
      </c>
      <c r="BC469" t="n">
        <v>40</v>
      </c>
      <c r="BD469" t="n">
        <v>0</v>
      </c>
      <c r="BE469" t="n">
        <v>0</v>
      </c>
      <c r="BF469" t="n">
        <v>0</v>
      </c>
      <c r="BG469">
        <f>IF($F469=0,"0",MIN(
BH469/(30*$F469),
BI469/(61*$F469),
BJ469/(48*$F469),
(BK469+BL469)/(23*$F469),
(BM469+BN469)/(41*$F469),
BO469/(25*$F469),
BP469/(6.6*$F469),
BQ469/(40*$F469),
BS469/(16*$F469)
)*100)</f>
        <v/>
      </c>
      <c r="BH469" t="n">
        <v>0</v>
      </c>
      <c r="BI469" t="n">
        <v>0</v>
      </c>
      <c r="BJ469" t="n">
        <v>0</v>
      </c>
      <c r="BK469" t="n">
        <v>0</v>
      </c>
      <c r="BL469" t="n">
        <v>0</v>
      </c>
      <c r="BM469" t="n">
        <v>0</v>
      </c>
      <c r="BN469" t="n">
        <v>0</v>
      </c>
      <c r="BO469" t="n">
        <v>0</v>
      </c>
      <c r="BP469" t="n">
        <v>0</v>
      </c>
      <c r="BQ469" t="n">
        <v>0</v>
      </c>
      <c r="BR469" t="n">
        <v>0</v>
      </c>
      <c r="BS469" t="n">
        <v>0</v>
      </c>
      <c r="BT469" t="n">
        <v>0</v>
      </c>
      <c r="BU469" t="n">
        <v>0</v>
      </c>
      <c r="BV469" t="n">
        <v>0</v>
      </c>
      <c r="BW469" t="n">
        <v>0</v>
      </c>
      <c r="BX469" t="n">
        <v>0</v>
      </c>
      <c r="BY469" t="n">
        <v>0</v>
      </c>
      <c r="BZ469" t="n">
        <v>0</v>
      </c>
      <c r="CA469" t="n">
        <v>0</v>
      </c>
      <c r="CB469" t="n">
        <v>0</v>
      </c>
      <c r="CC469" t="n">
        <v>0</v>
      </c>
      <c r="CD469" t="n">
        <v>0</v>
      </c>
      <c r="CE469" t="n">
        <v>0</v>
      </c>
      <c r="CF469" t="n">
        <v>0</v>
      </c>
      <c r="CG469" t="n">
        <v>0</v>
      </c>
      <c r="CH469" t="n">
        <v>0</v>
      </c>
      <c r="CI469" t="n">
        <v>0</v>
      </c>
      <c r="CJ469" t="n">
        <v>0</v>
      </c>
      <c r="CK469" t="n">
        <v>0</v>
      </c>
      <c r="CL469" t="n">
        <v>0</v>
      </c>
      <c r="CM469" t="n">
        <v>0</v>
      </c>
      <c r="CN469" t="n">
        <v>0</v>
      </c>
      <c r="CO469" t="n">
        <v>0</v>
      </c>
      <c r="CP469" t="n">
        <v>0</v>
      </c>
      <c r="CQ469" t="n">
        <v>0</v>
      </c>
      <c r="CR469" t="n">
        <v>0</v>
      </c>
      <c r="CS469" t="n">
        <v>0</v>
      </c>
      <c r="CT469" t="n">
        <v>0</v>
      </c>
      <c r="CU469" t="n">
        <v>0</v>
      </c>
      <c r="CV469" t="n">
        <v>0</v>
      </c>
      <c r="CW469" t="n">
        <v>0</v>
      </c>
      <c r="CX469" t="n">
        <v>0</v>
      </c>
      <c r="CY469" t="n">
        <v>0</v>
      </c>
      <c r="CZ469" t="n">
        <v>0</v>
      </c>
      <c r="DA469" t="n">
        <v>0</v>
      </c>
      <c r="DB469" t="n">
        <v>0</v>
      </c>
      <c r="DC469" t="n">
        <v>0</v>
      </c>
      <c r="DD469" t="n">
        <v>0</v>
      </c>
      <c r="DE469" t="n">
        <v>0</v>
      </c>
      <c r="DF469" t="n">
        <v>0</v>
      </c>
      <c r="DG469" t="n">
        <v>0</v>
      </c>
      <c r="DH469" t="n">
        <v>0</v>
      </c>
      <c r="DI469" t="n">
        <v>0</v>
      </c>
      <c r="DJ469" t="n">
        <v>0</v>
      </c>
      <c r="DK469" t="n">
        <v>0</v>
      </c>
      <c r="DL469" t="n">
        <v>0</v>
      </c>
      <c r="DM469" t="n">
        <v>0</v>
      </c>
      <c r="DN469" t="n">
        <v>0</v>
      </c>
      <c r="DO469" t="n">
        <v>0</v>
      </c>
      <c r="DP469" t="n">
        <v>0</v>
      </c>
      <c r="DQ469" t="n">
        <v>0</v>
      </c>
      <c r="DR469" t="n">
        <v>0</v>
      </c>
      <c r="DS469" t="n">
        <v>0</v>
      </c>
      <c r="DT469" t="n">
        <v>0</v>
      </c>
      <c r="DU469" t="n">
        <v>0</v>
      </c>
      <c r="DV469" t="n">
        <v>0</v>
      </c>
      <c r="DW469" t="n">
        <v>0</v>
      </c>
      <c r="DX469" t="n">
        <v>0</v>
      </c>
      <c r="DY469" t="n">
        <v>0</v>
      </c>
      <c r="DZ469" t="n">
        <v>0</v>
      </c>
      <c r="EA469" t="n">
        <v>0</v>
      </c>
      <c r="EB469" t="n">
        <v>0</v>
      </c>
      <c r="EC469" t="n">
        <v>0</v>
      </c>
      <c r="ED469" t="n">
        <v>0</v>
      </c>
      <c r="EE469" t="n">
        <v>0</v>
      </c>
      <c r="EF469" t="n">
        <v>0</v>
      </c>
      <c r="EG469" t="n">
        <v>0</v>
      </c>
      <c r="EH469" t="n">
        <v>0</v>
      </c>
      <c r="EI469" t="n">
        <v>0</v>
      </c>
      <c r="EJ469" t="n">
        <v>0</v>
      </c>
      <c r="EK469" t="n">
        <v>0</v>
      </c>
    </row>
    <row r="470">
      <c r="A470">
        <f>[1]ingredient!B471</f>
        <v/>
      </c>
      <c r="B470" t="inlineStr">
        <is>
          <t>https://www.naehrwertrechner.de/naehrwerte/F223111/Zwetschge+frisch/?menge=100</t>
        </is>
      </c>
      <c r="C470" s="7">
        <f>_xlfn.XLOOKUP(A470,[1]ingredient!$B$2:$B$521,[1]ingredient!$A$2:$A$521)</f>
        <v/>
      </c>
      <c r="D470" t="n">
        <v>43</v>
      </c>
      <c r="E470" t="n">
        <v>0.1</v>
      </c>
      <c r="F470" t="n">
        <v>1</v>
      </c>
      <c r="G470" t="n">
        <v>9</v>
      </c>
      <c r="H470" t="n">
        <v>2</v>
      </c>
      <c r="I470" t="n">
        <v>9</v>
      </c>
      <c r="J470" t="n">
        <v>0</v>
      </c>
      <c r="K470" t="n">
        <v>86</v>
      </c>
      <c r="L470" t="n">
        <v>49</v>
      </c>
      <c r="M470" t="n">
        <v>25</v>
      </c>
      <c r="N470" t="n">
        <v>0</v>
      </c>
      <c r="O470" t="n">
        <v>295</v>
      </c>
      <c r="P470" t="n">
        <v>50</v>
      </c>
      <c r="Q470" t="n">
        <v>30</v>
      </c>
      <c r="R470" t="n">
        <v>400</v>
      </c>
      <c r="S470" t="n">
        <v>400</v>
      </c>
      <c r="T470" t="n">
        <v>150</v>
      </c>
      <c r="U470" t="n">
        <v>50</v>
      </c>
      <c r="V470" t="n">
        <v>0.1</v>
      </c>
      <c r="W470" t="n">
        <v>3</v>
      </c>
      <c r="X470" t="n">
        <v>0</v>
      </c>
      <c r="Y470" t="n">
        <v>4000</v>
      </c>
      <c r="Z470" t="n">
        <v>0</v>
      </c>
      <c r="AA470" t="n">
        <v>610</v>
      </c>
      <c r="AB470" t="n">
        <v>10</v>
      </c>
      <c r="AC470" t="n">
        <v>2</v>
      </c>
      <c r="AD470" t="n">
        <v>240</v>
      </c>
      <c r="AE470" t="n">
        <v>13</v>
      </c>
      <c r="AF470" t="n">
        <v>8</v>
      </c>
      <c r="AG470" t="n">
        <v>23</v>
      </c>
      <c r="AH470" t="n">
        <v>5</v>
      </c>
      <c r="AI470" t="n">
        <v>1</v>
      </c>
      <c r="AJ470" t="n">
        <v>400</v>
      </c>
      <c r="AK470" t="n">
        <v>100</v>
      </c>
      <c r="AL470" t="n">
        <v>100</v>
      </c>
      <c r="AM470" t="n">
        <v>100</v>
      </c>
      <c r="AN470" t="n">
        <v>2</v>
      </c>
      <c r="AO470" t="n">
        <v>0.1</v>
      </c>
      <c r="AP470" t="n">
        <v>0</v>
      </c>
      <c r="AQ470" t="n">
        <v>0</v>
      </c>
      <c r="AR470" t="n">
        <v>0</v>
      </c>
      <c r="AS470" t="n">
        <v>0</v>
      </c>
      <c r="AT470" t="n">
        <v>4303</v>
      </c>
      <c r="AU470" t="n">
        <v>1998</v>
      </c>
      <c r="AV470" t="n">
        <v>0</v>
      </c>
      <c r="AW470" t="n">
        <v>6301</v>
      </c>
      <c r="AX470" t="n">
        <v>2499</v>
      </c>
      <c r="AY470" t="n">
        <v>0</v>
      </c>
      <c r="AZ470" t="n">
        <v>0</v>
      </c>
      <c r="BA470" t="n">
        <v>2499</v>
      </c>
      <c r="BB470" t="n">
        <v>0</v>
      </c>
      <c r="BC470" t="n">
        <v>0</v>
      </c>
      <c r="BD470" t="n">
        <v>0</v>
      </c>
      <c r="BE470" t="n">
        <v>0</v>
      </c>
      <c r="BF470" t="n">
        <v>0</v>
      </c>
      <c r="BG470">
        <f>IF($F470=0,"0",MIN(
BH470/(30*$F470),
BI470/(61*$F470),
BJ470/(48*$F470),
(BK470+BL470)/(23*$F470),
(BM470+BN470)/(41*$F470),
BO470/(25*$F470),
BP470/(6.6*$F470),
BQ470/(40*$F470),
BS470/(16*$F470)
)*100)</f>
        <v/>
      </c>
      <c r="BH470" t="n">
        <v>12</v>
      </c>
      <c r="BI470" t="n">
        <v>16</v>
      </c>
      <c r="BJ470" t="n">
        <v>13</v>
      </c>
      <c r="BK470" t="n">
        <v>5</v>
      </c>
      <c r="BL470" t="n">
        <v>3</v>
      </c>
      <c r="BM470" t="n">
        <v>13</v>
      </c>
      <c r="BN470" t="n">
        <v>5</v>
      </c>
      <c r="BO470" t="n">
        <v>12</v>
      </c>
      <c r="BP470" t="n">
        <v>0</v>
      </c>
      <c r="BQ470" t="n">
        <v>14</v>
      </c>
      <c r="BR470" t="n">
        <v>10</v>
      </c>
      <c r="BS470" t="n">
        <v>10</v>
      </c>
      <c r="BT470" t="n">
        <v>113</v>
      </c>
      <c r="BU470" t="n">
        <v>22</v>
      </c>
      <c r="BV470" t="n">
        <v>189</v>
      </c>
      <c r="BW470" t="n">
        <v>28</v>
      </c>
      <c r="BX470" t="n">
        <v>9</v>
      </c>
      <c r="BY470" t="n">
        <v>26</v>
      </c>
      <c r="BZ470" t="n">
        <v>15</v>
      </c>
      <c r="CA470" t="n">
        <v>289</v>
      </c>
      <c r="CB470" t="n">
        <v>20</v>
      </c>
      <c r="CC470" t="n">
        <v>8</v>
      </c>
      <c r="CD470" t="n">
        <v>18</v>
      </c>
      <c r="CE470" t="n">
        <v>32</v>
      </c>
      <c r="CF470" t="n">
        <v>1.78</v>
      </c>
      <c r="CG470" t="n">
        <v>0</v>
      </c>
      <c r="CH470" t="n">
        <v>0</v>
      </c>
      <c r="CI470" t="n">
        <v>0</v>
      </c>
      <c r="CJ470" t="n">
        <v>0</v>
      </c>
      <c r="CK470" t="n">
        <v>0</v>
      </c>
      <c r="CL470" t="n">
        <v>0</v>
      </c>
      <c r="CM470" t="n">
        <v>0</v>
      </c>
      <c r="CN470" t="n">
        <v>14</v>
      </c>
      <c r="CO470" t="n">
        <v>0</v>
      </c>
      <c r="CP470" t="n">
        <v>3</v>
      </c>
      <c r="CQ470" t="n">
        <v>0</v>
      </c>
      <c r="CR470" t="n">
        <v>0</v>
      </c>
      <c r="CS470" t="n">
        <v>0</v>
      </c>
      <c r="CT470" t="n">
        <v>17</v>
      </c>
      <c r="CU470" t="n">
        <v>0</v>
      </c>
      <c r="CV470" t="n">
        <v>0</v>
      </c>
      <c r="CW470" t="n">
        <v>1</v>
      </c>
      <c r="CX470" t="n">
        <v>0</v>
      </c>
      <c r="CY470" t="n">
        <v>12</v>
      </c>
      <c r="CZ470" t="n">
        <v>0</v>
      </c>
      <c r="DA470" t="n">
        <v>0</v>
      </c>
      <c r="DB470" t="n">
        <v>0</v>
      </c>
      <c r="DC470" t="n">
        <v>13</v>
      </c>
      <c r="DD470" t="n">
        <v>0</v>
      </c>
      <c r="DE470" t="n">
        <v>0</v>
      </c>
      <c r="DF470" t="n">
        <v>32</v>
      </c>
      <c r="DG470" t="n">
        <v>18</v>
      </c>
      <c r="DH470" t="n">
        <v>0</v>
      </c>
      <c r="DI470" t="n">
        <v>0</v>
      </c>
      <c r="DJ470" t="n">
        <v>0</v>
      </c>
      <c r="DK470" t="n">
        <v>0</v>
      </c>
      <c r="DL470" t="n">
        <v>0</v>
      </c>
      <c r="DM470" t="n">
        <v>0</v>
      </c>
      <c r="DN470" t="n">
        <v>0</v>
      </c>
      <c r="DO470" t="n">
        <v>0</v>
      </c>
      <c r="DP470" t="n">
        <v>0</v>
      </c>
      <c r="DQ470" t="n">
        <v>0</v>
      </c>
      <c r="DR470" t="n">
        <v>0</v>
      </c>
      <c r="DS470" t="n">
        <v>50</v>
      </c>
      <c r="DT470" t="n">
        <v>80</v>
      </c>
      <c r="DU470" t="n">
        <v>20</v>
      </c>
      <c r="DV470" t="n">
        <v>0</v>
      </c>
      <c r="DW470" t="n">
        <v>0</v>
      </c>
      <c r="DX470" t="n">
        <v>0</v>
      </c>
      <c r="DY470" t="n">
        <v>230</v>
      </c>
      <c r="DZ470" t="n">
        <v>191</v>
      </c>
      <c r="EA470" t="n">
        <v>1106</v>
      </c>
      <c r="EB470" t="n">
        <v>336</v>
      </c>
      <c r="EC470" t="n">
        <v>437</v>
      </c>
      <c r="ED470" t="n">
        <v>975</v>
      </c>
      <c r="EE470" t="n">
        <v>1325</v>
      </c>
      <c r="EF470" t="n">
        <v>0</v>
      </c>
      <c r="EG470" t="n">
        <v>1</v>
      </c>
      <c r="EH470" t="n">
        <v>0.5</v>
      </c>
      <c r="EI470" t="n">
        <v>1.3</v>
      </c>
      <c r="EJ470" t="n">
        <v>0.1</v>
      </c>
      <c r="EK470" t="n">
        <v>0.5</v>
      </c>
    </row>
    <row r="471">
      <c r="A471">
        <f>[1]ingredient!B472</f>
        <v/>
      </c>
      <c r="B471" t="inlineStr">
        <is>
          <t>https://www.naehrwertrechner.de/naehrwerte/G480100/Zwiebeln+roh/?menge=100</t>
        </is>
      </c>
      <c r="C471" s="7">
        <f>_xlfn.XLOOKUP(A471,[1]ingredient!$B$2:$B$521,[1]ingredient!$A$2:$A$521)</f>
        <v/>
      </c>
      <c r="D471" t="n">
        <v>28</v>
      </c>
      <c r="E471" t="n">
        <v>0.25</v>
      </c>
      <c r="F471" t="n">
        <v>1</v>
      </c>
      <c r="G471" t="n">
        <v>5</v>
      </c>
      <c r="H471" t="n">
        <v>1</v>
      </c>
      <c r="I471" t="n">
        <v>5</v>
      </c>
      <c r="J471" t="n">
        <v>0.02</v>
      </c>
      <c r="K471" t="n">
        <v>92</v>
      </c>
      <c r="L471" t="n">
        <v>1</v>
      </c>
      <c r="M471" t="n">
        <v>1</v>
      </c>
      <c r="N471" t="n">
        <v>0</v>
      </c>
      <c r="O471" t="n">
        <v>7</v>
      </c>
      <c r="P471" t="n">
        <v>36</v>
      </c>
      <c r="Q471" t="n">
        <v>20</v>
      </c>
      <c r="R471" t="n">
        <v>200</v>
      </c>
      <c r="S471" t="n">
        <v>517</v>
      </c>
      <c r="T471" t="n">
        <v>170</v>
      </c>
      <c r="U471" t="n">
        <v>156</v>
      </c>
      <c r="V471" t="n">
        <v>4</v>
      </c>
      <c r="W471" t="n">
        <v>11</v>
      </c>
      <c r="X471" t="n">
        <v>0</v>
      </c>
      <c r="Y471" t="n">
        <v>7400</v>
      </c>
      <c r="Z471" t="n">
        <v>0</v>
      </c>
      <c r="AA471" t="n">
        <v>67</v>
      </c>
      <c r="AB471" t="n">
        <v>1</v>
      </c>
      <c r="AC471" t="n">
        <v>3</v>
      </c>
      <c r="AD471" t="n">
        <v>162</v>
      </c>
      <c r="AE471" t="n">
        <v>22</v>
      </c>
      <c r="AF471" t="n">
        <v>10</v>
      </c>
      <c r="AG471" t="n">
        <v>33</v>
      </c>
      <c r="AH471" t="n">
        <v>51</v>
      </c>
      <c r="AI471" t="n">
        <v>19</v>
      </c>
      <c r="AJ471" t="n">
        <v>221</v>
      </c>
      <c r="AK471" t="n">
        <v>184</v>
      </c>
      <c r="AL471" t="n">
        <v>44</v>
      </c>
      <c r="AM471" t="n">
        <v>126</v>
      </c>
      <c r="AN471" t="n">
        <v>42</v>
      </c>
      <c r="AO471" t="n">
        <v>2</v>
      </c>
      <c r="AP471" t="n">
        <v>0</v>
      </c>
      <c r="AQ471" t="n">
        <v>0</v>
      </c>
      <c r="AR471" t="n">
        <v>0</v>
      </c>
      <c r="AS471" t="n">
        <v>0</v>
      </c>
      <c r="AT471" t="n">
        <v>1658</v>
      </c>
      <c r="AU471" t="n">
        <v>1357</v>
      </c>
      <c r="AV471" t="n">
        <v>0</v>
      </c>
      <c r="AW471" t="n">
        <v>3015</v>
      </c>
      <c r="AX471" t="n">
        <v>1906</v>
      </c>
      <c r="AY471" t="n">
        <v>0</v>
      </c>
      <c r="AZ471" t="n">
        <v>0</v>
      </c>
      <c r="BA471" t="n">
        <v>1906</v>
      </c>
      <c r="BB471" t="n">
        <v>1132</v>
      </c>
      <c r="BC471" t="n">
        <v>0</v>
      </c>
      <c r="BD471" t="n">
        <v>0</v>
      </c>
      <c r="BE471" t="n">
        <v>0</v>
      </c>
      <c r="BF471" t="n">
        <v>0</v>
      </c>
      <c r="BG471">
        <f>IF($F471=0,"0",MIN(
BH471/(30*$F471),
BI471/(61*$F471),
BJ471/(48*$F471),
(BK471+BL471)/(23*$F471),
(BM471+BN471)/(41*$F471),
BO471/(25*$F471),
BP471/(6.6*$F471),
BQ471/(40*$F471),
BS471/(16*$F471)
)*100)</f>
        <v/>
      </c>
      <c r="BH471" t="n">
        <v>19</v>
      </c>
      <c r="BI471" t="n">
        <v>33</v>
      </c>
      <c r="BJ471" t="n">
        <v>57</v>
      </c>
      <c r="BK471" t="n">
        <v>12</v>
      </c>
      <c r="BL471" t="n">
        <v>29</v>
      </c>
      <c r="BM471" t="n">
        <v>35</v>
      </c>
      <c r="BN471" t="n">
        <v>41</v>
      </c>
      <c r="BO471" t="n">
        <v>20</v>
      </c>
      <c r="BP471" t="n">
        <v>19</v>
      </c>
      <c r="BQ471" t="n">
        <v>28</v>
      </c>
      <c r="BR471" t="n">
        <v>160</v>
      </c>
      <c r="BS471" t="n">
        <v>13</v>
      </c>
      <c r="BT471" t="n">
        <v>466</v>
      </c>
      <c r="BU471" t="n">
        <v>46</v>
      </c>
      <c r="BV471" t="n">
        <v>91</v>
      </c>
      <c r="BW471" t="n">
        <v>260</v>
      </c>
      <c r="BX471" t="n">
        <v>69</v>
      </c>
      <c r="BY471" t="n">
        <v>51</v>
      </c>
      <c r="BZ471" t="n">
        <v>47</v>
      </c>
      <c r="CA471" t="n">
        <v>564</v>
      </c>
      <c r="CB471" t="n">
        <v>13</v>
      </c>
      <c r="CC471" t="n">
        <v>5</v>
      </c>
      <c r="CD471" t="n">
        <v>13</v>
      </c>
      <c r="CE471" t="n">
        <v>93</v>
      </c>
      <c r="CF471" t="n">
        <v>7.15</v>
      </c>
      <c r="CG471" t="n">
        <v>0</v>
      </c>
      <c r="CH471" t="n">
        <v>0</v>
      </c>
      <c r="CI471" t="n">
        <v>0</v>
      </c>
      <c r="CJ471" t="n">
        <v>0</v>
      </c>
      <c r="CK471" t="n">
        <v>0</v>
      </c>
      <c r="CL471" t="n">
        <v>1</v>
      </c>
      <c r="CM471" t="n">
        <v>0</v>
      </c>
      <c r="CN471" t="n">
        <v>67</v>
      </c>
      <c r="CO471" t="n">
        <v>0</v>
      </c>
      <c r="CP471" t="n">
        <v>27</v>
      </c>
      <c r="CQ471" t="n">
        <v>0</v>
      </c>
      <c r="CR471" t="n">
        <v>0</v>
      </c>
      <c r="CS471" t="n">
        <v>0</v>
      </c>
      <c r="CT471" t="n">
        <v>95</v>
      </c>
      <c r="CU471" t="n">
        <v>0</v>
      </c>
      <c r="CV471" t="n">
        <v>0</v>
      </c>
      <c r="CW471" t="n">
        <v>0</v>
      </c>
      <c r="CX471" t="n">
        <v>0</v>
      </c>
      <c r="CY471" t="n">
        <v>32</v>
      </c>
      <c r="CZ471" t="n">
        <v>0</v>
      </c>
      <c r="DA471" t="n">
        <v>0</v>
      </c>
      <c r="DB471" t="n">
        <v>0</v>
      </c>
      <c r="DC471" t="n">
        <v>32</v>
      </c>
      <c r="DD471" t="n">
        <v>0</v>
      </c>
      <c r="DE471" t="n">
        <v>0</v>
      </c>
      <c r="DF471" t="n">
        <v>93</v>
      </c>
      <c r="DG471" t="n">
        <v>13</v>
      </c>
      <c r="DH471" t="n">
        <v>0</v>
      </c>
      <c r="DI471" t="n">
        <v>0</v>
      </c>
      <c r="DJ471" t="n">
        <v>0</v>
      </c>
      <c r="DK471" t="n">
        <v>0</v>
      </c>
      <c r="DL471" t="n">
        <v>0</v>
      </c>
      <c r="DM471" t="n">
        <v>0</v>
      </c>
      <c r="DN471" t="n">
        <v>0</v>
      </c>
      <c r="DO471" t="n">
        <v>0</v>
      </c>
      <c r="DP471" t="n">
        <v>0</v>
      </c>
      <c r="DQ471" t="n">
        <v>0</v>
      </c>
      <c r="DR471" t="n">
        <v>0</v>
      </c>
      <c r="DS471" t="n">
        <v>106</v>
      </c>
      <c r="DT471" t="n">
        <v>233</v>
      </c>
      <c r="DU471" t="n">
        <v>50</v>
      </c>
      <c r="DV471" t="n">
        <v>0</v>
      </c>
      <c r="DW471" t="n">
        <v>0</v>
      </c>
      <c r="DX471" t="n">
        <v>0</v>
      </c>
      <c r="DY471" t="n">
        <v>70</v>
      </c>
      <c r="DZ471" t="n">
        <v>504</v>
      </c>
      <c r="EA471" t="n">
        <v>392</v>
      </c>
      <c r="EB471" t="n">
        <v>510</v>
      </c>
      <c r="EC471" t="n">
        <v>70</v>
      </c>
      <c r="ED471" t="n">
        <v>290</v>
      </c>
      <c r="EE471" t="n">
        <v>1520</v>
      </c>
      <c r="EF471" t="n">
        <v>0</v>
      </c>
      <c r="EG471" t="n">
        <v>0.21</v>
      </c>
      <c r="EH471" t="n">
        <v>0.5</v>
      </c>
      <c r="EI471" t="n">
        <v>1.5</v>
      </c>
      <c r="EJ471" t="n">
        <v>0.3</v>
      </c>
      <c r="EK471" t="n">
        <v>1.1</v>
      </c>
    </row>
    <row r="472">
      <c r="A472">
        <f>[1]ingredient!B473</f>
        <v/>
      </c>
      <c r="B472" t="inlineStr">
        <is>
          <t>https://www.naehrwertrechner.de/naehrwerte/G480100/Zwiebeln+roh/?menge=100</t>
        </is>
      </c>
      <c r="C472" s="7">
        <f>_xlfn.XLOOKUP(A472,[1]ingredient!$B$2:$B$521,[1]ingredient!$A$2:$A$521)</f>
        <v/>
      </c>
      <c r="D472" t="n">
        <v>28</v>
      </c>
      <c r="E472" t="n">
        <v>0.25</v>
      </c>
      <c r="F472" t="n">
        <v>1</v>
      </c>
      <c r="G472" t="n">
        <v>5</v>
      </c>
      <c r="H472" t="n">
        <v>1</v>
      </c>
      <c r="I472" t="n">
        <v>5</v>
      </c>
      <c r="J472" t="n">
        <v>0.02</v>
      </c>
      <c r="K472" t="n">
        <v>92</v>
      </c>
      <c r="L472" t="n">
        <v>1</v>
      </c>
      <c r="M472" t="n">
        <v>1</v>
      </c>
      <c r="N472" t="n">
        <v>0</v>
      </c>
      <c r="O472" t="n">
        <v>7</v>
      </c>
      <c r="P472" t="n">
        <v>36</v>
      </c>
      <c r="Q472" t="n">
        <v>20</v>
      </c>
      <c r="R472" t="n">
        <v>200</v>
      </c>
      <c r="S472" t="n">
        <v>517</v>
      </c>
      <c r="T472" t="n">
        <v>170</v>
      </c>
      <c r="U472" t="n">
        <v>156</v>
      </c>
      <c r="V472" t="n">
        <v>4</v>
      </c>
      <c r="W472" t="n">
        <v>11</v>
      </c>
      <c r="X472" t="n">
        <v>0</v>
      </c>
      <c r="Y472" t="n">
        <v>7400</v>
      </c>
      <c r="Z472" t="n">
        <v>0</v>
      </c>
      <c r="AA472" t="n">
        <v>67</v>
      </c>
      <c r="AB472" t="n">
        <v>1</v>
      </c>
      <c r="AC472" t="n">
        <v>3</v>
      </c>
      <c r="AD472" t="n">
        <v>162</v>
      </c>
      <c r="AE472" t="n">
        <v>22</v>
      </c>
      <c r="AF472" t="n">
        <v>10</v>
      </c>
      <c r="AG472" t="n">
        <v>33</v>
      </c>
      <c r="AH472" t="n">
        <v>51</v>
      </c>
      <c r="AI472" t="n">
        <v>19</v>
      </c>
      <c r="AJ472" t="n">
        <v>221</v>
      </c>
      <c r="AK472" t="n">
        <v>184</v>
      </c>
      <c r="AL472" t="n">
        <v>44</v>
      </c>
      <c r="AM472" t="n">
        <v>126</v>
      </c>
      <c r="AN472" t="n">
        <v>42</v>
      </c>
      <c r="AO472" t="n">
        <v>2</v>
      </c>
      <c r="AP472" t="n">
        <v>0</v>
      </c>
      <c r="AQ472" t="n">
        <v>0</v>
      </c>
      <c r="AR472" t="n">
        <v>0</v>
      </c>
      <c r="AS472" t="n">
        <v>0</v>
      </c>
      <c r="AT472" t="n">
        <v>1658</v>
      </c>
      <c r="AU472" t="n">
        <v>1357</v>
      </c>
      <c r="AV472" t="n">
        <v>0</v>
      </c>
      <c r="AW472" t="n">
        <v>3015</v>
      </c>
      <c r="AX472" t="n">
        <v>1906</v>
      </c>
      <c r="AY472" t="n">
        <v>0</v>
      </c>
      <c r="AZ472" t="n">
        <v>0</v>
      </c>
      <c r="BA472" t="n">
        <v>1906</v>
      </c>
      <c r="BB472" t="n">
        <v>1132</v>
      </c>
      <c r="BC472" t="n">
        <v>0</v>
      </c>
      <c r="BD472" t="n">
        <v>0</v>
      </c>
      <c r="BE472" t="n">
        <v>0</v>
      </c>
      <c r="BF472" t="n">
        <v>0</v>
      </c>
      <c r="BG472">
        <f>IF($F472=0,"0",MIN(
BH472/(30*$F472),
BI472/(61*$F472),
BJ472/(48*$F472),
(BK472+BL472)/(23*$F472),
(BM472+BN472)/(41*$F472),
BO472/(25*$F472),
BP472/(6.6*$F472),
BQ472/(40*$F472),
BS472/(16*$F472)
)*100)</f>
        <v/>
      </c>
      <c r="BH472" t="n">
        <v>19</v>
      </c>
      <c r="BI472" t="n">
        <v>33</v>
      </c>
      <c r="BJ472" t="n">
        <v>57</v>
      </c>
      <c r="BK472" t="n">
        <v>12</v>
      </c>
      <c r="BL472" t="n">
        <v>29</v>
      </c>
      <c r="BM472" t="n">
        <v>35</v>
      </c>
      <c r="BN472" t="n">
        <v>41</v>
      </c>
      <c r="BO472" t="n">
        <v>20</v>
      </c>
      <c r="BP472" t="n">
        <v>19</v>
      </c>
      <c r="BQ472" t="n">
        <v>28</v>
      </c>
      <c r="BR472" t="n">
        <v>160</v>
      </c>
      <c r="BS472" t="n">
        <v>13</v>
      </c>
      <c r="BT472" t="n">
        <v>466</v>
      </c>
      <c r="BU472" t="n">
        <v>46</v>
      </c>
      <c r="BV472" t="n">
        <v>91</v>
      </c>
      <c r="BW472" t="n">
        <v>260</v>
      </c>
      <c r="BX472" t="n">
        <v>69</v>
      </c>
      <c r="BY472" t="n">
        <v>51</v>
      </c>
      <c r="BZ472" t="n">
        <v>47</v>
      </c>
      <c r="CA472" t="n">
        <v>564</v>
      </c>
      <c r="CB472" t="n">
        <v>13</v>
      </c>
      <c r="CC472" t="n">
        <v>5</v>
      </c>
      <c r="CD472" t="n">
        <v>13</v>
      </c>
      <c r="CE472" t="n">
        <v>93</v>
      </c>
      <c r="CF472" t="n">
        <v>7.15</v>
      </c>
      <c r="CG472" t="n">
        <v>0</v>
      </c>
      <c r="CH472" t="n">
        <v>0</v>
      </c>
      <c r="CI472" t="n">
        <v>0</v>
      </c>
      <c r="CJ472" t="n">
        <v>0</v>
      </c>
      <c r="CK472" t="n">
        <v>0</v>
      </c>
      <c r="CL472" t="n">
        <v>1</v>
      </c>
      <c r="CM472" t="n">
        <v>0</v>
      </c>
      <c r="CN472" t="n">
        <v>67</v>
      </c>
      <c r="CO472" t="n">
        <v>0</v>
      </c>
      <c r="CP472" t="n">
        <v>27</v>
      </c>
      <c r="CQ472" t="n">
        <v>0</v>
      </c>
      <c r="CR472" t="n">
        <v>0</v>
      </c>
      <c r="CS472" t="n">
        <v>0</v>
      </c>
      <c r="CT472" t="n">
        <v>95</v>
      </c>
      <c r="CU472" t="n">
        <v>0</v>
      </c>
      <c r="CV472" t="n">
        <v>0</v>
      </c>
      <c r="CW472" t="n">
        <v>0</v>
      </c>
      <c r="CX472" t="n">
        <v>0</v>
      </c>
      <c r="CY472" t="n">
        <v>32</v>
      </c>
      <c r="CZ472" t="n">
        <v>0</v>
      </c>
      <c r="DA472" t="n">
        <v>0</v>
      </c>
      <c r="DB472" t="n">
        <v>0</v>
      </c>
      <c r="DC472" t="n">
        <v>32</v>
      </c>
      <c r="DD472" t="n">
        <v>0</v>
      </c>
      <c r="DE472" t="n">
        <v>0</v>
      </c>
      <c r="DF472" t="n">
        <v>93</v>
      </c>
      <c r="DG472" t="n">
        <v>13</v>
      </c>
      <c r="DH472" t="n">
        <v>0</v>
      </c>
      <c r="DI472" t="n">
        <v>0</v>
      </c>
      <c r="DJ472" t="n">
        <v>0</v>
      </c>
      <c r="DK472" t="n">
        <v>0</v>
      </c>
      <c r="DL472" t="n">
        <v>0</v>
      </c>
      <c r="DM472" t="n">
        <v>0</v>
      </c>
      <c r="DN472" t="n">
        <v>0</v>
      </c>
      <c r="DO472" t="n">
        <v>0</v>
      </c>
      <c r="DP472" t="n">
        <v>0</v>
      </c>
      <c r="DQ472" t="n">
        <v>0</v>
      </c>
      <c r="DR472" t="n">
        <v>0</v>
      </c>
      <c r="DS472" t="n">
        <v>106</v>
      </c>
      <c r="DT472" t="n">
        <v>233</v>
      </c>
      <c r="DU472" t="n">
        <v>50</v>
      </c>
      <c r="DV472" t="n">
        <v>0</v>
      </c>
      <c r="DW472" t="n">
        <v>0</v>
      </c>
      <c r="DX472" t="n">
        <v>0</v>
      </c>
      <c r="DY472" t="n">
        <v>70</v>
      </c>
      <c r="DZ472" t="n">
        <v>504</v>
      </c>
      <c r="EA472" t="n">
        <v>392</v>
      </c>
      <c r="EB472" t="n">
        <v>510</v>
      </c>
      <c r="EC472" t="n">
        <v>70</v>
      </c>
      <c r="ED472" t="n">
        <v>290</v>
      </c>
      <c r="EE472" t="n">
        <v>1520</v>
      </c>
      <c r="EF472" t="n">
        <v>0</v>
      </c>
      <c r="EG472" t="n">
        <v>0.21</v>
      </c>
      <c r="EH472" t="n">
        <v>0.5</v>
      </c>
      <c r="EI472" t="n">
        <v>1.5</v>
      </c>
      <c r="EJ472" t="n">
        <v>0.3</v>
      </c>
      <c r="EK472" t="n">
        <v>1.1</v>
      </c>
    </row>
    <row r="473">
      <c r="A473">
        <f>[1]ingredient!B474</f>
        <v/>
      </c>
      <c r="B473" t="inlineStr">
        <is>
          <t>https://www.naehrwertrechner.de/naehrwerte/G480500/Zwiebeln+Pulver/?menge=100</t>
        </is>
      </c>
      <c r="C473" s="7">
        <f>_xlfn.XLOOKUP(A473,[1]ingredient!$B$2:$B$521,[1]ingredient!$A$2:$A$521)</f>
        <v/>
      </c>
      <c r="D473" t="n">
        <v>313</v>
      </c>
      <c r="E473" t="n">
        <v>3</v>
      </c>
      <c r="F473" t="n">
        <v>14</v>
      </c>
      <c r="G473" t="n">
        <v>55</v>
      </c>
      <c r="H473" t="n">
        <v>16</v>
      </c>
      <c r="I473" t="n">
        <v>45</v>
      </c>
      <c r="J473" t="n">
        <v>0.25</v>
      </c>
      <c r="K473" t="n">
        <v>4</v>
      </c>
      <c r="L473" t="n">
        <v>12</v>
      </c>
      <c r="M473" t="n">
        <v>4</v>
      </c>
      <c r="N473" t="n">
        <v>0</v>
      </c>
      <c r="O473" t="n">
        <v>47</v>
      </c>
      <c r="P473" t="n">
        <v>363</v>
      </c>
      <c r="Q473" t="n">
        <v>222</v>
      </c>
      <c r="R473" t="n">
        <v>2002</v>
      </c>
      <c r="S473" t="n">
        <v>6302</v>
      </c>
      <c r="T473" t="n">
        <v>1592</v>
      </c>
      <c r="U473" t="n">
        <v>1463</v>
      </c>
      <c r="V473" t="n">
        <v>42</v>
      </c>
      <c r="W473" t="n">
        <v>70</v>
      </c>
      <c r="X473" t="n">
        <v>0</v>
      </c>
      <c r="Y473" t="n">
        <v>34759</v>
      </c>
      <c r="Z473" t="n">
        <v>0</v>
      </c>
      <c r="AA473" t="n">
        <v>702</v>
      </c>
      <c r="AB473" t="n">
        <v>12</v>
      </c>
      <c r="AC473" t="n">
        <v>35</v>
      </c>
      <c r="AD473" t="n">
        <v>1616</v>
      </c>
      <c r="AE473" t="n">
        <v>222</v>
      </c>
      <c r="AF473" t="n">
        <v>105</v>
      </c>
      <c r="AG473" t="n">
        <v>351</v>
      </c>
      <c r="AH473" t="n">
        <v>539</v>
      </c>
      <c r="AI473" t="n">
        <v>211</v>
      </c>
      <c r="AJ473" t="n">
        <v>2201</v>
      </c>
      <c r="AK473" t="n">
        <v>1943</v>
      </c>
      <c r="AL473" t="n">
        <v>468</v>
      </c>
      <c r="AM473" t="n">
        <v>1335</v>
      </c>
      <c r="AN473" t="n">
        <v>445</v>
      </c>
      <c r="AO473" t="n">
        <v>19</v>
      </c>
      <c r="AP473" t="n">
        <v>0</v>
      </c>
      <c r="AQ473" t="n">
        <v>0</v>
      </c>
      <c r="AR473" t="n">
        <v>0</v>
      </c>
      <c r="AS473" t="n">
        <v>0</v>
      </c>
      <c r="AT473" t="n">
        <v>15045</v>
      </c>
      <c r="AU473" t="n">
        <v>12304</v>
      </c>
      <c r="AV473" t="n">
        <v>0</v>
      </c>
      <c r="AW473" t="n">
        <v>27349</v>
      </c>
      <c r="AX473" t="n">
        <v>17280</v>
      </c>
      <c r="AY473" t="n">
        <v>0</v>
      </c>
      <c r="AZ473" t="n">
        <v>0</v>
      </c>
      <c r="BA473" t="n">
        <v>17280</v>
      </c>
      <c r="BB473" t="n">
        <v>10267</v>
      </c>
      <c r="BC473" t="n">
        <v>0</v>
      </c>
      <c r="BD473" t="n">
        <v>0</v>
      </c>
      <c r="BE473" t="n">
        <v>0</v>
      </c>
      <c r="BF473" t="n">
        <v>0</v>
      </c>
      <c r="BG473">
        <f>IF($F473=0,"0",MIN(
BH473/(30*$F473),
BI473/(61*$F473),
BJ473/(48*$F473),
(BK473+BL473)/(23*$F473),
(BM473+BN473)/(41*$F473),
BO473/(25*$F473),
BP473/(6.6*$F473),
BQ473/(40*$F473),
BS473/(16*$F473)
)*100)</f>
        <v/>
      </c>
      <c r="BH473" t="n">
        <v>258</v>
      </c>
      <c r="BI473" t="n">
        <v>445</v>
      </c>
      <c r="BJ473" t="n">
        <v>761</v>
      </c>
      <c r="BK473" t="n">
        <v>164</v>
      </c>
      <c r="BL473" t="n">
        <v>386</v>
      </c>
      <c r="BM473" t="n">
        <v>468</v>
      </c>
      <c r="BN473" t="n">
        <v>550</v>
      </c>
      <c r="BO473" t="n">
        <v>269</v>
      </c>
      <c r="BP473" t="n">
        <v>258</v>
      </c>
      <c r="BQ473" t="n">
        <v>375</v>
      </c>
      <c r="BR473" t="n">
        <v>2142</v>
      </c>
      <c r="BS473" t="n">
        <v>176</v>
      </c>
      <c r="BT473" t="n">
        <v>6252</v>
      </c>
      <c r="BU473" t="n">
        <v>620</v>
      </c>
      <c r="BV473" t="n">
        <v>1218</v>
      </c>
      <c r="BW473" t="n">
        <v>3500</v>
      </c>
      <c r="BX473" t="n">
        <v>925</v>
      </c>
      <c r="BY473" t="n">
        <v>679</v>
      </c>
      <c r="BZ473" t="n">
        <v>632</v>
      </c>
      <c r="CA473" t="n">
        <v>7574</v>
      </c>
      <c r="CB473" t="n">
        <v>152</v>
      </c>
      <c r="CC473" t="n">
        <v>63</v>
      </c>
      <c r="CD473" t="n">
        <v>140</v>
      </c>
      <c r="CE473" t="n">
        <v>972</v>
      </c>
      <c r="CF473" t="n">
        <v>6.94</v>
      </c>
      <c r="CG473" t="n">
        <v>0</v>
      </c>
      <c r="CH473" t="n">
        <v>0</v>
      </c>
      <c r="CI473" t="n">
        <v>0</v>
      </c>
      <c r="CJ473" t="n">
        <v>0</v>
      </c>
      <c r="CK473" t="n">
        <v>0</v>
      </c>
      <c r="CL473" t="n">
        <v>12</v>
      </c>
      <c r="CM473" t="n">
        <v>0</v>
      </c>
      <c r="CN473" t="n">
        <v>691</v>
      </c>
      <c r="CO473" t="n">
        <v>0</v>
      </c>
      <c r="CP473" t="n">
        <v>281</v>
      </c>
      <c r="CQ473" t="n">
        <v>0</v>
      </c>
      <c r="CR473" t="n">
        <v>0</v>
      </c>
      <c r="CS473" t="n">
        <v>0</v>
      </c>
      <c r="CT473" t="n">
        <v>984</v>
      </c>
      <c r="CU473" t="n">
        <v>0</v>
      </c>
      <c r="CV473" t="n">
        <v>0</v>
      </c>
      <c r="CW473" t="n">
        <v>0</v>
      </c>
      <c r="CX473" t="n">
        <v>0</v>
      </c>
      <c r="CY473" t="n">
        <v>328</v>
      </c>
      <c r="CZ473" t="n">
        <v>0</v>
      </c>
      <c r="DA473" t="n">
        <v>0</v>
      </c>
      <c r="DB473" t="n">
        <v>0</v>
      </c>
      <c r="DC473" t="n">
        <v>328</v>
      </c>
      <c r="DD473" t="n">
        <v>0</v>
      </c>
      <c r="DE473" t="n">
        <v>0</v>
      </c>
      <c r="DF473" t="n">
        <v>972</v>
      </c>
      <c r="DG473" t="n">
        <v>140</v>
      </c>
      <c r="DH473" t="n">
        <v>0</v>
      </c>
      <c r="DI473" t="n">
        <v>0</v>
      </c>
      <c r="DJ473" t="n">
        <v>0</v>
      </c>
      <c r="DK473" t="n">
        <v>0</v>
      </c>
      <c r="DL473" t="n">
        <v>0</v>
      </c>
      <c r="DM473" t="n">
        <v>0</v>
      </c>
      <c r="DN473" t="n">
        <v>0</v>
      </c>
      <c r="DO473" t="n">
        <v>0</v>
      </c>
      <c r="DP473" t="n">
        <v>0</v>
      </c>
      <c r="DQ473" t="n">
        <v>0</v>
      </c>
      <c r="DR473" t="n">
        <v>0</v>
      </c>
      <c r="DS473" t="n">
        <v>1112</v>
      </c>
      <c r="DT473" t="n">
        <v>2424</v>
      </c>
      <c r="DU473" t="n">
        <v>515</v>
      </c>
      <c r="DV473" t="n">
        <v>0</v>
      </c>
      <c r="DW473" t="n">
        <v>0</v>
      </c>
      <c r="DX473" t="n">
        <v>0</v>
      </c>
      <c r="DY473" t="n">
        <v>738</v>
      </c>
      <c r="DZ473" t="n">
        <v>5366</v>
      </c>
      <c r="EA473" t="n">
        <v>4171</v>
      </c>
      <c r="EB473" t="n">
        <v>5424</v>
      </c>
      <c r="EC473" t="n">
        <v>738</v>
      </c>
      <c r="ED473" t="n">
        <v>3407</v>
      </c>
      <c r="EE473" t="n">
        <v>17854</v>
      </c>
      <c r="EF473" t="n">
        <v>0</v>
      </c>
      <c r="EG473" t="n">
        <v>2</v>
      </c>
      <c r="EH473" t="n">
        <v>5.4</v>
      </c>
      <c r="EI473" t="n">
        <v>17.9</v>
      </c>
      <c r="EJ473" t="n">
        <v>2.9</v>
      </c>
      <c r="EK473" t="n">
        <v>14.3</v>
      </c>
    </row>
    <row r="474">
      <c r="C474" s="7" t="n"/>
    </row>
  </sheetData>
  <hyperlinks>
    <hyperlink xmlns:r="http://schemas.openxmlformats.org/officeDocument/2006/relationships" ref="DY1" display="https://www.naehrwertrechner.de/info/post/uber-poly-pentosen" r:id="rId1"/>
    <hyperlink xmlns:r="http://schemas.openxmlformats.org/officeDocument/2006/relationships" ref="B13" r:id="rId2"/>
    <hyperlink xmlns:r="http://schemas.openxmlformats.org/officeDocument/2006/relationships" ref="B26" r:id="rId3"/>
    <hyperlink xmlns:r="http://schemas.openxmlformats.org/officeDocument/2006/relationships" ref="B40" r:id="rId4"/>
    <hyperlink xmlns:r="http://schemas.openxmlformats.org/officeDocument/2006/relationships" ref="B47" r:id="rId5"/>
    <hyperlink xmlns:r="http://schemas.openxmlformats.org/officeDocument/2006/relationships" ref="B68" r:id="rId6"/>
    <hyperlink xmlns:r="http://schemas.openxmlformats.org/officeDocument/2006/relationships" ref="B108" r:id="rId7"/>
    <hyperlink xmlns:r="http://schemas.openxmlformats.org/officeDocument/2006/relationships" ref="B308" r:id="rId8"/>
    <hyperlink xmlns:r="http://schemas.openxmlformats.org/officeDocument/2006/relationships" ref="B309" r:id="rId9"/>
    <hyperlink xmlns:r="http://schemas.openxmlformats.org/officeDocument/2006/relationships" ref="B316" r:id="rId10"/>
    <hyperlink xmlns:r="http://schemas.openxmlformats.org/officeDocument/2006/relationships" ref="B321" r:id="rId11"/>
    <hyperlink xmlns:r="http://schemas.openxmlformats.org/officeDocument/2006/relationships" ref="B351" r:id="rId12"/>
    <hyperlink xmlns:r="http://schemas.openxmlformats.org/officeDocument/2006/relationships" ref="B360" r:id="rId13"/>
    <hyperlink xmlns:r="http://schemas.openxmlformats.org/officeDocument/2006/relationships" ref="B396" r:id="rId14"/>
    <hyperlink xmlns:r="http://schemas.openxmlformats.org/officeDocument/2006/relationships" ref="B397" r:id="rId15"/>
    <hyperlink xmlns:r="http://schemas.openxmlformats.org/officeDocument/2006/relationships" ref="B398" r:id="rId16"/>
    <hyperlink xmlns:r="http://schemas.openxmlformats.org/officeDocument/2006/relationships" ref="B399" r:id="rId17"/>
  </hyperlinks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Benedikt Strecker</dc:creator>
  <dcterms:created xsi:type="dcterms:W3CDTF">2015-06-05T18:19:34Z</dcterms:created>
  <dcterms:modified xsi:type="dcterms:W3CDTF">2025-10-30T22:45:01Z</dcterms:modified>
  <cp:lastModifiedBy>Benedikt Strecker</cp:lastModifiedBy>
</cp:coreProperties>
</file>